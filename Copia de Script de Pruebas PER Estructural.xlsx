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condiciones obligatorias" sheetId="1" r:id="rId4"/>
    <sheet state="visible" name="Contenido" sheetId="2" r:id="rId5"/>
    <sheet state="visible" name="HU001_PER - Single sign on - SS" sheetId="3" r:id="rId6"/>
    <sheet state="visible" name="HU002_PER - Home Módulo Regiona" sheetId="4" r:id="rId7"/>
    <sheet state="visible" name="HU007_PER - Consulta y descarga" sheetId="5" r:id="rId8"/>
    <sheet state="visible" name="HU008_PER - Módulo de administr" sheetId="6" r:id="rId9"/>
    <sheet state="visible" name="HU009_PER - Grupo de Productos" sheetId="7" r:id="rId10"/>
    <sheet state="visible" name="HU010_PER - Administración clie" sheetId="8" r:id="rId11"/>
    <sheet state="visible" name="HU011_PER - Esquema de Firmas" sheetId="9" r:id="rId12"/>
    <sheet state="visible" name="HU013_PER - Transferencias Regi" sheetId="10" r:id="rId13"/>
    <sheet state="visible" name="HU015_PER - Transferencias Regi" sheetId="11" r:id="rId14"/>
    <sheet state="visible" name="HU016_PER - Transferencias regi" sheetId="12" r:id="rId15"/>
    <sheet state="visible" name="HU017_PER - Autorizaciones tran" sheetId="13" r:id="rId16"/>
    <sheet state="visible" name="HU018_PER - Módulo Autorizacion" sheetId="14" r:id="rId17"/>
    <sheet state="visible" name="HU019_PER - Buzón Notificacione" sheetId="15" r:id="rId18"/>
    <sheet state="visible" name="HU020_PER - Banners" sheetId="16" r:id="rId19"/>
    <sheet state="visible" name="HU003_PER - Accesos Rápidos" sheetId="17" r:id="rId20"/>
    <sheet state="visible" name="HU005_PER - Consulta detallada " sheetId="18" r:id="rId21"/>
    <sheet state="visible" name="HU014_PER - Transferencias Regi" sheetId="19" r:id="rId22"/>
    <sheet state="visible" name="HU022_PER - Migración Destinos " sheetId="20" r:id="rId23"/>
    <sheet state="visible" name="HU004 - Posición Consolidada cu" sheetId="21" r:id="rId24"/>
    <sheet state="visible" name="HU037.1_Transferencias Internac" sheetId="22" r:id="rId25"/>
    <sheet state="visible" name="HU006_PER - Detalle movimiento " sheetId="23" r:id="rId26"/>
    <sheet state="visible" name="HU012_PER - Destinos Autorizado" sheetId="24" r:id="rId27"/>
    <sheet state="visible" name="Hoja 27" sheetId="25" r:id="rId28"/>
  </sheets>
  <definedNames>
    <definedName hidden="1" localSheetId="5" name="_xlnm._FilterDatabase">'HU008_PER - Módulo de administr'!$H$1:$H$941</definedName>
    <definedName hidden="1" localSheetId="6" name="_xlnm._FilterDatabase">'HU009_PER - Grupo de Productos'!$A$1:$I$212</definedName>
    <definedName hidden="1" localSheetId="10" name="_xlnm._FilterDatabase">'HU015_PER - Transferencias Regi'!$A$1:$I$27</definedName>
    <definedName hidden="1" localSheetId="11" name="_xlnm._FilterDatabase">'HU016_PER - Transferencias regi'!$A$1:$I$51</definedName>
    <definedName hidden="1" localSheetId="12" name="_xlnm._FilterDatabase">'HU017_PER - Autorizaciones tran'!$A$1:$I$89</definedName>
    <definedName hidden="1" localSheetId="13" name="_xlnm._FilterDatabase">'HU018_PER - Módulo Autorizacion'!$A$1:$I$102</definedName>
    <definedName hidden="1" localSheetId="14" name="_xlnm._FilterDatabase">'HU019_PER - Buzón Notificacione'!$A$1:$I$28</definedName>
    <definedName hidden="1" localSheetId="15" name="_xlnm._FilterDatabase">'HU020_PER - Banners'!$A$1:$I$48</definedName>
    <definedName hidden="1" localSheetId="16" name="_xlnm._FilterDatabase">'HU003_PER - Accesos Rápidos'!$A$1:$G$37</definedName>
    <definedName hidden="1" localSheetId="17" name="_xlnm._FilterDatabase">'HU005_PER - Consulta detallada '!$A$1:$I$64</definedName>
    <definedName hidden="1" localSheetId="18" name="_xlnm._FilterDatabase">'HU014_PER - Transferencias Regi'!$A$1:$I$246</definedName>
    <definedName hidden="1" localSheetId="22" name="_xlnm._FilterDatabase">'HU006_PER - Detalle movimiento '!$A$1:$I$40</definedName>
  </definedNames>
  <calcPr/>
</workbook>
</file>

<file path=xl/sharedStrings.xml><?xml version="1.0" encoding="utf-8"?>
<sst xmlns="http://schemas.openxmlformats.org/spreadsheetml/2006/main" count="20424" uniqueCount="6131">
  <si>
    <t>No.</t>
  </si>
  <si>
    <t>Descripción</t>
  </si>
  <si>
    <t>Responsable</t>
  </si>
  <si>
    <t>Fecha de Finalización</t>
  </si>
  <si>
    <t>Segregación de BO por país
Crear perfiles para Segmento Multilatino</t>
  </si>
  <si>
    <t>Criterios de Alta en Back Office</t>
  </si>
  <si>
    <t>Carga de Matriz de Productos y permisos</t>
  </si>
  <si>
    <t xml:space="preserve">Carga de Enumerador de Error </t>
  </si>
  <si>
    <t>Disponibiliad de Core</t>
  </si>
  <si>
    <t>Migración de Destinos Autorizados</t>
  </si>
  <si>
    <t>P</t>
  </si>
  <si>
    <t>Estado</t>
  </si>
  <si>
    <t>Observaciones</t>
  </si>
  <si>
    <t>Todos</t>
  </si>
  <si>
    <t>Colombia</t>
  </si>
  <si>
    <t>Panama</t>
  </si>
  <si>
    <t>Costa Rica</t>
  </si>
  <si>
    <t>Honduras</t>
  </si>
  <si>
    <t>El Salvador</t>
  </si>
  <si>
    <t>Miami</t>
  </si>
  <si>
    <t>Total</t>
  </si>
  <si>
    <t>HU001_PER - Single sign on - SSO</t>
  </si>
  <si>
    <t>Entregado</t>
  </si>
  <si>
    <t>Devora</t>
  </si>
  <si>
    <t>-</t>
  </si>
  <si>
    <t>HU002_PER - Home Módulo Regional</t>
  </si>
  <si>
    <t>Sandra</t>
  </si>
  <si>
    <t>HU003_PER - Accesos Rápidos</t>
  </si>
  <si>
    <t>HU004_PER - Posición consolidada cuentas de ahorro y corriente</t>
  </si>
  <si>
    <t>HU005_PER - Consulta detallada de cuentas</t>
  </si>
  <si>
    <t>HU006_PER - Detalle movimiento de cuenta</t>
  </si>
  <si>
    <t>HU007_PER - Consulta y descarga de extractos (Estados de cuenta)</t>
  </si>
  <si>
    <t>HU008_PER - Módulo de administración Banco</t>
  </si>
  <si>
    <t>Katie</t>
  </si>
  <si>
    <t xml:space="preserve">Modificar </t>
  </si>
  <si>
    <t>HU009_PER - Administración cliente / Grupo de Productos</t>
  </si>
  <si>
    <t>HU010_PER - Administración cliente / Usuarios</t>
  </si>
  <si>
    <t>HU011_PER - Administración cliente / Esquema de Firmas</t>
  </si>
  <si>
    <t>HU012_PER - Destinos Autorizados CAM</t>
  </si>
  <si>
    <t>HU013_PER - Transferencias Regionales CAM / A Cuentas Propias</t>
  </si>
  <si>
    <t>HU014_PER - Transferencias Regionales CAM / A Terceros</t>
  </si>
  <si>
    <t>HU015_PER - Transferencias Regionales CAM / Consultas</t>
  </si>
  <si>
    <t>Fatimita</t>
  </si>
  <si>
    <t xml:space="preserve">HU016_PER - Transferencias regionales CAM / Programadas
</t>
  </si>
  <si>
    <t>HU017_PER - Autorizaciones transversal</t>
  </si>
  <si>
    <t>HU018_PER - Módulo Autorizaciones</t>
  </si>
  <si>
    <t>N/A</t>
  </si>
  <si>
    <t>HU019_PER - Buzón Notificaciones</t>
  </si>
  <si>
    <t>HU020_PER - Banners</t>
  </si>
  <si>
    <t>HU021_PER - Onboarding MVP PER</t>
  </si>
  <si>
    <t>Diego</t>
  </si>
  <si>
    <t>HU022_PER - Migración Destinos Autorizados</t>
  </si>
  <si>
    <t>Mensajeria Transversal PER</t>
  </si>
  <si>
    <t>Enumerados</t>
  </si>
  <si>
    <t>Camara Transferencias Regionales CAM</t>
  </si>
  <si>
    <t>Total de casos a ejecutar por cada país</t>
  </si>
  <si>
    <t>Entregable 1</t>
  </si>
  <si>
    <t>HU023: Cámara de Compensación</t>
  </si>
  <si>
    <t>HU024: Destinos Autorizados - Colombia</t>
  </si>
  <si>
    <t>HU025: Destinos Autorizados - Miami</t>
  </si>
  <si>
    <t>HU035: Destinos Autorizados Internacionales</t>
  </si>
  <si>
    <t>HU029: Transferencias Regionales Miami - Cuentas Propias</t>
  </si>
  <si>
    <t>HU030: Transferencias Regionales Miami - Cuentas a Terceros</t>
  </si>
  <si>
    <t>HU026: Transferencias Regionales Colombia - A cuentas propias</t>
  </si>
  <si>
    <t>HU027: Transferencias regionales Colombia - A terceros</t>
  </si>
  <si>
    <t>HU032: Programar transferencias regionales Miami - Cuentas propias</t>
  </si>
  <si>
    <t>HU033: Programar Transferencias Regionales Miami - Cuentas a terceros</t>
  </si>
  <si>
    <t>HU038: Consulta transferencias internacionales</t>
  </si>
  <si>
    <t>HU039: Detalle transferencias internacionales (COL PA MIA, Sin GPI)</t>
  </si>
  <si>
    <t>HU040: Detalle transferencias internacionales (CR HN SV, Con GPI)</t>
  </si>
  <si>
    <t>HU037: Transferencias internacionales (Sin archivo - uno a uno)</t>
  </si>
  <si>
    <t>HU047: Transferencias internacionales (Con archivo - uno a varios)</t>
  </si>
  <si>
    <t>HU042: Solicitud devolución transferencias internacionales</t>
  </si>
  <si>
    <t>HU031: Transferencias regionales por archivos - uno a uno</t>
  </si>
  <si>
    <t>HU041: Monetización Colombia</t>
  </si>
  <si>
    <t>HU005 E1: Consulta visual cuentas (Cuentas de compensación)</t>
  </si>
  <si>
    <t>HU028: Transferencias regionales Colombia - Cargue documentación</t>
  </si>
  <si>
    <t>HU036: Consulta y administración - Destinos Autorizados Internacionales</t>
  </si>
  <si>
    <t>Nomenclatura</t>
  </si>
  <si>
    <t>Requerimiento</t>
  </si>
  <si>
    <t>Título</t>
  </si>
  <si>
    <t>Precondición</t>
  </si>
  <si>
    <t xml:space="preserve">Descripción </t>
  </si>
  <si>
    <t>Resultado</t>
  </si>
  <si>
    <t>CP01</t>
  </si>
  <si>
    <t>SSO</t>
  </si>
  <si>
    <t>No se visualice en el menú de Mis Productos la opción de Módulo Regional</t>
  </si>
  <si>
    <t>El usuario no debe estar marcado en Control Center Banca el Línea como usuarios Multilatino</t>
  </si>
  <si>
    <t>1.Ingresar el usuario de Banca en línea de HN,PA,CR,SV,CO,MI
2.Seleccionar Empresa a utilizar
3.Ingresar en la posición consolidada
4.Validar los iconos que se muestran en el header</t>
  </si>
  <si>
    <t xml:space="preserve">El  usuario no puede visualizar en el menú mis productos la opción de Módulo Regional </t>
  </si>
  <si>
    <t>Todos-Español
SV Idioma Ingles</t>
  </si>
  <si>
    <t>Cantidad</t>
  </si>
  <si>
    <t>CP02</t>
  </si>
  <si>
    <t xml:space="preserve">Validación usuario por Autoafiliación </t>
  </si>
  <si>
    <t>El usuario debe ser afiliado  por medio de Autoadhesión, no por medio de Control Center y Cyberbank</t>
  </si>
  <si>
    <t>1.Ingresar el usuario de Banca en línea de HN,PA,CR,SV,CO,MI
2.Seleccionar Empresa a utilizar
3.Ingresar en la posición consolidada
4.Validar los iconos que se muestran en el header ingrese de forma correcta</t>
  </si>
  <si>
    <t>CP03</t>
  </si>
  <si>
    <t>Ingreso con usuario creado por Control Center</t>
  </si>
  <si>
    <r>
      <rPr>
        <rFont val="Arial"/>
        <color theme="1"/>
      </rPr>
      <t xml:space="preserve">El usuario nuevo debe darse de alta desde CC BEL bajo el procedimiento normal -regulación local.
El usuario </t>
    </r>
    <r>
      <rPr>
        <rFont val="Arial"/>
        <b/>
        <color theme="1"/>
      </rPr>
      <t>no</t>
    </r>
    <r>
      <rPr>
        <rFont val="Arial"/>
        <color theme="1"/>
      </rPr>
      <t xml:space="preserve"> debe haberse marcado como usuario Multilatina</t>
    </r>
  </si>
  <si>
    <t>1.Ingresar el usuario de Banca en línea de HN,PA,CR,SV,CO,MI
2.Realiza el proceso de asignación de credenciales
4.Activa el soft token en caso aplique, finalizar el proceso exitoso
3.Ingresar en la posición consolidada</t>
  </si>
  <si>
    <t>El usuario ingresa las credenciales correctamente e inicia la sesión, al ingresar menú mis productos la opción de Módulo Regional no estará debe ser visible.</t>
  </si>
  <si>
    <t>CP04</t>
  </si>
  <si>
    <t xml:space="preserve">Ingreso con usuario creado por Cyberbank </t>
  </si>
  <si>
    <r>
      <rPr>
        <rFont val="Arial"/>
        <color theme="1"/>
      </rPr>
      <t xml:space="preserve">El usuario nuevo debe darse de alta desde Cyberbank bajo el procedimiento normal -regulación local.
El usuario </t>
    </r>
    <r>
      <rPr>
        <rFont val="Arial"/>
        <b/>
        <color theme="1"/>
      </rPr>
      <t>no</t>
    </r>
    <r>
      <rPr>
        <rFont val="Arial"/>
        <color theme="1"/>
      </rPr>
      <t xml:space="preserve"> debe haberse marcado como usuario Multilatina desde Control Center</t>
    </r>
  </si>
  <si>
    <t>1.Ingresar el usuario de Banca en línea de HN,PA,CR,SV,CO,MI
2.Realiza el proceso de asignación de credenciales
4.Activa el soft token, finalizar el proceso exitoso
3.Ingresar en la posición consolidada</t>
  </si>
  <si>
    <t>El usuario ingresa las credenciales correctamente e inicia la sesión, al ingresar a la posición consolidada no muestra en la parte superior el icono regional</t>
  </si>
  <si>
    <t>CP05</t>
  </si>
  <si>
    <t>Ingresar con usuario Inactivo-Inhabilitado</t>
  </si>
  <si>
    <t>El usuario debe estar en un estado diferente a Activo en BEL de su casa Matriz.
No debe de estar marcado como usuario Multilatino</t>
  </si>
  <si>
    <t>1.Ingresar el usuario de Banca en línea de HN,PA,CR,SV,CO
2.Ingresa las credenciales
3.BEL HN,PA,CR,SV,CO muestra un mensaje correspondiente a la administración de usuario
4. Si permite ingresar validará la posición consolidada
5.No permite ingresar no permitirá visualizar la selección de empresas ni posición consolidada</t>
  </si>
  <si>
    <t>CP06</t>
  </si>
  <si>
    <t>No debe poseer ningun método de autenticación
Usuario Regional</t>
  </si>
  <si>
    <r>
      <rPr>
        <rFont val="Arial"/>
        <color theme="1"/>
      </rPr>
      <t xml:space="preserve">El usuario debe existir en BEL HN,PA,CR,SV
El usuario debe tener estado activo 
Debe estar marcado como </t>
    </r>
    <r>
      <rPr>
        <rFont val="Arial"/>
        <b/>
        <color theme="1"/>
      </rPr>
      <t>usuario multilatino</t>
    </r>
    <r>
      <rPr>
        <rFont val="Arial"/>
        <color theme="1"/>
      </rPr>
      <t xml:space="preserve">
No debe tener activado soft token-Detect ID</t>
    </r>
  </si>
  <si>
    <t>1.Ingresar el usuario de Banca en línea de HN,PA,CR,SV
2.Ingresa las credenciales
3.BEL HN,PA,CR,SV muestra un mensaje correspondiente a la administración de usuario&gt; Según el enumerado de errores correspondiente al Core
4.Visualiza el módulo regional 
5.Al realizar el switch al módulo muestra mensaje de Error</t>
  </si>
  <si>
    <t>El usuario no puede continuar con el proceso ya que es requerido que posea un método de autenticación y se active, en el front debe mostrar un mensaje de Error que le impida ver la posición consolidada.
El caso se finaliza cuando muestra el mensaje de Error</t>
  </si>
  <si>
    <t>CP07</t>
  </si>
  <si>
    <t xml:space="preserve">
Usuario Regional
No debe permitir ingresar a Módulo Regional</t>
  </si>
  <si>
    <t>El usuario debe existir en BEL HN,PA,CR,SV
Se debe encontrar activo el usuario
Debe estar marcado como usuario multilatino 
Debe tener bloqueado o inactivo el método de autenticación</t>
  </si>
  <si>
    <t>1.Ingresar el usuario de Banca en línea de HN,PA,CR,SV
2.Ingresa las credenciales
3.BEL HN,PA,CR,SV muestra un mensaje correspondiente a la administración de usuario
4.Visualiza el módulo regional 
5.Ingresa al menú mis productos e ingresa a la opción de Módulo y muestra mensaje “abandonará la banca en línea para acceder al módulo regional”
6.Seleccionar Aceptar</t>
  </si>
  <si>
    <t>El usuario no puede continuar con el proceso ya que es requerido que posea el soft token y se active, en el front debe mostrar un mensaje de Error que le impida ver la posición consolidada.
El caso se finaliza cuando muestra el mensaje de Error</t>
  </si>
  <si>
    <t>CP08</t>
  </si>
  <si>
    <t>Soft Token activo
Usuario Regional
Finaliza el proceso correctamente y ejecuta el switch al módulo</t>
  </si>
  <si>
    <t xml:space="preserve">El usuario debe existir en BEL HN,PA,CR,SV
Se debe encontrar activo el usuario
Debe estar marcado como cliente y usuario multilatino 
 </t>
  </si>
  <si>
    <t>1.Ingresar el usuario de Banca en línea de HN,PA,CR,SV
2.Ingresa las credenciales
3.BEL HN,PA,CR,SV muestra un mensaje correspondiente a la administración de usuario
4.Visualiza el módulo regional 
5.Ingresa al menú mis productos y selecciona la opción de Módulo y muestra mensaje “abandonará la banca en línea para acceder al módulo regional”
6.Seleccionar Aceptar</t>
  </si>
  <si>
    <t>Si el usuario da clic en “aceptar” se debe trasladar los datos de la sesión para el módulo regional y la sesión de BEL quedará activa</t>
  </si>
  <si>
    <t>CP09</t>
  </si>
  <si>
    <t>Token activo
Usuario Regional
Cancela el switch al módulo</t>
  </si>
  <si>
    <t xml:space="preserve">El usuario debe existir en BEL HN,PA,CR,SV
Se debe encontrar activo el usuario
Debe estar marcado como usuario multilatino 
</t>
  </si>
  <si>
    <t>Si el usuario da clic en “cancelar” cierra el modal y permanece en la banca en línea.  
Continua la sesión activa en el canal.</t>
  </si>
  <si>
    <t>CP10</t>
  </si>
  <si>
    <t xml:space="preserve">
Cliente Regional
Falla en el proceso
Por las condiciones de : Usuario Inactivo</t>
  </si>
  <si>
    <t>El usuario debe existir en BEL HN,PA,CR,SV
Se debe encontrar inactivo el usuario
Debe estar marcado como usuario multilatino 
Debe tener una token activo</t>
  </si>
  <si>
    <t xml:space="preserve">1.Ingresar el usuario de Banca en línea de HN,PA,CR,SV
2.Ingresa las credenciales
3.BEL HN,PA,CR,SV muestra un mensaje correspondiente a la administración de usuario
</t>
  </si>
  <si>
    <t xml:space="preserve">
En caso que el canal no pueda confirmar la información ingresada por el usuario se debe presentar mensaje: “Intente más tarde, Por el momento, no es posible atender su solicitud.”</t>
  </si>
  <si>
    <t>CP11</t>
  </si>
  <si>
    <t xml:space="preserve">
Cliente Regional
Usuario con Sesión Activa en otro canal (APP locales o Super APP)</t>
  </si>
  <si>
    <t xml:space="preserve">El usuario debe existir en BEL HN,PA,CR,SV
Se debe encontrar activo el usuario
Debe estar marcado como cliente multilatino 
 </t>
  </si>
  <si>
    <t xml:space="preserve">1.Ingresa al App
2. No cierre la sesión
3.Ingresa a Banca en línea pero muestra un mensaje de error </t>
  </si>
  <si>
    <t>No permite ingresar a BEL debido a que existe una sesión activa
Este mensaje dependerá de cada uno de los core si es enviado por correo electrónico o en el front muestra un mensaje de error al usuario.</t>
  </si>
  <si>
    <t>CP12</t>
  </si>
  <si>
    <t>Usuario de Portal realiza el ingreso y permite visualizar el tiempo de sesión Inactiva</t>
  </si>
  <si>
    <t>El usuario debe existir en BEL HN,PA,CR,SV
Se debe encontrar activo el usuario
Debe estar marcado como cliente multilatino 
Token activo</t>
  </si>
  <si>
    <r>
      <rPr>
        <rFont val="Arial"/>
        <color theme="1"/>
      </rPr>
      <t xml:space="preserve">1.Ingresar el usuario de Banca en línea de HN,PA,CR,SV
2.Ingresa las credenciales
3.BEL HN,PA,CR,SV muestra un mensaje correspondiente a la administración de usuario
4.Visualiza en el menú 'Mis Productos' la opción de módulo regional 
5.Ingresa al Módulo y muestra mensaje “abandonará la banca en línea para acceder al módulo regional”
6.Seleccionar Aceptar
7.Ingresa a Selección de Empresas
8.Validar en el header del canal que muestre los siguientes elementos:
</t>
    </r>
    <r>
      <rPr>
        <rFont val="Arial"/>
        <b/>
        <color theme="1"/>
      </rPr>
      <t>Nombre del usuario autenticado
Rol
Cambio de Idioma
Ir a Banca Local
Cerrar sesión</t>
    </r>
  </si>
  <si>
    <t xml:space="preserve">En caso que no exista ninguna interacción y el límite del contador llegué a cero se presentará el mensaje: “Cerramos la sesión, Por seguridad cerramos esta sesión. Si quiere seguir usando el portal regional, ingrese nuevamente.”
¿Quiere seguir en el portal regional? “La sesión está inactiva y se cerrará en X Segundos, para seguir en el portal diríjase al botón “Continuar” 
No seleccionar ninguna opción 
Debe cerrar la sesión debido a inactividad
Botón aceptar: Al dar clic en el botón de aceptar se debe informar que la sesión fue expirada.
En los escenarios antes mencionados deberán liberar la sesión del usuario para evitar dejar atrapados la sesión.
Los usuarios deben recibir notificaciones o confirmaciones por correo electrónico una vez que se haya realizado con éxito un login desde el canal tal cual cómo lo realizan desde la banca en línea o portal empresarial. 
</t>
  </si>
  <si>
    <t>CP13</t>
  </si>
  <si>
    <t xml:space="preserve">Usuario de Portal realiza el switch a la Banca Local según el país seleccionado
Regresa a la BEL </t>
  </si>
  <si>
    <t xml:space="preserve">El usuario debe existir en BEL HN,PA,CR,SV
Se debe encontrar activo el usuario
Debe estar marcado como usuario multilatino 
Token activo  </t>
  </si>
  <si>
    <t>1.Ingresar el usuario de Banca en línea de HN,PA,CR,SV
2.Ingresa las credenciales
3.BEL HN,PA,CR,SV muestra un mensaje correspondiente a la administración de usuario
4.Visualiza el módulo regional 
5.Ingresa al Módulo y muestra mensaje “abandonará la banca en línea para acceder al módulo regional”
6.Seleccionar Aceptar
7.Selecciona el botón de regresar a BEL del país indicado</t>
  </si>
  <si>
    <t>Si el usuario da clic en el botón Regresar a la banca en línea le permitirá cerrar la sesión de Portal y realizar el traslado a la Banca en línea seleccionada.
El usuario puede ingresar a BEL-APP y no debe tener la sesión atrapada</t>
  </si>
  <si>
    <t>CP14</t>
  </si>
  <si>
    <t xml:space="preserve">Usuario de Portal realiza el ingreso y permite visualizar el tiempo de sesión Inactiva
cierra la sesión exitosamente por Inactividad </t>
  </si>
  <si>
    <t xml:space="preserve">El usuario debe existir en BEL HN,PA,CR,SV
Se debe encontrar activo el usuario
Debe estar marcado como usuario multilatino </t>
  </si>
  <si>
    <t>Ingresa a la opción de posición consolidada y muestra deja la sesión inactiva 30 segundos antes muestra un mensaje 
¿Quiere seguir en el portal regional? “La sesión está inactiva y se cerrará en X Segundos, para seguir en el portal diríjase al botón “Cerrar sesión” 
Selecciona cerrar sesión.
Al dar clic se cierra el módulo regional y confirma que la sesión fue finalizada exitosamente.
No debe existir la sesión activa en BEL</t>
  </si>
  <si>
    <t>CP15</t>
  </si>
  <si>
    <t>Usuario de CO-MI
Usuario Regional
No debe permitir ingresar al Módulo Regional</t>
  </si>
  <si>
    <t xml:space="preserve">El usuario debe existir en BEL CO-MI
Se debe encontrar activo el usuario
No Debe estar marcado como cliente multilatino 
</t>
  </si>
  <si>
    <t xml:space="preserve">1.Ingresar el usuario de Banca en línea 
2.Ingresa las credenciales
3.Muestra un mensaje correspondiente a la administración de usuario
4.Ingresa a la posición consolidada </t>
  </si>
  <si>
    <t>El usuario visualiza el menú de Banca Línea y no se encuentra el Módulo Regional en la opción de mis productos</t>
  </si>
  <si>
    <t>CP16</t>
  </si>
  <si>
    <t>Usuario de CO-MI
Usuario Regional
Debe permitir ingresar al Módulo Regional</t>
  </si>
  <si>
    <t xml:space="preserve">El usuario debe existir en BEL CO-MI
Se debe encontrar activo el usuario
Debe estar marcado como cliente multilatino 
</t>
  </si>
  <si>
    <t>El usuario visualiza el menú de Banca Línea y visualiza en menú Mis productos la opción de módulo regional</t>
  </si>
  <si>
    <t>CP17</t>
  </si>
  <si>
    <t>1.Ingresar el usuario de Banca en línea 
2.Ingresa las credenciales
3.Muestra un mensaje correspondiente a la administración de usuario
4.Visualiza el módulo regional en el menú mis productos
5.Ingresa al Módulo y muestra mensaje “abandonará la banca en línea para acceder al módulo regional”
6.Seleccionar Aceptar</t>
  </si>
  <si>
    <t xml:space="preserve">Si el usuario da clic en “aceptar” se debe trasladar los datos de la sesión para el módulo regional y la sesión de BEL permanecerá activa.
No debe mostrar proceso de activación de semilla ya que reutilizará el método de hard token para CO
- En BEL pasado el tiempo de inactividad deberá mostrar mensaje de inactividad y si el cliente no ejecuta ninguna acción cerrará la sesión.
</t>
  </si>
  <si>
    <t>CP18</t>
  </si>
  <si>
    <t xml:space="preserve">1.Ingresar el usuario de Banca en línea
2.Ingresa las credenciales
3.Muestra un mensaje correspondiente a la administración de usuario
4.Visualiza el módulo regional en el menú mis productos
5.Ingresa al Módulo y muestra mensaje “abandonará la banca en línea para acceder al módulo regional”
6.Seleccionar Cancelar </t>
  </si>
  <si>
    <t>CP19</t>
  </si>
  <si>
    <t>Usuario de CO-MI
Usuario de Portal realiza el switch a la Banca Local según el país seleccionado</t>
  </si>
  <si>
    <t>Si el usuario da clic en el botón Regresar a la banca en línea le permitirá cerrar la sesión de Portal y realizar el traslado a la Banca en línea seleccionada</t>
  </si>
  <si>
    <t>CP20</t>
  </si>
  <si>
    <t>Usuario con Semilla Activa 
Usuario marcado como Regional</t>
  </si>
  <si>
    <t xml:space="preserve">El usuario debe existir en BEL HN,PA,CR,SV
Se debe encontrar activo 
Debe estar marcado como cliente multilatino 
Debe tener un token activo
</t>
  </si>
  <si>
    <t>1.Ingresar el usuario de Banca en línea de HN,PA,CR,SV
2.Ingresa las credenciales
3.Visualiza el botón Módulo Regional
4.Seleccionar el botón Módulo Regional 
5.Realiza el switch a la sesión regional</t>
  </si>
  <si>
    <t>Al ingresar a la sesión Regional no le muestra los campos para ingresar las credenciales.
El canal no debe pedir usuario ni clave para acceder al nuevo módulo regional, los datos de inicio de la sesión del país local deben ser suministrados al PER con los cuales accede al canal.</t>
  </si>
  <si>
    <t>CP21</t>
  </si>
  <si>
    <t xml:space="preserve">Usuario con Token Actico
Usuario marcado como Regional
Conexión Fallida </t>
  </si>
  <si>
    <t xml:space="preserve">El usuario debe existir en BEL HN,PA,CR,SV
Se debe encontrar activo 
Debe estar marcado como cliente multilatino 
Debe tener una token activo 
</t>
  </si>
  <si>
    <t>1.Ingresar el usuario de Banca en línea de HN,PA,CR,SV
2.Ingresa las credenciales
3.Visualiza el botón Módulo Regional
4.Seleccionar el botón Módulo Regional 
5.Realiza el switch a la sesión regional
6.Ingresa al Módulo y muestra mensaje “abandonará la banca en línea para acceder al módulo regional”
7.Seleccionar Aceptar
8. Ingresar al módulo se tarda en cargar el Home</t>
  </si>
  <si>
    <t xml:space="preserve">Una vez el usuario acceda al módulo regional (PER Escala), mientras carga la información que se mostrará en pantalla, se debe mostrar el “Skeleton” de las funcionalidades
</t>
  </si>
  <si>
    <t>CP22</t>
  </si>
  <si>
    <t>Token Activo - Usuarios de CO
Usuario marcado como Regional
Buscar una empresa asociada como multilatina por medio de filtros</t>
  </si>
  <si>
    <t xml:space="preserve">El usuario debe existir en BEL,CO,MI
Se debe encontrar activo el usuario
Debe estar marcado como cliente multilatino 
Debe tener una token activo
Al menos debe tener una empresa marcada como multilatina
</t>
  </si>
  <si>
    <t xml:space="preserve">1.Ingresar el usuario de Banca en línea de HN,PA,CR,SV
2.Ingresa las credenciales
3.Visualiza el botón Módulo Regional
4.Seleccionar el botón Módulo Regional 
5.Ingresa al Módulo y muestra mensaje “abandonará la banca en línea para acceder al módulo regional”
6.Seleccionar Aceptar
7.Realiza el switch a la sesión regional
8.Validar en el header del canal que muestre los siguientes elementos:
Nombre del usuario autenticado
Rol
Cambio de Idioma
Ir a Banca Local
Cerrar sesión
9.Muestra la opción de Selección de Empresas
10. Muestra la sociedad marcada como Regional
11.Seleccionar la sociedad con los filtros 
</t>
  </si>
  <si>
    <t>El canal debe contar con dos opciones que permita al usuario filtrar la información que se muestra en pantalla
Filtro de “País”: Es una lista desplegable que le permite seleccionar uno o varios de los países de las empresas de los productos asignados al usuario, el listado de la información de países disponibles debe coincidir con los asignados al usuario, no debe presentar nombres de países donde no tenga presencia de acuerdo a los asignados.
Finaliza la prueba utilizando la opción del  filtro</t>
  </si>
  <si>
    <t>CP23</t>
  </si>
  <si>
    <t>Token Activo - Usuarios de CO
Usuario marcado como Regional
Buscar una empresa asociada como multilatina por medio de filtro Predictivo</t>
  </si>
  <si>
    <t xml:space="preserve">El usuario debe existir en BEL HN,PA,CR,SV,CO
Se debe encontrar activo el usuario
Debe estar marcado como usuario multilatino 
Debe tener una semilla activa 
Al menos debe tener una empresa marcada como multilatina
</t>
  </si>
  <si>
    <t xml:space="preserve">1.Ingresar el usuario de Banca en línea de HN,PA,CR,SV
2.Ingresa las credenciales
3.Visualiza el botón Módulo Regional
4.Seleccionar el botón Módulo Regional 
5.Ingresa al Módulo y muestra mensaje “abandonará la banca en línea para acceder al módulo regional”
6.Seleccionar Aceptar
7.Realiza el switch a la sesión regional
8.Validar en el header del canal que muestre los siguientes elementos:
Nombre del usuario autenticado
Rol
Cambio de Idioma
Ir a Banca Local
Cerrar sesión
9.Muestra la opción de Selección de Empresas
10. Muestra la sociedad marcada como Regional
11.Validar que se visualicen los filtros incluyendo el listado de países
</t>
  </si>
  <si>
    <t>El canal debe contar con dos opciones que permita al usuario filtrar la información que se muestra en pantalla
Texto Predictivo: Con el nombre de la misma y si encuentra una coincidencia con lo que ingresa versus las empresas asignadas mostrará en pantalla la opción para seleccionarla con lo que queda marcada en el checkbox individual
Utilizar cada uno de los filtros por país 
Finaliza la prueba validando los campos</t>
  </si>
  <si>
    <t>CP24</t>
  </si>
  <si>
    <t xml:space="preserve">
Cliente marcado como Regional
Buscar una empresa asociada como multilatina por medio de filtro País 
Debe contener al menos 1 resultado, buscar otro país que no posea resultados</t>
  </si>
  <si>
    <t xml:space="preserve">El usuario debe existir en BEL HN,PA,CR,SV,CO
Se debe encontrar activo el usuario
Debe tener un token activo 
Al menos debe tener una empresa marcada como multilatina
</t>
  </si>
  <si>
    <t xml:space="preserve">1.Ingresar el usuario de Banca en línea de HN,PA,CR,SV
2.Ingresa las credenciales
3.Visualiza el botón Módulo Regional
4.Seleccionar el botón Módulo Regional 
5.Ingresa al Módulo y muestra mensaje “abandonará la banca en línea para acceder al módulo regional”
6.Seleccionar Aceptar
7.Realiza el switch a la sesión regional
8.Validar en el header del canal que muestre los siguientes elementos:
Nombre del usuario autenticado
Rol
Cambio de Idioma
Ir a Banca Local
Cerrar sesión
9.Muestra la opción de Selección de Empresas
10. Muestra la sociedad marcada como Regional
11.Validar que se visualicen los filtros incluyendo el listado de países
</t>
  </si>
  <si>
    <t>El canal debe contar con dos opciones que permita al usuario filtrar la información que se muestra en pantalla
Seleccionar Filtro País: Seleccionar un pais donde no se posea presencia 
No debe mostrar resultado 
Debe presentar un mensaje de "La búsqueda  de [ x ] no presenta resultados 
Se muestra inactivo el botón de Aceptar</t>
  </si>
  <si>
    <t>CP25</t>
  </si>
  <si>
    <t>Usuario con Token Activo- Usuarios de CO
Usuario marcado como Regional
Usuario no tiene empresas asociadas</t>
  </si>
  <si>
    <t xml:space="preserve">El usuario debe existir en BEL HN,PA,CR,SV,CO
Se debe encontrar activo el usuario
No debe tener ninguna empresa marcada como multilatina
</t>
  </si>
  <si>
    <t xml:space="preserve">1.Ingresar el usuario de Banca en línea de HN,PA,CR,SV
2.Ingresa las credenciales
3.Visualiza la posición consolidada
3. No se Visualiza el botón Módulo Regional
</t>
  </si>
  <si>
    <t>No debe visualizar el botón de Módulo Regional 
Se presenta los header correspondientes a la BEL Local</t>
  </si>
  <si>
    <t>CP26</t>
  </si>
  <si>
    <t xml:space="preserve">
Usuario marcado como Regional
Usuario tiene 1 empresas asociada y busca el nombre de una empresa que exista y pertenezca al mismo grupo pero que no este marcada como multilatina de otro país que no es el dominio de Holding</t>
  </si>
  <si>
    <r>
      <rPr/>
      <t xml:space="preserve">El usuario debe existir en las posibles bancas </t>
    </r>
    <r>
      <rPr>
        <color rgb="FF1155CC"/>
        <u/>
      </rPr>
      <t>BEL</t>
    </r>
    <r>
      <rPr/>
      <t>, CO, PA, CR, HN ,SV, MIA
1 Cliente marcado como regional 
Usuario tiene 1 empresas asociada y busca el nombre de una empresa que exista y pertenezca al mismo grupo pero que no este marcada como multilatina de otro país que no es el dominio de Holding</t>
    </r>
  </si>
  <si>
    <t xml:space="preserve">1.Ingresar el usuario de Banca en línea de HN,PA,CR,SV
2.Ingresa las credenciales
3.Visualiza el botón Módulo Regional
4.Seleccionar el botón Módulo Regional 
5.Ingresa al Módulo y muestra mensaje “abandonará la banca en línea para acceder al módulo regional”
6.Seleccionar Aceptar
7.Realiza el switch a la sesión regional
8.Validar en el header del canal que muestre los siguientes elementos:
Nombre del usuario autenticado
Rol
Cambio de Idioma
Ir a Banca Local
Cerrar sesión
9.Muestra la opción de Selección de Empresas
10. Muestra la sociedad marcada como Regional
11.Seleccionar la sociedad con los filtros 
12.Busqué una sociedad única sociedad marcada como multilatina </t>
  </si>
  <si>
    <t>Solamente se muestra el resultado de la sociedad que se encuentra marcada como multilatina , no debe mostrarse la casa matriz sino esta marcada.</t>
  </si>
  <si>
    <t>CP27</t>
  </si>
  <si>
    <t xml:space="preserve">
Usuario marcado como Regional
Usuario tiene 1 empresas asociada y busca el nombre de una empresa que exista y busca una sociedad de otro país que no tiene esta afiliada</t>
  </si>
  <si>
    <t xml:space="preserve">El usuario debe existir en alguna BEL HN,PA,CR,SV,CO
Se debe encontrar activo el usuario
Debe tener al menos 1 sociedad marcada como multilatina  y debe hacer una búsqueda de una emprea no marcada como multilatina </t>
  </si>
  <si>
    <t xml:space="preserve">1.Ingresar el usuario de Banca en línea de HN,PA,CR,SV
2.Ingresa las credenciales
3.Visualiza el botón Módulo Regional
4.Seleccionar el botón Módulo Regional 
5.Ingresa al Módulo y muestra mensaje “abandonará la banca en línea para acceder al módulo regional”
6.Seleccionar Aceptar
7.Realiza el switch a la sesión regional
8.Validar en el header del canal que muestre los siguientes elementos:
Nombre del usuario autenticado
Rol
Cambio de Idioma
Ir a Banca Local
Cerrar sesión
9.Muestra la opción de Selección de Empresas
10. Muestra la sociedad marcada como Regional
11.Seleccionar la sociedad con los filtros 
12.Busqué una sociedad que no este marcada como multilatina </t>
  </si>
  <si>
    <t>Modal de error:
En caso que el usuario ingrese texto con información que no tenga coincidencia en el filtro de búsqueda por texto, el canal debe informar: “La búsqueda no presenta resultados” y el botón de “aceptar" debe estar deshabilitado.</t>
  </si>
  <si>
    <t>CP28</t>
  </si>
  <si>
    <t>Usuario con token activo - Usuarios de CO
Usuario marcado como Regional
Buscar una empresa asociada como multilatina por medio de filtros
Seleccionar 1 o varias sociedades</t>
  </si>
  <si>
    <t xml:space="preserve">El usuario debe existir en cualquier BEL,CO,PA,MI
Se debe encontrar activo el usuario
Debe estar marcado como usuario multilatino 
Debe tener una semilla activa 
Al menos debe tener dos empresas marcada como multilatina
</t>
  </si>
  <si>
    <t xml:space="preserve">1.Ingresar el usuario de Banca en línea de HN,PA,CR,SV,CO
2.Ingresa las credenciales
3.Visualiza el botón Módulo Regional
4.Seleccionar el botón Módulo Regional 
5.Ingresa al Módulo y muestra mensaje “abandonará la banca en línea para acceder al módulo regional”
6.Seleccionar Aceptar
7.Realiza el switch a la sesión regional
8.Validar en el header del canal que muestre los siguientes elementos:
Nombre del usuario autenticado
Rol
Cambio de Idioma
Ir a Banca Local
Cerrar sesión
9.Muestra la opción de Selección de Empresas
10. Muestra la sociedad marcada como Regional
11.Validar los campos de selección de empresa  
</t>
  </si>
  <si>
    <t xml:space="preserve">Muestra el nombre de la empresa o sociedad.
Al lado del nombre de cada empresa se debe visualizar la bandera del país origen de la misma.
Checkbox que permite seleccionar empresas de manera individual o masiva.
Todas las empresas asignadas al usuario se presentan sin ninguna selección, el usuario debe elegir si ingresa con todas, una o varias de las disponibles.
Debe visualizar un botón donde se muestre "Seleccionar todas" que le permitirá seleccionar todo el resultado en pantalla 
El usuario debe escoger dando clic en los checkbox si desea ingresar al  módulo regional con todas las empresas disponibles o deberá escoger manualmente seleccionando las empresas con las que desea iniciar sesión. 
Una vez el usuario haya seleccionado al menos una compañía del listado de empresas disponibles se habilita el botón de “Aceptar” y una vez el usuario da clic al botón sobre esta pantalla  debe cargar el nuevo Home del módulo regional
Mientras carga la información que se va a mostrar en el Home de acuerdo a las empresas seleccionadas y productos asignados al usuario se debe presentar un Loader con el siguiente mensaje: “Ingresando al módulo regional”,  la duración del mensaje debe ser de 2 segundos. 
Los usuarios deben recibir notificaciones o confirmaciones por correo electrónico una vez que se haya realizado con éxito un login desde el canal tal cual cómo lo realizan desde la banca en línea o portal empresarial. 
</t>
  </si>
  <si>
    <t>CP29</t>
  </si>
  <si>
    <t>Usuario activo - Usuarios de CO
Buscar una empresa asociada como multilatina por medio de filtros
Seleccionar 1 o varias sociedades
1 de las sociedades presenta inconvenientes del Core por lo que no se muestra en el consolidado</t>
  </si>
  <si>
    <t xml:space="preserve">El usuario debe existir en BEL CO
Se debe encontrar activo el usuario
Debe estar marcado como usuario multilatino 
Debe tener una semilla activa 
Al menos debe tener dos empresas marcada como multilatina
</t>
  </si>
  <si>
    <t xml:space="preserve">1.Ingresar el usuario de Banca en línea de HN,PA,CR,SV,CO
2.Ingresa las credenciales
3.Visualiza el botón Módulo Regional
4.Seleccionar el botón Módulo Regional 
5.Ingresa al Módulo y muestra mensaje “abandonará la banca en línea para acceder al módulo regional”
6.Seleccionar Aceptar
7.Realiza el switch a la sesión regional
8.Validar en el header del canal que muestre los siguientes elementos:
Nombre del usuario autenticado
Rol
Cambio de Idioma
Ir a Banca Local
Cerrar sesión
9.Muestra la opción de Selección de Empresas
10. Muestra la sociedad marcada como Regional
11.Validar los campos de selección de empresa  
12.Seleccionar todas las sociedades que se muestran
</t>
  </si>
  <si>
    <t xml:space="preserve">Al validar el resultado de la selección de empresas y el tiempo es demasiado debe mostrar únicamente la sociedad con el servicio estables , la información del core que presenta inconveniente no se mostrará la información de la empresa
Una vez el usuario haya seleccionado al menos una compañía del listado de empresas disponibles se habilita el botón de “Aceptar” y una vez el usuario da clic al botón sobre esta pantalla  debe cargar el nuevo Home del módulo regional
Mientras carga la información que se va a mostrar en el Home de acuerdo a las empresas seleccionadas y productos asignados al usuario se debe presentar un Loader con el siguiente mensaje: “Ingresando al módulo regional”,  la duración del mensaje debe ser de 2 segundos. 
Si el usuario realiza la selección de las sociedades con las que desea ingresar al módulo regional pero no es posible acceder al canal debe mostrar: “ Intente más tarde, Por el momento no es posible atender su solicitud” 
- Cerrar la pestaña emergente: En caso que el usuario decida cerrar la pestaña donde se muestra la información de selección de empresa sin realizar ninguna selección, el usuario debe seguir autenticado de acuerdo a los tiempos de sesión previamente establecidos por la banca local. 
-Los usuarios deben recibir notificaciones o confirmaciones por correo electrónico una vez que se haya realizado con éxito un login desde el canal tal cual cómo lo realizan desde la banca en línea o portal empresarial. 
</t>
  </si>
  <si>
    <t>CP30</t>
  </si>
  <si>
    <t xml:space="preserve">Token activo - Usuarios de CO
Buscar una empresa asociada como multilatina por medio de filtros
Usuario debe tener más de 10 sociedades regionales disponibles de diferentes países 
Seleccionar todas las sociedades disponibles
</t>
  </si>
  <si>
    <t xml:space="preserve">El usuario debe existir en BEL HN,PA,CR,SV,CO
Se debe encontrar activo el usuario
Debe estar marcado como usuario multilatino 
Debe tener token activo
Sociedades al menos 1 de cada país de la región 
</t>
  </si>
  <si>
    <t xml:space="preserve">Al validar el resultado de la selección de empresas y el tiempo es demasiado debe mostrar únicamente la sociedad con el servicio estables , la información del core que presenta inconveniente no se mostrará la información de la empresa.
Si toda la sociedad tienen el servicio con respuesta "B" se mostrará el resultado
Una vez el usuario haya seleccionado al menos una compañía del listado de empresas disponibles se habilita el botón de “Aceptar” y una vez el usuario da clic al botón sobre esta pantalla  debe cargar el nuevo Home del módulo regional
Mientras carga la información que se va a mostrar en el Home de acuerdo a las empresas seleccionadas y productos asignados al usuario se debe presentar un Loader con el siguiente mensaje: “Ingresando al módulo regional”,  la duración del mensaje debe ser de 2 segundos. 
Los usuarios deben recibir notificaciones o confirmaciones por correo electrónico una vez que se haya realizado con éxito un login desde el canal tal cual cómo lo realizan desde la banca en línea o portal empresarial. 
</t>
  </si>
  <si>
    <t>CP31</t>
  </si>
  <si>
    <t xml:space="preserve">
Buscar una empresa asociada como multilatina por medio de filtros
Usuario debe tener más de 10 sociedades regionales disponibles de diferentes países 
Seleccionar todas las sociedades disponibles
Muestra mensaje de error
</t>
  </si>
  <si>
    <t xml:space="preserve">El usuario debe existir en BEL HN,PA,CR,SV,CO
Cliente marcado como regional 
Se debe encontrar activo el usuario
Debe estar marcado como usuario multilatino 
Debe tener una semilla activa 
Sociedades al menos 2 de cada país de la región que en total sumen 10 sociedades  
</t>
  </si>
  <si>
    <r>
      <rPr>
        <rFont val="Arial"/>
        <color theme="1"/>
      </rPr>
      <t xml:space="preserve">Al validar el resultado de la selección de empresas y el tiempo es demasiado debe mostrar únicamente la sociedad con el servicio estables , la información del core que presenta inconveniente no se mostrará la información de la empresa.
Si toda la sociedad tienen el servicio con respuesta "B" se mostrará el resultado
Una vez el usuario haya seleccionado al menos una compañía del listado de empresas disponibles se habilita el botón de “Aceptar” y una vez el usuario da clic al botón sobre esta pantalla  debe cargar el nuevo Home del módulo regional
Mientras carga la información que se va a mostrar en el Home de acuerdo a las empresas seleccionadas y productos asignados al usuario se debe presentar un Loader con el siguiente mensaje: “Ingresando al módulo regional”,  la duración del mensaje supera el tiempo límite 
</t>
    </r>
    <r>
      <rPr>
        <rFont val="Arial"/>
        <b/>
        <color theme="1"/>
      </rPr>
      <t xml:space="preserve">"Intente más tarde" Por el momento, no es posible atender su solicitud
Muestra el mensaje activo de "Aceptar"
</t>
    </r>
    <r>
      <rPr>
        <rFont val="Arial"/>
        <color theme="1"/>
      </rPr>
      <t xml:space="preserve">
Los usuarios No deben recibir notificaciones o confirmaciones por correo electrónico ya que no se ha realizado con éxito un login desde el canal tal cual cómo lo realizan desde la banca en línea o portal empresarial. 
</t>
    </r>
  </si>
  <si>
    <t>CP32</t>
  </si>
  <si>
    <t>Usuario con Token activo - Usuarios de CO
Seleccionar 1 o varias sociedades
Al ingresar al módulo de Regional no debe mostrar los campos de credenciales de usuario</t>
  </si>
  <si>
    <t>El usuario debe existir en BEL CO,PA
Buscar una empresa asociada como multilatina por medio de filtros
Se debe encontrar activo el usuario
Al menos debe tener dos empresas marcada como multilatina
 puede ser 1 de cada país</t>
  </si>
  <si>
    <t xml:space="preserve">1.Ingresar el usuario de Banca en línea de HN,PA,CR,SV,CO
2.Ingresa las credenciales
3.Visualiza el botón Módulo Regional
4.Seleccionar el botón Módulo Regional 
5.Ingresa al Módulo y muestra mensaje “abandonará la banca en línea para acceder al módulo regional”
6.Seleccionar Aceptar
7.Realiza el switch a la sesión regional
8.Validar en el header del canal que muestre los siguientes elementos:
Nombre del usuario autenticado
Rol
Cambio de Idioma
Ir a Banca Local
Cerrar sesión
9.Muestra la opción de Selección de Empresas
10. Muestra la sociedad marcada como Regional
11.Validar los campos de selección de empresa  
12. Seleccionar 1 empresa
13. No debe mostrar credenciales de usuario
</t>
  </si>
  <si>
    <t xml:space="preserve">Desde el módulo regional no debe permitir realizar cambio de clave, únicamente podrá ser realizado desde la banca en línea o desde el portal empresarial, los cambios que se realicen en la banca en línea o Portal deberá reflejarse al momento de realizar el single sign on. 
La administración del login (usuario y contraseña) seguirá siendo regido por el flujo actual implementado en cada banca en línea local (ej. ingresos errados, notificaciones, bloqueos, etc.
</t>
  </si>
  <si>
    <t>CP33</t>
  </si>
  <si>
    <t xml:space="preserve">El usuario debe existir en BEL CO-MI
Se debe encontrar activo el usuario
Debe estar marcado como usuario multilatino 
</t>
  </si>
  <si>
    <t xml:space="preserve">1.Ingresar el usuario de Banca en línea
2.Ingresa las credenciales
3.Muestra un mensaje correspondiente a la administración de usuario
4.Visualiza el módulo regional 
5.Ingresa al Módulo y muestra mensaje “abandonará la banca en línea para acceder al módulo regional”
6.Seleccionar Aceptar
7.Ingresa a Posición consolidada </t>
  </si>
  <si>
    <t xml:space="preserve">Ingresa a la opción de posición consolidada y muestra deja la sesión inactiva 30 segundos antes muestra un mensaje 
¿Quiere seguir en el portal regional? “La sesión está inactiva y se cerrará en X Segundos, para seguir en el portal diríjase al botón “Continuar” 
Selecciona Continuar y realiza logout
Los usuarios deben recibir notificaciones o confirmaciones por correo electrónico una vez que se haya realizado con éxito un login desde el canal tal cual cómo lo realizan desde la banca en línea o portal empresarial. 
</t>
  </si>
  <si>
    <t>CP34</t>
  </si>
  <si>
    <t xml:space="preserve">Cliente marcado como Regional
Buscar una empresa asociada como multilatina por medio de filtros
Seleccionar 1 o varias sociedades
Cambiar de Idioma </t>
  </si>
  <si>
    <t xml:space="preserve">El usuario debe existir en BEL HN,PA,CR,SV,CO
Se debe encontrar activo el usuario
Al menos debe tener dos empresas marcada como multilatina
</t>
  </si>
  <si>
    <t>Seleccionar en el Nombre del usuario la opción de 
Idioma 
Seleccionar un idioma diferente al que se posee 
Se debe mostrar la información en otro idioma</t>
  </si>
  <si>
    <t>CP35</t>
  </si>
  <si>
    <t xml:space="preserve">
Buscar una empresa asociada como multilatina por medio de filtros
Seleccionar 1 o varias sociedades
Cerrar la sesión </t>
  </si>
  <si>
    <t xml:space="preserve">El usuario debe existir en BEL HN,PA,CR,SV,CO
Cliente marcado como Regional
Se debe encontrar activo el usuario
Debe estar marcado como usuario multilatino 
Debe tener una semilla activa 
Al menos debe tener dos empresas marcada como multilatina
</t>
  </si>
  <si>
    <t xml:space="preserve">Seleccionar en el Nombre del usuario se mostrara 
las opciones:
1.Idioma
2.Cerrar Sesión 
3.Información de la útima conexión de forma concatenada :
Fecha, Hora, IP
Seleccionar : Cerrar la sesión
Podrá ingresar nuevamente a la sesión de BEL </t>
  </si>
  <si>
    <t>CP36</t>
  </si>
  <si>
    <t>Usuario no debe tener 2 sesiones abiertas en diferente dispositivos
Web-celular</t>
  </si>
  <si>
    <t>Usuario con Semilla Activa - Usuarios de CO
Usuario marcado como Regional
Buscar una empresa asociada como multilatina por medio de filtros
Seleccionar 1 o varias sociedades</t>
  </si>
  <si>
    <t xml:space="preserve">1.Ingresar el usuario de Banca en línea-.Ingresa las credenciales desde su computadora
2.Visualiza el módulo regional y muestra mensaje “abandonará la banca en línea para acceder al módulo regional”
Seleccionar Aceptar
3.Selecciona la empresa 
4.Muestra la posición consolidada &gt; Mantener la sesión activa
5.Ingresa desde su celular a la página de BEL de su país
6.Ingresa las credenciales correctas del mismo usuario utilizado en la web
7.Muestra un mensaje de BEL que le impide el acceso
</t>
  </si>
  <si>
    <t>Al ingresar las credenciales en el segundo dispositivo muestra un mensaje de Error en pantalla que impide el acceso a BEL con una nueva sesión.
Si le permite ingresar es un Error y debe reportarse
Dependerá de cada Core si se envia una notificación al usuario por correo electrónico indicando el ingreso exitoso en el primer Login y enviar un segundo correo indicando que el usuario ya posee una sesión activa.</t>
  </si>
  <si>
    <t>CP37</t>
  </si>
  <si>
    <t>Usuario no debe tener 2 sesiones abiertas en mismo dispositivo en igual navegador</t>
  </si>
  <si>
    <t>Usuario con Semilla Activa - Usuarios de CO
Usuario marcado como Regional
Buscar una empresa asociada como multilatina por medio de filtros
Seleccionar 1 o varias sociedades"</t>
  </si>
  <si>
    <t>1.Ingresar el usuario de Banca en línea-.Ingresa las credenciales desde su computadora
Utilizar navegador Google Chrome
2.Visualiza el módulo regional y muestra mensaje “abandonará la banca en línea para acceder al módulo regional”
Seleccionar Aceptar
3.Selecciona la empresa 
4.Muestra la posición consolidada &gt; Mantener la sesión activa
5.Ingresa desde su computadora a la página de BEL de su país-Utilizar navegador Google Chrome
6.Ingresa las credenciales correctas del mismo usuario utilizado en la web
7.Muestra un mensaje de BEL que le impide el acceso</t>
  </si>
  <si>
    <t>CP38</t>
  </si>
  <si>
    <t>Usuario no puede  tener 2 sesiones abiertas en mismo dispositivo diferente navegador</t>
  </si>
  <si>
    <t>Usuario Activo - Usuarios de BEL,CO,PA,CR, HN,SV,
Cliente marcado como Regional
Buscar una empresa asociada como multilatina por medio de filtros
Seleccionar 1 o varias sociedades"</t>
  </si>
  <si>
    <t>"1.Ingresar el usuario de Banca en línea-.Ingresa las credenciales desde su celular
Utilizar navegador Google Chrome
2.Visualiza el módulo regional y muestra mensaje “abandonará la banca en línea para acceder al módulo regional”
Seleccionar Aceptar
3.Selecciona la empresa 
4.Muestra la posición consolidada &gt; Mantener la sesión activa
5.Ingresa desde su celular a la página de BEL de su país-Utilizar navegador Firefox
6.Ingresa las credenciales correctas del mismo usuario utilizado en la web
7.Muestra un mensaje de BEL que le impide el acceso"</t>
  </si>
  <si>
    <t>CP39</t>
  </si>
  <si>
    <t>Usuario puede  tener 2 sesiones abiertas en mismo dispositivo igual navegador</t>
  </si>
  <si>
    <t>Usuario Activo - Usuarios de BEL,CO,PA,CR, HN,SV,
Cliente como Regional
Buscar una empresa asociada como multilatina por medio de filtros
Seleccionar 1 o varias sociedades"</t>
  </si>
  <si>
    <t>1.Ingresar el usuario de Banca en línea de HN,PA,CR,SV,CO
2.Ingresa las credenciales
3.Visualiza el botón Módulo Regional
4.Seleccionar el botón Módulo Regional 
5.Ingresa al Módulo y muestra mensaje “abandonará la banca en línea para acceder al módulo regional”
6.Seleccionar Aceptar
7.Realiza el switch a la sesión regional
8.Validar en el header del canal que muestre los siguientes elementos:
Nombre del usuario autenticado
Rol
Cambio de Idioma
Ir a Banca Local
Cerrar sesión
9.Muestra la opción de Selección de Empresas
10. Muestra la sociedad marcada como Regional
11.Validar los campos de selección de empresa  
12. Seleccionar 1 empresa
13.Ingresa en otra pestaña de forma paralela con el mismo usuario
1.Ingresar el usuario de Banca en línea de HN,PA,CR,SV,CO en otra pestaña del mismo navegador
2.Ingresa las credenciales
3.Selecciona el cliente
4,Muestra la posición consolidada</t>
  </si>
  <si>
    <t>1.Ingresa al Home de Empresarial Regional y la sesión se encuentra activa
2.Ingresa exitosamente a BEL manteniendo las 2 sesiones abiertas del portal.</t>
  </si>
  <si>
    <t>CP40</t>
  </si>
  <si>
    <t>Usuario ingrese desde el celular- Android -Chrome
Muestra el diseño Responsive</t>
  </si>
  <si>
    <t xml:space="preserve">El usuario debe existir en BEL HN,PA,CR,SV,CO
Se debe encontrar activo el usuario
Debe estar marcado como usuario multilatino 
Debe tener una semilla activa 
Al menos debe tener dos empresas marcada como multilatina
</t>
  </si>
  <si>
    <t xml:space="preserve">1.Ingresar el usuario de Banca en línea de HN,PA,CR,SV,CO desde el celular
2.Ingresa las credenciales
3.Visualiza el botón Módulo Regional
4.Seleccionar el botón Módulo Regional 
5.Ingresa al Módulo y muestra mensaje “abandonará la banca en línea para acceder al módulo regional”
6.Seleccionar Aceptar
7.Realiza el switch a la sesión regional
8.Validar en el header del canal que muestre los siguientes elementos:
Nombre del usuario autenticado
Rol
Cambio de Idioma
Ir a Banca Local
Cerrar sesión
9.Muestra la opción de Selección de Empresas
10. Muestra la sociedad marcada como Regional
11.Validar los campos de selección de empresa  
12. Seleccionar 1 empresa
13. No debe mostrar credenciales de usuario
</t>
  </si>
  <si>
    <t xml:space="preserve">
Algunas BEL no tienen responsive por lo que puede variar dependiendo de cada país.
Permite visualizar la información de forma responsive y seleccionar 1 o 2 empresas con las cuales realizará la consulta, debe validar que los campos se muestren de forma correcta y no superposecionados se debe visualizar los mismos campos que en la versión web</t>
  </si>
  <si>
    <t>CP41</t>
  </si>
  <si>
    <t xml:space="preserve">Usuario ingresa a BEL desde el Celular-Android -Chrome
Usuario de Portal realiza el ingreso y permite visualizar el tiempo de sesión Inactiva
</t>
  </si>
  <si>
    <t xml:space="preserve">Algunas BEL no tienen responsive por lo que puede variar dependiendo de cada país.
Ingresa a la opción de posición consolidada y muestra deja la sesión inactiva 30 segundos antes muestra un mensaje 
¿Quiere seguir en el portal regional? “La sesión está inactiva y se cerrará en X Segundos, para seguir en el portal diríjase al botón “Continuar” 
Selecciona Continuar y realiza logout
Los usuarios deben recibir notificaciones o confirmaciones por correo electrónico una vez que se haya realizado con éxito un login desde el canal tal cual cómo lo realizan desde la banca en línea o portal empresarial. 
</t>
  </si>
  <si>
    <t>CP42</t>
  </si>
  <si>
    <t>Usuario ingrese desde el celular- Iphone - Safari
Muestra el diseño Responsive</t>
  </si>
  <si>
    <t>Algunas BEL no tienen responsive por lo que puede variar dependiendo de cada país
Permite visualizar la información de forma responsive y seleccionar 1 o 2 empresas con las cuales realizará la consulta, debe validar que los campos se muestren de forma correcta y no superposecionados se debe visualizar los mismos campos que en la versión web</t>
  </si>
  <si>
    <t>CP43</t>
  </si>
  <si>
    <t xml:space="preserve">Usuario ingresa a BEL desde el Celular-Iphone - Safari
Usuario de Portal realiza el ingreso y permite visualizar el tiempo de sesión Inactiva
</t>
  </si>
  <si>
    <t xml:space="preserve">Algunas BEL no tienen responsive por lo que puede variar dependiendo de cada país.
Ingresa a la opción de posición consolidada y muestra deja la sesión inactiva 30 segundos antes muestra un mensaje 
¿Quiere seguir en el portal regional? “La sesión está inactiva y se cerrará en X Segundos, para seguir en el portal diríjase al botón “Continuar” 
Selecciona Continuar y realiza logout
Los usuarios deben recibir notificaciones o confirmaciones por correo electrónico una vez que se haya realizado con éxito un login desde el canal tal cual cómo lo realizan desde la banca en línea o portal empresarial. 
</t>
  </si>
  <si>
    <t>Agregar caso de prueba ingresando con holding</t>
  </si>
  <si>
    <t>Pais Responsable</t>
  </si>
  <si>
    <t>Home Módulo Regional</t>
  </si>
  <si>
    <t>Criterio 1 - Home Módulo Regional:
Funcionalidades asignadas de cada usuario</t>
  </si>
  <si>
    <t>Acceder al modulo con usuario autorizante y seleccionar todas las sociedades, el usuario debe estar en estado “activo” y habilitado en el PER</t>
  </si>
  <si>
    <t xml:space="preserve">Que el usuario pueda validar las funcionalidades asignadas de acuerdo al rol que posea (Consultor, preparador, aprobador, Administrador.) </t>
  </si>
  <si>
    <t>El usuario debe de poder visualizar el menu y operar en el modulo Home dependiendo el rol y funcionalidades asignadas</t>
  </si>
  <si>
    <t>Consolidado</t>
  </si>
  <si>
    <t>Criterio 3 - Compatibilidad del ingreso al Modulo Regional</t>
  </si>
  <si>
    <t>Usuario operador debe de ingresar al modulo regional desde un dispositivo movil con sistema operativo Android</t>
  </si>
  <si>
    <r>
      <rPr>
        <rFont val="Fira Sans Extra Condensed"/>
        <color theme="1"/>
      </rPr>
      <t xml:space="preserve">Que el usuario ingrese desde su dispositivo movil </t>
    </r>
    <r>
      <rPr>
        <rFont val="Fira Sans Extra Condensed"/>
        <b/>
        <color theme="1"/>
      </rPr>
      <t>Android</t>
    </r>
    <r>
      <rPr>
        <rFont val="Fira Sans Extra Condensed"/>
        <color theme="1"/>
      </rPr>
      <t xml:space="preserve"> y navegador </t>
    </r>
    <r>
      <rPr>
        <rFont val="Fira Sans Extra Condensed"/>
        <b/>
        <color theme="1"/>
      </rPr>
      <t xml:space="preserve">google chrome, </t>
    </r>
    <r>
      <rPr>
        <rFont val="Fira Sans Extra Condensed"/>
        <color theme="1"/>
      </rPr>
      <t xml:space="preserve">Se debe de tener consideracion que desde la versión </t>
    </r>
    <r>
      <rPr>
        <rFont val="Fira Sans Extra Condensed"/>
        <b/>
        <color theme="1"/>
      </rPr>
      <t>responsive</t>
    </r>
    <r>
      <rPr>
        <rFont val="Fira Sans Extra Condensed"/>
        <color theme="1"/>
      </rPr>
      <t xml:space="preserve"> no se debe presentar la sección de accesos rápidos teniendo en cuenta que las funcionalidades transaccionales y administrativas no serán compatibles con dispositivos móviles. </t>
    </r>
  </si>
  <si>
    <t>El ingreso a Home Módulo Regional debe de ser exitoso</t>
  </si>
  <si>
    <t>Usuario autorizante debe de ingresar al modulo regional desde un dispositivo movil con sistema operativo iOS</t>
  </si>
  <si>
    <r>
      <rPr>
        <rFont val="Fira Sans Extra Condensed"/>
        <color theme="1"/>
      </rPr>
      <t xml:space="preserve">Que el usuario ingrese desde su dispositivo movil </t>
    </r>
    <r>
      <rPr>
        <rFont val="Fira Sans Extra Condensed"/>
        <b/>
        <color theme="1"/>
      </rPr>
      <t>IOS</t>
    </r>
    <r>
      <rPr>
        <rFont val="Fira Sans Extra Condensed"/>
        <color theme="1"/>
      </rPr>
      <t xml:space="preserve"> y navegador </t>
    </r>
    <r>
      <rPr>
        <rFont val="Fira Sans Extra Condensed"/>
        <b/>
        <color theme="1"/>
      </rPr>
      <t>google chrome</t>
    </r>
    <r>
      <rPr>
        <rFont val="Fira Sans Extra Condensed"/>
        <color theme="1"/>
      </rPr>
      <t>, Se debe de tener consideracion que desde la versión responsive no se debe presentar la sección de accesos rápidos teniendo en cuenta que las funcionalidades transaccionales y administrativas no serán compatibles con dispositivos móviles.</t>
    </r>
  </si>
  <si>
    <t>El usuario debe de ingresar al modulo regional desde un dispositivo movil con sistema operativo iOS</t>
  </si>
  <si>
    <r>
      <rPr>
        <rFont val="Fira Sans Extra Condensed"/>
        <color theme="1"/>
      </rPr>
      <t xml:space="preserve">Que el usuario ingrese desde su dispositivo movil </t>
    </r>
    <r>
      <rPr>
        <rFont val="Fira Sans Extra Condensed"/>
        <b/>
        <color theme="1"/>
      </rPr>
      <t xml:space="preserve">IOS </t>
    </r>
    <r>
      <rPr>
        <rFont val="Fira Sans Extra Condensed"/>
        <color theme="1"/>
      </rPr>
      <t xml:space="preserve">y navegador </t>
    </r>
    <r>
      <rPr>
        <rFont val="Fira Sans Extra Condensed"/>
        <b/>
        <color theme="1"/>
      </rPr>
      <t>zafari</t>
    </r>
    <r>
      <rPr>
        <rFont val="Fira Sans Extra Condensed"/>
        <color theme="1"/>
      </rPr>
      <t>, Se debe de tener consideracion que desde la versión responsive no se debe presentar la sección de accesos rápidos teniendo en cuenta que las funcionalidades transaccionales y administrativas no serán compatibles con dispositivos móviles.</t>
    </r>
  </si>
  <si>
    <t>El usuario debe de ingresar al modulo regional desde una tablet con sistema operativo Android</t>
  </si>
  <si>
    <r>
      <rPr>
        <rFont val="Fira Sans Extra Condensed"/>
        <color theme="1"/>
      </rPr>
      <t xml:space="preserve">Que el usuario ingrese  desde una tablet </t>
    </r>
    <r>
      <rPr>
        <rFont val="Fira Sans Extra Condensed"/>
        <b/>
        <color theme="1"/>
      </rPr>
      <t>Android</t>
    </r>
    <r>
      <rPr>
        <rFont val="Fira Sans Extra Condensed"/>
        <color theme="1"/>
      </rPr>
      <t xml:space="preserve"> y navegador </t>
    </r>
    <r>
      <rPr>
        <rFont val="Fira Sans Extra Condensed"/>
        <b/>
        <color theme="1"/>
      </rPr>
      <t xml:space="preserve">google chrome </t>
    </r>
  </si>
  <si>
    <r>
      <rPr>
        <rFont val="Fira Sans Extra Condensed"/>
        <color theme="1"/>
      </rPr>
      <t xml:space="preserve">Que el usuario ingrese  desde una tablet </t>
    </r>
    <r>
      <rPr>
        <rFont val="Fira Sans Extra Condensed"/>
        <b/>
        <color theme="1"/>
      </rPr>
      <t>IOS</t>
    </r>
    <r>
      <rPr>
        <rFont val="Fira Sans Extra Condensed"/>
        <color theme="1"/>
      </rPr>
      <t xml:space="preserve"> y navegador </t>
    </r>
    <r>
      <rPr>
        <rFont val="Fira Sans Extra Condensed"/>
        <b/>
        <color theme="1"/>
      </rPr>
      <t>google chrome.</t>
    </r>
  </si>
  <si>
    <r>
      <rPr>
        <rFont val="Fira Sans Extra Condensed"/>
        <color theme="1"/>
      </rPr>
      <t xml:space="preserve">Que el usuario ingrese desde una tablet </t>
    </r>
    <r>
      <rPr>
        <rFont val="Fira Sans Extra Condensed"/>
        <b/>
        <color theme="1"/>
      </rPr>
      <t xml:space="preserve">IOS </t>
    </r>
    <r>
      <rPr>
        <rFont val="Fira Sans Extra Condensed"/>
        <color theme="1"/>
      </rPr>
      <t xml:space="preserve">y navegador </t>
    </r>
    <r>
      <rPr>
        <rFont val="Fira Sans Extra Condensed"/>
        <b/>
        <color theme="1"/>
      </rPr>
      <t>zafari</t>
    </r>
    <r>
      <rPr>
        <rFont val="Fira Sans Extra Condensed"/>
        <color theme="1"/>
      </rPr>
      <t>.</t>
    </r>
  </si>
  <si>
    <t xml:space="preserve">El usuario debe de ingresar al modulo regional desde una computadora de escritorio </t>
  </si>
  <si>
    <r>
      <rPr>
        <rFont val="Fira Sans Extra Condensed"/>
        <color theme="1"/>
      </rPr>
      <t xml:space="preserve">Que el usuario ingrese desde una computadora de escritorio el navegador </t>
    </r>
    <r>
      <rPr>
        <rFont val="Fira Sans Extra Condensed"/>
        <b/>
        <color theme="1"/>
      </rPr>
      <t>google chrome</t>
    </r>
    <r>
      <rPr>
        <rFont val="Fira Sans Extra Condensed"/>
        <color theme="1"/>
      </rPr>
      <t>.</t>
    </r>
  </si>
  <si>
    <r>
      <rPr>
        <rFont val="Fira Sans Extra Condensed"/>
        <color theme="1"/>
      </rPr>
      <t xml:space="preserve">Que el usuario ingrese desde  una computadora de escritorio utilizando el navegador </t>
    </r>
    <r>
      <rPr>
        <rFont val="Fira Sans Extra Condensed"/>
        <b/>
        <color theme="1"/>
      </rPr>
      <t>Mozilla firefox</t>
    </r>
  </si>
  <si>
    <r>
      <rPr>
        <rFont val="Fira Sans Extra Condensed"/>
        <color theme="1"/>
      </rPr>
      <t xml:space="preserve">Que el usuario ingrese desde  una computadora de escritorio utilizando el navegador </t>
    </r>
    <r>
      <rPr>
        <rFont val="Fira Sans Extra Condensed"/>
        <b/>
        <color theme="1"/>
      </rPr>
      <t>Edge</t>
    </r>
  </si>
  <si>
    <r>
      <rPr>
        <rFont val="Fira Sans Extra Condensed"/>
        <color theme="1"/>
      </rPr>
      <t xml:space="preserve">Que el usuario ingrese desde  una computadora de escritorio utilizando el navegador </t>
    </r>
    <r>
      <rPr>
        <rFont val="Fira Sans Extra Condensed"/>
        <b/>
        <color theme="1"/>
      </rPr>
      <t>Explorer</t>
    </r>
  </si>
  <si>
    <t>El usuario debe de ingresar al modulo regional desde una laptop</t>
  </si>
  <si>
    <r>
      <rPr>
        <rFont val="Fira Sans Extra Condensed"/>
        <color theme="1"/>
      </rPr>
      <t xml:space="preserve">Que el usuario ingrese desde su laptop utilizando el navegador </t>
    </r>
    <r>
      <rPr>
        <rFont val="Fira Sans Extra Condensed"/>
        <b/>
        <color theme="1"/>
      </rPr>
      <t>google chrome</t>
    </r>
    <r>
      <rPr>
        <rFont val="Fira Sans Extra Condensed"/>
        <color theme="1"/>
      </rPr>
      <t>.</t>
    </r>
  </si>
  <si>
    <r>
      <rPr>
        <rFont val="Fira Sans Extra Condensed"/>
        <color theme="1"/>
      </rPr>
      <t xml:space="preserve">Que el usuario ingrese desde su laptop utilizando el navegador </t>
    </r>
    <r>
      <rPr>
        <rFont val="Fira Sans Extra Condensed"/>
        <b/>
        <color theme="1"/>
      </rPr>
      <t>Mozilla firefox</t>
    </r>
  </si>
  <si>
    <r>
      <rPr>
        <rFont val="Fira Sans Extra Condensed"/>
        <color theme="1"/>
      </rPr>
      <t xml:space="preserve">Que el usuario ingrese desde su laptop utilizando el navegador </t>
    </r>
    <r>
      <rPr>
        <rFont val="Fira Sans Extra Condensed"/>
        <b/>
        <color theme="1"/>
      </rPr>
      <t>Edge</t>
    </r>
  </si>
  <si>
    <r>
      <rPr>
        <rFont val="Fira Sans Extra Condensed"/>
        <color theme="1"/>
      </rPr>
      <t xml:space="preserve">Que el usuario ingrese desde su laptop utilizando el navegador </t>
    </r>
    <r>
      <rPr>
        <rFont val="Fira Sans Extra Condensed"/>
        <b/>
        <color theme="1"/>
      </rPr>
      <t>Explorer</t>
    </r>
  </si>
  <si>
    <t>"Header" Debe de mostrar el nombre de  “Davivienda” y el logo de la casita en la parte superior (Izquierda)</t>
  </si>
  <si>
    <t>Al ingresar al modulo regional se debe de validar que el logo se muestre durante toda la sesion</t>
  </si>
  <si>
    <r>
      <rPr>
        <rFont val="Fira Sans Extra Condensed"/>
        <color theme="1"/>
      </rPr>
      <t xml:space="preserve">Validar que se habilite el nuevo header que deberá contar con: 
</t>
    </r>
    <r>
      <rPr>
        <rFont val="Fira Sans Extra Condensed"/>
        <b/>
        <color theme="1"/>
      </rPr>
      <t>- Nombre de “Davivienda” y logo de la casita
- Al dar clic en la opción del logo debe volver a cargar el Home</t>
    </r>
  </si>
  <si>
    <t>El Nombre "Davivienda” y "Logo" debe de mostrarse en toda la sesion de forma exitosa</t>
  </si>
  <si>
    <t>"Header" Icono Buzón notificaciones</t>
  </si>
  <si>
    <t>En la barra fija superior derecha se debe de mostrar el Buzon de Notificaciones</t>
  </si>
  <si>
    <r>
      <rPr>
        <rFont val="Fira Sans Extra Condensed"/>
        <color theme="1"/>
      </rPr>
      <t xml:space="preserve">Validar que en las notificaciones se muestren las descargas realizadas dentro del canal: 
</t>
    </r>
    <r>
      <rPr>
        <rFont val="Fira Sans Extra Condensed"/>
        <b/>
        <color theme="1"/>
      </rPr>
      <t>- Estado de cuenta
- Consulta de movimiento entre otras opciones</t>
    </r>
  </si>
  <si>
    <t>Que el icono del buzon se muestre de forma exitosa, en el caso de tener una gestion permita visualizarla</t>
  </si>
  <si>
    <t>"Header" Icono de Perfil de Usuario</t>
  </si>
  <si>
    <t>En la barra fija superior se muestre el icono con las iniciales del usuario (Primer nombre, primer apellido) Por ejemplo si el nombre es  “Catalina Torres Mendoza” aparecerá “CT”</t>
  </si>
  <si>
    <r>
      <rPr>
        <rFont val="Fira Sans Extra Condensed"/>
        <color theme="1"/>
      </rPr>
      <t xml:space="preserve">Validar que al accionar el icono se muestre la siguiente infoirmacion del usuario: 
</t>
    </r>
    <r>
      <rPr>
        <rFont val="Fira Sans Extra Condensed"/>
        <b/>
        <color theme="1"/>
      </rPr>
      <t xml:space="preserve">- Nombre Usuario conectado (de acuerdo a como se creo en la banca en linea)
- Rol Usuario (Consultor, preparador, aprobador, Administrador.) </t>
    </r>
  </si>
  <si>
    <t xml:space="preserve">Al seleccionoar el icono del usuario se habiite y muestre la informacion del usuario de forma correcta </t>
  </si>
  <si>
    <t>"Header" Cambio de idioma</t>
  </si>
  <si>
    <t>En la barra fija superior derecha se debe de mostrar el icono de cambio de idioma</t>
  </si>
  <si>
    <t>Validar que al selecconar el icono de cambio de idioma de español a inglés o viceversa sea de manera sencilla.</t>
  </si>
  <si>
    <t xml:space="preserve">El cambio de idioma se realice de forma exitosa de acuerdo al seleccionado por el usuario </t>
  </si>
  <si>
    <t>"Header" Última conexión / IP</t>
  </si>
  <si>
    <t>En la parte izquierda inferior se debe de mostrar la ultima conexion</t>
  </si>
  <si>
    <t>Validar que en la parte inferior se muestre el Último Ingreso y la IP: Ejemplo 11/02/2025 a las 04:08 PM, IP:168.243.173.52</t>
  </si>
  <si>
    <t>"Header" Cerrar sesión</t>
  </si>
  <si>
    <t>En la barra fija superior se debe de mostrar un icono para cerra sesion</t>
  </si>
  <si>
    <t>Para el icono de cerrar sesion se deben validar los sigunetes paso:   
- Sea visible
- A l dar click sobre el iconono muestre la pregunta ¿Quiere cerrar la sesión?  y mostrará dos opciones “Volver” y "Cerrar sesión”- 
- Al das clic en “cerrar sesión” finaliza la sesión cerrando las ventanas abiertas
- Al  click en “Volver” solo cierra la ventana emergente y vuelve a mostrar la pantalla del home.</t>
  </si>
  <si>
    <t>El icono de cerrar sesion debe de funcinar de forma correcta de acuerdo a la opcion seleccionada</t>
  </si>
  <si>
    <t>"Header" Ingresar a la banca local</t>
  </si>
  <si>
    <t xml:space="preserve">En la barra fija superior se debe de mostrar un icono que direccione a la banca local </t>
  </si>
  <si>
    <t>Validar que dar clic en el icono "Banca local" muestre una pantalla con las  5 Opciones ( Colombia, Panamá, Costa Rica, Honduras y El Salvador)
- Al seleccionar una de las opciones se cierra la sesion del canal de modulo regional y redirigirá al inicio de sesión del país de la banca local seleccionada</t>
  </si>
  <si>
    <t>Al seleccionar el pais de ingreso para la banca local, La sesion del modulo regional sea cerrada con exito y el usuario debe volver a autenticarse con los datos de "usuario y clave" personal para acceder al canal.</t>
  </si>
  <si>
    <t>Dashboard Home</t>
  </si>
  <si>
    <t>En el centro de la pantalla se debe de mostrar la información relevante para el usuario</t>
  </si>
  <si>
    <t>Validar las siguientes funcionalidades:
- Empresas Conectadas: Se debe de mostrar un saludo con el nombre del grupo regional ej: “Hola,” Grupo Delpin, de acuerdo a como fue creado en CC
- En la parte inferior se debe visualizar el nombre de la empresas que fue seleccionada al inicio de la sesión, y al lado del nombre se debe mostrar la bandera del país al cual pertenece. 
- Debe tener un elemento como un lápiz para que usuario puede editar la selección de empresas</t>
  </si>
  <si>
    <t xml:space="preserve">Que el nombre del grupo de empresa se muestre de forma correcta y el nombre de las empresas seleccionadas se muestre la bandera que corresponde a cada pais  </t>
  </si>
  <si>
    <t>Dashboard Home "Editar"</t>
  </si>
  <si>
    <t xml:space="preserve">En la parte izquierda posterior se debe de mostrar como un lapiz en el que debe aparecer un tooltip con el texto “Editar”. 
</t>
  </si>
  <si>
    <t xml:space="preserve">En la opcion editar al efectuar una modificacion debe de mostrar el mensaje ¿Quiere abandonar esta edición? Si abandona, no se guardarán los cambios realizados.
- Debe de permitir realizar búsqueda por país y nombre de acuerdo a las empresas seleccionadas al momento de ingresar al MR
- Validar que se encuentren marcadas las casillas de “Checkbox” </t>
  </si>
  <si>
    <t xml:space="preserve">Que permita editar en la seleccion de empresas de manera exitosa </t>
  </si>
  <si>
    <t xml:space="preserve">En la parte izquierda posterior se debe de mostrar como un lapiz en el que debe aparecer un tooltip con el texto “Editar”. </t>
  </si>
  <si>
    <t>- Validar que al selecionar una nueva empresa se debe de habilitar el botón de “Aceptar”. 
- Validar que al dar clic en el boton de "Aceptar" si fue actualizada debe de mostrar “marcación exitosa”.
si no se realiza mostrará: “Intente más tarde. No pudimos actualizar los cambios”.</t>
  </si>
  <si>
    <t>Que el boton de aceptar sea habilitado y funcione con exito</t>
  </si>
  <si>
    <t>Dashboard Home "Productos"</t>
  </si>
  <si>
    <t>De acuerdo a la selección de empresas realizadas en el inicio de sesion, el canal debe mostrar una tarjeta en donde se muestre por tipo de productos y “Saldo total consolidado”, para el MVP</t>
  </si>
  <si>
    <t xml:space="preserve">Validar que en la tarjeta (en color rojo) se muestre suma del saldo total consolidado de cada producto de acuerdo a lo habilitado de cada empresa 
- Cuenta ahorros, Corriente y ahorros maestra
- El saldo se debe de visulaizar en dólares americanos de acuerdo a los productos asignados y de las empresas con las que el usuario inició sesión. </t>
  </si>
  <si>
    <t>Quen en la tarjeta roja se mustre el saldo consolidado de de acuerdo a las empresas seleccionadas</t>
  </si>
  <si>
    <t>El canal debe de mostrar los productos cuando el usuario ingrese al módulo regional  realizando un llamado único por familias</t>
  </si>
  <si>
    <t xml:space="preserve">Cuando el usaurio este en Home se debe de validar que en la tarjeta se muestre el producto con la familia configurada en Control Center con prioridad 1.
- Que al dar clic en el detalle se muestre los productos de las demas familias de acuerdo a lo seleccionado </t>
  </si>
  <si>
    <t>Los productos deben de mostrarse de forma exitosa de acuerdo a alas empresas seleccionadas al hacer login</t>
  </si>
  <si>
    <t>Dashboard Home "Tasas de Cambio"</t>
  </si>
  <si>
    <t>El canal debe mostrar el valor del dólar o tasa de referencia y incluir 2 campos para que el usuario pueda hacer la conversión de moneda local frente al dólar</t>
  </si>
  <si>
    <t>Validar que en al consultar la tasa de cambio se visualice los siguientes puntos:
- Se beben de mostrar 2 campos para hacer la conversión de moneda
- La conversion se tomara la del día de la operación 
- Debe de permitir ingresar valor y el canal debe actualizar de acuerdo a la conversión la equivalencia en la otra moneda.:</t>
  </si>
  <si>
    <t>Al consultar la tasa de cambio se debe de realizar la conversion de forma exitosa</t>
  </si>
  <si>
    <t>Dashboard Home "Accesos Rápidos"</t>
  </si>
  <si>
    <t>Los usuarios deben tener una opción que permita de acuerdo al rol y permisos sobre las funcionalidades  del usuario</t>
  </si>
  <si>
    <t>Validar que en los acceso directos de acuerdo al rol del usuario permita las siguientes funcionalidades:
- Asignar, editar o eliminar accesos a transacciones frecuentes 
- Al dar clic en unos de los atajos asignados previamente el canal lo debe redirigir a la opción seleccionada</t>
  </si>
  <si>
    <t>Al ingresar a los accesos rapidos permita editar o eliminar de forma exitosa, a ala vez al acceder a los atajos asignados el canal lo rediriga a la opcion seleccionada sin inconvenientes</t>
  </si>
  <si>
    <t>Dashboard Home "Banner expectativa"</t>
  </si>
  <si>
    <t>El area operativa del Banco pueda subir una imagen alusiva a la funcionalidad o producto del banco que se quiera promocionar</t>
  </si>
  <si>
    <t>En el canal se podran agregar hasta 5 banner
- Se debe validar que se muestre en carrusel 
- Se debe contar con una flecha que permita cambiar al siguiente banner
- Validar que el banner se muestre en un punto visible y que no afecte la vista de los productos del cliente</t>
  </si>
  <si>
    <t>Si se cuenta con mas de un banner se debe de mostrar una fecha que permita cambiar al siguiente, de forma exitosa</t>
  </si>
  <si>
    <t>Sidebar "Menú vertical izquierdo"</t>
  </si>
  <si>
    <t xml:space="preserve">Al lado izquierdo se debe de mostrar un menu fijo y en la barra fija superior el lodo de Davivienda </t>
  </si>
  <si>
    <t>Validar que en el menu izquierdo se muestren los siguientes iconos:
- Inicio
- Productos 
- Transferir
- Autorizar
- Administrar</t>
  </si>
  <si>
    <t xml:space="preserve">Que el menu se muestre en vertical al lado izquierdo, con los 5 iconos de forma correcta, </t>
  </si>
  <si>
    <t>El menu se debe de mostrar en forma vertical al lado izquierdo</t>
  </si>
  <si>
    <r>
      <rPr>
        <rFont val="Fira Sans Extra Condensed"/>
        <color theme="1"/>
      </rPr>
      <t xml:space="preserve">Validar la funcion de cada icono 
- </t>
    </r>
    <r>
      <rPr>
        <rFont val="Fira Sans Extra Condensed"/>
        <b/>
        <color theme="1"/>
      </rPr>
      <t>Inicio</t>
    </r>
    <r>
      <rPr>
        <rFont val="Fira Sans Extra Condensed"/>
        <color theme="1"/>
      </rPr>
      <t xml:space="preserve">: Al dar clic en este botón debe volver a cargar la pantalla del home o inicio.
- </t>
    </r>
    <r>
      <rPr>
        <rFont val="Fira Sans Extra Condensed"/>
        <b/>
        <color theme="1"/>
      </rPr>
      <t>Productos</t>
    </r>
    <r>
      <rPr>
        <rFont val="Fira Sans Extra Condensed"/>
        <color theme="1"/>
      </rPr>
      <t xml:space="preserve">: Al dar clic en el botón debe mostrar la información asociada a la historia de usuario de Posición consolidada. Esta funcionalidad está habilitada a los usuarios que tengan la funcionalidad de consultas asignado. 
- </t>
    </r>
    <r>
      <rPr>
        <rFont val="Fira Sans Extra Condensed"/>
        <b/>
        <color theme="1"/>
      </rPr>
      <t>Transferir</t>
    </r>
    <r>
      <rPr>
        <rFont val="Fira Sans Extra Condensed"/>
        <color theme="1"/>
      </rPr>
      <t xml:space="preserve">: Este módulo solo estará habilitado para usuarios que tengan asignada la funcionalidad de “Transferencias Regionales en el MVP”
- </t>
    </r>
    <r>
      <rPr>
        <rFont val="Fira Sans Extra Condensed"/>
        <b/>
        <color theme="1"/>
      </rPr>
      <t>Autorizar</t>
    </r>
    <r>
      <rPr>
        <rFont val="Fira Sans Extra Condensed"/>
        <color theme="1"/>
      </rPr>
      <t xml:space="preserve">: Esta opción solo estará habilitada para usuarios que tengan el rol de “autorizador” y “Administrador” y a su vez estén en un esquema de firmas.
- </t>
    </r>
    <r>
      <rPr>
        <rFont val="Fira Sans Extra Condensed"/>
        <b/>
        <color theme="1"/>
      </rPr>
      <t>Administrar</t>
    </r>
    <r>
      <rPr>
        <rFont val="Fira Sans Extra Condensed"/>
        <color theme="1"/>
      </rPr>
      <t>: Este módulo solo debe ser visible para los usuarios que tengan perfil de Administrador, al dar clic en esta opción se habilita la opción de “Administrador de módulo regional” en la cual se pueden crear usuarios y grupos de productos.</t>
    </r>
  </si>
  <si>
    <t>Cada icono debe de funcionar de forma correcta de acuerdo a la descripcion indicada</t>
  </si>
  <si>
    <t>Funcionalidades por Roles</t>
  </si>
  <si>
    <t>Las funcionalidades que se desplieguen en el Dashboard dependerá del rol que tenga cada usuario y de las funcionalidades que asigne el administrador</t>
  </si>
  <si>
    <r>
      <rPr>
        <rFont val="Fira Sans Extra Condensed"/>
        <b/>
        <color theme="1"/>
      </rPr>
      <t>Rol de consultor</t>
    </r>
    <r>
      <rPr>
        <rFont val="Fira Sans Extra Condensed"/>
        <color theme="1"/>
      </rPr>
      <t xml:space="preserve">:  debe de contar con las siguientes funcionalidades
</t>
    </r>
    <r>
      <rPr>
        <rFont val="Fira Sans Extra Condensed"/>
        <b/>
        <color theme="1"/>
      </rPr>
      <t>Consulta de Productos:</t>
    </r>
    <r>
      <rPr>
        <rFont val="Fira Sans Extra Condensed"/>
        <color theme="1"/>
      </rPr>
      <t xml:space="preserve"> Debe venir preseleccionada una vez se seleccione este Rol.
</t>
    </r>
    <r>
      <rPr>
        <rFont val="Fira Sans Extra Condensed"/>
        <b/>
        <color theme="1"/>
      </rPr>
      <t>Consultas Transferencias:</t>
    </r>
    <r>
      <rPr>
        <rFont val="Fira Sans Extra Condensed"/>
        <color theme="1"/>
      </rPr>
      <t xml:space="preserve"> Opcional, permite al usuario Administrador seleccionar si requiere que el usuario tenga este tipo de consultas donde podrá visualizar las transferencias y los destinos autorizados.
</t>
    </r>
    <r>
      <rPr>
        <rFont val="Fira Sans Extra Condensed"/>
        <b/>
        <color theme="1"/>
      </rPr>
      <t xml:space="preserve">Dashboard (panel o canal)
</t>
    </r>
    <r>
      <rPr>
        <rFont val="Fira Sans Extra Condensed"/>
        <color theme="1"/>
      </rPr>
      <t>- no debe tener habilitada la opción de acceder a la funcionalidad de “atajos”
- Se habilita la herramienta para convertir monedas
- Se habilita el banner publicitario.</t>
    </r>
  </si>
  <si>
    <t>Se debe de mostrar el acceso de acuerdo al rol de usuario asignado</t>
  </si>
  <si>
    <r>
      <rPr>
        <rFont val="Fira Sans Extra Condensed"/>
        <b/>
        <color theme="1"/>
      </rPr>
      <t>Rol Preparador :</t>
    </r>
    <r>
      <rPr>
        <rFont val="Fira Sans Extra Condensed"/>
        <color theme="1"/>
      </rPr>
      <t xml:space="preserve"> debe de contar con las siguientes funcionalidades
</t>
    </r>
    <r>
      <rPr>
        <rFont val="Fira Sans Extra Condensed"/>
        <b/>
        <color theme="1"/>
      </rPr>
      <t>Consulta de Productos:</t>
    </r>
    <r>
      <rPr>
        <rFont val="Fira Sans Extra Condensed"/>
        <color theme="1"/>
      </rPr>
      <t xml:space="preserve"> Opcional, permite al usuario Administrador seleccionar si requiere que el usuario tenga este tipo de consultas.
</t>
    </r>
    <r>
      <rPr>
        <rFont val="Fira Sans Extra Condensed"/>
        <b/>
        <color theme="1"/>
      </rPr>
      <t>Transferir:</t>
    </r>
    <r>
      <rPr>
        <rFont val="Fira Sans Extra Condensed"/>
        <color theme="1"/>
      </rPr>
      <t xml:space="preserve"> Debe venir preseleccionada una vez se seleccione este Rol.
</t>
    </r>
    <r>
      <rPr>
        <rFont val="Fira Sans Extra Condensed"/>
        <b/>
        <color theme="1"/>
      </rPr>
      <t xml:space="preserve">Dashboard (panel o canal)
</t>
    </r>
    <r>
      <rPr>
        <rFont val="Fira Sans Extra Condensed"/>
        <color theme="1"/>
      </rPr>
      <t>- Debe tener habilitada la opción de acceder a la funcionalidad de “atajos” de acuerdo a las funcionalidades del rol.
- Se habilita la herramienta para convertir monedas.
- Se habilita el banner publicitario.</t>
    </r>
  </si>
  <si>
    <r>
      <rPr>
        <rFont val="Fira Sans Extra Condensed"/>
        <b/>
        <color theme="1"/>
      </rPr>
      <t>Rol Autorizador:</t>
    </r>
    <r>
      <rPr>
        <rFont val="Fira Sans Extra Condensed"/>
        <color theme="1"/>
      </rPr>
      <t xml:space="preserve"> 
</t>
    </r>
    <r>
      <rPr>
        <rFont val="Fira Sans Extra Condensed"/>
        <b/>
        <color theme="1"/>
      </rPr>
      <t>Consulta de Productos:</t>
    </r>
    <r>
      <rPr>
        <rFont val="Fira Sans Extra Condensed"/>
        <color theme="1"/>
      </rPr>
      <t xml:space="preserve"> Debe venir preseleccionada una vez se seleccione este Rol.
</t>
    </r>
    <r>
      <rPr>
        <rFont val="Fira Sans Extra Condensed"/>
        <b/>
        <color theme="1"/>
      </rPr>
      <t>Transferir:</t>
    </r>
    <r>
      <rPr>
        <rFont val="Fira Sans Extra Condensed"/>
        <color theme="1"/>
      </rPr>
      <t xml:space="preserve"> Debe venir preseleccionada una vez se seleccione este Rol.
</t>
    </r>
    <r>
      <rPr>
        <rFont val="Fira Sans Extra Condensed"/>
        <b/>
        <color theme="1"/>
      </rPr>
      <t>Autorizar:</t>
    </r>
    <r>
      <rPr>
        <rFont val="Fira Sans Extra Condensed"/>
        <color theme="1"/>
      </rPr>
      <t xml:space="preserve"> Debe venir preseleccionada una vez se seleccione este Rol.
</t>
    </r>
    <r>
      <rPr>
        <rFont val="Fira Sans Extra Condensed"/>
        <b/>
        <color theme="1"/>
      </rPr>
      <t xml:space="preserve">Dashboard (panel o canal)
</t>
    </r>
    <r>
      <rPr>
        <rFont val="Fira Sans Extra Condensed"/>
        <color theme="1"/>
      </rPr>
      <t>- Debe tener habilitada la opción de acceder a la funcionalidad de “atajos” de acuerdo a las funcionalidades del rol.
- Se habilita la herramienta para convertir monedas.
- Se habilita el banner publicitario.</t>
    </r>
  </si>
  <si>
    <r>
      <rPr>
        <rFont val="Fira Sans Extra Condensed"/>
        <b/>
        <color theme="1"/>
      </rPr>
      <t>Rol Administrador:</t>
    </r>
    <r>
      <rPr>
        <rFont val="Fira Sans Extra Condensed"/>
        <color theme="1"/>
      </rPr>
      <t xml:space="preserve"> Consulta de Productos: Debe venir preseleccionada una vez se seleccione este Rol.
</t>
    </r>
    <r>
      <rPr>
        <rFont val="Fira Sans Extra Condensed"/>
        <b/>
        <color theme="1"/>
      </rPr>
      <t xml:space="preserve">Transferir: </t>
    </r>
    <r>
      <rPr>
        <rFont val="Fira Sans Extra Condensed"/>
        <color theme="1"/>
      </rPr>
      <t xml:space="preserve">Opcional, permite al usuario Administrador seleccionar si requiere tener acceso a esta funcionalidad.
</t>
    </r>
    <r>
      <rPr>
        <rFont val="Fira Sans Extra Condensed"/>
        <b/>
        <color theme="1"/>
      </rPr>
      <t>Autorizar:</t>
    </r>
    <r>
      <rPr>
        <rFont val="Fira Sans Extra Condensed"/>
        <color theme="1"/>
      </rPr>
      <t xml:space="preserve"> Opcional, permite al usuario Administrador seleccionar si requiere tener acceso a esta funcionalidad.
</t>
    </r>
    <r>
      <rPr>
        <rFont val="Fira Sans Extra Condensed"/>
        <b/>
        <color theme="1"/>
      </rPr>
      <t>Administrar:</t>
    </r>
    <r>
      <rPr>
        <rFont val="Fira Sans Extra Condensed"/>
        <color theme="1"/>
      </rPr>
      <t xml:space="preserve"> Debe venir preseleccionada una vez se seleccione este Rol y solo se puede eliminar si se elimina o cambia el rol.
</t>
    </r>
    <r>
      <rPr>
        <rFont val="Fira Sans Extra Condensed"/>
        <b/>
        <color theme="1"/>
      </rPr>
      <t xml:space="preserve">Dashboard (panel o canal)
</t>
    </r>
    <r>
      <rPr>
        <rFont val="Fira Sans Extra Condensed"/>
        <color theme="1"/>
      </rPr>
      <t>- Debe tener habilitada la opción de acceder a la funcionalidad de “atajos” de acuerdo a las funcionalidades del rol.
- Se habilita la herramienta para convertir monedas.
- Se habilita el banner publicitario.</t>
    </r>
  </si>
  <si>
    <t>Footer (Pie de pagina)</t>
  </si>
  <si>
    <t xml:space="preserve">
En la parte Inferior debe incluirse La leyenda de “Davivienda - © 2025 Davivienda - Todos los derechos reservados”</t>
  </si>
  <si>
    <t>Validar que La leyenda de “Davivienda - © 2025 Davivienda - Todos los derechos reservados” se muestre en el medio de la parte inferior (Franja azul)</t>
  </si>
  <si>
    <t>La leyenda indicada se muestre en el Home del modulo regional de forma correcta y legible</t>
  </si>
  <si>
    <t xml:space="preserve">Mensajería Cierre de sesión </t>
  </si>
  <si>
    <t>30 segundos antes de finalizar la sesión por inactividad el canal debe mostrar un pop up con el mensaje que diga
“Su sesión finalizará por inactividad en:” ,en la parte inferior debe mostrar en pantalla el contador de tiempo regresivo y al final los botones</t>
  </si>
  <si>
    <r>
      <rPr>
        <rFont val="Fira Sans Extra Condensed"/>
        <color theme="1"/>
      </rPr>
      <t xml:space="preserve">Validar que antes de finalizar sesion se muestre un mensaje con las siguinetes opciones: 
</t>
    </r>
    <r>
      <rPr>
        <rFont val="Fira Sans Extra Condensed"/>
        <b/>
        <color theme="1"/>
      </rPr>
      <t xml:space="preserve">Continuar: </t>
    </r>
    <r>
      <rPr>
        <rFont val="Fira Sans Extra Condensed"/>
        <color theme="1"/>
      </rPr>
      <t xml:space="preserve">Al dar clic se cierra el pop up y el usuario continúa y se reinicia el contador de inactividad.
</t>
    </r>
    <r>
      <rPr>
        <rFont val="Fira Sans Extra Condensed"/>
        <b/>
        <color theme="1"/>
      </rPr>
      <t>Cerrar sesión:</t>
    </r>
    <r>
      <rPr>
        <rFont val="Fira Sans Extra Condensed"/>
        <color theme="1"/>
      </rPr>
      <t xml:space="preserve"> Al dar clic se cierra el módulo regional y confirma que la sesión fue finalizada exitosamente.
En caso que no exista ninguna interacción y el límite del contador llegué a cero se presentará el mensaje: “Cerramos su sesión por inactividad”</t>
    </r>
  </si>
  <si>
    <t>La sesion debe de continuar activa o debe de ser cerrada dependiendo de la opcion que elija el usuario</t>
  </si>
  <si>
    <t xml:space="preserve">Falla del Canal
</t>
  </si>
  <si>
    <t>En caso de una caída o falla del canal en donde no pueda mostrar información se debe mostrar el siguiente mensaje: “ Información no disponible. Por favor, inténtelo de nuevo más tarde.</t>
  </si>
  <si>
    <t xml:space="preserve">Se debe de validar la falla, para reportalo con el equipo de core encargado o dependiendo el pais de la falla </t>
  </si>
  <si>
    <t>La falla debe de ser reportada de forma inmediata para que sea solventado lo mas pronto posible</t>
  </si>
  <si>
    <t>Si el usuario ingresa al módulo regional y por error en la administración se haya eliminado el Grupo de Productos el canal debe mostrar mensaje: “ Alerta usuario sin productos asignados, comuníquese con su administrador”. Este mensaje debe aparecer cada vez que el usuario interactúa con cualquier módulo del sidebar.</t>
  </si>
  <si>
    <t>Si el mensaje de Alerta usuario sin productos asignados, se le muestra al usuario se debe de identificar los accesos, productos y el pais que no se les estan mostrando al usuario , para gestionar actulaizacion</t>
  </si>
  <si>
    <t>Se debe de solicitar al pais correspondiente la validacion de accesos del usuario</t>
  </si>
  <si>
    <t>Escenario Visual de Usuario en Front una vez le cambian el ROL</t>
  </si>
  <si>
    <r>
      <rPr>
        <rFont val="Fira Sans Extra Condensed"/>
        <color theme="1"/>
      </rPr>
      <t xml:space="preserve">En caso que se realice un cambio del rol a un usuario ejemplo: pasa de rol “Preparador” a “Autorizador”,  la primera vez que el usuario accede al módulo regional se debe mostrar en la pantalla del Home el siguiente modal “ </t>
    </r>
    <r>
      <rPr>
        <rFont val="Fira Sans Extra Condensed"/>
        <b/>
        <color theme="1"/>
      </rPr>
      <t>Nuevo Rol Asignado, revise las funcionalidades a las que puede acceder desde el menú lateral, para mayor información contacte a su administrador”</t>
    </r>
  </si>
  <si>
    <t>Validar que al realizar el proceso de cambio de rol y el usuario ingrese por primera vez en la pantalla del Home se debe de mostrar  “ Nuevo Rol Asignado, revise las funcionalidades a las que puede acceder desde el menú lateral</t>
  </si>
  <si>
    <t>Que el cambio de rol se realice de forma exitosa, y se muestre el mensaje en la pantalla del Home</t>
  </si>
  <si>
    <t>Seguridad y privacidad</t>
  </si>
  <si>
    <t xml:space="preserve">La funcionalidad debe cumplir con altos estándares de seguridad y privacidad para proteger la información financiera de los usuarios y garantizar la integridad de las transacciones por lo que se solicita la ofuscación en los servicios
</t>
  </si>
  <si>
    <t>Los usuarios deben recibir notificaciones o confirmaciones por correo electrónico una vez que se haya realizado con éxito una transferencia</t>
  </si>
  <si>
    <t>La notificaion debe de ser recibida dependiendo si el usuario tiene activa o no la ocpion de recibir notificaciones</t>
  </si>
  <si>
    <t>Cambio de idioma</t>
  </si>
  <si>
    <t>El usuario debe de realizar el proceso de cambio de idioma de español a ingles</t>
  </si>
  <si>
    <t xml:space="preserve">- Se debe de validar que al realizar el cambio de idioma no afecte los productos que se muestran en la pocion consolidada
- El usuario debe de consultar los productos, para validar que se muestre de forma correcta en idioma ingles y los textos del canal deben corresponder </t>
  </si>
  <si>
    <t>- El cambio de idioma se debe de realizar exitosamente
- El cambio de idioma lo pueden realizar todos los usuarios con acceso al modulo regional</t>
  </si>
  <si>
    <t>CP44</t>
  </si>
  <si>
    <t>El usuario debe de realizar el proceso de cambio de idioma de ingles a español</t>
  </si>
  <si>
    <t>- Se debe de validar que al realizar el cambio de idioma no afecte los productos que se muestran en la pocion consolidada 
- El usuario debe de consultar los productos, para validar que se muestre de forma correcta en idioma español y los textos del canal deben corresponder</t>
  </si>
  <si>
    <t>CP45</t>
  </si>
  <si>
    <t xml:space="preserve">Logs </t>
  </si>
  <si>
    <t>Toda interacción que se realice en el módulo de Transferencias debe quedar almacenada para posterior consulta de los usuarios del control Center con el servicio asignado, quienes podrán consultar y visualizar Logs y descarga de informes del Registro completo de cualquier novedad realizada desde el módulo regional, El sistema debe generar y registrar de forma completa y precisa toda la información relacionados con la creación o cualquier novedad realizada, incluyendo toda la información detallada de los datos de entrada y salida, y cualquier error o excepción que se produzca durante el proceso.</t>
  </si>
  <si>
    <t xml:space="preserve">Validar que el usuario BO pueda realizar un filtro de busqueda :  Fecha de novedad desde - hasta, País, Tipo de novedad </t>
  </si>
  <si>
    <t>La busqueda de logs debe ser exitosa</t>
  </si>
  <si>
    <t>Alcance</t>
  </si>
  <si>
    <t>Condición</t>
  </si>
  <si>
    <t xml:space="preserve">Consulta y descarga de extractos (Estados de cuenta) </t>
  </si>
  <si>
    <r>
      <rPr>
        <rFont val="Fira Sans Extra Condensed"/>
        <b/>
        <color theme="1"/>
      </rPr>
      <t>Características</t>
    </r>
    <r>
      <rPr>
        <rFont val="Fira Sans Extra Condensed"/>
        <color theme="1"/>
      </rPr>
      <t xml:space="preserve"> - Consulta y descarga de extractos (Estados de cuenta) </t>
    </r>
  </si>
  <si>
    <t xml:space="preserve">Ingresar al modulo regional con usuario  administrador y seleccionar todas las sociedades, desde la posicion consolidada </t>
  </si>
  <si>
    <t xml:space="preserve">Al acceder a esta funcionlidad mientras carga la información que se mostrará en pantalla, se debe mostrar el “Skeleton” py posteriormente se debe de mostar la funcionalidad de "Estados de cuenta " </t>
  </si>
  <si>
    <t xml:space="preserve">Validar que se muestren la funionalidad de estados cuenta y que permita al usuario realizar la consulta y opcion de descargarlos </t>
  </si>
  <si>
    <t>Los productos a los que el usuario puede acceder para autogestionar la consulta y descarga de estados de cuentas (extractos) corresponde únicamente de productos asignados al usuario</t>
  </si>
  <si>
    <t>La descarga se debe de realizar con exito</t>
  </si>
  <si>
    <t>Cantidad de Casos</t>
  </si>
  <si>
    <r>
      <rPr>
        <rFont val="Fira Sans Extra Condensed"/>
        <b/>
        <color theme="1"/>
      </rPr>
      <t>Estados de Cuenta</t>
    </r>
    <r>
      <rPr>
        <rFont val="Fira Sans Extra Condensed"/>
        <color theme="1"/>
      </rPr>
      <t>- Consulta y descarga de extractos</t>
    </r>
  </si>
  <si>
    <t>Ingresar al modulo regional con usuario Autorizante - y seleccionar todas las sociedades</t>
  </si>
  <si>
    <r>
      <rPr>
        <rFont val="Fira Sans Extra Condensed"/>
        <color theme="1"/>
      </rPr>
      <t xml:space="preserve">Seleccionar el boton para realizar la descarga de “Estados de cuenta” al dar clic se actualice la pantalla donde se despliegue las siguientes opciones 
</t>
    </r>
    <r>
      <rPr>
        <rFont val="Fira Sans Extra Condensed"/>
        <b/>
        <color theme="1"/>
      </rPr>
      <t>- Título  
- Texto
- Seleccione la fecha
- Formato</t>
    </r>
  </si>
  <si>
    <t>El usuario debe de validar que el boton para descargar los estados de cuenta este habilitado</t>
  </si>
  <si>
    <t>- Los diseños deben adaptarse a una versión responsive.</t>
  </si>
  <si>
    <t>El boton para descargar los estados cuenta debe de funcionae con exito</t>
  </si>
  <si>
    <r>
      <rPr>
        <rFont val="Fira Sans Extra Condensed"/>
        <b/>
        <color theme="1"/>
      </rPr>
      <t>Estados de Cuenta</t>
    </r>
    <r>
      <rPr>
        <rFont val="Fira Sans Extra Condensed"/>
        <color theme="1"/>
      </rPr>
      <t>- Consulta y descarga de extractos</t>
    </r>
  </si>
  <si>
    <t>Ingresar al modulo regional con usuario autorizante - Pais SV</t>
  </si>
  <si>
    <r>
      <rPr>
        <rFont val="Fira Sans Extra Condensed"/>
        <color theme="1"/>
      </rPr>
      <t xml:space="preserve">Desde la Posición Consolidada se debe de seleccionar el productos que desea desacargar:
</t>
    </r>
    <r>
      <rPr>
        <rFont val="Fira Sans Extra Condensed"/>
        <b/>
        <color theme="1"/>
      </rPr>
      <t>- Dar clic en el detalle Producto cuenta de Ahorros  o corriente
- Dar clic en Estados de cuenta
- Se debe de validar que permita realizar una descarga de estado de cuenta de los ultimos 6 meses</t>
    </r>
  </si>
  <si>
    <t>Al dar clic en consultar se debe de mostrar : 
Título: Descarga de estados de cuentas
Texto: Si la descarga no se da de inmediato, se debe de mosrtar un mensaje que diga "le enviaremos el archivo al buzón.”
Seleccione la fecha: colcoar Año y mes a descargar 
Formato: PDF
Descargar: se debe habilitar el boton para descagar únicamente una  vez se haya ingresado al menos el periodo  de fecha (MM/AAAA)</t>
  </si>
  <si>
    <t xml:space="preserve">- Para el estado de cuenta de El Salvador, solo hace la descarga los últimos 6 meses.
- Se debe de tomar en cuenta que para El Salvador solo permite la descarga en PDF Y vendrá seleccionado por Default </t>
  </si>
  <si>
    <r>
      <rPr>
        <rFont val="Fira Sans Extra Condensed"/>
        <b/>
        <color theme="1"/>
      </rPr>
      <t>Estados de Cuenta</t>
    </r>
    <r>
      <rPr>
        <rFont val="Fira Sans Extra Condensed"/>
        <color theme="1"/>
      </rPr>
      <t>- Consulta y descarga de extractos</t>
    </r>
  </si>
  <si>
    <t>Ingresar al modulo regional con usuario operador - Pais HN</t>
  </si>
  <si>
    <r>
      <rPr>
        <rFont val="Fira Sans Extra Condensed"/>
        <color theme="1"/>
      </rPr>
      <t xml:space="preserve">Desde la Posición Consolidada se debe de seleccionar el productos que desea desacargar:
</t>
    </r>
    <r>
      <rPr>
        <rFont val="Fira Sans Extra Condensed"/>
        <b/>
        <color theme="1"/>
      </rPr>
      <t xml:space="preserve">- Dar clic en el detalle Producto cuenta de Ahorros  o corriente
- Dar clic en Estados de cuenta
- Se debe de validar que permita realizar una descarga de estado de cuenta de los ultimos 5 años </t>
    </r>
  </si>
  <si>
    <t>Al dar clic en consultar se debe de mostrar : 
Título: Descarga de estados de cuentas
Texto: Si la descarga no se da de inmediato, se debe de mostrar un mesaje que diga "le enviaremos el archivo al buzón.”
Seleccione la fecha: colcoar Año y mes a descargar 
Formato: PDF
Descargar: se debe de habilitar únicamente una  vez se haya ingresado al menos el periodo  de fecha (MM/AAAA)</t>
  </si>
  <si>
    <t xml:space="preserve">- Para el estado de cuenta de HN solo hace la descarga los últimos 5 años.
- Se debe de tomar en cuenta que para Honduras solo permite la descarga en PDF Y vendrá seleccionado por Default </t>
  </si>
  <si>
    <r>
      <rPr>
        <rFont val="Fira Sans Extra Condensed"/>
        <b/>
        <color theme="1"/>
      </rPr>
      <t>Estados de Cuenta</t>
    </r>
    <r>
      <rPr>
        <rFont val="Fira Sans Extra Condensed"/>
        <color theme="1"/>
      </rPr>
      <t>- Consulta y descarga de extractos</t>
    </r>
  </si>
  <si>
    <t>Ingresar al modulo regional con usuario consultor - Pais PA</t>
  </si>
  <si>
    <r>
      <rPr>
        <rFont val="Fira Sans Extra Condensed"/>
        <color theme="1"/>
      </rPr>
      <t xml:space="preserve">Desde la Posición Consolidada se debe de seleccionar el productos que desea desacargar:
</t>
    </r>
    <r>
      <rPr>
        <rFont val="Fira Sans Extra Condensed"/>
        <b/>
        <color theme="1"/>
      </rPr>
      <t>- Dar clic en el detalle Producto cuenta de Ahorros  o corriente
- Dar clic en Estados de cuenta
- Se debe de realizar una descarga de estado de cuenta de uno anterior</t>
    </r>
  </si>
  <si>
    <t>Al dar clic en consultar y descargar estado de cuenta se debe de mostrar : 
Título: Descarga de estados de cuentas
Texto: Si la descarga no se da de inmediato, se tiene mostrar un mensaje que diga enviaremos el archivo al buzón.”
Seleccione la fecha: se coloca el Año y mes a descargar 
Formato: PDF
Descargar: se debe habilitar el boton de descargar únicamente una  vez se haya ingresado al menos el periodo de fecha (MM/AAAA)</t>
  </si>
  <si>
    <t xml:space="preserve">- Para el estado de cuenta de Panama, hace la descarga de todos los meses del año actual, y año anterior
- Se debe de tomar en cuenta que para Panama solo permite la descarga en PDF Y vendrá seleccionado por Default </t>
  </si>
  <si>
    <r>
      <rPr>
        <rFont val="Fira Sans Extra Condensed"/>
        <b/>
        <color theme="1"/>
      </rPr>
      <t>Estados de Cuenta</t>
    </r>
    <r>
      <rPr>
        <rFont val="Fira Sans Extra Condensed"/>
        <color theme="1"/>
      </rPr>
      <t>- Consulta y descarga de extractos</t>
    </r>
  </si>
  <si>
    <t>Ingresar al modulo regional con usuario autorizante- Pais CR</t>
  </si>
  <si>
    <r>
      <rPr>
        <rFont val="Fira Sans Extra Condensed"/>
        <color theme="1"/>
      </rPr>
      <t xml:space="preserve">Desde la Posición Consolidada se debe de seleccionar el productos que desea desacargar:
</t>
    </r>
    <r>
      <rPr>
        <rFont val="Fira Sans Extra Condensed"/>
        <b/>
        <color theme="1"/>
      </rPr>
      <t>- Dar clic en el detalle Producto cuenta de Ahorros  o corriente
- Dar clic en Estados de cuenta
- Se debe de realizar una descarga de estado de cuenta de los ltimos 5 años</t>
    </r>
  </si>
  <si>
    <t xml:space="preserve">- Para el estado de cuenta de Costa Rica, solo hace la descarga los últimos 5 años.
- Se debe de tomar en cuenta que para Costa Rica solo permite la descarga en PDF Y vendrá seleccionado por Default </t>
  </si>
  <si>
    <r>
      <rPr>
        <rFont val="Fira Sans Extra Condensed"/>
        <b/>
        <color theme="1"/>
      </rPr>
      <t>Estados de Cuenta</t>
    </r>
    <r>
      <rPr>
        <rFont val="Fira Sans Extra Condensed"/>
        <color theme="1"/>
      </rPr>
      <t>- Consulta y descarga de extractos</t>
    </r>
  </si>
  <si>
    <t>Ingresar al modulo regional con usuario autorizante- Pais COL</t>
  </si>
  <si>
    <r>
      <rPr>
        <rFont val="Fira Sans Extra Condensed"/>
        <color theme="1"/>
      </rPr>
      <t xml:space="preserve">Desde la Posición Consolidada se debe de seleccionar el productos que desea desacargar:
</t>
    </r>
    <r>
      <rPr>
        <rFont val="Fira Sans Extra Condensed"/>
        <b/>
        <color theme="1"/>
      </rPr>
      <t>- Dar clic en el detalle Producto cuenta de Ahorros  o corriente
- Dar clic en Estados de cuenta
- Se debe de realizar una descarga de estado de cuenta de los ltimos 5 años</t>
    </r>
  </si>
  <si>
    <t>- Para el estado de cuenta de Colombia, solo hace la descarga los últimos 5 años.
- Se debe de tomar en cuenta que para Colombia debe de permitir la descarga en PDF, Excel (.xlsx) , Plano (.txt)</t>
  </si>
  <si>
    <r>
      <rPr>
        <rFont val="Fira Sans Extra Condensed"/>
        <b/>
        <color theme="1"/>
      </rPr>
      <t>Estados de Cuenta</t>
    </r>
    <r>
      <rPr>
        <rFont val="Fira Sans Extra Condensed"/>
        <color theme="1"/>
      </rPr>
      <t>- Consulta y descarga de extractos</t>
    </r>
  </si>
  <si>
    <t>Ingresar al modulo regional con usuario autorizante- Pais MIA</t>
  </si>
  <si>
    <r>
      <rPr>
        <rFont val="Fira Sans Extra Condensed"/>
        <color theme="1"/>
      </rPr>
      <t xml:space="preserve">Desde la Posición Consolidada se debe de seleccionar el productos que desea desacargar:
</t>
    </r>
    <r>
      <rPr>
        <rFont val="Fira Sans Extra Condensed"/>
        <b/>
        <color theme="1"/>
      </rPr>
      <t>- Dar clic en el detalle Producto cuenta de Ahorros  o corriente
- Dar clic en Estados de cuenta
- Se debe de realizar una descarga de estado de cuenta de los ltimos 12 meses</t>
    </r>
  </si>
  <si>
    <t xml:space="preserve">- Para el estado de cuenta de Miami, solo hace la descarga los últimos 12 meses
- Se debe de tomar en cuenta que para Miami solo permite la descarga en PDF Y vendrá seleccionado por Default </t>
  </si>
  <si>
    <r>
      <rPr>
        <rFont val="Fira Sans Extra Condensed"/>
        <b/>
        <color theme="1"/>
      </rPr>
      <t>Visualización descarga</t>
    </r>
    <r>
      <rPr>
        <rFont val="Fira Sans Extra Condensed"/>
        <color theme="1"/>
      </rPr>
      <t xml:space="preserve"> - Consulta y descarga de extractos</t>
    </r>
  </si>
  <si>
    <t>Existirán dos formas para visualizar el estado de cuenta una vez el usuario de clic a “Generar” esto dependera del tamaño o rangos de fecha solitados</t>
  </si>
  <si>
    <t xml:space="preserve">El usuario debe de realizar una descarga de estado de cuenta con un rango de fecha  de un mes atras : 
Si el tamaño del estado de cuenta permite realizar la descarga en línea, este debe ser generado y el canal debe informar: “Descarga exitosa.” </t>
  </si>
  <si>
    <r>
      <rPr>
        <rFont val="Fira Sans Extra Condensed"/>
        <b/>
        <color theme="1"/>
      </rPr>
      <t>Visualización descarga</t>
    </r>
    <r>
      <rPr>
        <rFont val="Fira Sans Extra Condensed"/>
        <color theme="1"/>
      </rPr>
      <t xml:space="preserve"> - Consulta y descarga de extractos</t>
    </r>
  </si>
  <si>
    <t>Ingresar al modulo regional con usuario Operador - y seleccionar todas las sociedades</t>
  </si>
  <si>
    <t xml:space="preserve">El usuario debe de realizar una descarga de estado de cuenta con un rango de fecha  de 3 a 4 meses atras :
En caso que el archivo no pueda ser generado inmediatamente se debe de enviar un mensaje temporal que informe: “El estado de cuenta se enviará al buzón de notificaciones del Módulo Regional”, una vez el estado de cuenta sea generado el usuario deberá ingresar al módulo de notificaciones para realizar la descarga del mismo. </t>
  </si>
  <si>
    <r>
      <rPr>
        <rFont val="Fira Sans Extra Condensed"/>
        <b/>
        <color theme="1"/>
      </rPr>
      <t>Visualización descarga</t>
    </r>
    <r>
      <rPr>
        <rFont val="Fira Sans Extra Condensed"/>
        <color theme="1"/>
      </rPr>
      <t xml:space="preserve"> - Consulta y descarga de extractos</t>
    </r>
  </si>
  <si>
    <t>Ingresar desde un dispositivo con usuario autorizador / Usuario con aprobacion directa - Pais SV</t>
  </si>
  <si>
    <t>Realizar la descarga desde un dispositivo con visualización responsiva</t>
  </si>
  <si>
    <t xml:space="preserve">Validar que el archivo se descarga al dispositivo se visualice de manera nativa según el dispositivo y sistema operativo. </t>
  </si>
  <si>
    <r>
      <rPr>
        <rFont val="Fira Sans Extra Condensed"/>
        <b/>
        <color theme="1"/>
      </rPr>
      <t>Visualización descarga</t>
    </r>
    <r>
      <rPr>
        <rFont val="Fira Sans Extra Condensed"/>
        <color theme="1"/>
      </rPr>
      <t xml:space="preserve"> - Consulta y descarga de extractos</t>
    </r>
  </si>
  <si>
    <t>Ingresar desde un dispositivo con usuario autorizador / Usuario con aprobacion directa - Pais PA</t>
  </si>
  <si>
    <r>
      <rPr>
        <rFont val="Fira Sans Extra Condensed"/>
        <b/>
        <color theme="1"/>
      </rPr>
      <t>Visualización descarga</t>
    </r>
    <r>
      <rPr>
        <rFont val="Fira Sans Extra Condensed"/>
        <color theme="1"/>
      </rPr>
      <t xml:space="preserve"> - Consulta y descarga de extractos</t>
    </r>
  </si>
  <si>
    <t>Ingresar desde un dispositivo con usuario autorizador / Usuario con aprobacion directa - Pais CR</t>
  </si>
  <si>
    <r>
      <rPr>
        <rFont val="Fira Sans Extra Condensed"/>
        <b/>
        <color theme="1"/>
      </rPr>
      <t>Visualización descarga</t>
    </r>
    <r>
      <rPr>
        <rFont val="Fira Sans Extra Condensed"/>
        <color theme="1"/>
      </rPr>
      <t xml:space="preserve"> - Consulta y descarga de extractos</t>
    </r>
  </si>
  <si>
    <t>Ingresar desde un dispositivo con usuario autorizador / Usuario con aprobacion directa - Pais HN</t>
  </si>
  <si>
    <r>
      <rPr>
        <rFont val="Fira Sans Extra Condensed"/>
        <b/>
        <color theme="1"/>
      </rPr>
      <t>Visualización descarga</t>
    </r>
    <r>
      <rPr>
        <rFont val="Fira Sans Extra Condensed"/>
        <color theme="1"/>
      </rPr>
      <t xml:space="preserve"> - Consulta y descarga de extractos</t>
    </r>
  </si>
  <si>
    <t>Ingresar desde un dispositivo con usuario autorizador / Usuario con aprobacion directa - Pais COL</t>
  </si>
  <si>
    <r>
      <rPr>
        <rFont val="Fira Sans Extra Condensed"/>
        <b/>
        <color theme="1"/>
      </rPr>
      <t>Visualización descarga</t>
    </r>
    <r>
      <rPr>
        <rFont val="Fira Sans Extra Condensed"/>
        <color theme="1"/>
      </rPr>
      <t xml:space="preserve"> - Consulta y descarga de extractos</t>
    </r>
  </si>
  <si>
    <t>Ingresar desde un dispositivo con usuario autorizador / Usuario con aprobacion directa - Pais MIA</t>
  </si>
  <si>
    <r>
      <rPr>
        <rFont val="Fira Sans Extra Condensed"/>
        <color theme="1"/>
      </rPr>
      <t xml:space="preserve">Consulta y descarga de extractos (Estados de cuenta)  / </t>
    </r>
    <r>
      <rPr>
        <rFont val="Fira Sans Extra Condensed"/>
        <b/>
        <color theme="1"/>
      </rPr>
      <t>Cambio de idioma</t>
    </r>
  </si>
  <si>
    <t xml:space="preserve">Se debe de validar que al realizar el cambio de idioma no afecte los productos que se muestran en la pocion consolidada </t>
  </si>
  <si>
    <t>El usuario debe de consultar los productos, para validar que se muestre de forma correcta en idioma ingles y los textos del canal deben corresponder</t>
  </si>
  <si>
    <t>El cambio de idioma se debe de realizar exitosamente</t>
  </si>
  <si>
    <r>
      <rPr>
        <rFont val="Fira Sans Extra Condensed"/>
        <color theme="1"/>
      </rPr>
      <t xml:space="preserve">Consulta y descarga de extractos (Estados de cuenta)  / </t>
    </r>
    <r>
      <rPr>
        <rFont val="Fira Sans Extra Condensed"/>
        <b/>
        <color theme="1"/>
      </rPr>
      <t>Cambio de idioma</t>
    </r>
  </si>
  <si>
    <t>El usuario debe de consultar los productos, para validar que se muestre de forma correcta en idioma español y los textos del canal deben corresponder</t>
  </si>
  <si>
    <t>not</t>
  </si>
  <si>
    <t>Preubas en UAT</t>
  </si>
  <si>
    <t>Usuarios Back Office Control Center- Tech</t>
  </si>
  <si>
    <t>Validación de Perfiles únicamente  de Banca en Línea</t>
  </si>
  <si>
    <t>Usuario BO ingrese al CC de su banca Local SV-CR-PA-HN</t>
  </si>
  <si>
    <t xml:space="preserve">Ingresar Credenciales Exitosas-Permite el acceso
Ingresar Credenciales Erroneas- No permite el acceso </t>
  </si>
  <si>
    <t>Se solicita ejecutar pruebas de no afectación con usuarios BO que no poseen perfiles Regionales</t>
  </si>
  <si>
    <t>Solamente puede visualizar las empresas Local y como lectura un cliente marcado como multilatino</t>
  </si>
  <si>
    <t>Usuarios Back Office
Control Center -Tech</t>
  </si>
  <si>
    <t>Validación Marcación Segmento Personas</t>
  </si>
  <si>
    <t>Cliente existente al segmento de personas no debe mostrar nuevos campos (MVP sí mostrará el campo de 'Cliente módulo Regional')
Deben poseer información de clientes existentes para cada uno de los segmentos
Usuarios BO a utilizar deben de ser Banca en línea de cada uno de los países</t>
  </si>
  <si>
    <r>
      <rPr>
        <rFont val="Fira Sans Extra Condensed"/>
        <color theme="1"/>
        <sz val="10.0"/>
      </rPr>
      <t xml:space="preserve">Ingresar a CC CR
Ingresar al menú de Administración Clientes 
Seleccionar Clientes 
Puede Utilizar los filtros de País, Tipo de Documento, Número de Documento, Nombre Empresa 
Seleccionar Segmento Personas y/o Pyme
Seleccionar Buscar debe mostrar el resultado
Seleccionar Detalle de cliente a modificar
Debe visualizar los botones Volver-Modificar-Eliminar-Deshabilitar
Seleccionar Modificar 
Mostrará el Campo Cliente Multilatino  (MVP sí mostrará el campo de 'Cliente módulo Regional')
Los botones a visualizar es </t>
    </r>
    <r>
      <rPr>
        <rFont val="Fira Sans Extra Condensed"/>
        <b/>
        <color theme="1"/>
        <sz val="10.0"/>
      </rPr>
      <t xml:space="preserve">Volver y Continuar </t>
    </r>
    <r>
      <rPr>
        <rFont val="Fira Sans Extra Condensed"/>
        <color theme="1"/>
        <sz val="10.0"/>
      </rPr>
      <t xml:space="preserve"> 
Seleccionar Volver
Visualizará la información del detalle </t>
    </r>
  </si>
  <si>
    <t>Efectuar los casos de prueba de no afectación para CC de CR de los segmentos</t>
  </si>
  <si>
    <t>CR</t>
  </si>
  <si>
    <t>Usuarios Back Office Control Center - Tech
Usuario Operador/Autorizante</t>
  </si>
  <si>
    <t xml:space="preserve">Validación usuarios con Perfiles Regionales </t>
  </si>
  <si>
    <t xml:space="preserve">Cliente ya debe existir en la Banca Local 
Seleccionar opción de Modificar la sociedad y seleccionar empresa Local como multilatina 
Solamente el usuario dominio del país podrá marcar el cliente </t>
  </si>
  <si>
    <r>
      <rPr>
        <rFont val="Fira Sans Extra Condensed"/>
        <color theme="1"/>
        <sz val="10.0"/>
      </rPr>
      <t xml:space="preserve">Utilizar una empresa dentro del listado indicado 
Ingresar a CC CR- SV- HN- PA
Ingresar al menú de Administración Clientes 
Seleccionar Clientes 
Puede Utilizar los filtros de País, Tipo de Documento, Número de Documento, Nombre Empresa 
Seleccionar Buscar debe mostrar el resultado
Seleccionar Detalle de la sociedad a modificar
Debe visualizar los botones Volver-Modificar-Eliminar-Deshabilitar
Seleccionar Modificar 
Debe mostrarse el Campo  </t>
    </r>
    <r>
      <rPr>
        <rFont val="Fira Sans Extra Condensed"/>
        <b/>
        <color theme="1"/>
        <sz val="10.0"/>
      </rPr>
      <t>Cliente módulo Regional</t>
    </r>
    <r>
      <rPr>
        <rFont val="Fira Sans Extra Condensed"/>
        <color theme="1"/>
        <sz val="10.0"/>
      </rPr>
      <t xml:space="preserve"> 
Seleccionar Continuar 
Seleccionar en Perfiles Continuar
Seleccionar en Confirmar Continuar 
Finalizar el proceso de la modificación del cliente y debe mostrar un mensaje de pendiente de Autorización</t>
    </r>
  </si>
  <si>
    <t>Solicitud se encuentre pendienta de Aprobación en Control Center</t>
  </si>
  <si>
    <t>Usuarios Back Office Control Center - Tech
Autorizante</t>
  </si>
  <si>
    <t xml:space="preserve">Validar que la solicitud de autorización del mismo dominio se muestre. </t>
  </si>
  <si>
    <t xml:space="preserve">El usuario Autorizante debe tener permiso con perfil Autorizante </t>
  </si>
  <si>
    <r>
      <rPr>
        <rFont val="Fira Sans Extra Condensed"/>
        <color theme="1"/>
        <sz val="10.0"/>
      </rPr>
      <t xml:space="preserve">Ingresar al CC CR
Autorizar la solicitud enviada por el Operador BO o por otro usuario Autorizante del mismo dominio país
Ingresar al menú  Administración Clientes
Seleccionar Clientes 
Puede Utilizar los filtros de País, Tipo de Documento, Número de Documento, Nombre Empresa 
Seleccionar Buscar debe mostrar el resultado
Seleccionar Detalle de la sociedad a modificar
Debe visualizar los botones Volver-Modificar-Eliminar-Deshabilitar
</t>
    </r>
    <r>
      <rPr>
        <rFont val="Fira Sans Extra Condensed"/>
        <b/>
        <color theme="1"/>
        <sz val="10.0"/>
      </rPr>
      <t xml:space="preserve">No se debe seleccionar ningún botón unicamente es validar que los gestiones se visualicen desde ese menú
</t>
    </r>
    <r>
      <rPr>
        <rFont val="Fira Sans Extra Condensed"/>
        <color theme="1"/>
        <sz val="10.0"/>
      </rPr>
      <t xml:space="preserve">
Ingresar al Menú de Autorizaciones 
Seleccionar Autorizaciones Pendientes 
Utilizar los filtros de Usuario - Fecha desde -Fecha Hasta 
Seleccionar la opción Buscar 
Debe mostrar el resultado de Solicitud
Seleccionar detalle del cliente seleccionado
Debe mostrar botones : Volver- Autoriza- Rechazar
Seleccionar </t>
    </r>
    <r>
      <rPr>
        <rFont val="Fira Sans Extra Condensed"/>
        <b/>
        <color theme="1"/>
        <sz val="10.0"/>
      </rPr>
      <t>Autorizar</t>
    </r>
    <r>
      <rPr>
        <rFont val="Fira Sans Extra Condensed"/>
        <color theme="1"/>
        <sz val="10.0"/>
      </rPr>
      <t xml:space="preserve">
Seleccionar Continuar hasta finalizar el proceso y capturar todas las pantallas del proceso </t>
    </r>
  </si>
  <si>
    <t>Autorizar la solicitud de modificación de la empresa</t>
  </si>
  <si>
    <t>Dependencia de CR</t>
  </si>
  <si>
    <t>Usuarios Back Office Control Center
Usuario Operador/Autorizante</t>
  </si>
  <si>
    <r>
      <rPr>
        <rFont val="Fira Sans Extra Condensed"/>
        <color theme="1"/>
        <sz val="10.0"/>
      </rPr>
      <t>Utilizar una empresa dentro del listado indicado 
Ingresar a CC Bel Local-</t>
    </r>
    <r>
      <rPr>
        <rFont val="Fira Sans Extra Condensed"/>
        <b/>
        <color theme="1"/>
        <sz val="10.0"/>
      </rPr>
      <t>SV-PA-HN</t>
    </r>
    <r>
      <rPr>
        <rFont val="Fira Sans Extra Condensed"/>
        <color theme="1"/>
        <sz val="10.0"/>
      </rPr>
      <t xml:space="preserve">
Ingresar al menú de Administración Clientes 
Seleccionar Clientes 
Puede Utilizar los filtros de País, Tipo de Documento, Número de Documento, Nombre Empresa 
Seleccionar Buscar debe mostrar el resultado
Seleccionar Detalle de la sociedad a modificar
Debe visualizar los botones Volver-Modificar-Eliminar-Deshabilitar
Seleccionar Modificar 
Debe mostrarse el Campo </t>
    </r>
    <r>
      <rPr>
        <rFont val="Fira Sans Extra Condensed"/>
        <b/>
        <color theme="1"/>
        <sz val="10.0"/>
      </rPr>
      <t xml:space="preserve">Cliente Módulo Regional </t>
    </r>
    <r>
      <rPr>
        <rFont val="Fira Sans Extra Condensed"/>
        <color theme="1"/>
        <sz val="10.0"/>
      </rPr>
      <t xml:space="preserve">
Seleccionar Continuar 
Seleccionar en Perfiles Continuar
Seleccionar en Confirmar Continuar 
Finalizar el proceso de la modificación del cliente y debe mostrar un mensaje de pendiente de Autorización</t>
    </r>
  </si>
  <si>
    <t>Solicitud se encuentre pendiente de Aprobación en Control Center</t>
  </si>
  <si>
    <t>Usuarios Back Office Control Center
Autorizante</t>
  </si>
  <si>
    <t xml:space="preserve">Validar que la solicitud de autorización del mismo dominio se muestre </t>
  </si>
  <si>
    <r>
      <rPr>
        <rFont val="Fira Sans Extra Condensed"/>
        <color theme="1"/>
        <sz val="10.0"/>
      </rPr>
      <t>Ingresar al CC BEL -</t>
    </r>
    <r>
      <rPr>
        <rFont val="Fira Sans Extra Condensed"/>
        <b/>
        <color theme="1"/>
        <sz val="10.0"/>
      </rPr>
      <t>SV-PA-HN</t>
    </r>
    <r>
      <rPr>
        <rFont val="Fira Sans Extra Condensed"/>
        <color theme="1"/>
        <sz val="10.0"/>
      </rPr>
      <t xml:space="preserve">
Autorizar la solicitud enviada por el Operador BO o por otro usuario Autorizante del mismo dominio país
Ingresar al menú  Administración Clientes
Seleccionar Clientes 
Puede Utilizar los filtros de País, Tipo de Documento, Número de Documento, Nombre Empresa 
Seleccionar Buscar debe mostrar el resultado, ya sea por la información ingresada en los filtros o sino se han utilizado los filtros debe mostrar infromación de todos los clientes
Seleccionar Detalle de la sociedad a modificar
Debe visualizar los botones Volver-Modificar-Eliminar-Deshabilitar
</t>
    </r>
    <r>
      <rPr>
        <rFont val="Fira Sans Extra Condensed"/>
        <b/>
        <color theme="1"/>
        <sz val="10.0"/>
      </rPr>
      <t xml:space="preserve">No se debe seleccionar ningún botón unicamente es validar que los gestiones se visualicen desde ese menú
</t>
    </r>
    <r>
      <rPr>
        <rFont val="Fira Sans Extra Condensed"/>
        <color theme="1"/>
        <sz val="10.0"/>
      </rPr>
      <t xml:space="preserve">
Ingresar al Menú de Autorizaciones 
Seleccionar Autorizaciones Pendientes 
Utilizar los filtros de Usuario - Fecha desde -Fecha Hasta 
Seleccionar la opción Buscar 
Debe mostrar el resultado de Solicitud
Seleccionar detalle del cliente seleccionado
Debe mostrar botones : Volver- Autoriza- Rechazar
Seleccionar </t>
    </r>
    <r>
      <rPr>
        <rFont val="Fira Sans Extra Condensed"/>
        <b/>
        <color theme="1"/>
        <sz val="10.0"/>
      </rPr>
      <t>Autorizar</t>
    </r>
    <r>
      <rPr>
        <rFont val="Fira Sans Extra Condensed"/>
        <color theme="1"/>
        <sz val="10.0"/>
      </rPr>
      <t xml:space="preserve">
Seleccionar Continuar hasta finalizar el proceso y capturar todas las pantallas del proceso </t>
    </r>
  </si>
  <si>
    <r>
      <rPr>
        <rFont val="Fira Sans Extra Condensed"/>
        <color theme="1"/>
        <sz val="10.0"/>
      </rPr>
      <t xml:space="preserve">Utilizar una empresa dentro del listado indicado 
Ingresar a CC </t>
    </r>
    <r>
      <rPr>
        <rFont val="Fira Sans Extra Condensed"/>
        <b/>
        <color theme="1"/>
        <sz val="10.0"/>
      </rPr>
      <t>Local HN-PA-SV</t>
    </r>
    <r>
      <rPr>
        <rFont val="Fira Sans Extra Condensed"/>
        <color theme="1"/>
        <sz val="10.0"/>
      </rPr>
      <t xml:space="preserve">
Ingresar al menú de Administración Clientes 
Seleccionar Clientes 
Puede Utilizar los filtros de País, Tipo de Documento, Número de Documento, Nombre Empresa 
Seleccionar Buscar debe mostrar el resultado
Seleccionar Detalle de la sociedad a modificar
Debe visualizar los botones Volver-Modificar-Eliminar-Deshabilitar
Seleccionar Modificar 
Debe mostrarse el Campo </t>
    </r>
    <r>
      <rPr>
        <rFont val="Fira Sans Extra Condensed"/>
        <b/>
        <color theme="1"/>
        <sz val="10.0"/>
      </rPr>
      <t xml:space="preserve">Cliente Módulo Regional </t>
    </r>
    <r>
      <rPr>
        <rFont val="Fira Sans Extra Condensed"/>
        <color theme="1"/>
        <sz val="10.0"/>
      </rPr>
      <t xml:space="preserve"> 
Seleccionar Continuar 
Seleccionar en Perfiles Continuar
Seleccionar en Confirmar Continuar 
Finalizar el proceso de la modificación del cliente y debe mostrar un mensaje de pendiente de Autorización</t>
    </r>
  </si>
  <si>
    <t xml:space="preserve">Rechazar la solicitud  de autorización del mismo dominio se muestre </t>
  </si>
  <si>
    <r>
      <rPr>
        <rFont val="Fira Sans Extra Condensed"/>
        <b/>
        <color theme="1"/>
        <sz val="10.0"/>
      </rPr>
      <t>Rechazar</t>
    </r>
    <r>
      <rPr>
        <rFont val="Fira Sans Extra Condensed"/>
        <color theme="1"/>
        <sz val="10.0"/>
      </rPr>
      <t xml:space="preserve"> la solicitud enviada por el Operador BO o por otro usuario Autorizante del mismo dominio país
Ingresar a CC Local </t>
    </r>
    <r>
      <rPr>
        <rFont val="Fira Sans Extra Condensed"/>
        <b/>
        <color theme="1"/>
        <sz val="10.0"/>
      </rPr>
      <t>HN,SV,PA</t>
    </r>
    <r>
      <rPr>
        <rFont val="Fira Sans Extra Condensed"/>
        <color theme="1"/>
        <sz val="10.0"/>
      </rPr>
      <t xml:space="preserve">
Ingresar al menú  Administración Clientes
Seleccionar Clientes 
Puede Utilizar los filtros de País, Tipo de Documento, Número de Documento, Nombre Empresa 
Seleccionar Buscar debe mostrar el resultado
Seleccionar Detalle de la sociedad a modificar
Debe visualizar los botones Volver-Modificar-Eliminar-Deshabilitar
</t>
    </r>
    <r>
      <rPr>
        <rFont val="Fira Sans Extra Condensed"/>
        <b/>
        <color theme="1"/>
        <sz val="10.0"/>
      </rPr>
      <t xml:space="preserve">No se debe seleccionar ningún botón unicamente es validar que los gestiones se visualicen desde ese menú
</t>
    </r>
    <r>
      <rPr>
        <rFont val="Fira Sans Extra Condensed"/>
        <color theme="1"/>
        <sz val="10.0"/>
      </rPr>
      <t xml:space="preserve">
Ingresar al Menú de Autorizaciones 
Seleccionar Autorizaciones Pendientes 
Utilizar los filtros de Usuario - Fecha desde -Fecha Hasta 
Seleccionar la opción Buscar 
Debe mostrar el resultado de Solicitud
Seleccionar detalle del cliente seleccionado
Debe mostrar botones : Volver- Autoriza- Rechazar
Seleccionar </t>
    </r>
    <r>
      <rPr>
        <rFont val="Fira Sans Extra Condensed"/>
        <b/>
        <color theme="1"/>
        <sz val="10.0"/>
      </rPr>
      <t xml:space="preserve">Rechazar </t>
    </r>
    <r>
      <rPr>
        <rFont val="Fira Sans Extra Condensed"/>
        <color theme="1"/>
        <sz val="10.0"/>
      </rPr>
      <t xml:space="preserve">
Seleccionar Continuar hasta finalizar el proceso y capturar todas las pantallas del proceso </t>
    </r>
  </si>
  <si>
    <t>Rechazar  la solicitud de modificación de la empresa</t>
  </si>
  <si>
    <t>Validar la consulta de un cliente Multilatino de diferente dominio</t>
  </si>
  <si>
    <t>Seleccionar una empresa previamente marcada como cliente multilatino
El usuario de BO debe consultar cliente con dominio diferente a su usuario 
HN, CR, PA, SV</t>
  </si>
  <si>
    <r>
      <rPr>
        <rFont val="Fira Sans Extra Condensed"/>
        <color theme="1"/>
        <sz val="10.0"/>
      </rPr>
      <t xml:space="preserve">Utilizar una empresa dentro del listado indicado 
Ingresar a </t>
    </r>
    <r>
      <rPr>
        <rFont val="Fira Sans Extra Condensed"/>
        <b/>
        <color theme="1"/>
        <sz val="10.0"/>
      </rPr>
      <t>CC de DvCR</t>
    </r>
    <r>
      <rPr>
        <rFont val="Fira Sans Extra Condensed"/>
        <color theme="1"/>
        <sz val="10.0"/>
      </rPr>
      <t xml:space="preserve">
Ingresar al menú de Administración Clientes 
Seleccionar Clientes 
Puede Utilizar los filtros de País, Tipo de Documento, Número de Documento, Nombre Empresa 
Seleccionar Buscar debe mostrar el resultado
</t>
    </r>
    <r>
      <rPr>
        <rFont val="Fira Sans Extra Condensed"/>
        <b/>
        <color theme="1"/>
        <sz val="10.0"/>
      </rPr>
      <t>Validar que la empresa este marcado como Cliente Multilatino</t>
    </r>
    <r>
      <rPr>
        <rFont val="Fira Sans Extra Condensed"/>
        <color theme="1"/>
        <sz val="10.0"/>
      </rPr>
      <t xml:space="preserve">
Debe visualizar el botón de </t>
    </r>
    <r>
      <rPr>
        <rFont val="Fira Sans Extra Condensed"/>
        <b/>
        <color theme="1"/>
        <sz val="10.0"/>
      </rPr>
      <t>Volver</t>
    </r>
  </si>
  <si>
    <t>El usuario solamente podrá realizar consultas no visualizará las modificaciones</t>
  </si>
  <si>
    <t>Alta de cliente Nuevo 
Tipo Multilatino</t>
  </si>
  <si>
    <r>
      <rPr>
        <rFont val="Fira Sans Extra Condensed"/>
        <color theme="1"/>
        <sz val="10.0"/>
      </rPr>
      <t xml:space="preserve">Cliente </t>
    </r>
    <r>
      <rPr>
        <rFont val="Fira Sans Extra Condensed"/>
        <b/>
        <color theme="1"/>
        <sz val="10.0"/>
      </rPr>
      <t>No</t>
    </r>
    <r>
      <rPr>
        <rFont val="Fira Sans Extra Condensed"/>
        <color theme="1"/>
        <sz val="10.0"/>
      </rPr>
      <t xml:space="preserve"> debe existir en la Banca Local 
No debe estar marcado como cliente Multilatino 
Utilizar un cliente del listado proporcionado</t>
    </r>
  </si>
  <si>
    <r>
      <rPr>
        <rFont val="Fira Sans Extra Condensed"/>
        <color theme="1"/>
        <sz val="10.0"/>
      </rPr>
      <t xml:space="preserve">Utilizar una empresa dentro del listado indicado 
Ingresar a CC Local </t>
    </r>
    <r>
      <rPr>
        <rFont val="Fira Sans Extra Condensed"/>
        <b/>
        <color theme="1"/>
        <sz val="10.0"/>
      </rPr>
      <t>COSTA RICA</t>
    </r>
    <r>
      <rPr>
        <rFont val="Fira Sans Extra Condensed"/>
        <color theme="1"/>
        <sz val="10.0"/>
      </rPr>
      <t xml:space="preserve">
Ingresar al menú de Administración Clientes 
Seleccionar Clientes 
Puede Utilizar los filtros de País, Tipo de Documento, Número de Documento, Nombre Empresa 
Seleccionar Buscar debe mostrar el resultado: La búsqueda no ha obtenido resultados 
Seleccionar </t>
    </r>
    <r>
      <rPr>
        <rFont val="Fira Sans Extra Condensed"/>
        <b/>
        <color theme="1"/>
        <sz val="10.0"/>
      </rPr>
      <t xml:space="preserve">Nuevo Cliente
Debe mostrar 2 campos:
       1- Cliente Multilatino
       2- Cliente Módulo Regional' check box
</t>
    </r>
    <r>
      <rPr>
        <rFont val="Fira Sans Extra Condensed"/>
        <color theme="1"/>
        <sz val="10.0"/>
      </rPr>
      <t xml:space="preserve">Seleccionar unicamente </t>
    </r>
    <r>
      <rPr>
        <rFont val="Fira Sans Extra Condensed"/>
        <b/>
        <color theme="1"/>
        <sz val="10.0"/>
      </rPr>
      <t xml:space="preserve">'Cliente Módulo Regional'
</t>
    </r>
    <r>
      <rPr>
        <rFont val="Fira Sans Extra Condensed"/>
        <color theme="1"/>
        <sz val="10.0"/>
      </rPr>
      <t xml:space="preserve">País: </t>
    </r>
    <r>
      <rPr>
        <rFont val="Fira Sans Extra Condensed"/>
        <b/>
        <color theme="1"/>
        <sz val="10.0"/>
      </rPr>
      <t xml:space="preserve">Solamente debe mostrar el país dominio del usuario
</t>
    </r>
    <r>
      <rPr>
        <rFont val="Fira Sans Extra Condensed"/>
        <color theme="1"/>
        <sz val="10.0"/>
      </rPr>
      <t xml:space="preserve">Tipo de Documento: Mostarar el listado de los elementos deben ser solamente del país que indica en el campo País, por ejemplo si se selecciona CR, solamente deben aparecer en el campo tipo de documento: ID persona Física, Dimex, DIDI, Pasaporte
Seleccionar Aceptar
Continuar con datos Filiatorios
Continuar con PERFILES 
Continuar con Operadores 
Continuar con Confirmar
Finalizar el proceso del Alta </t>
    </r>
  </si>
  <si>
    <t>- Permitir marcar al cliente con ambos checks.
- Permitir marcar al cliente solo con el campo 'Cliente Multilatino'
- Permitir marcar al cliente solo con el campo 'Cliente módulo Regional'</t>
  </si>
  <si>
    <r>
      <rPr>
        <rFont val="Fira Sans Extra Condensed"/>
        <color theme="1"/>
        <sz val="10.0"/>
      </rPr>
      <t xml:space="preserve">Cliente </t>
    </r>
    <r>
      <rPr>
        <rFont val="Fira Sans Extra Condensed"/>
        <b/>
        <color theme="1"/>
        <sz val="10.0"/>
      </rPr>
      <t>No</t>
    </r>
    <r>
      <rPr>
        <rFont val="Fira Sans Extra Condensed"/>
        <color theme="1"/>
        <sz val="10.0"/>
      </rPr>
      <t xml:space="preserve"> debe existir en la Banca Local 
No debe estar marcado como cliente Multilatino 
Utilizar un cliente del listado proporcionado</t>
    </r>
  </si>
  <si>
    <r>
      <rPr>
        <rFont val="Fira Sans Extra Condensed"/>
        <color theme="1"/>
        <sz val="10.0"/>
      </rPr>
      <t xml:space="preserve">Utilizar una empresa dentro del listado indicado 
Ingresar a CC Local </t>
    </r>
    <r>
      <rPr>
        <rFont val="Fira Sans Extra Condensed"/>
        <b/>
        <color theme="1"/>
        <sz val="10.0"/>
      </rPr>
      <t>COSTA RICA</t>
    </r>
    <r>
      <rPr>
        <rFont val="Fira Sans Extra Condensed"/>
        <color theme="1"/>
        <sz val="10.0"/>
      </rPr>
      <t xml:space="preserve">
Ingresar al menú de Administración Clientes 
Seleccionar Clientes 
Puede Utilizar los filtros de País, Tipo de Documento, Número de Documento, Nombre Empresa 
Seleccionar Buscar debe mostrar el resultado: La búsqueda no ha obtenido resultados 
Seleccionar </t>
    </r>
    <r>
      <rPr>
        <rFont val="Fira Sans Extra Condensed"/>
        <b/>
        <color theme="1"/>
        <sz val="10.0"/>
      </rPr>
      <t xml:space="preserve">Nuevo Cliente
Debe mostrar 2 campos:
       1- Cliente Multilatino
       2- Cliente Módulo Regional' check box
Seleccionar los 2 checks
</t>
    </r>
    <r>
      <rPr>
        <rFont val="Fira Sans Extra Condensed"/>
        <color theme="1"/>
        <sz val="10.0"/>
      </rPr>
      <t xml:space="preserve">       1- Cliente Multilatino
       2- Cliente Módulo Regional' check box
No debe mostrar error al momento de confirmar la creación del cliente y getión quedará con estado pendiente de autorización.</t>
    </r>
  </si>
  <si>
    <t>- Permitir marcar al cliente con ambos checks.
- Cliente podrá acceder a PER TACTICO y ESTRUCTURAL</t>
  </si>
  <si>
    <t>Dependecia de CR</t>
  </si>
  <si>
    <r>
      <rPr>
        <rFont val="Fira Sans Extra Condensed"/>
        <color theme="1"/>
        <sz val="10.0"/>
      </rPr>
      <t xml:space="preserve">Cliente </t>
    </r>
    <r>
      <rPr>
        <rFont val="Fira Sans Extra Condensed"/>
        <b/>
        <color theme="1"/>
        <sz val="10.0"/>
      </rPr>
      <t>No</t>
    </r>
    <r>
      <rPr>
        <rFont val="Fira Sans Extra Condensed"/>
        <color theme="1"/>
        <sz val="10.0"/>
      </rPr>
      <t xml:space="preserve"> debe existir en la Banca Local 
No debe estar marcado como cliente Multilatino 
Utilizar un cliente del listado proporcionado</t>
    </r>
  </si>
  <si>
    <r>
      <rPr>
        <rFont val="Fira Sans Extra Condensed"/>
        <color theme="1"/>
        <sz val="10.0"/>
      </rPr>
      <t xml:space="preserve">Utilizar una empresa dentro del listado indicado 
Ingresar a CC Local </t>
    </r>
    <r>
      <rPr>
        <rFont val="Fira Sans Extra Condensed"/>
        <b/>
        <color theme="1"/>
        <sz val="10.0"/>
      </rPr>
      <t>COSTA RICA</t>
    </r>
    <r>
      <rPr>
        <rFont val="Fira Sans Extra Condensed"/>
        <color theme="1"/>
        <sz val="10.0"/>
      </rPr>
      <t xml:space="preserve">
Ingresar al menú de Administración Clientes 
Seleccionar Clientes 
Puede Utilizar los filtros de País, Tipo de Documento, Número de Documento, Nombre Empresa 
Seleccionar Buscar debe mostrar el resultado: La búsqueda no ha obtenido resultados 
Seleccionar </t>
    </r>
    <r>
      <rPr>
        <rFont val="Fira Sans Extra Condensed"/>
        <b/>
        <color theme="1"/>
        <sz val="10.0"/>
      </rPr>
      <t xml:space="preserve">Nuevo Cliente
Debe mostrar 2 campos:
       1- Cliente Multilatino
       2- Cliente Módulo Regional' check box
Seleccionar 1 check
</t>
    </r>
    <r>
      <rPr>
        <rFont val="Fira Sans Extra Condensed"/>
        <color theme="1"/>
        <sz val="10.0"/>
      </rPr>
      <t xml:space="preserve">       1- Cliente Multilatino 
No debe mostrar error al momento de confirmar la creación del cliente y getión quedará con estado pendiente de autorización.</t>
    </r>
  </si>
  <si>
    <t>- Permitir marcar al cliente solo con el campo 'Cliente Multilatino'
- Cliente solo podrá acceder al PER táctico</t>
  </si>
  <si>
    <r>
      <rPr>
        <rFont val="Fira Sans Extra Condensed"/>
        <color theme="1"/>
        <sz val="10.0"/>
      </rPr>
      <t xml:space="preserve">Cliente </t>
    </r>
    <r>
      <rPr>
        <rFont val="Fira Sans Extra Condensed"/>
        <b/>
        <color theme="1"/>
        <sz val="10.0"/>
      </rPr>
      <t>No</t>
    </r>
    <r>
      <rPr>
        <rFont val="Fira Sans Extra Condensed"/>
        <color theme="1"/>
        <sz val="10.0"/>
      </rPr>
      <t xml:space="preserve"> debe existir en la Banca Local 
No debe estar marcado como cliente Multilatino 
Utilizar un cliente del listado proporcionado</t>
    </r>
  </si>
  <si>
    <r>
      <rPr>
        <rFont val="Fira Sans Extra Condensed"/>
        <color theme="1"/>
        <sz val="10.0"/>
      </rPr>
      <t xml:space="preserve">Utilizar una empresa dentro del listado indicado 
Ingresar a CC Local </t>
    </r>
    <r>
      <rPr>
        <rFont val="Fira Sans Extra Condensed"/>
        <b/>
        <color theme="1"/>
        <sz val="10.0"/>
      </rPr>
      <t>COSTA RICA</t>
    </r>
    <r>
      <rPr>
        <rFont val="Fira Sans Extra Condensed"/>
        <color theme="1"/>
        <sz val="10.0"/>
      </rPr>
      <t xml:space="preserve">
Ingresar al menú de Administración Clientes 
Seleccionar Clientes 
Puede Utilizar los filtros de País, Tipo de Documento, Número de Documento, Nombre Empresa 
Seleccionar Buscar debe mostrar el resultado: La búsqueda no ha obtenido resultados 
Seleccionar </t>
    </r>
    <r>
      <rPr>
        <rFont val="Fira Sans Extra Condensed"/>
        <b/>
        <color theme="1"/>
        <sz val="10.0"/>
      </rPr>
      <t>Nuevo Cliente
Debe mostrar 2 campos:
       1- Cliente Multilatino
       2- Cliente Módulo Regional' check box
Seleccionar 1 check</t>
    </r>
    <r>
      <rPr>
        <rFont val="Fira Sans Extra Condensed"/>
        <color theme="1"/>
        <sz val="10.0"/>
      </rPr>
      <t xml:space="preserve">
       2- Cliente Módulo Regional' check box
No debe mostrar error al momento de confirmar la creación del cliente y getión quedará con estado pendiente de autorización.</t>
    </r>
  </si>
  <si>
    <t>- Permitir marcar al cliente solo con el campo 'Cliente módulo Regional'
- CLiente solo podrá acceder al PER ESTRUCTURAL</t>
  </si>
  <si>
    <t>Validar que la solicitud de autorización del mismo dominio se muestre para el Alta</t>
  </si>
  <si>
    <r>
      <rPr>
        <rFont val="Fira Sans Extra Condensed"/>
        <b/>
        <color theme="1"/>
        <sz val="10.0"/>
      </rPr>
      <t>Ingresar al CC BEl Local- COSTA RICA</t>
    </r>
    <r>
      <rPr>
        <rFont val="Fira Sans Extra Condensed"/>
        <color theme="1"/>
        <sz val="10.0"/>
      </rPr>
      <t xml:space="preserve">
Autorizar la solicitud enviada por el Operador BO o por otro usuario Autorizante del mismo dominio país
Ingresar al menú  Administración Clientes
Seleccionar Clientes 
Puede Utilizar los filtros de País, Tipo de Documento, Número de Documento, Nombre Empresa 
Seleccionar Buscar debe mostrar el resultado
Seleccionar Detalle de la sociedad a modificar
Debe visualizar los botones Volver-Modificar-Eliminar-Deshabilitar
</t>
    </r>
    <r>
      <rPr>
        <rFont val="Fira Sans Extra Condensed"/>
        <b/>
        <color theme="1"/>
        <sz val="10.0"/>
      </rPr>
      <t xml:space="preserve">No se debe seleccionar ningún botón unicamente es validar que las gestiones se visualicen desde ese menú
</t>
    </r>
    <r>
      <rPr>
        <rFont val="Fira Sans Extra Condensed"/>
        <color theme="1"/>
        <sz val="10.0"/>
      </rPr>
      <t xml:space="preserve">
Ingresar al Menú de Autorizaciones 
Seleccionar Autorizaciones Pendientes 
Utilizar los filtros de Usuario - Fecha desde -Fecha Hasta 
Seleccionar la opción Buscar 
Debe mostrar el resultado de Solicitud
Seleccionar detalle del cliente seleccionado
Debe mostrar botones : Volver- Autoriza- Rechazar
Seleccionar </t>
    </r>
    <r>
      <rPr>
        <rFont val="Fira Sans Extra Condensed"/>
        <b/>
        <color theme="1"/>
        <sz val="10.0"/>
      </rPr>
      <t>Autorizar</t>
    </r>
    <r>
      <rPr>
        <rFont val="Fira Sans Extra Condensed"/>
        <color theme="1"/>
        <sz val="10.0"/>
      </rPr>
      <t xml:space="preserve">
Seleccionar Continuar hasta finalizar el proceso y capturar todas las pantallas del proceso </t>
    </r>
  </si>
  <si>
    <t>Autorizar la solicitud de Alta del nuevo cliente</t>
  </si>
  <si>
    <t>Modificación de cliente multilatino</t>
  </si>
  <si>
    <t>Cliente debe existir en la banca local de CR y estar marcado como 'Multilatino'</t>
  </si>
  <si>
    <r>
      <rPr>
        <rFont val="Fira Sans Extra Condensed"/>
        <color theme="1"/>
        <sz val="10.0"/>
      </rPr>
      <t xml:space="preserve">Utilizar una empresa dentro del listado indicado 
Ingresar a CC Local </t>
    </r>
    <r>
      <rPr>
        <rFont val="Fira Sans Extra Condensed"/>
        <b/>
        <color theme="1"/>
        <sz val="10.0"/>
      </rPr>
      <t>COSTA RICA</t>
    </r>
    <r>
      <rPr>
        <rFont val="Fira Sans Extra Condensed"/>
        <color theme="1"/>
        <sz val="10.0"/>
      </rPr>
      <t xml:space="preserve">
Ingresar al menú de Administración Clientes 
Seleccionar Clientes 
Puede Utilizar los filtros de País, Tipo de Documento, Número de Documento, Nombre Empresa 
Seleccionar Buscar debe mostrar el resultado: La búsqueda no ha obtenido resultados 
Ingresar al detalle del cliente y hacer clic en modificar</t>
    </r>
    <r>
      <rPr>
        <rFont val="Fira Sans Extra Condensed"/>
        <b/>
        <color theme="1"/>
        <sz val="10.0"/>
      </rPr>
      <t xml:space="preserve">
Debe mostrar 2 campos:
       1- Cliente Multilatino (Previamente marcado)
       2- Cliente Módulo Regional' check box (Seleccionar campo nuevo)
</t>
    </r>
    <r>
      <rPr>
        <rFont val="Fira Sans Extra Condensed"/>
        <color theme="1"/>
        <sz val="10.0"/>
      </rPr>
      <t>No debe mostrar error al momento de confirmar la modificación del cliente y getión quedará con estado pendiente de autorización.</t>
    </r>
  </si>
  <si>
    <t>- Permitir marcar al cliente con ambos checks.
AL cumplir el esquema de autorización debe permitir lo siguiente:
- Cliente podrá acceder a PER TACTICO y ESTRUCTURAL</t>
  </si>
  <si>
    <r>
      <rPr>
        <rFont val="Fira Sans Extra Condensed"/>
        <color theme="1"/>
        <sz val="10.0"/>
      </rPr>
      <t xml:space="preserve">Utilizar una empresa dentro del listado indicado 
Ingresar a CC Local </t>
    </r>
    <r>
      <rPr>
        <rFont val="Fira Sans Extra Condensed"/>
        <b/>
        <color theme="1"/>
        <sz val="10.0"/>
      </rPr>
      <t>COSTA RICA</t>
    </r>
    <r>
      <rPr>
        <rFont val="Fira Sans Extra Condensed"/>
        <color theme="1"/>
        <sz val="10.0"/>
      </rPr>
      <t xml:space="preserve">
Ingresar al menú de Administración Clientes 
Seleccionar Clientes 
Puede Utilizar los filtros de País, Tipo de Documento, Número de Documento, Nombre Empresa 
Seleccionar Buscar debe mostrar el resultado: La búsqueda no ha obtenido resultados 
Ingresar al detalle del cliente y hacer clic en modificar</t>
    </r>
    <r>
      <rPr>
        <rFont val="Fira Sans Extra Condensed"/>
        <b/>
        <color theme="1"/>
        <sz val="10.0"/>
      </rPr>
      <t xml:space="preserve">
Debe mostrar 2 campos:
      </t>
    </r>
    <r>
      <rPr>
        <rFont val="Fira Sans Extra Condensed"/>
        <color theme="1"/>
        <sz val="10.0"/>
      </rPr>
      <t xml:space="preserve"> 1- Cliente Multilatino (Previamente marcado)
       2- Cliente Módulo Regional' check box 
</t>
    </r>
    <r>
      <rPr>
        <rFont val="Fira Sans Extra Condensed"/>
        <b/>
        <color theme="1"/>
        <sz val="10.0"/>
      </rPr>
      <t xml:space="preserve">
Usuario BO desmarque el check de cliente multilatino y marque unicamente el check de Cliente Módulo Regional
</t>
    </r>
    <r>
      <rPr>
        <rFont val="Fira Sans Extra Condensed"/>
        <color theme="1"/>
        <sz val="10.0"/>
      </rPr>
      <t>No debe mostrar error al momento de confirmar la modificación del cliente y getión quedará con estado pendiente de autorización.</t>
    </r>
  </si>
  <si>
    <t>- Permitir marcar al cliente con el check de 'Cliente Módulo Regional'
AL cumplir el esquema de autorización debe permitir lo siguiente:
- Cliente podrá acceder a PER ESTRUCTURAL</t>
  </si>
  <si>
    <t>Cliente debe existir en la banca local de CR y estar marcado como 'Cliente Módulo Regional</t>
  </si>
  <si>
    <r>
      <rPr>
        <rFont val="Fira Sans Extra Condensed"/>
        <color theme="1"/>
        <sz val="10.0"/>
      </rPr>
      <t xml:space="preserve">Utilizar una empresa dentro del listado indicado 
Ingresar a CC Local </t>
    </r>
    <r>
      <rPr>
        <rFont val="Fira Sans Extra Condensed"/>
        <b/>
        <color theme="1"/>
        <sz val="10.0"/>
      </rPr>
      <t>COSTA RICA</t>
    </r>
    <r>
      <rPr>
        <rFont val="Fira Sans Extra Condensed"/>
        <color theme="1"/>
        <sz val="10.0"/>
      </rPr>
      <t xml:space="preserve">
Ingresar al menú de Administración Clientes 
Seleccionar Clientes 
Puede Utilizar los filtros de País, Tipo de Documento, Número de Documento, Nombre Empresa 
Seleccionar Buscar debe mostrar el resultado: La búsqueda no ha obtenido resultados 
Ingresar al detalle del cliente y hacer clic en modificar</t>
    </r>
    <r>
      <rPr>
        <rFont val="Fira Sans Extra Condensed"/>
        <b/>
        <color theme="1"/>
        <sz val="10.0"/>
      </rPr>
      <t xml:space="preserve">
Debe mostrar 2 campos:
      </t>
    </r>
    <r>
      <rPr>
        <rFont val="Fira Sans Extra Condensed"/>
        <color theme="1"/>
        <sz val="10.0"/>
      </rPr>
      <t xml:space="preserve"> 1- Cliente Multilatino 
       2- Cliente Módulo Regional' check box (Previamente marcado)
</t>
    </r>
    <r>
      <rPr>
        <rFont val="Fira Sans Extra Condensed"/>
        <b/>
        <color theme="1"/>
        <sz val="10.0"/>
      </rPr>
      <t xml:space="preserve">
Usuario BO desmarque el check de cliente Módulo regional y marque unicamente el check de Cliente Multilatino
</t>
    </r>
    <r>
      <rPr>
        <rFont val="Fira Sans Extra Condensed"/>
        <color theme="1"/>
        <sz val="10.0"/>
      </rPr>
      <t>No debe mostrar error al momento de confirmar la modificación del cliente y getión quedará con estado pendiente de autorización.</t>
    </r>
  </si>
  <si>
    <t>- Permitir marcar al cliente con el check de 'Cliente Multilatino'
AL cumplir el esquema de autorización debe permitir lo siguiente:
- Cliente podrá acceder a PER Táctico</t>
  </si>
  <si>
    <r>
      <rPr>
        <rFont val="Fira Sans Extra Condensed"/>
        <color theme="1"/>
        <sz val="10.0"/>
      </rPr>
      <t xml:space="preserve">Rechazar la solicitud enviada por el Operador BO o por otro usuario Autorizante del mismo dominio país
Ingresar a CC Local </t>
    </r>
    <r>
      <rPr>
        <rFont val="Fira Sans Extra Condensed"/>
        <b/>
        <color theme="1"/>
        <sz val="10.0"/>
      </rPr>
      <t>HN,SV,PA</t>
    </r>
    <r>
      <rPr>
        <rFont val="Fira Sans Extra Condensed"/>
        <color theme="1"/>
        <sz val="10.0"/>
      </rPr>
      <t xml:space="preserve">
Ingresar al menú  Administración Clientes
Seleccionar Clientes 
Puede Utilizar los filtros de País, Tipo de Documento, Número de Documento, Nombre Empresa 
Seleccionar Buscar debe mostrar el resultado
Seleccionar Detalle de la sociedad a modificar
Debe visualizar los botones Volver-Modificar-Eliminar-Deshabilitar
</t>
    </r>
    <r>
      <rPr>
        <rFont val="Fira Sans Extra Condensed"/>
        <b/>
        <color theme="1"/>
        <sz val="10.0"/>
      </rPr>
      <t xml:space="preserve">No se debe seleccionar ningún botón unicamente es validar que los gestiones se visualicen desde ese menú
</t>
    </r>
    <r>
      <rPr>
        <rFont val="Fira Sans Extra Condensed"/>
        <color theme="1"/>
        <sz val="10.0"/>
      </rPr>
      <t xml:space="preserve">
Ingresar al Menú de Autorizaciones 
Seleccionar Autorizaciones Pendientes 
Utilizar los filtros de Usuario - Fecha desde -Fecha Hasta 
Seleccionar la opción Buscar 
Debe mostrar el resultado de Solicitud
Seleccionar detalle del cliente seleccionado
Debe mostrar botones : Volver- Autoriza- Rechazar
Seleccionar </t>
    </r>
    <r>
      <rPr>
        <rFont val="Fira Sans Extra Condensed"/>
        <b/>
        <color theme="1"/>
        <sz val="10.0"/>
      </rPr>
      <t xml:space="preserve">Rechazar </t>
    </r>
    <r>
      <rPr>
        <rFont val="Fira Sans Extra Condensed"/>
        <color theme="1"/>
        <sz val="10.0"/>
      </rPr>
      <t xml:space="preserve">
Seleccionar Continuar hasta finalizar el proceso y capturar todas las pantallas del proceso </t>
    </r>
  </si>
  <si>
    <t>Cliente debe existir en la banca local CR-SV-HN y PA y estar marcado como 'Cliente Módulo Regional</t>
  </si>
  <si>
    <r>
      <rPr>
        <rFont val="Fira Sans Extra Condensed"/>
        <color theme="1"/>
        <sz val="10.0"/>
      </rPr>
      <t xml:space="preserve">Utilizar una empresa dentro del listado indicado 
Ingresar a CC </t>
    </r>
    <r>
      <rPr>
        <rFont val="Fira Sans Extra Condensed"/>
        <b/>
        <color theme="1"/>
        <sz val="10.0"/>
      </rPr>
      <t>Local HN-PA-SV</t>
    </r>
    <r>
      <rPr>
        <rFont val="Fira Sans Extra Condensed"/>
        <color theme="1"/>
        <sz val="10.0"/>
      </rPr>
      <t xml:space="preserve">
Validar el detalle del cliente que se encuentre marcado como </t>
    </r>
    <r>
      <rPr>
        <rFont val="Fira Sans Extra Condensed"/>
        <b/>
        <color theme="1"/>
        <sz val="10.0"/>
      </rPr>
      <t>Cliente Módulo Regional y seleccionar</t>
    </r>
    <r>
      <rPr>
        <rFont val="Fira Sans Extra Condensed"/>
        <color theme="1"/>
        <sz val="10.0"/>
      </rPr>
      <t xml:space="preserve"> 
Ingresar a los usuarios y validar que se encuentren expuestos para PER ESTRUCTURAL</t>
    </r>
  </si>
  <si>
    <t xml:space="preserve">-Cliente debe estar marcado como 'Cliente Módulo Regional'
</t>
  </si>
  <si>
    <t>Usuarios Back Office escala 7/24</t>
  </si>
  <si>
    <t>Validación de Perfiles de usuarios BO regionales</t>
  </si>
  <si>
    <t>Usuario BO PER ingrese a CC de la banca local de SV, CR, HN, PA</t>
  </si>
  <si>
    <t>Ingresar Credenciales de usuario BO regionales</t>
  </si>
  <si>
    <t>Se solicita ejecutar pruebas de no afectación con usuarios BO que poseen perfiles regionales</t>
  </si>
  <si>
    <t>No permita el ingreso</t>
  </si>
  <si>
    <t>Envío de contraseña al correo del usuario BO del nuevo CC</t>
  </si>
  <si>
    <t>Ingresar Credenciales de usuario BO regionales en el nuevo CC</t>
  </si>
  <si>
    <t>Ingreso exitoso</t>
  </si>
  <si>
    <t>Ingresar Credenciales incorrectas  de usuario BO regionales</t>
  </si>
  <si>
    <t xml:space="preserve">No permita el ingreso </t>
  </si>
  <si>
    <t>Perfilamiento Usuarios BO</t>
  </si>
  <si>
    <t>Asignación de perfiles a usuarios BO preparador</t>
  </si>
  <si>
    <r>
      <rPr>
        <rFont val="Fira Sans Extra Condensed"/>
        <b/>
        <color theme="1"/>
        <sz val="10.0"/>
      </rPr>
      <t>Se deben asignar las siguientes opciones de menú al usuario Preparador:</t>
    </r>
    <r>
      <rPr>
        <rFont val="Fira Sans Extra Condensed"/>
        <color theme="1"/>
        <sz val="10.0"/>
      </rPr>
      <t xml:space="preserve">
1- Operador Cliente: Mantenimiento de Operadores  permite modificar a usuarios dentro del canal dar alta, inactivar, eliminar y realizar consultas.
2- Perfiles Cliente : Permisos asignados a clientes empresas asignación de funcionalidades
Mantenimiento de Usuarios y Empresa
3-  Consultas
4- Transaccionales
5- Administrador clientes
6- consulta transacciones
7- Módulo </t>
    </r>
  </si>
  <si>
    <t>Usuario BO preparador solo podrá visualizar e ingresar a las opciones de menú asignadas</t>
  </si>
  <si>
    <t>Pausado</t>
  </si>
  <si>
    <t>Asignación de perfiles a usuarios BO Autorizador.</t>
  </si>
  <si>
    <t>Asignación de perfiles a usuarios BO autorizador</t>
  </si>
  <si>
    <r>
      <rPr>
        <rFont val="Fira Sans Extra Condensed"/>
        <b/>
        <color theme="1"/>
        <sz val="10.0"/>
      </rPr>
      <t>Se deben asignar las siguientes opciones de menú al usuario Autorizador:</t>
    </r>
    <r>
      <rPr>
        <rFont val="Fira Sans Extra Condensed"/>
        <color theme="1"/>
        <sz val="10.0"/>
      </rPr>
      <t xml:space="preserve">
1- Operador Cliente: Mantenimiento de Operadores  permite modificar a usuarios dentro del canal dar alta, inactivar, eliminar y realizar consultas.
2- Perfiles Cliente : Permisos asignados a clientes empresas asignación de funcionalidades
Mantenimiento de Usuarios y Empresa
3-  Consultas
4- Transaccionales
5- Administrador clientes
6- consulta transacciones
7- Módulo
8- autorización
9- Autorizaciones</t>
    </r>
  </si>
  <si>
    <t>Usuario BO autorizador solo podrá visualizar e ingresar a las opciones de menú asignadas</t>
  </si>
  <si>
    <t>Asignación de perfiles a Super usuarios BO</t>
  </si>
  <si>
    <r>
      <rPr>
        <rFont val="Fira Sans Extra Condensed"/>
        <color theme="1"/>
        <sz val="10.0"/>
      </rPr>
      <t xml:space="preserve">Se deben asignar las siguientes opciones de menú a Super Usuarios:
</t>
    </r>
    <r>
      <rPr>
        <rFont val="Fira Sans Extra Condensed"/>
        <b/>
        <color theme="1"/>
        <sz val="10.0"/>
      </rPr>
      <t>Administración Central
Configuración
Operador Cliente: Mantenimiento de Operadores  permite modificar a usuarios dentro del canal dar alta, inactivar, eliminar y realizar consultas.
Mantenimiento de usuarios Bancos : Creación de usuarios Internos Bancos dependiendo del perfil,
Gestión
Perfiles Cliente : Permisos asignados a clientes empresas asignación de funcionalidades
Mantenimiento de Usuarios y Empresas
Autorización 
Consulta</t>
    </r>
    <r>
      <rPr>
        <rFont val="Fira Sans Extra Condensed"/>
        <color theme="1"/>
        <sz val="10.0"/>
      </rPr>
      <t xml:space="preserve">
</t>
    </r>
    <r>
      <rPr>
        <rFont val="Fira Sans Extra Condensed"/>
        <b/>
        <color theme="1"/>
        <sz val="10.0"/>
      </rPr>
      <t>Transaccionales</t>
    </r>
    <r>
      <rPr>
        <rFont val="Fira Sans Extra Condensed"/>
        <color theme="1"/>
        <sz val="10.0"/>
      </rPr>
      <t xml:space="preserve">
</t>
    </r>
    <r>
      <rPr>
        <rFont val="Fira Sans Extra Condensed"/>
        <b/>
        <color theme="1"/>
        <sz val="10.0"/>
      </rPr>
      <t>Perfiles Operador Banco Permisos asignados a usuarios internos asignación de módulos</t>
    </r>
    <r>
      <rPr>
        <rFont val="Fira Sans Extra Condensed"/>
        <color theme="1"/>
        <sz val="10.0"/>
      </rPr>
      <t xml:space="preserve">.
</t>
    </r>
    <r>
      <rPr>
        <rFont val="Fira Sans Extra Condensed"/>
        <b/>
        <color theme="1"/>
        <sz val="10.0"/>
      </rPr>
      <t xml:space="preserve">Administración Clientes
Clientes
Consulta transacciones
</t>
    </r>
    <r>
      <rPr>
        <rFont val="Fira Sans Extra Condensed"/>
        <color theme="1"/>
        <sz val="10.0"/>
      </rPr>
      <t xml:space="preserve">Esquema de Firmas -Autorizaciones
Operadores
Perfiles
Permisos producto
Personas
Producto
</t>
    </r>
    <r>
      <rPr>
        <rFont val="Fira Sans Extra Condensed"/>
        <b/>
        <color theme="1"/>
        <sz val="10.0"/>
      </rPr>
      <t>Autorizaciones</t>
    </r>
    <r>
      <rPr>
        <rFont val="Fira Sans Extra Condensed"/>
        <color theme="1"/>
        <sz val="10.0"/>
      </rPr>
      <t xml:space="preserve">
Autorizaciones Pendientes
</t>
    </r>
    <r>
      <rPr>
        <rFont val="Fira Sans Extra Condensed"/>
        <b/>
        <color theme="1"/>
        <sz val="10.0"/>
      </rPr>
      <t xml:space="preserve">Configuración </t>
    </r>
    <r>
      <rPr>
        <rFont val="Fira Sans Extra Condensed"/>
        <color theme="1"/>
        <sz val="10.0"/>
      </rPr>
      <t xml:space="preserve">
Clasificación Producto
Funcionalidades
Matrices Permiso
Parámetro General
Segmento
</t>
    </r>
    <r>
      <rPr>
        <rFont val="Fira Sans Extra Condensed"/>
        <b/>
        <color theme="1"/>
        <sz val="10.0"/>
      </rPr>
      <t>Módulo</t>
    </r>
    <r>
      <rPr>
        <rFont val="Fira Sans Extra Condensed"/>
        <color theme="1"/>
        <sz val="10.0"/>
      </rPr>
      <t xml:space="preserve">
Enumerados de errores
Módulos
Trace-Visualizador
</t>
    </r>
    <r>
      <rPr>
        <rFont val="Fira Sans Extra Condensed"/>
        <b/>
        <color theme="1"/>
        <sz val="10.0"/>
      </rPr>
      <t>Centro de Recibos</t>
    </r>
    <r>
      <rPr>
        <rFont val="Fira Sans Extra Condensed"/>
        <color theme="1"/>
        <sz val="10.0"/>
      </rPr>
      <t xml:space="preserve">
Elementos
Mensajes CMM
Template
Ticket
</t>
    </r>
    <r>
      <rPr>
        <rFont val="Fira Sans Extra Condensed"/>
        <b/>
        <color theme="1"/>
        <sz val="10.0"/>
      </rPr>
      <t xml:space="preserve">Enumerados </t>
    </r>
    <r>
      <rPr>
        <rFont val="Fira Sans Extra Condensed"/>
        <color theme="1"/>
        <sz val="10.0"/>
      </rPr>
      <t xml:space="preserve">
Carga Masiva por Archivo
Carga Masiva consulta
Conjunto de Enumerados
Enumerados Simples
Errores
</t>
    </r>
    <r>
      <rPr>
        <rFont val="Fira Sans Extra Condensed"/>
        <b/>
        <color theme="1"/>
        <sz val="10.0"/>
      </rPr>
      <t>Perfiles Usuario Banco</t>
    </r>
  </si>
  <si>
    <t>Super usuario BO podrá tener acceso a todas las opciones del menú de CC</t>
  </si>
  <si>
    <t>Gestión cliente CC Escala 7/24</t>
  </si>
  <si>
    <t xml:space="preserve">Control dual de gestiones </t>
  </si>
  <si>
    <t>Todas las gestiones de  todos los usuarios, preparadores, autorizantes y super usuarios quedarán pendientes de autorización.</t>
  </si>
  <si>
    <t>Gestiones requerirán de una segunda autorización, por usuarios autorizantes y super usuarios.</t>
  </si>
  <si>
    <t>Escala 7/24</t>
  </si>
  <si>
    <t>Visualización del header de CC</t>
  </si>
  <si>
    <t>Crear el header para el nuevo control center que permita visualizar al usuario conectado la información en la parte superior de la pantalla</t>
  </si>
  <si>
    <r>
      <rPr>
        <rFont val="Fira Sans Extra Condensed"/>
        <color theme="1"/>
        <sz val="10.0"/>
      </rPr>
      <t xml:space="preserve">El header debe mostrar los siguiemtes campos:
</t>
    </r>
    <r>
      <rPr>
        <rFont val="Fira Sans Extra Condensed"/>
        <b/>
        <color theme="1"/>
        <sz val="10.0"/>
      </rPr>
      <t>Usuario conectado:</t>
    </r>
    <r>
      <rPr>
        <rFont val="Fira Sans Extra Condensed"/>
        <color theme="1"/>
        <sz val="10.0"/>
      </rPr>
      <t xml:space="preserve"> Se debe presentar de manera fija el nombre del usuario que se encuentra conectado en la parte superior.
</t>
    </r>
    <r>
      <rPr>
        <rFont val="Fira Sans Extra Condensed"/>
        <b/>
        <color theme="1"/>
        <sz val="10.0"/>
      </rPr>
      <t>País Usuario:</t>
    </r>
    <r>
      <rPr>
        <rFont val="Fira Sans Extra Condensed"/>
        <color theme="1"/>
        <sz val="10.0"/>
      </rPr>
      <t xml:space="preserve"> Se debe presentar de manera fija al lado del nombre del usuario la bandera del país al cual pertenece el usuario con la iniciales del país. podrá ser una de las siguientes opciones (COL - PA - CR - HN - SLV - MIA)
</t>
    </r>
    <r>
      <rPr>
        <rFont val="Fira Sans Extra Condensed"/>
        <b/>
        <color theme="1"/>
        <sz val="10.0"/>
      </rPr>
      <t>Último acceso:</t>
    </r>
    <r>
      <rPr>
        <rFont val="Fira Sans Extra Condensed"/>
        <color theme="1"/>
        <sz val="10.0"/>
      </rPr>
      <t xml:space="preserve"> Se debe presentar de manera fija la fecha del último acceso que tuvo el usuario presentando en formato dd/mm/aaaa seguido de la hora así: hh/mm/ss.
</t>
    </r>
    <r>
      <rPr>
        <rFont val="Fira Sans Extra Condensed"/>
        <b/>
        <color theme="1"/>
        <sz val="10.0"/>
      </rPr>
      <t>Cierre de Sesión:</t>
    </r>
    <r>
      <rPr>
        <rFont val="Fira Sans Extra Condensed"/>
        <color theme="1"/>
        <sz val="10.0"/>
      </rPr>
      <t xml:space="preserve"> Se debe presentar botón que permita al usuario finalizar la sesión de manera voluntaria, la sesión por inactividad se finalizará a los 10 min el cual podrá ser parametrizable.</t>
    </r>
  </si>
  <si>
    <t>Visualizar el header con la información del usuario</t>
  </si>
  <si>
    <t>Visualización del menú vertical izquierdo (Sidebar)</t>
  </si>
  <si>
    <t>Acceso al menú vertical izquierdo</t>
  </si>
  <si>
    <r>
      <rPr>
        <rFont val="Fira Sans Extra Condensed"/>
        <color theme="1"/>
        <sz val="10.0"/>
      </rPr>
      <t xml:space="preserve">En el Menú vertical izquierdo deberá visualizar las siguientes opciones de acuerdo al rol asignado al usuario
</t>
    </r>
    <r>
      <rPr>
        <rFont val="Fira Sans Extra Condensed"/>
        <b/>
        <color theme="1"/>
        <sz val="10.0"/>
      </rPr>
      <t>Inicio:</t>
    </r>
    <r>
      <rPr>
        <rFont val="Fira Sans Extra Condensed"/>
        <color theme="1"/>
        <sz val="10.0"/>
      </rPr>
      <t xml:space="preserve"> habilitado a todos los usuarios, al dar clic debe llevar al usuario al inicio del Dashboard. 
</t>
    </r>
    <r>
      <rPr>
        <rFont val="Fira Sans Extra Condensed"/>
        <b/>
        <color theme="1"/>
        <sz val="10.0"/>
      </rPr>
      <t xml:space="preserve">Administración: </t>
    </r>
    <r>
      <rPr>
        <rFont val="Fira Sans Extra Condensed"/>
        <color theme="1"/>
        <sz val="10.0"/>
      </rPr>
      <t xml:space="preserve">Módulo visible para todos los usuarios, permite crear, consultar, editar y agregar empresas a los grupos regionales creados. </t>
    </r>
    <r>
      <rPr>
        <rFont val="Fira Sans Extra Condensed"/>
        <b/>
        <color theme="1"/>
        <sz val="10.0"/>
      </rPr>
      <t>(las opciones de crear, editar y adicionar empresas únicamente serán visibles para los usuarios con perfil  preparador)</t>
    </r>
    <r>
      <rPr>
        <rFont val="Fira Sans Extra Condensed"/>
        <color theme="1"/>
        <sz val="10.0"/>
      </rPr>
      <t xml:space="preserve"> Adicional permite consultar Grupos de productos asignados, usuarios y esquemas de firmas dentro del canal. 
</t>
    </r>
    <r>
      <rPr>
        <rFont val="Fira Sans Extra Condensed"/>
        <b/>
        <color theme="1"/>
        <sz val="10.0"/>
      </rPr>
      <t xml:space="preserve">Aprobación: </t>
    </r>
    <r>
      <rPr>
        <rFont val="Fira Sans Extra Condensed"/>
        <color theme="1"/>
        <sz val="10.0"/>
      </rPr>
      <t xml:space="preserve">Módulo visible únicamente para usuarios con perfil “Aprobador” o “Super Usuario” permite filtrar, visualizar, aprobar o eliminar las novedades enviadas por los usuarios con perfil preparador.
</t>
    </r>
    <r>
      <rPr>
        <rFont val="Fira Sans Extra Condensed"/>
        <b/>
        <color theme="1"/>
        <sz val="10.0"/>
      </rPr>
      <t>Log Auditoría:</t>
    </r>
    <r>
      <rPr>
        <rFont val="Fira Sans Extra Condensed"/>
        <color theme="1"/>
        <sz val="10.0"/>
      </rPr>
      <t xml:space="preserve"> Módulo visible para todos los usuarios, quienes podrán consultar y visualizar Logs del   Registro completo de cualquier novedad realizada desde el control Center y en el Front de los usuarios.
</t>
    </r>
    <r>
      <rPr>
        <rFont val="Fira Sans Extra Condensed"/>
        <b/>
        <color theme="1"/>
        <sz val="10.0"/>
      </rPr>
      <t>Transacciones:</t>
    </r>
    <r>
      <rPr>
        <rFont val="Fira Sans Extra Condensed"/>
        <color theme="1"/>
        <sz val="10.0"/>
      </rPr>
      <t xml:space="preserve"> Módulo visible para todos los usuarios, permite realizar consultas de procesos ejecutados por los usuarios en el front del canal.
</t>
    </r>
    <r>
      <rPr>
        <rFont val="Fira Sans Extra Condensed"/>
        <b/>
        <color theme="1"/>
        <sz val="10.0"/>
      </rPr>
      <t xml:space="preserve">Banner: </t>
    </r>
    <r>
      <rPr>
        <rFont val="Fira Sans Extra Condensed"/>
        <color theme="1"/>
        <sz val="10.0"/>
      </rPr>
      <t xml:space="preserve">Módulo visible únicamente para rol super usuario, permite administrar banners publicitarios dentro del canal. 
</t>
    </r>
    <r>
      <rPr>
        <rFont val="Fira Sans Extra Condensed"/>
        <b/>
        <color theme="1"/>
        <sz val="10.0"/>
      </rPr>
      <t>Administración central:</t>
    </r>
    <r>
      <rPr>
        <rFont val="Fira Sans Extra Condensed"/>
        <color theme="1"/>
        <sz val="10.0"/>
      </rPr>
      <t xml:space="preserve"> Módulo visible únicamente para rol super usuarios, quienes podran crear, modificar, eliminar usuarios BO</t>
    </r>
  </si>
  <si>
    <t>Visualizar y acceder al sidebar según los permisos de cada usuario</t>
  </si>
  <si>
    <t>Acceso al Módulo de administración / Grupo Regionales</t>
  </si>
  <si>
    <t xml:space="preserve">Debe permitir a todos los usuario BO:
Crear clientes
Consultar clientes
Editar clientes
Agregar empresas a los grupos de productos. </t>
  </si>
  <si>
    <t>Gestionar grupos regionales de forma exitosa</t>
  </si>
  <si>
    <t>Este submódulo se divide en consultas y creación</t>
  </si>
  <si>
    <t>Mostrar submódulos de consulta y creación</t>
  </si>
  <si>
    <r>
      <rPr>
        <rFont val="Fira Sans Extra Condensed"/>
        <color theme="1"/>
        <sz val="10.0"/>
      </rPr>
      <t>Al ingresar al menú de consultas debe mostrar los siguientes campos:</t>
    </r>
    <r>
      <rPr>
        <rFont val="Fira Sans Extra Condensed"/>
        <b/>
        <color theme="1"/>
        <sz val="10.0"/>
      </rPr>
      <t xml:space="preserve">
Fecha creación</t>
    </r>
    <r>
      <rPr>
        <rFont val="Fira Sans Extra Condensed"/>
        <color theme="1"/>
        <sz val="10.0"/>
      </rPr>
      <t xml:space="preserve">: se debe mostrar la fecha en la que se creó el grupo regional. 
</t>
    </r>
    <r>
      <rPr>
        <rFont val="Fira Sans Extra Condensed"/>
        <b/>
        <color theme="1"/>
        <sz val="10.0"/>
      </rPr>
      <t>Casa Matriz:</t>
    </r>
    <r>
      <rPr>
        <rFont val="Fira Sans Extra Condensed"/>
        <color theme="1"/>
        <sz val="10.0"/>
      </rPr>
      <t xml:space="preserve"> Se debe presentar el nombre y bandera del país al que corresponde la casa matriz.
</t>
    </r>
    <r>
      <rPr>
        <rFont val="Fira Sans Extra Condensed"/>
        <b/>
        <color theme="1"/>
        <sz val="10.0"/>
      </rPr>
      <t>Nombre de Grupo Regional:</t>
    </r>
    <r>
      <rPr>
        <rFont val="Fira Sans Extra Condensed"/>
        <color theme="1"/>
        <sz val="10.0"/>
      </rPr>
      <t xml:space="preserve"> Se debe presentar el Nombre con el que se creó el Grupo.
</t>
    </r>
    <r>
      <rPr>
        <rFont val="Fira Sans Extra Condensed"/>
        <b/>
        <color theme="1"/>
        <sz val="10.0"/>
      </rPr>
      <t xml:space="preserve">Empresa: </t>
    </r>
    <r>
      <rPr>
        <rFont val="Fira Sans Extra Condensed"/>
        <color theme="1"/>
        <sz val="10.0"/>
      </rPr>
      <t xml:space="preserve">Campo alfanumérico y permita consultar con el nombre del cliente
</t>
    </r>
    <r>
      <rPr>
        <rFont val="Fira Sans Extra Condensed"/>
        <b/>
        <color theme="1"/>
        <sz val="10.0"/>
      </rPr>
      <t xml:space="preserve">País: </t>
    </r>
    <r>
      <rPr>
        <rFont val="Fira Sans Extra Condensed"/>
        <color theme="1"/>
        <sz val="10.0"/>
      </rPr>
      <t xml:space="preserve">Mostrar el lista Colombia, Costa Rica, El Salvador, Honduras, Miami y Panamá, será parametrizable
</t>
    </r>
    <r>
      <rPr>
        <rFont val="Fira Sans Extra Condensed"/>
        <b/>
        <color theme="1"/>
        <sz val="10.0"/>
      </rPr>
      <t xml:space="preserve">Quick Action: </t>
    </r>
    <r>
      <rPr>
        <rFont val="Fira Sans Extra Condensed"/>
        <color theme="1"/>
        <sz val="10.0"/>
      </rPr>
      <t>Al dar clic muestra las siguientes opciones.</t>
    </r>
    <r>
      <rPr>
        <rFont val="Fira Sans Extra Condensed"/>
        <b/>
        <color theme="1"/>
        <sz val="10.0"/>
      </rPr>
      <t xml:space="preserve">
Ver detalle:  </t>
    </r>
    <r>
      <rPr>
        <rFont val="Fira Sans Extra Condensed"/>
        <color theme="1"/>
        <sz val="10.0"/>
      </rPr>
      <t xml:space="preserve">Al dar clic debe actualizar la pantalla y permite visualizar cómo fue creado un Grupo. 
</t>
    </r>
    <r>
      <rPr>
        <rFont val="Fira Sans Extra Condensed"/>
        <b/>
        <color theme="1"/>
        <sz val="10.0"/>
      </rPr>
      <t xml:space="preserve">Eliminar: </t>
    </r>
    <r>
      <rPr>
        <rFont val="Fira Sans Extra Condensed"/>
        <color theme="1"/>
        <sz val="10.0"/>
      </rPr>
      <t xml:space="preserve">únicamente visible para usuarios preparadores con el dominio propio del país sobre el que realiza la novedad. 
</t>
    </r>
    <r>
      <rPr>
        <rFont val="Fira Sans Extra Condensed"/>
        <b/>
        <color theme="1"/>
        <sz val="10.0"/>
      </rPr>
      <t xml:space="preserve">Filtros: </t>
    </r>
    <r>
      <rPr>
        <rFont val="Fira Sans Extra Condensed"/>
        <color theme="1"/>
        <sz val="10.0"/>
      </rPr>
      <t xml:space="preserve">Debe tener una opción que permita realizar filtros de acuerdo a los títulos de resultados. 
</t>
    </r>
    <r>
      <rPr>
        <rFont val="Fira Sans Extra Condensed"/>
        <b/>
        <color theme="1"/>
        <sz val="10.0"/>
      </rPr>
      <t>Ordenar:</t>
    </r>
    <r>
      <rPr>
        <rFont val="Fira Sans Extra Condensed"/>
        <color theme="1"/>
        <sz val="10.0"/>
      </rPr>
      <t xml:space="preserve"> Debe tener un elemento que permite ordenar la información dando clic de manera intuitiva en los títulos de las columnas de mayor a menor y de menor a mayor.
</t>
    </r>
    <r>
      <rPr>
        <rFont val="Fira Sans Extra Condensed"/>
        <b/>
        <color theme="1"/>
        <sz val="10.0"/>
      </rPr>
      <t>Paginación:</t>
    </r>
    <r>
      <rPr>
        <rFont val="Fira Sans Extra Condensed"/>
        <color theme="1"/>
        <sz val="10.0"/>
      </rPr>
      <t xml:space="preserve"> Se debe mostrar 50 resultados por página. 
</t>
    </r>
    <r>
      <rPr>
        <rFont val="Fira Sans Extra Condensed"/>
        <b/>
        <color theme="1"/>
        <sz val="10.0"/>
      </rPr>
      <t xml:space="preserve">Descargar: </t>
    </r>
    <r>
      <rPr>
        <rFont val="Fira Sans Extra Condensed"/>
        <color theme="1"/>
        <sz val="10.0"/>
      </rPr>
      <t xml:space="preserve">Debe tener un elemento que permita realizar la descarga en Excel y PDF
</t>
    </r>
    <r>
      <rPr>
        <rFont val="Fira Sans Extra Condensed"/>
        <b/>
        <color theme="1"/>
        <sz val="10.0"/>
      </rPr>
      <t xml:space="preserve">Botón de regresar: </t>
    </r>
    <r>
      <rPr>
        <rFont val="Fira Sans Extra Condensed"/>
        <color theme="1"/>
        <sz val="10.0"/>
      </rPr>
      <t>Redirigir a la pantalla anterior.
Este módulo dependerá del perfilamiento del usuario utilizado , manteniendo la regla que únicamente los usuarios dominio de cada país, otro usuario ajeno al dominio únicamente tendrá acceso a consulta y solo se le presentará el botón de Regresar</t>
    </r>
  </si>
  <si>
    <t>Visualización de registros de clientes</t>
  </si>
  <si>
    <t>Acceso al Módulo de administración / Empresas</t>
  </si>
  <si>
    <r>
      <rPr>
        <rFont val="Fira Sans Extra Condensed"/>
        <color theme="1"/>
        <sz val="10.0"/>
      </rPr>
      <t xml:space="preserve">Permitir consultar empresas que se encuentran asociadas a algún grupo regional, la consulta se puede aplicar filtros, ordenar la información y descargar reportes
Resultado Consulta:
</t>
    </r>
    <r>
      <rPr>
        <rFont val="Fira Sans Extra Condensed"/>
        <b/>
        <color theme="1"/>
        <sz val="10.0"/>
      </rPr>
      <t>Fecha asociación:</t>
    </r>
    <r>
      <rPr>
        <rFont val="Fira Sans Extra Condensed"/>
        <color theme="1"/>
        <sz val="10.0"/>
      </rPr>
      <t xml:space="preserve"> Se debe mostrar la fecha en la que se ligó una sociedad al grupo regional.  
</t>
    </r>
    <r>
      <rPr>
        <rFont val="Fira Sans Extra Condensed"/>
        <b/>
        <color theme="1"/>
        <sz val="10.0"/>
      </rPr>
      <t>País:</t>
    </r>
    <r>
      <rPr>
        <rFont val="Fira Sans Extra Condensed"/>
        <color theme="1"/>
        <sz val="10.0"/>
      </rPr>
      <t xml:space="preserve"> Se mostrará la bandera y las iniciales del país al cual pertenece la empresa.
</t>
    </r>
    <r>
      <rPr>
        <rFont val="Fira Sans Extra Condensed"/>
        <b/>
        <color theme="1"/>
        <sz val="10.0"/>
      </rPr>
      <t xml:space="preserve">Empresa: </t>
    </r>
    <r>
      <rPr>
        <rFont val="Fira Sans Extra Condensed"/>
        <color theme="1"/>
        <sz val="10.0"/>
      </rPr>
      <t xml:space="preserve">se mostrará el nombre de la razón social tal y cómo se encuentra creada en el core del país. 
</t>
    </r>
    <r>
      <rPr>
        <rFont val="Fira Sans Extra Condensed"/>
        <b/>
        <color theme="1"/>
        <sz val="10.0"/>
      </rPr>
      <t>Tipo de identificación:</t>
    </r>
    <r>
      <rPr>
        <rFont val="Fira Sans Extra Condensed"/>
        <color theme="1"/>
        <sz val="10.0"/>
      </rPr>
      <t xml:space="preserve"> Se mostrará el tipo de ID tal cual cómo fue creado en el país origen. incluir mascara.
</t>
    </r>
    <r>
      <rPr>
        <rFont val="Fira Sans Extra Condensed"/>
        <b/>
        <color theme="1"/>
        <sz val="10.0"/>
      </rPr>
      <t xml:space="preserve">Número de Identificación: </t>
    </r>
    <r>
      <rPr>
        <rFont val="Fira Sans Extra Condensed"/>
        <color theme="1"/>
        <sz val="10.0"/>
      </rPr>
      <t xml:space="preserve">el canal debe mostrar el mismo número con el que fue creado en el país origen. 
</t>
    </r>
    <r>
      <rPr>
        <rFont val="Fira Sans Extra Condensed"/>
        <b/>
        <color theme="1"/>
        <sz val="10.0"/>
      </rPr>
      <t>Nombre Grupo Regional:</t>
    </r>
    <r>
      <rPr>
        <rFont val="Fira Sans Extra Condensed"/>
        <color theme="1"/>
        <sz val="10.0"/>
      </rPr>
      <t xml:space="preserve"> el Canal debe mostrar el nombre del grupo regional al que se encuentra asociada. 
</t>
    </r>
    <r>
      <rPr>
        <rFont val="Fira Sans Extra Condensed"/>
        <b/>
        <color theme="1"/>
        <sz val="10.0"/>
      </rPr>
      <t xml:space="preserve">Estado: </t>
    </r>
    <r>
      <rPr>
        <rFont val="Fira Sans Extra Condensed"/>
        <color theme="1"/>
        <sz val="10.0"/>
      </rPr>
      <t xml:space="preserve">Se debe visualizar el estado de la sociedad podrá ser:
</t>
    </r>
    <r>
      <rPr>
        <rFont val="Fira Sans Extra Condensed"/>
        <b/>
        <color theme="1"/>
        <sz val="10.0"/>
      </rPr>
      <t>Activo
Activo Pen.Inactivación
Activo Pen.Eliminación
Alra Pend. Autorización
Modi.Pend. Autorización
Inactivo Pend. Habilitación
Inactivo</t>
    </r>
    <r>
      <rPr>
        <rFont val="Fira Sans Extra Condensed"/>
        <color theme="1"/>
        <sz val="10.0"/>
      </rPr>
      <t xml:space="preserve">
</t>
    </r>
    <r>
      <rPr>
        <rFont val="Fira Sans Extra Condensed"/>
        <b/>
        <color theme="1"/>
        <sz val="10.0"/>
      </rPr>
      <t>Quick Action:</t>
    </r>
    <r>
      <rPr>
        <rFont val="Fira Sans Extra Condensed"/>
        <color theme="1"/>
        <sz val="10.0"/>
      </rPr>
      <t xml:space="preserve"> tendrá el accionable de “Ver Detalle” que permitirá actualizar la pantalla mostrando mayor detalle de la empresa y grupo regional al cual pertenece. 
Los resultados se deben visualizar del más reciente al más antiguo.
</t>
    </r>
    <r>
      <rPr>
        <rFont val="Fira Sans Extra Condensed"/>
        <b/>
        <color theme="1"/>
        <sz val="10.0"/>
      </rPr>
      <t>Filtros:</t>
    </r>
    <r>
      <rPr>
        <rFont val="Fira Sans Extra Condensed"/>
        <color theme="1"/>
        <sz val="10.0"/>
      </rPr>
      <t xml:space="preserve"> Debe tener una opción que permita realizar filtros de acuerdo a los títulos de resultados. 
</t>
    </r>
    <r>
      <rPr>
        <rFont val="Fira Sans Extra Condensed"/>
        <b/>
        <color theme="1"/>
        <sz val="10.0"/>
      </rPr>
      <t xml:space="preserve">Buscar: </t>
    </r>
    <r>
      <rPr>
        <rFont val="Fira Sans Extra Condensed"/>
        <color theme="1"/>
        <sz val="10.0"/>
      </rPr>
      <t xml:space="preserve">Debe existir un elemento que le permita al usuario buscar una empresa escribiendo el nombre de la misma el canal debe validar la información y actualizar la pantalla según el resultado.
</t>
    </r>
    <r>
      <rPr>
        <rFont val="Fira Sans Extra Condensed"/>
        <b/>
        <color theme="1"/>
        <sz val="10.0"/>
      </rPr>
      <t xml:space="preserve">Ordenar: </t>
    </r>
    <r>
      <rPr>
        <rFont val="Fira Sans Extra Condensed"/>
        <color theme="1"/>
        <sz val="10.0"/>
      </rPr>
      <t xml:space="preserve">Debe tener un elemento que permite ordenar la información dando clic de manera intuitiva en los títulos de las columnas de mayor a menor y de menor a mayor.
</t>
    </r>
    <r>
      <rPr>
        <rFont val="Fira Sans Extra Condensed"/>
        <b/>
        <color theme="1"/>
        <sz val="10.0"/>
      </rPr>
      <t xml:space="preserve">Paginación: </t>
    </r>
    <r>
      <rPr>
        <rFont val="Fira Sans Extra Condensed"/>
        <color theme="1"/>
        <sz val="10.0"/>
      </rPr>
      <t xml:space="preserve">Se debe mostrar 50 resultados por página. 
</t>
    </r>
    <r>
      <rPr>
        <rFont val="Fira Sans Extra Condensed"/>
        <b/>
        <color theme="1"/>
        <sz val="10.0"/>
      </rPr>
      <t>Descargar:</t>
    </r>
    <r>
      <rPr>
        <rFont val="Fira Sans Extra Condensed"/>
        <color theme="1"/>
        <sz val="10.0"/>
      </rPr>
      <t xml:space="preserve"> Debe existir un elemento que le permita al usuario realizar la descarga de todas las empresas asociadas en el canal, el usuario al dar clic actualiza la pantalla y el canal muestra:
Titulo: Descargar Reporte
elemento de cerrar.
Texto: Elija el formato 
Excel  (.xlsx) 
PDF    (.pdf)
Una vez el cliente seleccione un formato se habilita el botón de “Descargar”.
La información descargada debe coincidir si fue aplicado un filtro. El archivo descargado debe contener la información del total de resultados de todas las páginas que se muestran en el resultado. 
En el formato en PDF en canal debe mostrar el Nombre del banco en la parte superior y el contenido de la consulta en la parte inferior de manera ordenada y clara. </t>
    </r>
  </si>
  <si>
    <t>Acceso al Módulo de administración / Grupo de Productos</t>
  </si>
  <si>
    <r>
      <rPr>
        <rFont val="Fira Sans Extra Condensed"/>
        <color theme="1"/>
        <sz val="10.0"/>
      </rPr>
      <t xml:space="preserve">Al ingresar a Grupos de Productos, mostrará el usuario se encuentra en una opción donde puede consultar o crear grupos:
Resultado consultas:
Se debe presentar la siguiente información de resultado por registro.
</t>
    </r>
    <r>
      <rPr>
        <rFont val="Fira Sans Extra Condensed"/>
        <b/>
        <color theme="1"/>
        <sz val="10.0"/>
      </rPr>
      <t>Grupo Regional</t>
    </r>
    <r>
      <rPr>
        <rFont val="Fira Sans Extra Condensed"/>
        <color theme="1"/>
        <sz val="10.0"/>
      </rPr>
      <t xml:space="preserve">: Se debe mostrar el nombre del Grupo Regional al que pertenece el Grupo de productos
</t>
    </r>
    <r>
      <rPr>
        <rFont val="Fira Sans Extra Condensed"/>
        <b/>
        <color theme="1"/>
        <sz val="10.0"/>
      </rPr>
      <t xml:space="preserve">Nombre del grupo: </t>
    </r>
    <r>
      <rPr>
        <rFont val="Fira Sans Extra Condensed"/>
        <color theme="1"/>
        <sz val="10.0"/>
      </rPr>
      <t xml:space="preserve">Se debe mostrar el nombre con el que se creó  grupo ejemplo: “Tesorería Honduras”.
</t>
    </r>
    <r>
      <rPr>
        <rFont val="Fira Sans Extra Condensed"/>
        <b/>
        <color theme="1"/>
        <sz val="10.0"/>
      </rPr>
      <t>País:</t>
    </r>
    <r>
      <rPr>
        <rFont val="Fira Sans Extra Condensed"/>
        <color theme="1"/>
        <sz val="10.0"/>
      </rPr>
      <t xml:space="preserve"> El canal debe mostrar las banderas de los productos que se encuentran incluidos en el grupo.
</t>
    </r>
    <r>
      <rPr>
        <rFont val="Fira Sans Extra Condensed"/>
        <b/>
        <color theme="1"/>
        <sz val="10.0"/>
      </rPr>
      <t xml:space="preserve">Empresas: </t>
    </r>
    <r>
      <rPr>
        <rFont val="Fira Sans Extra Condensed"/>
        <color theme="1"/>
        <sz val="10.0"/>
      </rPr>
      <t xml:space="preserve">Se deben visualizar el número del total de  las empresas de los productos que se encuentran incluidos en el grupo de productos. 
</t>
    </r>
    <r>
      <rPr>
        <rFont val="Fira Sans Extra Condensed"/>
        <b/>
        <color theme="1"/>
        <sz val="10.0"/>
      </rPr>
      <t>Destacado:</t>
    </r>
    <r>
      <rPr>
        <rFont val="Fira Sans Extra Condensed"/>
        <color theme="1"/>
        <sz val="10.0"/>
      </rPr>
      <t xml:space="preserve"> Debe existir un elemento que permita a los usuarios marcar o desmarcar un grupo como “destacado”, los grupos marcados como destacado serán mostrados en la tarde superior de resultado de las pantallas donde aplique la selección de grupos de productos.
</t>
    </r>
    <r>
      <rPr>
        <rFont val="Fira Sans Extra Condensed"/>
        <b/>
        <color theme="1"/>
        <sz val="10.0"/>
      </rPr>
      <t>Accionables:</t>
    </r>
    <r>
      <rPr>
        <rFont val="Fira Sans Extra Condensed"/>
        <color theme="1"/>
        <sz val="10.0"/>
      </rPr>
      <t xml:space="preserve"> permite al usuario seleccionar si requiere ver un mayor detalle o eliminar un grupo de productos creado previamente.
Adicional esta pantalla permite aplicar:
</t>
    </r>
    <r>
      <rPr>
        <rFont val="Fira Sans Extra Condensed"/>
        <b/>
        <color theme="1"/>
        <sz val="10.0"/>
      </rPr>
      <t xml:space="preserve">Filtros: </t>
    </r>
    <r>
      <rPr>
        <rFont val="Fira Sans Extra Condensed"/>
        <color theme="1"/>
        <sz val="10.0"/>
      </rPr>
      <t xml:space="preserve">Debe tener una opción que permita realizar filtros de acuerdo a los títulos de resultados. 
</t>
    </r>
    <r>
      <rPr>
        <rFont val="Fira Sans Extra Condensed"/>
        <b/>
        <color theme="1"/>
        <sz val="10.0"/>
      </rPr>
      <t xml:space="preserve">Buscar: </t>
    </r>
    <r>
      <rPr>
        <rFont val="Fira Sans Extra Condensed"/>
        <color theme="1"/>
        <sz val="10.0"/>
      </rPr>
      <t xml:space="preserve">Debe existir un elemento que le permita al usuario buscar una grupo de productos escribiendo el nombre de la misma el canal debe validar la información y actualizar la pantalla según el resultado.
</t>
    </r>
    <r>
      <rPr>
        <rFont val="Fira Sans Extra Condensed"/>
        <b/>
        <color theme="1"/>
        <sz val="10.0"/>
      </rPr>
      <t>Ordenar:</t>
    </r>
    <r>
      <rPr>
        <rFont val="Fira Sans Extra Condensed"/>
        <color theme="1"/>
        <sz val="10.0"/>
      </rPr>
      <t xml:space="preserve"> Debe tener un elemento que permite ordenar la información dando clic de manera intuitiva en los títulos de las columnas de mayor a menor y de menor a mayor.
</t>
    </r>
    <r>
      <rPr>
        <rFont val="Fira Sans Extra Condensed"/>
        <b/>
        <color theme="1"/>
        <sz val="10.0"/>
      </rPr>
      <t>Paginación:</t>
    </r>
    <r>
      <rPr>
        <rFont val="Fira Sans Extra Condensed"/>
        <color theme="1"/>
        <sz val="10.0"/>
      </rPr>
      <t xml:space="preserve"> Se debe mostrar 50 resultados por página. 
</t>
    </r>
    <r>
      <rPr>
        <rFont val="Fira Sans Extra Condensed"/>
        <b/>
        <color theme="1"/>
        <sz val="10.0"/>
      </rPr>
      <t xml:space="preserve">Descargar: </t>
    </r>
    <r>
      <rPr>
        <rFont val="Fira Sans Extra Condensed"/>
        <color theme="1"/>
        <sz val="10.0"/>
      </rPr>
      <t xml:space="preserve">Debe existir un elemento que le permita al usuario realizar la descarga de todos los grupos de producto asociados en el canal, el usuario al dar clic actualiza la pantalla y el canal muestra el formato en que se puede descargar Excel  (.xlsx) </t>
    </r>
  </si>
  <si>
    <t>Acceso al Módulo de administración / Grupo de Productos - Ver detalle</t>
  </si>
  <si>
    <r>
      <rPr>
        <rFont val="Fira Sans Extra Condensed"/>
        <color theme="1"/>
        <sz val="10.0"/>
      </rPr>
      <t xml:space="preserve">Detalle Grupo de productos: 
Debe contar con una opción que permita visualizar mayor detalle y acceder a otras funcionalidades, al dar clic en esta opción se debe visualizar de manera detallada el resumen del grupo de producto seleccionado así:
</t>
    </r>
    <r>
      <rPr>
        <rFont val="Fira Sans Extra Condensed"/>
        <b/>
        <color theme="1"/>
        <sz val="10.0"/>
      </rPr>
      <t>Grupo Regional
Nombre del Grupo
Países
Empresas: Número del total de empresas que conforman el grupo 
Productos: Número del total de productos seleccionados 
Tipo Productos</t>
    </r>
    <r>
      <rPr>
        <rFont val="Fira Sans Extra Condensed"/>
        <color theme="1"/>
        <sz val="10.0"/>
      </rPr>
      <t xml:space="preserve">
</t>
    </r>
    <r>
      <rPr>
        <rFont val="Fira Sans Extra Condensed"/>
        <b/>
        <color theme="1"/>
        <sz val="10.0"/>
      </rPr>
      <t>Productos Seleccionados:</t>
    </r>
    <r>
      <rPr>
        <rFont val="Fira Sans Extra Condensed"/>
        <color theme="1"/>
        <sz val="10.0"/>
      </rPr>
      <t xml:space="preserve"> En la pantalla el canal mostrará la información de los productos seleccionados en el mismo orden del paso anterior agrupando la información por tipo de productos. 
</t>
    </r>
    <r>
      <rPr>
        <rFont val="Fira Sans Extra Condensed"/>
        <b/>
        <color theme="1"/>
        <sz val="10.0"/>
      </rPr>
      <t xml:space="preserve">País 
Empresa
Nombre del producto
Tipo de Producto
Número del Producto
Elemento para Descargar
Características: </t>
    </r>
    <r>
      <rPr>
        <rFont val="Fira Sans Extra Condensed"/>
        <color theme="1"/>
        <sz val="10.0"/>
      </rPr>
      <t xml:space="preserve">
Esta opción únicamente es habilitada a todos los usuarios que puedan acceder al control center usuarios que tengan el rol de super usuario, esta opción de Grupo de productos debe permitir visualizar y realizar novedades como creación, edición, eliminación y consulta de grupos de productos teniendo en cuenta las reglas definidas en la historia de usuario.</t>
    </r>
  </si>
  <si>
    <t>Visualización de los grupos de productos</t>
  </si>
  <si>
    <t>Visualización del menú vertical izquierdo (Sidebar)
Gestión consulta Usuarios canal</t>
  </si>
  <si>
    <t>Acceso al Módulo de administración / Usuario</t>
  </si>
  <si>
    <r>
      <rPr>
        <rFont val="Fira Sans Extra Condensed"/>
        <color theme="1"/>
        <sz val="10.0"/>
      </rPr>
      <t xml:space="preserve">La ruta para ingresar es por Administración/usuarios, una vez el usuario de clic se actualiza la pantalla donde  permite visualizar los usuarios que pueden acceder al módulo regional, adicional el usuario podrá habilitar un usuarios, ver, eliminar y editar información de usuarios con el mismo dominio de mi país.
</t>
    </r>
    <r>
      <rPr>
        <rFont val="Fira Sans Extra Condensed"/>
        <b/>
        <color theme="1"/>
        <sz val="10.0"/>
      </rPr>
      <t xml:space="preserve">Resultado consulta:
Se debe presentar la siguiente información de resultado por registro.
País: </t>
    </r>
    <r>
      <rPr>
        <rFont val="Fira Sans Extra Condensed"/>
        <color theme="1"/>
        <sz val="10.0"/>
      </rPr>
      <t xml:space="preserve">El canal debe mostrar la bandera del país origen por el cual accede desde la banca local al módulo regional.
</t>
    </r>
    <r>
      <rPr>
        <rFont val="Fira Sans Extra Condensed"/>
        <b/>
        <color theme="1"/>
        <sz val="10.0"/>
      </rPr>
      <t xml:space="preserve">Nombre de usuario: </t>
    </r>
    <r>
      <rPr>
        <rFont val="Fira Sans Extra Condensed"/>
        <color theme="1"/>
        <sz val="10.0"/>
      </rPr>
      <t xml:space="preserve">Se debe mostrar el nombre del usuario igual a cómo fue creado.
</t>
    </r>
    <r>
      <rPr>
        <rFont val="Fira Sans Extra Condensed"/>
        <b/>
        <color theme="1"/>
        <sz val="10.0"/>
      </rPr>
      <t xml:space="preserve">Tipo de Identificación: </t>
    </r>
    <r>
      <rPr>
        <rFont val="Fira Sans Extra Condensed"/>
        <color theme="1"/>
        <sz val="10.0"/>
      </rPr>
      <t xml:space="preserve">se deben visualizar el nombre del tipo de identificación con el que ingresa a la banca local.
</t>
    </r>
    <r>
      <rPr>
        <rFont val="Fira Sans Extra Condensed"/>
        <b/>
        <color theme="1"/>
        <sz val="10.0"/>
      </rPr>
      <t xml:space="preserve">Identificación: </t>
    </r>
    <r>
      <rPr>
        <rFont val="Fira Sans Extra Condensed"/>
        <color theme="1"/>
        <sz val="10.0"/>
      </rPr>
      <t xml:space="preserve">se deben visualizar el nombre del tipo de identificación con el que ingresa a la banca local.
</t>
    </r>
    <r>
      <rPr>
        <rFont val="Fira Sans Extra Condensed"/>
        <b/>
        <color theme="1"/>
        <sz val="10.0"/>
      </rPr>
      <t>Nombre Grupo Regional:</t>
    </r>
    <r>
      <rPr>
        <rFont val="Fira Sans Extra Condensed"/>
        <color theme="1"/>
        <sz val="10.0"/>
      </rPr>
      <t xml:space="preserve"> Se debe mostrar el nombre del grupo regional al que se encuentra asociado el usuario.
</t>
    </r>
    <r>
      <rPr>
        <rFont val="Fira Sans Extra Condensed"/>
        <b/>
        <color theme="1"/>
        <sz val="10.0"/>
      </rPr>
      <t xml:space="preserve">Estado: </t>
    </r>
    <r>
      <rPr>
        <rFont val="Fira Sans Extra Condensed"/>
        <color theme="1"/>
        <sz val="10.0"/>
      </rPr>
      <t xml:space="preserve">El canal debe mostrar el estado del usuario en el sistema “Activo” e “Inactivo” serán las dos opciones.
</t>
    </r>
    <r>
      <rPr>
        <rFont val="Fira Sans Extra Condensed"/>
        <b/>
        <color theme="1"/>
        <sz val="10.0"/>
      </rPr>
      <t xml:space="preserve">Quick Action: </t>
    </r>
    <r>
      <rPr>
        <rFont val="Fira Sans Extra Condensed"/>
        <color theme="1"/>
        <sz val="10.0"/>
      </rPr>
      <t xml:space="preserve">El canal debe habilitar los siguientes accionables: 
</t>
    </r>
    <r>
      <rPr>
        <rFont val="Fira Sans Extra Condensed"/>
        <b/>
        <color theme="1"/>
        <sz val="10.0"/>
      </rPr>
      <t xml:space="preserve">Ver detalle: </t>
    </r>
    <r>
      <rPr>
        <rFont val="Fira Sans Extra Condensed"/>
        <color theme="1"/>
        <sz val="10.0"/>
      </rPr>
      <t xml:space="preserve">Al dar clic debe actualizar la pantalla y permite visualizar cómo fue creado un usuario
</t>
    </r>
    <r>
      <rPr>
        <rFont val="Fira Sans Extra Condensed"/>
        <b/>
        <color theme="1"/>
        <sz val="10.0"/>
      </rPr>
      <t xml:space="preserve">Eliminar: </t>
    </r>
    <r>
      <rPr>
        <rFont val="Fira Sans Extra Condensed"/>
        <color theme="1"/>
        <sz val="10.0"/>
      </rPr>
      <t xml:space="preserve">únicamente visible para usuarios preparadores de país dominio. </t>
    </r>
  </si>
  <si>
    <t>Visualización de registros de usuarios marcados como multilatinos</t>
  </si>
  <si>
    <r>
      <rPr>
        <rFont val="Fira Sans Extra Condensed"/>
        <b/>
        <color theme="1"/>
        <sz val="10.0"/>
      </rPr>
      <t>Adicional permite aplicar las siguientes opciones:</t>
    </r>
    <r>
      <rPr>
        <rFont val="Fira Sans Extra Condensed"/>
        <color theme="1"/>
        <sz val="10.0"/>
      </rPr>
      <t xml:space="preserve">
</t>
    </r>
    <r>
      <rPr>
        <rFont val="Fira Sans Extra Condensed"/>
        <b/>
        <color theme="1"/>
        <sz val="10.0"/>
      </rPr>
      <t xml:space="preserve">Filtros: </t>
    </r>
    <r>
      <rPr>
        <rFont val="Fira Sans Extra Condensed"/>
        <color theme="1"/>
        <sz val="10.0"/>
      </rPr>
      <t xml:space="preserve">Debe tener una opción que permita realizar filtros de acuerdo a los títulos de resultados. 
</t>
    </r>
    <r>
      <rPr>
        <rFont val="Fira Sans Extra Condensed"/>
        <b/>
        <color theme="1"/>
        <sz val="10.0"/>
      </rPr>
      <t>Buscar:</t>
    </r>
    <r>
      <rPr>
        <rFont val="Fira Sans Extra Condensed"/>
        <color theme="1"/>
        <sz val="10.0"/>
      </rPr>
      <t xml:space="preserve"> Debe existir un elemento que le permita al usuario buscar un usuario escribiendo el nombre del mismo el canal debe validar la información y actualizar la pantalla según el resultado.
</t>
    </r>
    <r>
      <rPr>
        <rFont val="Fira Sans Extra Condensed"/>
        <b/>
        <color theme="1"/>
        <sz val="10.0"/>
      </rPr>
      <t xml:space="preserve">Ordenar: </t>
    </r>
    <r>
      <rPr>
        <rFont val="Fira Sans Extra Condensed"/>
        <color theme="1"/>
        <sz val="10.0"/>
      </rPr>
      <t xml:space="preserve">Debe tener un elemento que permite ordenar la información dando clic de manera intuitiva en los títulos de las columnas de mayor a menor y de menor a mayor.
</t>
    </r>
    <r>
      <rPr>
        <rFont val="Fira Sans Extra Condensed"/>
        <b/>
        <color theme="1"/>
        <sz val="10.0"/>
      </rPr>
      <t xml:space="preserve">Paginación: </t>
    </r>
    <r>
      <rPr>
        <rFont val="Fira Sans Extra Condensed"/>
        <color theme="1"/>
        <sz val="10.0"/>
      </rPr>
      <t xml:space="preserve">Se debe mostrar 50 resultados por página. 
</t>
    </r>
    <r>
      <rPr>
        <rFont val="Fira Sans Extra Condensed"/>
        <b/>
        <color theme="1"/>
        <sz val="10.0"/>
      </rPr>
      <t>Descargar:</t>
    </r>
    <r>
      <rPr>
        <rFont val="Fira Sans Extra Condensed"/>
        <color theme="1"/>
        <sz val="10.0"/>
      </rPr>
      <t xml:space="preserve"> Debe tener un elemento que permita realizar la descarga en Excel.</t>
    </r>
  </si>
  <si>
    <r>
      <rPr>
        <rFont val="Fira Sans Extra Condensed"/>
        <b/>
        <color theme="1"/>
        <sz val="10.0"/>
      </rPr>
      <t xml:space="preserve">Ver detalle Usuario: </t>
    </r>
    <r>
      <rPr>
        <rFont val="Fira Sans Extra Condensed"/>
        <color theme="1"/>
        <sz val="10.0"/>
      </rPr>
      <t xml:space="preserve">
Al dar clic sobre el resultado debe permitir visualizar una nueva pantalla que presenta la información del usuario, debe mostrar el grupo empresarial al que pertenece, Nombre del usuario, País origen con la bandera, tipo de identificación y número de identificación, teléfono, Estado del usuario (permite editar si corresponde al país dominio).  y posterior detalle de transacciones permitidas y Grupos de productos. 
</t>
    </r>
    <r>
      <rPr>
        <rFont val="Fira Sans Extra Condensed"/>
        <b/>
        <color theme="1"/>
        <sz val="10.0"/>
      </rPr>
      <t xml:space="preserve">Editar: </t>
    </r>
    <r>
      <rPr>
        <rFont val="Fira Sans Extra Condensed"/>
        <color theme="1"/>
        <sz val="10.0"/>
      </rPr>
      <t xml:space="preserve">Si el usuario pertenece al país dominio se habilita esta opción, permite editar los Grupos y roles del mismo. 
</t>
    </r>
    <r>
      <rPr>
        <rFont val="Fira Sans Extra Condensed"/>
        <b/>
        <color theme="1"/>
        <sz val="10.0"/>
      </rPr>
      <t>Descargar:</t>
    </r>
    <r>
      <rPr>
        <rFont val="Fira Sans Extra Condensed"/>
        <color theme="1"/>
        <sz val="10.0"/>
      </rPr>
      <t xml:space="preserve"> Esta opción permite realizar la descarga del usuario.  previamente el usuario debe seleccionar el tipo de formato.
</t>
    </r>
    <r>
      <rPr>
        <rFont val="Fira Sans Extra Condensed"/>
        <b/>
        <color theme="1"/>
        <sz val="10.0"/>
      </rPr>
      <t>Eliminar</t>
    </r>
    <r>
      <rPr>
        <rFont val="Fira Sans Extra Condensed"/>
        <color theme="1"/>
        <sz val="10.0"/>
      </rPr>
      <t xml:space="preserve">: Si el usuario pertenece al país dominio se habilita esta opción. 
</t>
    </r>
    <r>
      <rPr>
        <rFont val="Fira Sans Extra Condensed"/>
        <b/>
        <color theme="1"/>
        <sz val="10.0"/>
      </rPr>
      <t>Regresar</t>
    </r>
    <r>
      <rPr>
        <rFont val="Fira Sans Extra Condensed"/>
        <color theme="1"/>
        <sz val="10.0"/>
      </rPr>
      <t xml:space="preserve">: Al dar clic lleva a la pantalla anterior. 
</t>
    </r>
    <r>
      <rPr>
        <rFont val="Fira Sans Extra Condensed"/>
        <b/>
        <color theme="1"/>
        <sz val="10.0"/>
      </rPr>
      <t xml:space="preserve">Características: 
</t>
    </r>
    <r>
      <rPr>
        <rFont val="Fira Sans Extra Condensed"/>
        <color theme="1"/>
        <sz val="10.0"/>
      </rPr>
      <t xml:space="preserve">
El acceso al submódulo de “usuarios” es habilitada a todos los roles del control center, en el detalle de un Grupo regional debe tener un elemento que permita realizar la creación de un grupo de un usuario  desde el Control Center Regional, el detalle de la creación debe ser realizada igual que la asignación desde front.  La opción de crear se habilita únicamente sobre usuarios del país dominio del usuario siguiendo la lógica de que solo los usuarios con el rol de preparar visualizan la opción de “crear”.</t>
    </r>
  </si>
  <si>
    <t>Visualización del menú vertical izquierdo (Sidebar)
Gestión creación Usuarios canal
Acceso al Módulo de administración / Usuario</t>
  </si>
  <si>
    <t>Usuario debe estar previamente marcado como multilatino en CC de la banca local o portal empresarial en Colombia</t>
  </si>
  <si>
    <r>
      <rPr>
        <rFont val="Fira Sans Extra Condensed"/>
        <color theme="1"/>
        <sz val="10.0"/>
      </rPr>
      <t xml:space="preserve">Mostrar los siguientes campos al momento de adicionar un usuario nuevo:
</t>
    </r>
    <r>
      <rPr>
        <rFont val="Fira Sans Extra Condensed"/>
        <b/>
        <color theme="1"/>
        <sz val="10.0"/>
      </rPr>
      <t>Datos de Usuario:</t>
    </r>
    <r>
      <rPr>
        <rFont val="Fira Sans Extra Condensed"/>
        <color theme="1"/>
        <sz val="10.0"/>
      </rPr>
      <t xml:space="preserve"> Se habilita la opción para que el usuario administrador busque el usuario que requiere dar acceso al módulo regional, posterior se debe habilitar la siguiente información para buscar los usuarios: 
</t>
    </r>
    <r>
      <rPr>
        <rFont val="Fira Sans Extra Condensed"/>
        <b/>
        <color theme="1"/>
        <sz val="10.0"/>
      </rPr>
      <t>País:</t>
    </r>
    <r>
      <rPr>
        <rFont val="Fira Sans Extra Condensed"/>
        <color theme="1"/>
        <sz val="10.0"/>
      </rPr>
      <t xml:space="preserve"> lista desplegable
</t>
    </r>
    <r>
      <rPr>
        <rFont val="Fira Sans Extra Condensed"/>
        <b/>
        <color theme="1"/>
        <sz val="10.0"/>
      </rPr>
      <t>Tipo Id:</t>
    </r>
    <r>
      <rPr>
        <rFont val="Fira Sans Extra Condensed"/>
        <color theme="1"/>
        <sz val="10.0"/>
      </rPr>
      <t xml:space="preserve"> lista desplegable, en el cual se debe incluir todos los tipo de identificación que existan en las bancas locales de los países donde banco Davivienda tiene presencia. 
</t>
    </r>
    <r>
      <rPr>
        <rFont val="Fira Sans Extra Condensed"/>
        <b/>
        <color theme="1"/>
        <sz val="10.0"/>
      </rPr>
      <t>Número documento:</t>
    </r>
    <r>
      <rPr>
        <rFont val="Fira Sans Extra Condensed"/>
        <color theme="1"/>
        <sz val="10.0"/>
      </rPr>
      <t xml:space="preserve"> Campo alfanumérico
Una vez diligenciados se habilita el botón de “Continuar”. El Módulo regional debe comunicarse con las bancas locales y buscar coincidencias de acuerdo con la información ingresada. </t>
    </r>
  </si>
  <si>
    <t>Visualización de campos y selección de información del usuario a buscar.</t>
  </si>
  <si>
    <r>
      <rPr>
        <rFont val="Fira Sans Extra Condensed"/>
        <color theme="1"/>
        <sz val="10.0"/>
      </rPr>
      <t xml:space="preserve">Si al ingresar la información del usuario encuentra coincidencia, mostrará la información en formato lectura no editable.
</t>
    </r>
    <r>
      <rPr>
        <rFont val="Fira Sans Extra Condensed"/>
        <b/>
        <color theme="1"/>
        <sz val="10.0"/>
      </rPr>
      <t>Nombre y apellidos
País
Tipo de documento
Número de identificación
Teléfono de contacto</t>
    </r>
    <r>
      <rPr>
        <rFont val="Fira Sans Extra Condensed"/>
        <color theme="1"/>
        <sz val="10.0"/>
      </rPr>
      <t xml:space="preserve">
Si el usuario a crear ya tiene acceso a la banca en línea en CAM o a los portales en Colombia, según el país seleccionado, el usuario heredará las credenciales del país seleccionado.</t>
    </r>
  </si>
  <si>
    <t>Visualización del usuario en formato lectura.</t>
  </si>
  <si>
    <t>Si el usuario a crear no ha sido previamente marcado en CC de la banca local, no mostrará información del usuario y mostrará mensaje en pantalla indicado que el usuario no existe.</t>
  </si>
  <si>
    <t>- No permitir continuar al siguiente paso</t>
  </si>
  <si>
    <t>Mostrar mensaje informativo, indicando que el usuario no se encuentra marcado como multilatino</t>
  </si>
  <si>
    <t>Usuario ingrese ID de usuario a crear incorrecto o no existente en la BEL local, mostrará mensaje de error indicando que el ID es incorrecto o no existe y no mostrará detalle de la información.</t>
  </si>
  <si>
    <t>Mostrar mensaje informativo, indicando que el usuario no existe.</t>
  </si>
  <si>
    <t>Visualización del menú vertical izquierdo (Sidebar)
Gestión modificación Usuarios canal</t>
  </si>
  <si>
    <t>Usuario debe estar previamente marcado como multilatino en CC de la banca local</t>
  </si>
  <si>
    <t xml:space="preserve">Si el usuario pertenece al país dominio se habilita esta opción, permite editar los Grupos y roles del mismo. </t>
  </si>
  <si>
    <t>Visualización y acceso al ícono de modificar (lápiz)</t>
  </si>
  <si>
    <t>Visualización del menú vertical izquierdo (Sidebar)
Gestión eliminación Usuarios canal</t>
  </si>
  <si>
    <t xml:space="preserve">Si el usuario pertenece al país dominio se habilita la opción de eliminar.
</t>
  </si>
  <si>
    <t>Visualización y acceso al ícono de eliminar (basurero)</t>
  </si>
  <si>
    <t>Acceso al Módulo de administración / Esquema de firmas</t>
  </si>
  <si>
    <r>
      <rPr>
        <rFont val="Fira Sans Extra Condensed"/>
        <color theme="1"/>
        <sz val="10.0"/>
      </rPr>
      <t xml:space="preserve">Una vez el usuario da clic a Administración / Esquema de firmas, la pantalla debe actualizar y mostrar que el usuario se encuentra en una opción donde puede consultar o crear esquemas:
Puede crear, editar y eliminar los esquemas de firmas que aprobarán o rechazarán las operaciones del canal. Para facilitar su gestión, puede usar el buscasdor o los filtros presentados.
</t>
    </r>
    <r>
      <rPr>
        <rFont val="Fira Sans Extra Condensed"/>
        <b/>
        <color theme="1"/>
        <sz val="10.0"/>
      </rPr>
      <t>Botón:</t>
    </r>
    <r>
      <rPr>
        <rFont val="Fira Sans Extra Condensed"/>
        <color theme="1"/>
        <sz val="10.0"/>
      </rPr>
      <t xml:space="preserve"> Crear Esquema
</t>
    </r>
    <r>
      <rPr>
        <rFont val="Fira Sans Extra Condensed"/>
        <b/>
        <color theme="1"/>
        <sz val="10.0"/>
      </rPr>
      <t>Resultado consultas:</t>
    </r>
    <r>
      <rPr>
        <rFont val="Fira Sans Extra Condensed"/>
        <color theme="1"/>
        <sz val="10.0"/>
      </rPr>
      <t xml:space="preserve">
Se debe presentar la siguiente información de resultado por registro.
</t>
    </r>
    <r>
      <rPr>
        <rFont val="Fira Sans Extra Condensed"/>
        <b/>
        <color theme="1"/>
        <sz val="10.0"/>
      </rPr>
      <t xml:space="preserve">Fecha de creación: </t>
    </r>
    <r>
      <rPr>
        <rFont val="Fira Sans Extra Condensed"/>
        <color theme="1"/>
        <sz val="10.0"/>
      </rPr>
      <t xml:space="preserve">El canal debe mostrar la fecha en la que fue creado el esquema de firma..
</t>
    </r>
    <r>
      <rPr>
        <rFont val="Fira Sans Extra Condensed"/>
        <b/>
        <color theme="1"/>
        <sz val="10.0"/>
      </rPr>
      <t xml:space="preserve">Nombre del esquema: </t>
    </r>
    <r>
      <rPr>
        <rFont val="Fira Sans Extra Condensed"/>
        <color theme="1"/>
        <sz val="10.0"/>
      </rPr>
      <t xml:space="preserve">Se debe mostrar el nombre  igual a cómo fue creado.
</t>
    </r>
    <r>
      <rPr>
        <rFont val="Fira Sans Extra Condensed"/>
        <b/>
        <color theme="1"/>
        <sz val="10.0"/>
      </rPr>
      <t>Nombre del Grupo:</t>
    </r>
    <r>
      <rPr>
        <rFont val="Fira Sans Extra Condensed"/>
        <color theme="1"/>
        <sz val="10.0"/>
      </rPr>
      <t xml:space="preserve"> El canal debe mostrar el nombre del grupo al que pertenece el esquema.
</t>
    </r>
    <r>
      <rPr>
        <rFont val="Fira Sans Extra Condensed"/>
        <b/>
        <color theme="1"/>
        <sz val="10.0"/>
      </rPr>
      <t xml:space="preserve">Estado: </t>
    </r>
    <r>
      <rPr>
        <rFont val="Fira Sans Extra Condensed"/>
        <color theme="1"/>
        <sz val="10.0"/>
      </rPr>
      <t xml:space="preserve">se deben visualizar el estado del esquema (Activo - Pendiente - Inconsistencia)
</t>
    </r>
    <r>
      <rPr>
        <rFont val="Fira Sans Extra Condensed"/>
        <b/>
        <color theme="1"/>
        <sz val="10.0"/>
      </rPr>
      <t>Quick Action:</t>
    </r>
    <r>
      <rPr>
        <rFont val="Fira Sans Extra Condensed"/>
        <color theme="1"/>
        <sz val="10.0"/>
      </rPr>
      <t xml:space="preserve"> Se debe presentar el icono que haga referencia a que se puede eliminar un esquema de firma.
</t>
    </r>
    <r>
      <rPr>
        <rFont val="Fira Sans Extra Condensed"/>
        <b/>
        <color theme="1"/>
        <sz val="10.0"/>
      </rPr>
      <t xml:space="preserve">Adicional permite aplicar las siguientes opciones:
Filtros: </t>
    </r>
    <r>
      <rPr>
        <rFont val="Fira Sans Extra Condensed"/>
        <color theme="1"/>
        <sz val="10.0"/>
      </rPr>
      <t xml:space="preserve">Debe tener una opción que permita realizar filtros de acuerdo a los títulos de resultados. 
</t>
    </r>
    <r>
      <rPr>
        <rFont val="Fira Sans Extra Condensed"/>
        <b/>
        <color theme="1"/>
        <sz val="10.0"/>
      </rPr>
      <t xml:space="preserve">Buscar: </t>
    </r>
    <r>
      <rPr>
        <rFont val="Fira Sans Extra Condensed"/>
        <color theme="1"/>
        <sz val="10.0"/>
      </rPr>
      <t xml:space="preserve">Debe existir un elemento que le permita al usuario buscar un esquema escribiendo el nombre del mismo, el canal debe validar la información y actualizar la pantalla según el resultado.
</t>
    </r>
    <r>
      <rPr>
        <rFont val="Fira Sans Extra Condensed"/>
        <b/>
        <color theme="1"/>
        <sz val="10.0"/>
      </rPr>
      <t>Ordenar:</t>
    </r>
    <r>
      <rPr>
        <rFont val="Fira Sans Extra Condensed"/>
        <color theme="1"/>
        <sz val="10.0"/>
      </rPr>
      <t xml:space="preserve"> Debe tener un elemento que permite ordenar la información dando clic de manera intuitiva en los títulos de las columnas de mayor a menor y de menor a mayor.
</t>
    </r>
    <r>
      <rPr>
        <rFont val="Fira Sans Extra Condensed"/>
        <b/>
        <color theme="1"/>
        <sz val="10.0"/>
      </rPr>
      <t>Paginación:</t>
    </r>
    <r>
      <rPr>
        <rFont val="Fira Sans Extra Condensed"/>
        <color theme="1"/>
        <sz val="10.0"/>
      </rPr>
      <t xml:space="preserve"> Se debe mostrar 50 resultados por página. 
</t>
    </r>
    <r>
      <rPr>
        <rFont val="Fira Sans Extra Condensed"/>
        <b/>
        <color theme="1"/>
        <sz val="10.0"/>
      </rPr>
      <t xml:space="preserve">Descargar: </t>
    </r>
    <r>
      <rPr>
        <rFont val="Fira Sans Extra Condensed"/>
        <color theme="1"/>
        <sz val="10.0"/>
      </rPr>
      <t xml:space="preserve">Debe existir un elemento que le permita al usuario realizar la descarga de todos los esquemas en formato  Excel  (.xlsx) </t>
    </r>
  </si>
  <si>
    <t>Visualización de registros de esquema de firmas</t>
  </si>
  <si>
    <r>
      <rPr>
        <rFont val="Fira Sans Extra Condensed"/>
        <b/>
        <color theme="1"/>
        <sz val="10.0"/>
      </rPr>
      <t>Detalle esquema de firmas:</t>
    </r>
    <r>
      <rPr>
        <rFont val="Fira Sans Extra Condensed"/>
        <color theme="1"/>
        <sz val="10.0"/>
      </rPr>
      <t xml:space="preserve">
Al dar clic sobre el registro en la consulta de esquemas de firmas permite tener la misma visual de cómo fue creado el esquema, la información que se visualiza será: 
</t>
    </r>
    <r>
      <rPr>
        <rFont val="Fira Sans Extra Condensed"/>
        <b/>
        <color theme="1"/>
        <sz val="10.0"/>
      </rPr>
      <t xml:space="preserve">Nombre del esquema
Niveles de Aprobación: 
Transacciones y Límites: 
Grupo de Productos: </t>
    </r>
    <r>
      <rPr>
        <rFont val="Fira Sans Extra Condensed"/>
        <color theme="1"/>
        <sz val="10.0"/>
      </rPr>
      <t xml:space="preserve">
</t>
    </r>
    <r>
      <rPr>
        <rFont val="Fira Sans Extra Condensed"/>
        <b/>
        <color theme="1"/>
        <sz val="10.0"/>
      </rPr>
      <t xml:space="preserve">Opciones Pantalla: </t>
    </r>
    <r>
      <rPr>
        <rFont val="Fira Sans Extra Condensed"/>
        <color theme="1"/>
        <sz val="10.0"/>
      </rPr>
      <t xml:space="preserve">
</t>
    </r>
    <r>
      <rPr>
        <rFont val="Fira Sans Extra Condensed"/>
        <b/>
        <color theme="1"/>
        <sz val="10.0"/>
      </rPr>
      <t xml:space="preserve">Regresar: </t>
    </r>
    <r>
      <rPr>
        <rFont val="Fira Sans Extra Condensed"/>
        <color theme="1"/>
        <sz val="10.0"/>
      </rPr>
      <t xml:space="preserve">Al dar clic lleva al usuario a la pantalla anterior.
</t>
    </r>
    <r>
      <rPr>
        <rFont val="Fira Sans Extra Condensed"/>
        <b/>
        <color theme="1"/>
        <sz val="10.0"/>
      </rPr>
      <t xml:space="preserve">Editar: </t>
    </r>
    <r>
      <rPr>
        <rFont val="Fira Sans Extra Condensed"/>
        <color theme="1"/>
        <sz val="10.0"/>
      </rPr>
      <t xml:space="preserve">Permite editar la información de un esquema.
</t>
    </r>
    <r>
      <rPr>
        <rFont val="Fira Sans Extra Condensed"/>
        <b/>
        <color theme="1"/>
        <sz val="10.0"/>
      </rPr>
      <t xml:space="preserve">Eliminar: </t>
    </r>
    <r>
      <rPr>
        <rFont val="Fira Sans Extra Condensed"/>
        <color theme="1"/>
        <sz val="10.0"/>
      </rPr>
      <t xml:space="preserve">Se habilita únicamente a usuarios con rol preparador. 
</t>
    </r>
    <r>
      <rPr>
        <rFont val="Fira Sans Extra Condensed"/>
        <b/>
        <color theme="1"/>
        <sz val="10.0"/>
      </rPr>
      <t xml:space="preserve">Descargar: </t>
    </r>
    <r>
      <rPr>
        <rFont val="Fira Sans Extra Condensed"/>
        <color theme="1"/>
        <sz val="10.0"/>
      </rPr>
      <t xml:space="preserve">Permite descargar como fue creado el esquema de firmas.
</t>
    </r>
    <r>
      <rPr>
        <rFont val="Fira Sans Extra Condensed"/>
        <b/>
        <color theme="1"/>
        <sz val="10.0"/>
      </rPr>
      <t xml:space="preserve">Características: </t>
    </r>
    <r>
      <rPr>
        <rFont val="Fira Sans Extra Condensed"/>
        <color theme="1"/>
        <sz val="10.0"/>
      </rPr>
      <t xml:space="preserve">
Esta opción únicamente es Habilitada a todos los usuarios debe tener un elemento que permita visualizar los esquemas de firmas  asignados a un grupo regional, adicional debe tener un elemento que permita realizar la creación de un grupo de productos desde el Control Center Regional, el detalle de la creación debe ser realizada igual que la asignación desde front siguiendo lo descrito en la H.U. Esquema de firmas</t>
    </r>
  </si>
  <si>
    <t>CP46</t>
  </si>
  <si>
    <t>Creación de esquema de firmas</t>
  </si>
  <si>
    <t>En la parte superior derecha de la pantalla debe mostrar el botón de 'Crear esquema'
- Al hacer clic en el botón 'Crear esquema' deberá redirigir a la pantalla para crear el esquema de firmas.</t>
  </si>
  <si>
    <t>Visualización y acceso al botón de 'Crear esquema'</t>
  </si>
  <si>
    <t>CP47</t>
  </si>
  <si>
    <t>Acceso al Módulo de administración / Módulo de autorizaciones</t>
  </si>
  <si>
    <r>
      <rPr>
        <rFont val="Fira Sans Extra Condensed"/>
        <b/>
        <color theme="1"/>
        <sz val="10.0"/>
      </rPr>
      <t xml:space="preserve">Detalle: </t>
    </r>
    <r>
      <rPr>
        <rFont val="Fira Sans Extra Condensed"/>
        <color theme="1"/>
        <sz val="10.0"/>
      </rPr>
      <t xml:space="preserve">Al dar clic debe actualizar la pantalla y tener una visual de completa de cómo fue enviada la solicitud por el usuario preparador, adicional debe tener los siguientes accionables: 
</t>
    </r>
    <r>
      <rPr>
        <rFont val="Fira Sans Extra Condensed"/>
        <b/>
        <color theme="1"/>
        <sz val="10.0"/>
      </rPr>
      <t>Regresar</t>
    </r>
    <r>
      <rPr>
        <rFont val="Fira Sans Extra Condensed"/>
        <color theme="1"/>
        <sz val="10.0"/>
      </rPr>
      <t xml:space="preserve">: Al dar clic el usuario vuelve a la pantalla anterior.
</t>
    </r>
    <r>
      <rPr>
        <rFont val="Fira Sans Extra Condensed"/>
        <b/>
        <color theme="1"/>
        <sz val="10.0"/>
      </rPr>
      <t xml:space="preserve">Aprobar: </t>
    </r>
    <r>
      <rPr>
        <rFont val="Fira Sans Extra Condensed"/>
        <color theme="1"/>
        <sz val="10.0"/>
      </rPr>
      <t xml:space="preserve">Al dar clic la solicitud queda Autorizada. 
</t>
    </r>
    <r>
      <rPr>
        <rFont val="Fira Sans Extra Condensed"/>
        <b/>
        <color theme="1"/>
        <sz val="10.0"/>
      </rPr>
      <t>Rechazar</t>
    </r>
    <r>
      <rPr>
        <rFont val="Fira Sans Extra Condensed"/>
        <color theme="1"/>
        <sz val="10.0"/>
      </rPr>
      <t xml:space="preserve">: Al dar clic la solicitud queda rechazada.
</t>
    </r>
    <r>
      <rPr>
        <rFont val="Fira Sans Extra Condensed"/>
        <b/>
        <color theme="1"/>
        <sz val="10.0"/>
      </rPr>
      <t>Filtros</t>
    </r>
    <r>
      <rPr>
        <rFont val="Fira Sans Extra Condensed"/>
        <color theme="1"/>
        <sz val="10.0"/>
      </rPr>
      <t xml:space="preserve">: Debe tener una opción que permita realizar filtros de acuerdo a los títulos de resultados. 
</t>
    </r>
    <r>
      <rPr>
        <rFont val="Fira Sans Extra Condensed"/>
        <b/>
        <color theme="1"/>
        <sz val="10.0"/>
      </rPr>
      <t xml:space="preserve">Buscar: </t>
    </r>
    <r>
      <rPr>
        <rFont val="Fira Sans Extra Condensed"/>
        <color theme="1"/>
        <sz val="10.0"/>
      </rPr>
      <t xml:space="preserve">Debe existir un elemento que le permita al usuario buscar un registro usuario escribiendo el nombre del grupo regional , el canal  debe validar la información y actualizar la pantalla según el resultado.
</t>
    </r>
    <r>
      <rPr>
        <rFont val="Fira Sans Extra Condensed"/>
        <b/>
        <color theme="1"/>
        <sz val="10.0"/>
      </rPr>
      <t>Ordenar</t>
    </r>
    <r>
      <rPr>
        <rFont val="Fira Sans Extra Condensed"/>
        <color theme="1"/>
        <sz val="10.0"/>
      </rPr>
      <t xml:space="preserve">: Debe tener un elemento que permite ordenar la información dando clic de manera intuitiva en los títulos de las columnas de mayor a menor y de menor a mayor.
</t>
    </r>
    <r>
      <rPr>
        <rFont val="Fira Sans Extra Condensed"/>
        <b/>
        <color theme="1"/>
        <sz val="10.0"/>
      </rPr>
      <t>Paginación:</t>
    </r>
    <r>
      <rPr>
        <rFont val="Fira Sans Extra Condensed"/>
        <color theme="1"/>
        <sz val="10.0"/>
      </rPr>
      <t xml:space="preserve"> Se debe mostrar 50 resultados por página. 
Si la aprobación o rechazo de la gestión presenta error al confirmar mostrará mensaje de error en pantalla indicando el motivo del error.</t>
    </r>
  </si>
  <si>
    <t xml:space="preserve">Validación de filtros
- Autorización de gestiones de forma exitosa
- Rechazo de gestiones de forma exitosa.
- </t>
  </si>
  <si>
    <t>CP48</t>
  </si>
  <si>
    <t>Acceso al Módulo de administración / Logs de Auditoría</t>
  </si>
  <si>
    <t>Módulo visible para todos los usuarios, quienes podrán consultar y visualizar Logs del Registro completo de cualquier novedad realizada desde el control Center y en el Front de los usuarios durante 12 meses, El sistema debe generar y registrar de forma completa y precisa toda la información relacionados con la creación o cualquier novedad realizada desde el control Center, incluyendo toda la información detallada de los datos de entrada y salida, y cualquier error o excepción que se produzca durante el proceso.</t>
  </si>
  <si>
    <t>Mostrar información de toda la trazabilidad ejecutada por los usuarios BO en control center</t>
  </si>
  <si>
    <t>CP49</t>
  </si>
  <si>
    <r>
      <rPr>
        <rFont val="Fira Sans Extra Condensed"/>
        <color theme="1"/>
        <sz val="10.0"/>
      </rPr>
      <t xml:space="preserve">El usuario podrá filtrar la información por los siguientes filtros de búsqueda:  
</t>
    </r>
    <r>
      <rPr>
        <rFont val="Fira Sans Extra Condensed"/>
        <b/>
        <color theme="1"/>
        <sz val="10.0"/>
      </rPr>
      <t xml:space="preserve">Tipo de novedad: </t>
    </r>
    <r>
      <rPr>
        <rFont val="Fira Sans Extra Condensed"/>
        <color theme="1"/>
        <sz val="10.0"/>
      </rPr>
      <t xml:space="preserve">Permite seleccionar el tipo de novedad dentro de las opciones del desplegable.
</t>
    </r>
    <r>
      <rPr>
        <rFont val="Fira Sans Extra Condensed"/>
        <b/>
        <color theme="1"/>
        <sz val="10.0"/>
      </rPr>
      <t xml:space="preserve">Nombre usuario: </t>
    </r>
    <r>
      <rPr>
        <rFont val="Fira Sans Extra Condensed"/>
        <color theme="1"/>
        <sz val="10.0"/>
      </rPr>
      <t xml:space="preserve">Permite ingresar el nombre del usuario.( debe coincidir con el creado)
</t>
    </r>
    <r>
      <rPr>
        <rFont val="Fira Sans Extra Condensed"/>
        <b/>
        <color theme="1"/>
        <sz val="10.0"/>
      </rPr>
      <t xml:space="preserve">Fecha de novedad </t>
    </r>
    <r>
      <rPr>
        <rFont val="Fira Sans Extra Condensed"/>
        <color theme="1"/>
        <sz val="10.0"/>
      </rPr>
      <t xml:space="preserve">desde - hasta: Permite ingresar la fecha desde y hasta.
</t>
    </r>
    <r>
      <rPr>
        <rFont val="Fira Sans Extra Condensed"/>
        <b/>
        <color theme="1"/>
        <sz val="10.0"/>
      </rPr>
      <t xml:space="preserve">Tipo de identificación: </t>
    </r>
    <r>
      <rPr>
        <rFont val="Fira Sans Extra Condensed"/>
        <color theme="1"/>
        <sz val="10.0"/>
      </rPr>
      <t xml:space="preserve">Permite seleccionar el tipo de ID.
</t>
    </r>
    <r>
      <rPr>
        <rFont val="Fira Sans Extra Condensed"/>
        <b/>
        <color theme="1"/>
        <sz val="10.0"/>
      </rPr>
      <t xml:space="preserve">Número de identificación: </t>
    </r>
    <r>
      <rPr>
        <rFont val="Fira Sans Extra Condensed"/>
        <color theme="1"/>
        <sz val="10.0"/>
      </rPr>
      <t xml:space="preserve">Permite ingresar el número de ID.
</t>
    </r>
    <r>
      <rPr>
        <rFont val="Fira Sans Extra Condensed"/>
        <b/>
        <color theme="1"/>
        <sz val="10.0"/>
      </rPr>
      <t xml:space="preserve">Aplicativo: </t>
    </r>
    <r>
      <rPr>
        <rFont val="Fira Sans Extra Condensed"/>
        <color theme="1"/>
        <sz val="10.0"/>
      </rPr>
      <t xml:space="preserve">Permite seleccionar una de las opciones, Front - Middle
</t>
    </r>
    <r>
      <rPr>
        <rFont val="Fira Sans Extra Condensed"/>
        <b/>
        <color theme="1"/>
        <sz val="10.0"/>
      </rPr>
      <t>Rol Usuario</t>
    </r>
    <r>
      <rPr>
        <rFont val="Fira Sans Extra Condensed"/>
        <color theme="1"/>
        <sz val="10.0"/>
      </rPr>
      <t xml:space="preserve">:Permite seleccionar el rol del usuario
</t>
    </r>
    <r>
      <rPr>
        <rFont val="Fira Sans Extra Condensed"/>
        <b/>
        <color theme="1"/>
        <sz val="10.0"/>
      </rPr>
      <t xml:space="preserve">Número Id Empresa: </t>
    </r>
    <r>
      <rPr>
        <rFont val="Fira Sans Extra Condensed"/>
        <color theme="1"/>
        <sz val="10.0"/>
      </rPr>
      <t xml:space="preserve">Permite ingresar el número de ID de la empresa afectada.
</t>
    </r>
    <r>
      <rPr>
        <rFont val="Fira Sans Extra Condensed"/>
        <b/>
        <color theme="1"/>
        <sz val="10.0"/>
      </rPr>
      <t xml:space="preserve">País: </t>
    </r>
    <r>
      <rPr>
        <rFont val="Fira Sans Extra Condensed"/>
        <color theme="1"/>
        <sz val="10.0"/>
      </rPr>
      <t>Seleccionable, permite seleccionar el país del usuario.</t>
    </r>
  </si>
  <si>
    <t>Mostrar información de acuerdo  a los filtros utilizados</t>
  </si>
  <si>
    <t>CP50</t>
  </si>
  <si>
    <r>
      <rPr>
        <rFont val="Fira Sans Extra Condensed"/>
        <b/>
        <color theme="1"/>
        <sz val="10.0"/>
      </rPr>
      <t>Detalle por registro
Resultado consulta:
Nombre usuario:</t>
    </r>
    <r>
      <rPr>
        <rFont val="Fira Sans Extra Condensed"/>
        <color theme="1"/>
        <sz val="10.0"/>
      </rPr>
      <t xml:space="preserve"> Se debe mostrar el nombre del usuario que realizó la novedad. 
</t>
    </r>
    <r>
      <rPr>
        <rFont val="Fira Sans Extra Condensed"/>
        <b/>
        <color theme="1"/>
        <sz val="10.0"/>
      </rPr>
      <t xml:space="preserve">Tipo ID: </t>
    </r>
    <r>
      <rPr>
        <rFont val="Fira Sans Extra Condensed"/>
        <color theme="1"/>
        <sz val="10.0"/>
      </rPr>
      <t xml:space="preserve">Se debe mostrar el tipo de ID del usuario que realizó la novedad.
</t>
    </r>
    <r>
      <rPr>
        <rFont val="Fira Sans Extra Condensed"/>
        <b/>
        <color theme="1"/>
        <sz val="10.0"/>
      </rPr>
      <t xml:space="preserve">Número ID: </t>
    </r>
    <r>
      <rPr>
        <rFont val="Fira Sans Extra Condensed"/>
        <color theme="1"/>
        <sz val="10.0"/>
      </rPr>
      <t xml:space="preserve">Se debe mostrar el tipo de ID del usuario que realizó la novedad.
</t>
    </r>
    <r>
      <rPr>
        <rFont val="Fira Sans Extra Condensed"/>
        <b/>
        <color theme="1"/>
        <sz val="10.0"/>
      </rPr>
      <t>Novedad:</t>
    </r>
    <r>
      <rPr>
        <rFont val="Fira Sans Extra Condensed"/>
        <color theme="1"/>
        <sz val="10.0"/>
      </rPr>
      <t xml:space="preserve"> Se debe presentar el nombre de la acción realizada.
</t>
    </r>
    <r>
      <rPr>
        <rFont val="Fira Sans Extra Condensed"/>
        <b/>
        <color theme="1"/>
        <sz val="10.0"/>
      </rPr>
      <t xml:space="preserve">Fecha - Hora: </t>
    </r>
    <r>
      <rPr>
        <rFont val="Fira Sans Extra Condensed"/>
        <color theme="1"/>
        <sz val="10.0"/>
      </rPr>
      <t xml:space="preserve">El canal debe mostrar la fecha y hora en la que se realizó la novedad.
</t>
    </r>
    <r>
      <rPr>
        <rFont val="Fira Sans Extra Condensed"/>
        <b/>
        <color theme="1"/>
        <sz val="10.0"/>
      </rPr>
      <t xml:space="preserve">IP: </t>
    </r>
    <r>
      <rPr>
        <rFont val="Fira Sans Extra Condensed"/>
        <color theme="1"/>
        <sz val="10.0"/>
      </rPr>
      <t xml:space="preserve">Se debe presentar la IP desde la cual se realizó la novedad.
</t>
    </r>
    <r>
      <rPr>
        <rFont val="Fira Sans Extra Condensed"/>
        <b/>
        <color theme="1"/>
        <sz val="10.0"/>
      </rPr>
      <t xml:space="preserve">Quick Action ( Ver detalle): </t>
    </r>
    <r>
      <rPr>
        <rFont val="Fira Sans Extra Condensed"/>
        <color theme="1"/>
        <sz val="10.0"/>
      </rPr>
      <t xml:space="preserve">Al dar clic debe actualizar la pantalla y mostrar mayor detalle del registro.
</t>
    </r>
    <r>
      <rPr>
        <rFont val="Fira Sans Extra Condensed"/>
        <b/>
        <color theme="1"/>
        <sz val="10.0"/>
      </rPr>
      <t xml:space="preserve">Detalle: </t>
    </r>
    <r>
      <rPr>
        <rFont val="Fira Sans Extra Condensed"/>
        <color theme="1"/>
        <sz val="10.0"/>
      </rPr>
      <t xml:space="preserve">Una vez el usuario de clic a la opción “ver detalle” se debe actualizar la pantalla y el canal deberá mostrar la información completa de todos los registros desde la “data anterior” hasta la data posterior </t>
    </r>
  </si>
  <si>
    <t>Mostrar detalle de la consulta de acuerdo a los campos consultados</t>
  </si>
  <si>
    <t>CP51</t>
  </si>
  <si>
    <r>
      <rPr>
        <rFont val="Fira Sans Extra Condensed"/>
        <b/>
        <color theme="1"/>
        <sz val="10.0"/>
      </rPr>
      <t xml:space="preserve">Seguridad de los logs: </t>
    </r>
    <r>
      <rPr>
        <rFont val="Fira Sans Extra Condensed"/>
        <color theme="1"/>
        <sz val="10.0"/>
      </rPr>
      <t xml:space="preserve">Los logs deben ser almacenados de forma segura y protegida contra accesos no autorizados. 
</t>
    </r>
    <r>
      <rPr>
        <rFont val="Fira Sans Extra Condensed"/>
        <b/>
        <color theme="1"/>
        <sz val="10.0"/>
      </rPr>
      <t xml:space="preserve">Retención y disponibilidad de los logs: </t>
    </r>
    <r>
      <rPr>
        <rFont val="Fira Sans Extra Condensed"/>
        <color theme="1"/>
        <sz val="10.0"/>
      </rPr>
      <t xml:space="preserve">
Los logs generados deben ser retenidos durante el tiempo necesario para cumplir con las regulaciones locales y las políticas internas del banco. Además, los logs deben estar disponibles para su consulta y análisis por parte del personal autorizado en caso de necesidad, utilizando las herramientas y procedimientos adecuados.
</t>
    </r>
    <r>
      <rPr>
        <rFont val="Fira Sans Extra Condensed"/>
        <b/>
        <color theme="1"/>
        <sz val="10.0"/>
      </rPr>
      <t>Integridad y calidad de los logs:</t>
    </r>
    <r>
      <rPr>
        <rFont val="Fira Sans Extra Condensed"/>
        <color theme="1"/>
        <sz val="10.0"/>
      </rPr>
      <t xml:space="preserve">
Los logs generados deben ser precisos, completos y confiables, garantizando la integridad y calidad de la información registrada. Esto incluye la verificación de la correcta captura de datos, la validación de la consistencia de la información, y la corrección de cualquier error o inconsistencia detectada en los logs.
</t>
    </r>
    <r>
      <rPr>
        <rFont val="Fira Sans Extra Condensed"/>
        <b/>
        <color theme="1"/>
        <sz val="10.0"/>
      </rPr>
      <t xml:space="preserve">Registro de eventos relevantes: </t>
    </r>
    <r>
      <rPr>
        <rFont val="Fira Sans Extra Condensed"/>
        <color theme="1"/>
        <sz val="10.0"/>
      </rPr>
      <t xml:space="preserve">
Los logs deben registrar todos los eventos relevantes relacionados con la creación de una empresa en el canal virtual regional, o cualquier novedad realizada incluyendo la información del usuario que creó la novedad, usuario que la aprobó, horas, fechas, ip, datos de los usuarios que intervienen, país y tipo de novedad. La herramienta debe permitir realizar la descarga de la información en formato pdf. </t>
    </r>
  </si>
  <si>
    <t>Mostrará acceso a usuarios que cuenten con los permisos y mostrará todo el registro de las gestiones realizadas</t>
  </si>
  <si>
    <t>CP52</t>
  </si>
  <si>
    <t>Acceso al Módulo de administración / Transacciones</t>
  </si>
  <si>
    <r>
      <rPr>
        <rFont val="Fira Sans Extra Condensed"/>
        <color theme="1"/>
        <sz val="10.0"/>
      </rPr>
      <t xml:space="preserve">Módulo visible para todos los usuarios, permita a los usuarios que tienen acceso al control center regional tener acceso a consultar reportes de operaciones monetarias de los últimos 12 meses realizados por usuarios en el front del canal para poder monitorear y analizar las transacciones de los clientes.
</t>
    </r>
    <r>
      <rPr>
        <rFont val="Fira Sans Extra Condensed"/>
        <b/>
        <color theme="1"/>
        <sz val="10.0"/>
      </rPr>
      <t>Visualización de Resultados:</t>
    </r>
    <r>
      <rPr>
        <rFont val="Fira Sans Extra Condensed"/>
        <color theme="1"/>
        <sz val="10.0"/>
      </rPr>
      <t xml:space="preserve">
</t>
    </r>
    <r>
      <rPr>
        <rFont val="Fira Sans Extra Condensed"/>
        <b/>
        <color theme="1"/>
        <sz val="10.0"/>
      </rPr>
      <t xml:space="preserve">Fecha: </t>
    </r>
    <r>
      <rPr>
        <rFont val="Fira Sans Extra Condensed"/>
        <color theme="1"/>
        <sz val="10.0"/>
      </rPr>
      <t xml:space="preserve">El canal debe mostrar la fecha en la que se procesó la transferencia. por default se presentará de la más reciente a la más antigua.
</t>
    </r>
    <r>
      <rPr>
        <rFont val="Fira Sans Extra Condensed"/>
        <b/>
        <color theme="1"/>
        <sz val="10.0"/>
      </rPr>
      <t xml:space="preserve">País Origen: </t>
    </r>
    <r>
      <rPr>
        <rFont val="Fira Sans Extra Condensed"/>
        <color theme="1"/>
        <sz val="10.0"/>
      </rPr>
      <t xml:space="preserve">Se debe mostrar el nombre y la bandera del país origen de la operación.
</t>
    </r>
    <r>
      <rPr>
        <rFont val="Fira Sans Extra Condensed"/>
        <b/>
        <color theme="1"/>
        <sz val="10.0"/>
      </rPr>
      <t xml:space="preserve">Tipo de Transferencia: </t>
    </r>
    <r>
      <rPr>
        <rFont val="Fira Sans Extra Condensed"/>
        <color theme="1"/>
        <sz val="10.0"/>
      </rPr>
      <t xml:space="preserve">Se debe mostrar el tipo de operación según corresponda ( Cuentas propias /  cuentas de terceros) 
</t>
    </r>
    <r>
      <rPr>
        <rFont val="Fira Sans Extra Condensed"/>
        <b/>
        <color theme="1"/>
        <sz val="10.0"/>
      </rPr>
      <t xml:space="preserve">Número de Transacción: </t>
    </r>
    <r>
      <rPr>
        <rFont val="Fira Sans Extra Condensed"/>
        <color theme="1"/>
        <sz val="10.0"/>
      </rPr>
      <t xml:space="preserve">Se debe mostrar el número único de identificación de la operación a nivel del canal. 
</t>
    </r>
    <r>
      <rPr>
        <rFont val="Fira Sans Extra Condensed"/>
        <b/>
        <color theme="1"/>
        <sz val="10.0"/>
      </rPr>
      <t>Estado:</t>
    </r>
    <r>
      <rPr>
        <rFont val="Fira Sans Extra Condensed"/>
        <color theme="1"/>
        <sz val="10.0"/>
      </rPr>
      <t xml:space="preserve"> Estado actual de la operación (Exitosa, pendiente de aprobación, rechazada, anulada)
</t>
    </r>
    <r>
      <rPr>
        <rFont val="Fira Sans Extra Condensed"/>
        <b/>
        <color theme="1"/>
        <sz val="10.0"/>
      </rPr>
      <t xml:space="preserve">Monto: </t>
    </r>
    <r>
      <rPr>
        <rFont val="Fira Sans Extra Condensed"/>
        <color theme="1"/>
        <sz val="10.0"/>
      </rPr>
      <t xml:space="preserve">Se debe mostrar el valor y el tipo de la moneda por el cual se generó la transacción.
</t>
    </r>
    <r>
      <rPr>
        <rFont val="Fira Sans Extra Condensed"/>
        <b/>
        <color theme="1"/>
        <sz val="10.0"/>
      </rPr>
      <t xml:space="preserve">Botón Ordenar: </t>
    </r>
    <r>
      <rPr>
        <rFont val="Fira Sans Extra Condensed"/>
        <color theme="1"/>
        <sz val="10.0"/>
      </rPr>
      <t xml:space="preserve">
Debe existir un elemento que permita al usuario ordenar la información que se muestra en pantalla, una vez de clic al título del resultado debe ordenar la información de mayor a menor y al volver al dar clic ordena de menor a mayor. Esta funcionalidad aplica sobre:
</t>
    </r>
    <r>
      <rPr>
        <rFont val="Fira Sans Extra Condensed"/>
        <b/>
        <color theme="1"/>
        <sz val="10.0"/>
      </rPr>
      <t>- Fecha
- Monto</t>
    </r>
    <r>
      <rPr>
        <rFont val="Fira Sans Extra Condensed"/>
        <color theme="1"/>
        <sz val="10.0"/>
      </rPr>
      <t xml:space="preserve">
</t>
    </r>
    <r>
      <rPr>
        <rFont val="Fira Sans Extra Condensed"/>
        <b/>
        <color theme="1"/>
        <sz val="10.0"/>
      </rPr>
      <t>Botón Buscar:</t>
    </r>
    <r>
      <rPr>
        <rFont val="Fira Sans Extra Condensed"/>
        <color theme="1"/>
        <sz val="10.0"/>
      </rPr>
      <t xml:space="preserve">
Al dar clic se debe habilitar una barra de búsqueda que permite al usuario ingresar el “Número de transacción”,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t>
    </r>
  </si>
  <si>
    <t>Visualización de datos de transaccionalidad de clientes que operan en la plataforma regional</t>
  </si>
  <si>
    <t>CP53</t>
  </si>
  <si>
    <r>
      <rPr>
        <rFont val="Fira Sans Extra Condensed"/>
        <b/>
        <color theme="1"/>
        <sz val="10.0"/>
      </rPr>
      <t>Filtrar:</t>
    </r>
    <r>
      <rPr>
        <rFont val="Fira Sans Extra Condensed"/>
        <color theme="1"/>
        <sz val="10.0"/>
      </rPr>
      <t xml:space="preserve">
Debe contar con un elemento que permite  buscar grupos con filtros específicos, al dar clic sobre el texto se sobrepone en la pantalla  la información detallando los filtros que se podrán aplicar para la búsqueda de productos así:
</t>
    </r>
    <r>
      <rPr>
        <rFont val="Fira Sans Extra Condensed"/>
        <b/>
        <color theme="1"/>
        <sz val="10.0"/>
      </rPr>
      <t>Título</t>
    </r>
    <r>
      <rPr>
        <rFont val="Fira Sans Extra Condensed"/>
        <color theme="1"/>
        <sz val="10.0"/>
      </rPr>
      <t xml:space="preserve">: Filtrar
</t>
    </r>
    <r>
      <rPr>
        <rFont val="Fira Sans Extra Condensed"/>
        <b/>
        <color theme="1"/>
        <sz val="10.0"/>
      </rPr>
      <t xml:space="preserve">Botón “x”: </t>
    </r>
    <r>
      <rPr>
        <rFont val="Fira Sans Extra Condensed"/>
        <color theme="1"/>
        <sz val="10.0"/>
      </rPr>
      <t xml:space="preserve">Regresa a la pantalla anterior. 
</t>
    </r>
    <r>
      <rPr>
        <rFont val="Fira Sans Extra Condensed"/>
        <b/>
        <color theme="1"/>
        <sz val="10.0"/>
      </rPr>
      <t xml:space="preserve">Texto: </t>
    </r>
    <r>
      <rPr>
        <rFont val="Fira Sans Extra Condensed"/>
        <color theme="1"/>
        <sz val="10.0"/>
      </rPr>
      <t xml:space="preserve">Aplique las opciones de filtrado que desea:
</t>
    </r>
    <r>
      <rPr>
        <rFont val="Fira Sans Extra Condensed"/>
        <b/>
        <color theme="1"/>
        <sz val="10.0"/>
      </rPr>
      <t>País Origen:</t>
    </r>
    <r>
      <rPr>
        <rFont val="Fira Sans Extra Condensed"/>
        <color theme="1"/>
        <sz val="10.0"/>
      </rPr>
      <t xml:space="preserve"> lista desplegable permite seleccionar uno o todos los países, la opción que aquí se muestre dependerá de donde el grupo tenga presencia mostrando únicamente los países donde tiene productos.
</t>
    </r>
    <r>
      <rPr>
        <rFont val="Fira Sans Extra Condensed"/>
        <b/>
        <color theme="1"/>
        <sz val="10.0"/>
      </rPr>
      <t>Fecha por rango</t>
    </r>
    <r>
      <rPr>
        <rFont val="Fira Sans Extra Condensed"/>
        <color theme="1"/>
        <sz val="10.0"/>
      </rPr>
      <t xml:space="preserve">: El canal debe permitir realizar filtro de fecha por rango desde hasta. (Una vez se de clic a esta opción se debe mostrar un calendario mostrando el mes en curso, en caso que el usuario ingrese una fecha posterior a 12 meses se debe presentar un modal con mensaje: “Solo puede consultar los procesos de los últimos 12 meses”
</t>
    </r>
    <r>
      <rPr>
        <rFont val="Fira Sans Extra Condensed"/>
        <b/>
        <color theme="1"/>
        <sz val="10.0"/>
      </rPr>
      <t xml:space="preserve">Tipo de Operación: </t>
    </r>
    <r>
      <rPr>
        <rFont val="Fira Sans Extra Condensed"/>
        <color theme="1"/>
        <sz val="10.0"/>
      </rPr>
      <t xml:space="preserve">Permite seleccionar las opciones: (Cuentas propias / Cuentas de terceros) 
</t>
    </r>
    <r>
      <rPr>
        <rFont val="Fira Sans Extra Condensed"/>
        <b/>
        <color theme="1"/>
        <sz val="10.0"/>
      </rPr>
      <t>Monto por rango:</t>
    </r>
    <r>
      <rPr>
        <rFont val="Fira Sans Extra Condensed"/>
        <color theme="1"/>
        <sz val="10.0"/>
      </rPr>
      <t xml:space="preserve"> El canal debe permitir realizar filtro por monto por rango desde hasta.
</t>
    </r>
    <r>
      <rPr>
        <rFont val="Fira Sans Extra Condensed"/>
        <b/>
        <color theme="1"/>
        <sz val="10.0"/>
      </rPr>
      <t>Estado:</t>
    </r>
    <r>
      <rPr>
        <rFont val="Fira Sans Extra Condensed"/>
        <color theme="1"/>
        <sz val="10.0"/>
      </rPr>
      <t xml:space="preserve"> Lista desplegable con las opciones (Exitosa, pendiente de aprobación, rechazada, anulada)
</t>
    </r>
    <r>
      <rPr>
        <rFont val="Fira Sans Extra Condensed"/>
        <b/>
        <color theme="1"/>
        <sz val="10.0"/>
      </rPr>
      <t>Empresa:</t>
    </r>
    <r>
      <rPr>
        <rFont val="Fira Sans Extra Condensed"/>
        <color theme="1"/>
        <sz val="10.0"/>
      </rPr>
      <t xml:space="preserve"> El canal permite ingresar la empresa o sociedad desde la cual se originó la operación
</t>
    </r>
    <r>
      <rPr>
        <rFont val="Fira Sans Extra Condensed"/>
        <b/>
        <color theme="1"/>
        <sz val="10.0"/>
      </rPr>
      <t xml:space="preserve">En la parte inferior deben estar las opciones: “Borrar” y “aplicar” </t>
    </r>
    <r>
      <rPr>
        <rFont val="Fira Sans Extra Condensed"/>
        <color theme="1"/>
        <sz val="10.0"/>
      </rPr>
      <t xml:space="preserve">
</t>
    </r>
    <r>
      <rPr>
        <rFont val="Fira Sans Extra Condensed"/>
        <b/>
        <color theme="1"/>
        <sz val="10.0"/>
      </rPr>
      <t>Botón “Borrar":</t>
    </r>
    <r>
      <rPr>
        <rFont val="Fira Sans Extra Condensed"/>
        <color theme="1"/>
        <sz val="10.0"/>
      </rPr>
      <t xml:space="preserve"> al dar clic debe eliminar los filtros de búsqueda ingresados por el usuario. 
</t>
    </r>
    <r>
      <rPr>
        <rFont val="Fira Sans Extra Condensed"/>
        <b/>
        <color theme="1"/>
        <sz val="10.0"/>
      </rPr>
      <t xml:space="preserve">Botón “Aplicar”: </t>
    </r>
    <r>
      <rPr>
        <rFont val="Fira Sans Extra Condensed"/>
        <color theme="1"/>
        <sz val="10.0"/>
      </rPr>
      <t>Al dar clic el canal actualiza la pantalla donde muestra los usuarios, mostrando como resultado únicamente los usuarios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En caso que el usuario aplique filtros y no encuentra coincidencia debe mostrar “La búsqueda no presenta resultados”
Los filtros deben ser combinables para realizar consultas más específicas.</t>
    </r>
  </si>
  <si>
    <t>Mostrará información de las operaciones de acuerdo  a los filtros utilizados</t>
  </si>
  <si>
    <t>CP54</t>
  </si>
  <si>
    <r>
      <rPr>
        <rFont val="Fira Sans Extra Condensed"/>
        <b/>
        <color theme="1"/>
        <sz val="10.0"/>
      </rPr>
      <t xml:space="preserve">Paginación: </t>
    </r>
    <r>
      <rPr>
        <rFont val="Fira Sans Extra Condensed"/>
        <color theme="1"/>
        <sz val="10.0"/>
      </rPr>
      <t xml:space="preserve">
En la pantalla se debe presentar la paginación mostrando el número de páginas totales que arroja el resultado, la paginación debe tener las siguientes características teniendo en cuenta que es una experiencia transversal en varias experiencias.
La paginación se debe presentar en la parte superior del resultado, se presentará hasta 50 registros por página, de acuerdo la información obtenida del resultado de la consulta, para llegar a la parte inferior el usuario podrá usar el scroll y el teclado. 
</t>
    </r>
    <r>
      <rPr>
        <rFont val="Fira Sans Extra Condensed"/>
        <b/>
        <color theme="1"/>
        <sz val="10.0"/>
      </rPr>
      <t>Exportación de Reportes:</t>
    </r>
    <r>
      <rPr>
        <rFont val="Fira Sans Extra Condensed"/>
        <color theme="1"/>
        <sz val="10.0"/>
      </rPr>
      <t xml:space="preserve">
Debe existir un elemento que le permita al usuario realizar la descarga resumen de todas las transacciones ejecutadas por canal, el usuario al dar clic actualiza la pantalla y el canal muestra:
</t>
    </r>
    <r>
      <rPr>
        <rFont val="Fira Sans Extra Condensed"/>
        <b/>
        <color theme="1"/>
        <sz val="10.0"/>
      </rPr>
      <t>Titulo</t>
    </r>
    <r>
      <rPr>
        <rFont val="Fira Sans Extra Condensed"/>
        <color theme="1"/>
        <sz val="10.0"/>
      </rPr>
      <t xml:space="preserve">: Descargar Reporte
elemento de cerrar.
</t>
    </r>
    <r>
      <rPr>
        <rFont val="Fira Sans Extra Condensed"/>
        <b/>
        <color theme="1"/>
        <sz val="10.0"/>
      </rPr>
      <t xml:space="preserve">Descripción: </t>
    </r>
    <r>
      <rPr>
        <rFont val="Fira Sans Extra Condensed"/>
        <color theme="1"/>
        <sz val="10.0"/>
      </rPr>
      <t xml:space="preserve">Si la descarga no se da de inmediato le enviaremos el archivo al buzón.
</t>
    </r>
    <r>
      <rPr>
        <rFont val="Fira Sans Extra Condensed"/>
        <b/>
        <color theme="1"/>
        <sz val="10.0"/>
      </rPr>
      <t>Texto:</t>
    </r>
    <r>
      <rPr>
        <rFont val="Fira Sans Extra Condensed"/>
        <color theme="1"/>
        <sz val="10.0"/>
      </rPr>
      <t xml:space="preserve"> Elija el formato 
</t>
    </r>
    <r>
      <rPr>
        <rFont val="Fira Sans Extra Condensed"/>
        <b/>
        <color theme="1"/>
        <sz val="10.0"/>
      </rPr>
      <t>Excel  (.xlsx) 
Texto (.txt)</t>
    </r>
    <r>
      <rPr>
        <rFont val="Fira Sans Extra Condensed"/>
        <color theme="1"/>
        <sz val="10.0"/>
      </rPr>
      <t xml:space="preserve">
Una vez el cliente seleccione un formato se habilita el botón de “Descargar”.
La información descargada debe coincidir si fue aplicado un filtro. El archivo descargado debe contener la información del total de resultados de todas las páginas que se muestran en el resultado. 
</t>
    </r>
    <r>
      <rPr>
        <rFont val="Fira Sans Extra Condensed"/>
        <b/>
        <color theme="1"/>
        <sz val="10.0"/>
      </rPr>
      <t>Tiempo de Respuesta:</t>
    </r>
    <r>
      <rPr>
        <rFont val="Fira Sans Extra Condensed"/>
        <color theme="1"/>
        <sz val="10.0"/>
      </rPr>
      <t xml:space="preserve">
La herramienta debe devolver los resultados de la consulta en un tiempo razonable (por ejemplo, menos de 5 segundos para una consulta con menos de 10,000 transacciones).
</t>
    </r>
    <r>
      <rPr>
        <rFont val="Fira Sans Extra Condensed"/>
        <b/>
        <color theme="1"/>
        <sz val="10.0"/>
      </rPr>
      <t>Detalle de registro:</t>
    </r>
    <r>
      <rPr>
        <rFont val="Fira Sans Extra Condensed"/>
        <color theme="1"/>
        <sz val="10.0"/>
      </rPr>
      <t xml:space="preserve">
Al dar clic sobre el registro en la consulta de consultas de procesos permite tener la misma visual de cómo fue procesado.
El canal debe permitir visualizar toda la información asociada al proceso tal cual cómo el usuario lo visualiza en el front
</t>
    </r>
    <r>
      <rPr>
        <rFont val="Fira Sans Extra Condensed"/>
        <b/>
        <color theme="1"/>
        <sz val="10.0"/>
      </rPr>
      <t xml:space="preserve">Regresar: </t>
    </r>
    <r>
      <rPr>
        <rFont val="Fira Sans Extra Condensed"/>
        <color theme="1"/>
        <sz val="10.0"/>
      </rPr>
      <t xml:space="preserve">Al dar clic a este elemento actualiza la pantalla y lo lleva a la anterior.
</t>
    </r>
    <r>
      <rPr>
        <rFont val="Fira Sans Extra Condensed"/>
        <b/>
        <color theme="1"/>
        <sz val="10.0"/>
      </rPr>
      <t xml:space="preserve">Descargar: </t>
    </r>
    <r>
      <rPr>
        <rFont val="Fira Sans Extra Condensed"/>
        <color theme="1"/>
        <sz val="10.0"/>
      </rPr>
      <t xml:space="preserve">Permite descargar detalles del registro. </t>
    </r>
  </si>
  <si>
    <t>- Mostrar paginación de acuerdo al número de registros mostrados.
- Permitir hacer la descarga en los diferentes formatos
- La información mostrada debe coincidir con el filtro utilizado.</t>
  </si>
  <si>
    <t>CP55</t>
  </si>
  <si>
    <t>Acceso al Módulo de administración / Banner</t>
  </si>
  <si>
    <t>Este módulo únicamente debe estar habilitado a usuarios con Rol “Super usuario” debe permitir cargar banners publicitarios desde esta  herramienta administrativa, para que los usuarios puedan visualizar estos banners en el front de un canal.</t>
  </si>
  <si>
    <t>Carga de banner de forma exitosa por super usuarios</t>
  </si>
  <si>
    <t>CP56</t>
  </si>
  <si>
    <t>Acceso al Módulo de administración / Banner - creación</t>
  </si>
  <si>
    <r>
      <rPr>
        <rFont val="Fira Sans Extra Condensed"/>
        <color theme="1"/>
        <sz val="10.0"/>
      </rPr>
      <t xml:space="preserve">Una vez el usuario con rol “súper usuario” de clic a la opción “Banner” se debe actualizar la pantalla y mostrar que está en la consulta de banners, si no hay banner publicados únicamente habilita la opción para crear.
</t>
    </r>
    <r>
      <rPr>
        <rFont val="Fira Sans Extra Condensed"/>
        <b/>
        <color theme="1"/>
        <sz val="10.0"/>
      </rPr>
      <t xml:space="preserve">Nombre Publicación: </t>
    </r>
    <r>
      <rPr>
        <rFont val="Fira Sans Extra Condensed"/>
        <color theme="1"/>
        <sz val="10.0"/>
      </rPr>
      <t xml:space="preserve">Obligatorio, el usuario puede ingresar campos alfanuméricos de hasta 50 caracteres.
</t>
    </r>
    <r>
      <rPr>
        <rFont val="Fira Sans Extra Condensed"/>
        <b/>
        <color theme="1"/>
        <sz val="10.0"/>
      </rPr>
      <t>Tipo Banner</t>
    </r>
    <r>
      <rPr>
        <rFont val="Fira Sans Extra Condensed"/>
        <color theme="1"/>
        <sz val="10.0"/>
      </rPr>
      <t xml:space="preserve">: Obligatorio, el usuario debe seleccionar el tipo de publicación Web o responsive.
</t>
    </r>
    <r>
      <rPr>
        <rFont val="Fira Sans Extra Condensed"/>
        <b/>
        <color theme="1"/>
        <sz val="10.0"/>
      </rPr>
      <t xml:space="preserve">Fecha inicio: </t>
    </r>
    <r>
      <rPr>
        <rFont val="Fira Sans Extra Condensed"/>
        <color theme="1"/>
        <sz val="10.0"/>
      </rPr>
      <t xml:space="preserve">Obligatorio, el usuario debe ingresar la fecha de inicio de la publicación
</t>
    </r>
    <r>
      <rPr>
        <rFont val="Fira Sans Extra Condensed"/>
        <b/>
        <color theme="1"/>
        <sz val="10.0"/>
      </rPr>
      <t>Fecha Fin:</t>
    </r>
    <r>
      <rPr>
        <rFont val="Fira Sans Extra Condensed"/>
        <color theme="1"/>
        <sz val="10.0"/>
      </rPr>
      <t xml:space="preserve"> Obligatorio, el usuario debe ingresar la fecha fin de la publicación
</t>
    </r>
    <r>
      <rPr>
        <rFont val="Fira Sans Extra Condensed"/>
        <b/>
        <color theme="1"/>
        <sz val="10.0"/>
      </rPr>
      <t>Archivo usuarios</t>
    </r>
    <r>
      <rPr>
        <rFont val="Fira Sans Extra Condensed"/>
        <color theme="1"/>
        <sz val="10.0"/>
      </rPr>
      <t xml:space="preserve">: Obligatorio, el usuario debe cargar archivo .txt con la información de los usuarios que visualizarán la publicación. 
</t>
    </r>
    <r>
      <rPr>
        <rFont val="Fira Sans Extra Condensed"/>
        <b/>
        <color theme="1"/>
        <sz val="10.0"/>
      </rPr>
      <t xml:space="preserve">Archivo contenido: </t>
    </r>
    <r>
      <rPr>
        <rFont val="Fira Sans Extra Condensed"/>
        <color theme="1"/>
        <sz val="10.0"/>
      </rPr>
      <t xml:space="preserve">Obligatorio, El usuario debe cargar archivo .Webp
</t>
    </r>
    <r>
      <rPr>
        <rFont val="Fira Sans Extra Condensed"/>
        <b/>
        <color theme="1"/>
        <sz val="10.0"/>
      </rPr>
      <t xml:space="preserve">Enlace: </t>
    </r>
    <r>
      <rPr>
        <rFont val="Fira Sans Extra Condensed"/>
        <color theme="1"/>
        <sz val="10.0"/>
      </rPr>
      <t xml:space="preserve">Opcional, permite al usuario ingresar una url que redirecciona al usuario a un lugar
</t>
    </r>
    <r>
      <rPr>
        <rFont val="Fira Sans Extra Condensed"/>
        <b/>
        <color theme="1"/>
        <sz val="10.0"/>
      </rPr>
      <t xml:space="preserve">Botón Previsualizar: </t>
    </r>
    <r>
      <rPr>
        <rFont val="Fira Sans Extra Condensed"/>
        <color theme="1"/>
        <sz val="10.0"/>
      </rPr>
      <t xml:space="preserve">Una vez cargada la información obligatoria se habilita una opción que permite “previsualizar” el contenido cómo lo visualiza un usuario final. </t>
    </r>
  </si>
  <si>
    <t>Creación de banner exitosamente, validar en el canal que se me muestre el banner segun lo cargado</t>
  </si>
  <si>
    <t>CP57</t>
  </si>
  <si>
    <t>Acceso al Módulo de administración / Banner - Consulta</t>
  </si>
  <si>
    <r>
      <rPr>
        <rFont val="Fira Sans Extra Condensed"/>
        <color theme="1"/>
        <sz val="10.0"/>
      </rPr>
      <t xml:space="preserve">El usuario debe tener una opción que permita consultar las publicaciones activas, en esta pantalla el usuario visualizará:
</t>
    </r>
    <r>
      <rPr>
        <rFont val="Fira Sans Extra Condensed"/>
        <b/>
        <color theme="1"/>
        <sz val="10.0"/>
      </rPr>
      <t>Fecha Cargue:</t>
    </r>
    <r>
      <rPr>
        <rFont val="Fira Sans Extra Condensed"/>
        <color theme="1"/>
        <sz val="10.0"/>
      </rPr>
      <t xml:space="preserve"> Se debe mostrar la fecha en la que se realiza el cargue.
</t>
    </r>
    <r>
      <rPr>
        <rFont val="Fira Sans Extra Condensed"/>
        <b/>
        <color theme="1"/>
        <sz val="10.0"/>
      </rPr>
      <t>Nombre</t>
    </r>
    <r>
      <rPr>
        <rFont val="Fira Sans Extra Condensed"/>
        <color theme="1"/>
        <sz val="10.0"/>
      </rPr>
      <t xml:space="preserve">: Se muestra el nombre con el que fue creado.
</t>
    </r>
    <r>
      <rPr>
        <rFont val="Fira Sans Extra Condensed"/>
        <b/>
        <color theme="1"/>
        <sz val="10.0"/>
      </rPr>
      <t>Tipo Publicación:</t>
    </r>
    <r>
      <rPr>
        <rFont val="Fira Sans Extra Condensed"/>
        <color theme="1"/>
        <sz val="10.0"/>
      </rPr>
      <t xml:space="preserve"> Se muestra si Web o responsive, de acuerdo a la creación.
</t>
    </r>
    <r>
      <rPr>
        <rFont val="Fira Sans Extra Condensed"/>
        <b/>
        <color theme="1"/>
        <sz val="10.0"/>
      </rPr>
      <t xml:space="preserve">Fecha inicio: </t>
    </r>
    <r>
      <rPr>
        <rFont val="Fira Sans Extra Condensed"/>
        <color theme="1"/>
        <sz val="10.0"/>
      </rPr>
      <t xml:space="preserve">Se muestra la fecha desde la que inicia la publicación.
</t>
    </r>
    <r>
      <rPr>
        <rFont val="Fira Sans Extra Condensed"/>
        <b/>
        <color theme="1"/>
        <sz val="10.0"/>
      </rPr>
      <t>Fecha Fin:</t>
    </r>
    <r>
      <rPr>
        <rFont val="Fira Sans Extra Condensed"/>
        <color theme="1"/>
        <sz val="10.0"/>
      </rPr>
      <t xml:space="preserve"> Se muestra la fecha fin de la publicación
</t>
    </r>
    <r>
      <rPr>
        <rFont val="Fira Sans Extra Condensed"/>
        <b/>
        <color theme="1"/>
        <sz val="10.0"/>
      </rPr>
      <t>Estado:</t>
    </r>
    <r>
      <rPr>
        <rFont val="Fira Sans Extra Condensed"/>
        <color theme="1"/>
        <sz val="10.0"/>
      </rPr>
      <t xml:space="preserve"> Se muestra (Activo / Pendiente / Eliminado)
</t>
    </r>
    <r>
      <rPr>
        <rFont val="Fira Sans Extra Condensed"/>
        <b/>
        <color theme="1"/>
        <sz val="10.0"/>
      </rPr>
      <t xml:space="preserve">Quickaction: </t>
    </r>
    <r>
      <rPr>
        <rFont val="Fira Sans Extra Condensed"/>
        <color theme="1"/>
        <sz val="10.0"/>
      </rPr>
      <t xml:space="preserve">Muestra opción para eliminar o editar. 
Adicional la pantalla permite: 
</t>
    </r>
    <r>
      <rPr>
        <rFont val="Fira Sans Extra Condensed"/>
        <b/>
        <color theme="1"/>
        <sz val="10.0"/>
      </rPr>
      <t xml:space="preserve">Filtrar: </t>
    </r>
    <r>
      <rPr>
        <rFont val="Fira Sans Extra Condensed"/>
        <color theme="1"/>
        <sz val="10.0"/>
      </rPr>
      <t xml:space="preserve">Debe tener una opción que permita realizar filtros de acuerdo a los títulos de resultados. 
</t>
    </r>
    <r>
      <rPr>
        <rFont val="Fira Sans Extra Condensed"/>
        <b/>
        <color theme="1"/>
        <sz val="10.0"/>
      </rPr>
      <t xml:space="preserve">Ordenar: </t>
    </r>
    <r>
      <rPr>
        <rFont val="Fira Sans Extra Condensed"/>
        <color theme="1"/>
        <sz val="10.0"/>
      </rPr>
      <t xml:space="preserve">Debe tener un elemento que permite ordenar la información dando clic de manera intuitiva en los títulos de las columnas de mayor a menor y de menor a mayor.
</t>
    </r>
    <r>
      <rPr>
        <rFont val="Fira Sans Extra Condensed"/>
        <b/>
        <color theme="1"/>
        <sz val="10.0"/>
      </rPr>
      <t>Buscar:</t>
    </r>
    <r>
      <rPr>
        <rFont val="Fira Sans Extra Condensed"/>
        <color theme="1"/>
        <sz val="10.0"/>
      </rPr>
      <t xml:space="preserve"> Debe existir un elemento que le permita al usuario buscar un registro usuario escribiendo el nombre de la publicación, el canal  debe validar la información y actualizar la pantalla según el resultado.
</t>
    </r>
    <r>
      <rPr>
        <rFont val="Fira Sans Extra Condensed"/>
        <b/>
        <color theme="1"/>
        <sz val="10.0"/>
      </rPr>
      <t>Paginación: S</t>
    </r>
    <r>
      <rPr>
        <rFont val="Fira Sans Extra Condensed"/>
        <color theme="1"/>
        <sz val="10.0"/>
      </rPr>
      <t xml:space="preserve">e debe mostrar 50 resultados por página. </t>
    </r>
  </si>
  <si>
    <t>Consulta de banner exitosa</t>
  </si>
  <si>
    <t>CP58</t>
  </si>
  <si>
    <t>Acceso al Módulo de administración / Banner - Detalle</t>
  </si>
  <si>
    <r>
      <rPr>
        <rFont val="Fira Sans Extra Condensed"/>
        <color theme="1"/>
        <sz val="10.0"/>
      </rPr>
      <t xml:space="preserve">Si el usuario requiere ver el detalle de cómo fue creado un esquema debe dar clic donde actualiza la pantalla y el usuario visualiza:
</t>
    </r>
    <r>
      <rPr>
        <rFont val="Fira Sans Extra Condensed"/>
        <b/>
        <color theme="1"/>
        <sz val="10.0"/>
      </rPr>
      <t xml:space="preserve">Estado: </t>
    </r>
    <r>
      <rPr>
        <rFont val="Fira Sans Extra Condensed"/>
        <color theme="1"/>
        <sz val="10.0"/>
      </rPr>
      <t xml:space="preserve">Se muestra el estado de la publicación
</t>
    </r>
    <r>
      <rPr>
        <rFont val="Fira Sans Extra Condensed"/>
        <b/>
        <color theme="1"/>
        <sz val="10.0"/>
      </rPr>
      <t xml:space="preserve">Nombre Publicación: </t>
    </r>
    <r>
      <rPr>
        <rFont val="Fira Sans Extra Condensed"/>
        <color theme="1"/>
        <sz val="10.0"/>
      </rPr>
      <t xml:space="preserve">Se muestra el nombre con el que fue creado.
</t>
    </r>
    <r>
      <rPr>
        <rFont val="Fira Sans Extra Condensed"/>
        <b/>
        <color theme="1"/>
        <sz val="10.0"/>
      </rPr>
      <t>Tipo Banner</t>
    </r>
    <r>
      <rPr>
        <rFont val="Fira Sans Extra Condensed"/>
        <color theme="1"/>
        <sz val="10.0"/>
      </rPr>
      <t xml:space="preserve">: Se muestra el tipo de publicación Web o responsive.
</t>
    </r>
    <r>
      <rPr>
        <rFont val="Fira Sans Extra Condensed"/>
        <b/>
        <color theme="1"/>
        <sz val="10.0"/>
      </rPr>
      <t xml:space="preserve">Fecha inicio: </t>
    </r>
    <r>
      <rPr>
        <rFont val="Fira Sans Extra Condensed"/>
        <color theme="1"/>
        <sz val="10.0"/>
      </rPr>
      <t xml:space="preserve">visualiza la fecha de inicio de la publicación
</t>
    </r>
    <r>
      <rPr>
        <rFont val="Fira Sans Extra Condensed"/>
        <b/>
        <color theme="1"/>
        <sz val="10.0"/>
      </rPr>
      <t>Fecha Fin</t>
    </r>
    <r>
      <rPr>
        <rFont val="Fira Sans Extra Condensed"/>
        <color theme="1"/>
        <sz val="10.0"/>
      </rPr>
      <t xml:space="preserve">: Visualiza la fecha fin de la publicación
</t>
    </r>
    <r>
      <rPr>
        <rFont val="Fira Sans Extra Condensed"/>
        <b/>
        <color theme="1"/>
        <sz val="10.0"/>
      </rPr>
      <t xml:space="preserve">Archivo usuarios: </t>
    </r>
    <r>
      <rPr>
        <rFont val="Fira Sans Extra Condensed"/>
        <color theme="1"/>
        <sz val="10.0"/>
      </rPr>
      <t xml:space="preserve">Se muestra el nombre del archivo cargado
</t>
    </r>
    <r>
      <rPr>
        <rFont val="Fira Sans Extra Condensed"/>
        <b/>
        <color theme="1"/>
        <sz val="10.0"/>
      </rPr>
      <t>Archivo contenido:</t>
    </r>
    <r>
      <rPr>
        <rFont val="Fira Sans Extra Condensed"/>
        <color theme="1"/>
        <sz val="10.0"/>
      </rPr>
      <t xml:space="preserve"> Se muestra el nombre del archivo cargado
</t>
    </r>
    <r>
      <rPr>
        <rFont val="Fira Sans Extra Condensed"/>
        <b/>
        <color theme="1"/>
        <sz val="10.0"/>
      </rPr>
      <t xml:space="preserve">Enlace: </t>
    </r>
    <r>
      <rPr>
        <rFont val="Fira Sans Extra Condensed"/>
        <color theme="1"/>
        <sz val="10.0"/>
      </rPr>
      <t xml:space="preserve">Se muestra el enlace cargado
</t>
    </r>
    <r>
      <rPr>
        <rFont val="Fira Sans Extra Condensed"/>
        <b/>
        <color theme="1"/>
        <sz val="10.0"/>
      </rPr>
      <t>Botón Previsualizar:</t>
    </r>
    <r>
      <rPr>
        <rFont val="Fira Sans Extra Condensed"/>
        <color theme="1"/>
        <sz val="10.0"/>
      </rPr>
      <t xml:space="preserve"> Está habilitado si el usuario requiere ver. 
Adicional se habilita la opción de eliminar o editar. </t>
    </r>
  </si>
  <si>
    <t>visualización de detalle de banner exitosamente</t>
  </si>
  <si>
    <t>CP59</t>
  </si>
  <si>
    <t>Gestiones Usuario BO Preparador</t>
  </si>
  <si>
    <t>Permisos de Bitácora de operaciones del cliente</t>
  </si>
  <si>
    <t>Permitir al usuario BO poder consultar las operaciones realizadas por el cliente, validando el detalle de la transacción y el estado</t>
  </si>
  <si>
    <t>Mostrar resultado de la bitácora realizada por el cliente</t>
  </si>
  <si>
    <t>CP60</t>
  </si>
  <si>
    <t>Validar perfil de usuario BO de Preparador</t>
  </si>
  <si>
    <t>Este perfil únicamente permite realizar novedades de empresas y grupos del país al cual pertenece.
Todas las gestiones quedarán pendientes de autorización.</t>
  </si>
  <si>
    <t>Muestra Información de Lectura en Escala 7x24</t>
  </si>
  <si>
    <t>-.</t>
  </si>
  <si>
    <t>CP61</t>
  </si>
  <si>
    <t>Usuario operador debe existir en la banca local</t>
  </si>
  <si>
    <t>Permitir al usuario BO adicionar al operador del mismo país dominio al cliente en CC PER</t>
  </si>
  <si>
    <t>Adición de usuario exitoso</t>
  </si>
  <si>
    <t>CP62</t>
  </si>
  <si>
    <t>Uusuario BO adicione operador de país dominio diferente al cliente en CC PER</t>
  </si>
  <si>
    <t>No permitir adicionar usuario</t>
  </si>
  <si>
    <t>CP63</t>
  </si>
  <si>
    <t xml:space="preserve">Permitir al usuario BO preparador todas las configuraciones siguientes a usuarios que pertenencen al mismo país dominio:
Configuración de usuarios
Mantenimiento de usuarios
Asociar usuario a Empresas
Eliminar usuario de empresas
Inactivar usuario de empresas
Modificar usuario de empresas
</t>
  </si>
  <si>
    <t>Configuraciones de usuarios exitosas</t>
  </si>
  <si>
    <t>CP64</t>
  </si>
  <si>
    <t>Visualizar productos activos del cliente en CC</t>
  </si>
  <si>
    <t xml:space="preserve">Usuario BO Preparador del mismo país dominio configure Productos permisos desde CC </t>
  </si>
  <si>
    <t>Configuración de conjuntos permisos exitoso</t>
  </si>
  <si>
    <t>CP65</t>
  </si>
  <si>
    <t>Visualizar productos con estado diferente a activo del cliente en CC</t>
  </si>
  <si>
    <t>Usuario BO Operador no le permita configurar conjuntos permisos de productos con estado diferente a activo</t>
  </si>
  <si>
    <t>Configuración de conjuntos permisos fallida</t>
  </si>
  <si>
    <t>CP66</t>
  </si>
  <si>
    <t>Cliente deberá estar marcado como multilatino y tener productos activos</t>
  </si>
  <si>
    <t>Permitir al usuario BO preparador realizar todas las configuraciones siguientes clientes que pertenencen al mismo país dominio: 
Consulta esquema de firmas
Creación de esquema de firmas
Modificación esquema de firmas 
Eliminación de esquema de firmas</t>
  </si>
  <si>
    <t>Configuraciones de esquema de firmas exitosas</t>
  </si>
  <si>
    <t>CP67</t>
  </si>
  <si>
    <t>Cliente deberá estar marcado como multilatino y tener productos</t>
  </si>
  <si>
    <t xml:space="preserve">Permitir al usuario BO preparador realizar todas las configuraciones siguientes a clientes que pertenencen al mismo país dominio: 
Deshabilitar cuenta
Eliminar cuenta
Habilitar cuenta
</t>
  </si>
  <si>
    <t>Configuraciones de cuenta exitosas</t>
  </si>
  <si>
    <t>CP68</t>
  </si>
  <si>
    <t>Permitir al usuario BO preparador realizar todas las configuraciones siguientes a usuarios que pertenencen al mismo país dominio: 
Creación de roles
Modificación de roles
Eliminación de roles</t>
  </si>
  <si>
    <t>Configuraciones de roles exitosas</t>
  </si>
  <si>
    <t>CP69</t>
  </si>
  <si>
    <t>Permitir asignar a los usuarios del mismo país dominio la funcionalidad de Buzón de notificaciones</t>
  </si>
  <si>
    <t>Asignación de buzón de notificaciones exitosa</t>
  </si>
  <si>
    <t>CP70</t>
  </si>
  <si>
    <t>Gestiones Usuario BO Autorizador</t>
  </si>
  <si>
    <t>Realizar consultas de clientes, usuarios, productos, esquemas de firmas, roles de todos los países</t>
  </si>
  <si>
    <t>Consultas exitosas</t>
  </si>
  <si>
    <t>CP71</t>
  </si>
  <si>
    <t>Gestión cliente CC banca local</t>
  </si>
  <si>
    <t>Escala 7x24 no permite crear empresas Multilatinas sin existencia Local</t>
  </si>
  <si>
    <t>En la pantalla de Alta de Cliente de CC local debe existir la segregarción para crear clientes normales o exclusivos de los países y una opción donde se perfile un cliente Multilatino</t>
  </si>
  <si>
    <t>Debe existir una opción donde el administrador realiza la segregación de clientes y permitirle marcar a un cliente en CC local como multilatino</t>
  </si>
  <si>
    <t>Marcacción de cliente multilatino exitosa</t>
  </si>
  <si>
    <t>CP72</t>
  </si>
  <si>
    <t>Crear solicitud de cambio con Dominio de cada uno de los paises
PA,SV,HN,CR
Con usuario Operador</t>
  </si>
  <si>
    <t>Cliente debe estar marcado como multilatino en CC de cada banca local</t>
  </si>
  <si>
    <t>No debe permitir asignar cabecera holding a un mismo cliente que ya se encuentra marcado como cabecera.</t>
  </si>
  <si>
    <t>No asignar a mismo cliente como cabecera holding</t>
  </si>
  <si>
    <t>CP73</t>
  </si>
  <si>
    <r>
      <rPr>
        <rFont val="Fira Sans Extra Condensed"/>
        <color theme="1"/>
        <sz val="10.0"/>
      </rPr>
      <t xml:space="preserve">Seleccionar la opción de administración
Seleccionar empresas 
Puede Utilizar los filtros:
</t>
    </r>
    <r>
      <rPr>
        <rFont val="Fira Sans Extra Condensed"/>
        <b/>
        <color theme="1"/>
        <sz val="10.0"/>
      </rPr>
      <t xml:space="preserve">País
Tipo de Documento
Número de Documento
Nombre Empresa
Estado: </t>
    </r>
    <r>
      <rPr>
        <rFont val="Fira Sans Extra Condensed"/>
        <color theme="1"/>
        <sz val="10.0"/>
      </rPr>
      <t>mostrar en lista los siguientes estado:
Activo
Activo Pen.Inactivación
Activo Pen.Eliminación
Alta Pend. Autorización
Modi.Pend. Autorización
Inactivo Pend. Habilitación
Inactivo
Seleccionar Buscar debe mostrar el resultado
Seleccionar Detalle de la sociedad a modificar
Al ingresar al detalle debe visualizar los botones Volver-Modificar-Eliminar-Deshabilitar
Sino utiliza ningun filtro y selecciona el botón de consultar deberá devolver el resultado de todos los registros sin hacer distinción del país dominio del usuario BO
Mostrar botón de crear 'cliente'</t>
    </r>
  </si>
  <si>
    <t>Visualización de registros de clientes y gestión pendiente de autorización</t>
  </si>
  <si>
    <t>CP74</t>
  </si>
  <si>
    <t>Crear solicitud de cambio con Dominio de cada uno de los paises
PA,SV,HN,CR
Con usuario autorizante</t>
  </si>
  <si>
    <t>Cliente debe estar marcado como multilatino en CC local</t>
  </si>
  <si>
    <r>
      <rPr>
        <rFont val="Fira Sans Extra Condensed"/>
        <color theme="1"/>
        <sz val="10.0"/>
      </rPr>
      <t xml:space="preserve">Seleccionar la opción de administración
Seleccionar empresas 
Puede Utilizar los filtros:
</t>
    </r>
    <r>
      <rPr>
        <rFont val="Fira Sans Extra Condensed"/>
        <b/>
        <color theme="1"/>
        <sz val="10.0"/>
      </rPr>
      <t xml:space="preserve">País
Tipo de Documento
Número de Documento
Nombre Empresa
Estado: </t>
    </r>
    <r>
      <rPr>
        <rFont val="Fira Sans Extra Condensed"/>
        <color theme="1"/>
        <sz val="10.0"/>
      </rPr>
      <t>mostrar en lista los siguientes estado:
Activo
Activo Pen.Inactivación
Activo Pen.Eliminación
Alta Pend. Autorización
Modi.Pend. Autorización
Inactivo Pend. Habilitación
Inactivo
Seleccionar Buscar debe mostrar el resultado
Seleccionar Detalle de la sociedad a modificar
Al ingresar al detalle debe visualizar los botones Volver-Modificar-Eliminar-Deshabilitar
Sino utiliza ningun filtro y selecciona el botón de consultar deberá devolver el resultado de todos los registros sin hacer distinción del país dominio del usuario BO
Mostrar botón de crear 'cliente'</t>
    </r>
  </si>
  <si>
    <t>Visualización de registros de clientes, la gestión podrá autorizarla un usuario autorizante de su mismo dominio y por un super usuario de cualquier dominio.</t>
  </si>
  <si>
    <t>CP75</t>
  </si>
  <si>
    <t xml:space="preserve">Crear solicitud de cambio con Dominio de cada uno de los paises
PA,SV,HN,CR
Con Super usuario </t>
  </si>
  <si>
    <r>
      <rPr>
        <rFont val="Fira Sans Extra Condensed"/>
        <color theme="1"/>
        <sz val="10.0"/>
      </rPr>
      <t xml:space="preserve">Seleccionar la opción de administración
Seleccionar empresas 
Puede Utilizar los filtros:
</t>
    </r>
    <r>
      <rPr>
        <rFont val="Fira Sans Extra Condensed"/>
        <b/>
        <color theme="1"/>
        <sz val="10.0"/>
      </rPr>
      <t xml:space="preserve">País
Tipo de Documento
Número de Documento
Nombre Empresa
Estado: </t>
    </r>
    <r>
      <rPr>
        <rFont val="Fira Sans Extra Condensed"/>
        <color theme="1"/>
        <sz val="10.0"/>
      </rPr>
      <t>mostrar en lista los siguientes estado:
Activo
Activo Pen.Inactivación
Activo Pen.Eliminación
Alta Pend. Autorización
Modi.Pend. Autorización
Inactivo Pend. Habilitación
Inactivo
Seleccionar Buscar debe mostrar el resultado
Seleccionar Detalle de la sociedad a modificar
Al ingresar al detalle debe visualizar los botones Volver-Modificar-Eliminar-Deshabilitar
Sino utiliza ningun filtro y selecciona el botón de consultar deberá devolver el resultado de todos los registros sin hacer distinción del país dominio del usuario BO
Mostrar botón de crear 'cliente'</t>
    </r>
  </si>
  <si>
    <t>Visualización de registros de clientes, la gestión podrá autorizarla un super usuario de cualquier dominio.</t>
  </si>
  <si>
    <t>CP76</t>
  </si>
  <si>
    <t>Validación de Alta de clientes nuevos sin marcación</t>
  </si>
  <si>
    <t>Cliente no debe estar marcado como multilatino en CC local</t>
  </si>
  <si>
    <t>Alta al cliente desde CC de escala 7/24  con usuario operador, autorizador y super usuario</t>
  </si>
  <si>
    <t>No devolverá información de un cliente que no se encuentre marcado como multilatino en CC local.</t>
  </si>
  <si>
    <t>CP77</t>
  </si>
  <si>
    <t>Validaciones de máscaras en formatos de tipo documento y número de documento de clientes</t>
  </si>
  <si>
    <t>Realizar las validaciones de los formatos en el número de documento, este formato debe estár acorde con la selección de información que se realizó en los campos de País y Tipo de documento</t>
  </si>
  <si>
    <t>El formato presentado en el campo de número de documento debe ser el exigido en cada uno de los tipos de documento, por ejemplo si se selecciona CR como país, ID persona física, el formado debe ser de 10 caracteres.</t>
  </si>
  <si>
    <t>Greivin: Para efectos del proyecto se esta elaborando un documento que contiene toda esta información</t>
  </si>
  <si>
    <t>Pedir a los países que compartan los criterios de sus documentos. Por Ej para SV el NIT/NITE son 14 caracteres numéricos</t>
  </si>
  <si>
    <t>CP78</t>
  </si>
  <si>
    <t>Funcionalidad de botón regresar</t>
  </si>
  <si>
    <t>Validar la funcionalidad del boton regresar, al oprimirlo debe mostrar al usuario la pantalla anterior,</t>
  </si>
  <si>
    <t>Debe mostrar en forma existosa la pantalla anterior</t>
  </si>
  <si>
    <t>Devolver al paso anterior</t>
  </si>
  <si>
    <t>CP79</t>
  </si>
  <si>
    <t>Verificación de mensajes de error en alta cliente</t>
  </si>
  <si>
    <t>Validar los mensajes de error, ejecuntando las siguientes acciones:
- No colocar datos y oprimir la acción de buscar clientes.
- Se debe colocar un número de ID que no existe en el país.
- Tratar de colocar caracteres que no corresponden al formato del ID como por ejemplo caracteres alfanumericos cuando se selecciona el ID de persona física en CR.</t>
  </si>
  <si>
    <t>Los mensajes de errores o mensajes de precaución deben ser acorde al error que se esta generando y se deben almacenar en el enumerado el cual es parametrizable</t>
  </si>
  <si>
    <t>Greivin: Se debe validar con LD si hay un mensaje específico para cada error.</t>
  </si>
  <si>
    <t>Brindar el mensaje esperado por cada error (escenario)</t>
  </si>
  <si>
    <t>CP80</t>
  </si>
  <si>
    <t>Validar el mensaje de error una vez que se ingresan todos los datos en forma correcta, se elimina la selección de "Cliente MultiLatino" y se realiza la acción de buscar.</t>
  </si>
  <si>
    <t>Se debe desplegar un mensaje de error, este mensaje debe estar acorde al error que se esta generando.</t>
  </si>
  <si>
    <t>Greivin: Los mensajes en estos momentos se están cargando en los enumerados. El caso de prueba lo que trata de probar es ingresar todos los datos en forma correcta pero eliminar una selección que viene desde páginas anteriores</t>
  </si>
  <si>
    <t>Brindar el mensaje esperado por cada error. ¿El mensaje no debería deplegarse automáticamente al desmarcar Cliente Multilatino?</t>
  </si>
  <si>
    <t>CP81</t>
  </si>
  <si>
    <t>Alta de cliente Multilatino</t>
  </si>
  <si>
    <t>Realizar la inclusión de los datos en los campos de Cliente Multilatino, País, Tipo de Documento y Número de Documento con los datos correctos y realizar la acción de Buscar, esta acción se debe realizar con las datos utilizando un cliente de Panama</t>
  </si>
  <si>
    <t>Se debe presentar los datos respectivos y continuar con el flujo normal</t>
  </si>
  <si>
    <t>Greivin: Se crean casos de pruebas por cada uno de los países.</t>
  </si>
  <si>
    <t>Se debe realizar al menos un caso por cada tipo de documento de cada país</t>
  </si>
  <si>
    <t>CP82</t>
  </si>
  <si>
    <t>Realizar la inclusión de los datos en los campos de Cliente Multilatino, País, Tipo de Documento y Número de Documento con los datos correctos y realizar la acción de Buscar, esta acción se debe realizar con las datos utilizando un cliente de Costa Rica</t>
  </si>
  <si>
    <t>CP83</t>
  </si>
  <si>
    <t>Realizar la inclusión de los datos en los campos de Cliente Multilatino, País, Tipo de Documento y Número de Documento con los datos correctos y realizar la acción de Buscar, esta acción se debe realizar con las datos utilizando un cliente de El Salvador</t>
  </si>
  <si>
    <t>CP84</t>
  </si>
  <si>
    <t>Realizar la inclusión de los datos en los campos de Cliente Multilatino, País, Tipo de Documento y Número de Documento con los datos correctos y realizar la acción de Buscar, esta acción se debe realizar con las datos utilizando un cliente de Honduras</t>
  </si>
  <si>
    <t>CP85</t>
  </si>
  <si>
    <t>Realizar nuevamente el proceso de creación de clientes, utilizando un dato de un cliente previamente creado.</t>
  </si>
  <si>
    <t>Se debe desplegar un mensaje de error, este mensaje debe estar acorde al error que se esta generando. por ejemplo: Cliente existente</t>
  </si>
  <si>
    <t>Greivin: igual con los demás mensajes, una vez que se carguen los enumerados en BEL podríamos tener la relación de estos</t>
  </si>
  <si>
    <t>Brindar el mensaje esperado por cada error</t>
  </si>
  <si>
    <t>CP86</t>
  </si>
  <si>
    <t>Después de ejecutar la acción de busqueda, se deben desplegar todos los campos de la pantalla de Datos filiatorios</t>
  </si>
  <si>
    <t>Deben aparecer todos los datos que se encuentran en el diseño funcional personalizado en el requerimiento</t>
  </si>
  <si>
    <t>Visualización de todos los campos filiatorios</t>
  </si>
  <si>
    <t>CP87</t>
  </si>
  <si>
    <t>Modulo "Administración"</t>
  </si>
  <si>
    <t>Visualización del módulo administración</t>
  </si>
  <si>
    <t xml:space="preserve">En el módulo “Administración” estará el botón de “Crear Grupo” este botón estará habilitado para todos los usuarios al dar click se actualiza la pantalla y debe mostrar el track de los 6 pasos para la creación con barra de avance:
1 Datos
2 Empresa
3 Membresía
4 Administración
5 Transacciones Permitidas
6 Resumen
</t>
  </si>
  <si>
    <t>Acceso al modulo de administración con usuarios Bo Preparadores, autorizadores y super usuarios</t>
  </si>
  <si>
    <t>CP88</t>
  </si>
  <si>
    <t>Gestión alta cliente CC Escala 7/24</t>
  </si>
  <si>
    <t>Autorización de clientes y grupos regionales Usuario Autorizador</t>
  </si>
  <si>
    <t>Visualización y acceso al menú autorizaciones de CC escala 7/24</t>
  </si>
  <si>
    <t>- Autorización de alta de cliente y grupo regional no podrán realizarse de forma parcial.
- Visualización de  gestiones pendientes del mismo país dominio del cliente y usuario BO preparador.
- Autorización unicamente desde el menú operador</t>
  </si>
  <si>
    <t>Autorización de gestiones clientes y grupos regionales exitosas</t>
  </si>
  <si>
    <t>CP89</t>
  </si>
  <si>
    <t>Autorización de clientes y grupos regionales Super Usuario</t>
  </si>
  <si>
    <t>- Autorización de alta de cliente y grupo regional no podrán realizarse de forma parcial.
- Visualización de  todas las gestiones pendientes, sin distinción del país dominio del usuario preparador y/o cliente
- Autorización unicamente desde el menú operador</t>
  </si>
  <si>
    <t>CP90</t>
  </si>
  <si>
    <t>Paso 1 "Datos" Creación de grupos regionales Usuario BO preparador</t>
  </si>
  <si>
    <t>Validación del campo nombre grupo regional</t>
  </si>
  <si>
    <t>Campo alfanumérico y obligatorio, permitir ingresar el nombre del grupo regional</t>
  </si>
  <si>
    <t>Asignación del nombre del grupo regional</t>
  </si>
  <si>
    <t>CP91</t>
  </si>
  <si>
    <t>Validación del Tipo de Administración</t>
  </si>
  <si>
    <t>Se mostrará en lista las 2 opciones de administración ´Dual´y 'Simple', campo obligatorio</t>
  </si>
  <si>
    <t>Selección de un tipo de administración</t>
  </si>
  <si>
    <t>CP92</t>
  </si>
  <si>
    <t>Validación de casa matriz con todos los dominios, HN, CR, SV, PA</t>
  </si>
  <si>
    <t xml:space="preserve"> El País donde se crea el Grupo Regional será denominado: “Casa Matriz" y mostrará el país de dominio del usuario que ejecute la gestión, por ejemplo si el usuario BO es origen HN mostrará en el campo casa matriz 'Honduras'
- Campo obligatorio</t>
  </si>
  <si>
    <t>Selección de país de casa matriz de acuerdo al dominio del usuario BO</t>
  </si>
  <si>
    <t>CP93</t>
  </si>
  <si>
    <t>Validación del campo Presencia regional</t>
  </si>
  <si>
    <t>- Mostrar en lista los nombres de los países, HN, CR, PA, SV y previamente marcado el país del dominio del usuario BO y casa matriz</t>
  </si>
  <si>
    <t>Marcación exitosa de los países seleccionados</t>
  </si>
  <si>
    <t>CP94</t>
  </si>
  <si>
    <t>- Mostrar dentro de la lista de países la opción "Todos los países", la cual permitirá seleccionar todos los países</t>
  </si>
  <si>
    <t>Marcación exitosa de la opción "Todos los países".</t>
  </si>
  <si>
    <t>CP95</t>
  </si>
  <si>
    <t>Validación de destinos autorizados, el campo se mostrará apagado por default</t>
  </si>
  <si>
    <t>- Campo no obligatorio
- Activar el swicth de 'Valida destinos autorizados' las empresas asociadas a la casa matriz podrán visualizar y acceder a los destinos autorizados de todo el grupo regional.
- Desactivar el swicth de 'Valida destino autorizados' las empresas asociadas al grupo regional no podrán visualizar los destinos autorizados de las sociedades relacionadas.</t>
  </si>
  <si>
    <t>Activar y desactivar el swicth de 'Validar destinos autorizados'</t>
  </si>
  <si>
    <t>CP96</t>
  </si>
  <si>
    <t>Mostrar botones de regresar y continuar</t>
  </si>
  <si>
    <t>Selecicón de botones 'Regresar' y 'Continuar'</t>
  </si>
  <si>
    <t>Validación de botones 'Regresar' y 'Continuar'</t>
  </si>
  <si>
    <t>CP97</t>
  </si>
  <si>
    <t>Paso 2 "Empresas" Búsqueda y selección de empresas a adicionar al grupo regional, usuario BO preparador</t>
  </si>
  <si>
    <t>Selección campo País Origen de acuerdo al domino del usuario BO preparador</t>
  </si>
  <si>
    <t>- Mostrar en el campo 'País Origen' unicamente el país del usuario preparador BO y casa matriz del cliente a crear, por ejemplo, si el usuario BO es domino SV y la casa matriz tambien es SV, en el campo 'País Origen' deberá mostrar El Salvador
- Campo obligatorio</t>
  </si>
  <si>
    <t>Selección del país de casa matriz de acuerdo al dominio del usuario BO</t>
  </si>
  <si>
    <t>CP98</t>
  </si>
  <si>
    <t>Selección de tipo de identiificación del cliente</t>
  </si>
  <si>
    <r>
      <rPr>
        <rFont val="Fira Sans Extra Condensed"/>
        <color theme="1"/>
        <sz val="10.0"/>
      </rPr>
      <t xml:space="preserve">Mostrará los tipos de identificación de acuerdo al dominio del usuario BO y la casa matriz, segun se detalla a continuación:
</t>
    </r>
    <r>
      <rPr>
        <rFont val="Fira Sans Extra Condensed"/>
        <b/>
        <color theme="1"/>
        <sz val="10.0"/>
      </rPr>
      <t xml:space="preserve">El Salvador:
</t>
    </r>
    <r>
      <rPr>
        <rFont val="Fira Sans Extra Condensed"/>
        <color theme="1"/>
        <sz val="10.0"/>
      </rPr>
      <t xml:space="preserve">NIT y NITE: 17 caracteres numéricos separados por guiones
Máscara: ####-######-###-#
</t>
    </r>
    <r>
      <rPr>
        <rFont val="Fira Sans Extra Condensed"/>
        <b/>
        <color theme="1"/>
        <sz val="10.0"/>
      </rPr>
      <t xml:space="preserve">Costa Rica
</t>
    </r>
    <r>
      <rPr>
        <rFont val="Fira Sans Extra Condensed"/>
        <color theme="1"/>
        <sz val="10.0"/>
      </rPr>
      <t xml:space="preserve">Cédula jurídica: 10 caracteres numéricos separados por guiones
Máscara: #-###-######
</t>
    </r>
    <r>
      <rPr>
        <rFont val="Fira Sans Extra Condensed"/>
        <b/>
        <color theme="1"/>
        <sz val="10.0"/>
      </rPr>
      <t xml:space="preserve">Honduras:
</t>
    </r>
    <r>
      <rPr>
        <rFont val="Fira Sans Extra Condensed"/>
        <color theme="1"/>
        <sz val="10.0"/>
      </rPr>
      <t xml:space="preserve">RTN: 14 caracteres numéricos sin guiones
Máscara: ##############
</t>
    </r>
    <r>
      <rPr>
        <rFont val="Fira Sans Extra Condensed"/>
        <b/>
        <color theme="1"/>
        <sz val="10.0"/>
      </rPr>
      <t xml:space="preserve">Panamá:
</t>
    </r>
    <r>
      <rPr>
        <rFont val="Fira Sans Extra Condensed"/>
        <color theme="1"/>
        <sz val="10.0"/>
      </rPr>
      <t>RUC: 20 caracteres numéricos separados por guiones
Máscara:  #########-##-#########
Otro RUC: 15 carcateres sin guiones
Máscara:  ###############
Campo obligatorio</t>
    </r>
  </si>
  <si>
    <t>Mostrar tipos de documentos y máscaras segun el país dominio del usuario BO y casa matriz</t>
  </si>
  <si>
    <t>CP99</t>
  </si>
  <si>
    <t>Validación de número de documento</t>
  </si>
  <si>
    <t>Ingresar número de documento correcto, de acuerdo al país dominio del usuario BO y casa matriz
Campo obligatorio</t>
  </si>
  <si>
    <t>Validación exitosa del número de documento</t>
  </si>
  <si>
    <t>CP100</t>
  </si>
  <si>
    <t>Ingresar número de documento incorrecto, se realiza validación con el core y deberá mostrar mensaje en pantalla indicando el error de número de documento incorrecto.
Campo obligatorio</t>
  </si>
  <si>
    <t>No permite conitnuar con el proceso</t>
  </si>
  <si>
    <t>CP101</t>
  </si>
  <si>
    <t>Seleccionar tipo de documento diferente al número de documento del cliente, deberá mostrar  mensaje de error indicando que el cliente no existe en el core del país dominio del usuario BO y país casa matriz
Campo obligatorio</t>
  </si>
  <si>
    <t>Mostrar error en pantalla indicando que el cliente no existe</t>
  </si>
  <si>
    <t>CP102</t>
  </si>
  <si>
    <t>Verificación de botones regresar y consultar</t>
  </si>
  <si>
    <t xml:space="preserve">- Seleccionar botón regresar, devolverá al paso anterior "Datos"
- Selección de botón consultar, debe permitir continuar al siguiente paso.
</t>
  </si>
  <si>
    <t>Validación exitosa de los botones</t>
  </si>
  <si>
    <t>CP103</t>
  </si>
  <si>
    <t>Empresa NO debe estar marcada como multilatina en CC de BEL local</t>
  </si>
  <si>
    <t>Mostrará error indicando que la empresa no existe.</t>
  </si>
  <si>
    <t>Mostrará mensaje de error de acuerdo al catálogo de errores.</t>
  </si>
  <si>
    <t>CP104</t>
  </si>
  <si>
    <t>Empresa deberá estar marcada como multilatina en CC de BEL local</t>
  </si>
  <si>
    <t>Mostrará resultado de la búsqueda de la empresa y mostrará los siguientes campos bloqueados y poblados:
- País Origen: Mosrará bandera y nombre del país
- Tipo de identificación: Mostrará el nombre del tipo de la identificación
- Número identificación: mostrará el número de identificación respetando la máscara
- Razon social: Mostrará el nombre de la razon social de la sociedad
- Segmento: mostrará el tipo de segmento ejemplo: Empresarial, corporativo, PYME, multilatino.
 - Mostrará botón 'Seleccionar empresa'</t>
  </si>
  <si>
    <t>Mostrar información del cliente de acuerdo a lo registrado en cada core y banca en línea.</t>
  </si>
  <si>
    <t>CP105</t>
  </si>
  <si>
    <t>- Al seleccionar el botón 'Seleccionar empresa' deberá mostrar todas las empresas asociadas a la casa matriz y de los países previamente seleccionados.
- Mostrará mensaje indicando los isguiente: 'Empresa fue seleccionda exitosamente, si desea agregar más empresas diligencie nuevamente los campos de país origen, tipo de identificación, y número de identificación.'</t>
  </si>
  <si>
    <t>Visualización de clientes previamente seleccionados de acuerdo al campo 'Presencia Regional'.</t>
  </si>
  <si>
    <t>CP106</t>
  </si>
  <si>
    <t xml:space="preserve">En la parte inferior se debe mostrar el texto “Seleccionados” y el siguiente mensaje: “Aquí se mostrarán todas las empresas que seleccione”, posterior se debe mostrar la misma información al momento de la selección y al lado se debe habilitar un icono que haga referencia a que puede eliminar la selección. 
-El usuario podrá adicionar las empresas que requiera siguiendo la misma lógica. 
</t>
  </si>
  <si>
    <t>Marcar y desmarcar empresas.</t>
  </si>
  <si>
    <t>CP107</t>
  </si>
  <si>
    <r>
      <rPr>
        <rFont val="Fira Sans Extra Condensed"/>
        <color theme="1"/>
        <sz val="10.0"/>
      </rPr>
      <t xml:space="preserve">En la parte final de la pantalla se debe mostrar los botones de:
</t>
    </r>
    <r>
      <rPr>
        <rFont val="Fira Sans Extra Condensed"/>
        <b/>
        <color theme="1"/>
        <sz val="10.0"/>
      </rPr>
      <t xml:space="preserve">Regresar: </t>
    </r>
    <r>
      <rPr>
        <rFont val="Fira Sans Extra Condensed"/>
        <color theme="1"/>
        <sz val="10.0"/>
      </rPr>
      <t>al dar clic lleva a la pantalla anterior con la preselección realizada.</t>
    </r>
  </si>
  <si>
    <t>Validación de botones regresar y Asignar productos</t>
  </si>
  <si>
    <t>CP108</t>
  </si>
  <si>
    <t>Paso 2 "Empresas"  Asignación de productos</t>
  </si>
  <si>
    <r>
      <rPr>
        <rFont val="Fira Sans Extra Condensed"/>
        <b/>
        <color theme="1"/>
        <sz val="10.0"/>
      </rPr>
      <t xml:space="preserve">Asignar productos
</t>
    </r>
    <r>
      <rPr>
        <rFont val="Fira Sans Extra Condensed"/>
        <color theme="1"/>
        <sz val="10.0"/>
      </rPr>
      <t>- Seleccionar botón 'Asignar Productos' se actualiza la pantalla, y el sistema debe permitir seleccionar uno, algunos o todos los productos del cliente en la región. 
- Para el MVP solo se deben mostrar cuentas de ahorro y corriente. en la cual el usuario debe realizar la selección de productos con los cuales operará el grupo regional - Mostrar campo en formato filtro: “tipo de producto” y tendrá la opción de “Operar con todos los productos” al lado estará un Toggle o swich con las opciones SÍ/NO, por default viene cómo “NO” al dar clic cambia a “SI” y marca todos los productos para todas las empresas seleccionadas en el paso anterior. posterior se muestran el detalle de las cuentas agrupadas por tipo de productos y se mostrará la siguiente información de los productos:</t>
    </r>
  </si>
  <si>
    <t xml:space="preserve">Marcar y desmarcar productos.
</t>
  </si>
  <si>
    <t>CP109</t>
  </si>
  <si>
    <t>- Mostrar Checkbox de selección de productos: Permite seleccionar los productos, si se escoge Operar con todos, todos quedan seleccionados. 
Empresa: Nombre de la empresa al cual pertenece el producto.
Tipo de cuenta: Mostrará el tipo de cuenta (cuenta ahorro / Cuenta Corriente)
Alias: La herramienta debe mostrar el nombre del alias si aplica. 
Número de producto: se debe presentar el número de cuenta completo cómo fue creado en el core.
posterior se habilita el botón de “Guardar” al dar clic el canal informa “Los cambios han sido guardados exitosamente” y se actualiza el track así:
- Membresía - Administración - Transacciones permitidas - Resumen</t>
  </si>
  <si>
    <t>Marcación exitosa de productos.</t>
  </si>
  <si>
    <t>CP110</t>
  </si>
  <si>
    <t>Paso 3 "Membresía"  Asignación de productos</t>
  </si>
  <si>
    <r>
      <rPr>
        <rFont val="Fira Sans Extra Condensed"/>
        <b/>
        <color theme="1"/>
        <sz val="10.0"/>
      </rPr>
      <t>- Título de pantalla:</t>
    </r>
    <r>
      <rPr>
        <rFont val="Fira Sans Extra Condensed"/>
        <color theme="1"/>
        <sz val="10.0"/>
      </rPr>
      <t xml:space="preserve"> Cobro de Membresía
</t>
    </r>
    <r>
      <rPr>
        <rFont val="Fira Sans Extra Condensed"/>
        <b/>
        <color theme="1"/>
        <sz val="10.0"/>
      </rPr>
      <t>- Subtítulo:</t>
    </r>
    <r>
      <rPr>
        <rFont val="Fira Sans Extra Condensed"/>
        <color theme="1"/>
        <sz val="10.0"/>
      </rPr>
      <t xml:space="preserve"> “Seleccione la empresa y luego el producto al que desea se realice el cobro de la membresía”.
- Debe mostrar en pantalla un elemento que le permita al usuario BO seleccionar la empresa desde la cual requiere asociar el cobro.
- una vez seleccionada se debe habilitar una opción donde el usuario BO debe buscar y seleccionar un único producto (cuenta ahorro o corriente) el cual selecciona para el cobro del canal. (Campo obligatorio)  
- Una vez realizada la selección se habilita en la parte inferior el campo:</t>
    </r>
    <r>
      <rPr>
        <rFont val="Fira Sans Extra Condensed"/>
        <b/>
        <color theme="1"/>
        <sz val="10.0"/>
      </rPr>
      <t xml:space="preserve"> “porcentaje de exoneración”.</t>
    </r>
    <r>
      <rPr>
        <rFont val="Fira Sans Extra Condensed"/>
        <color theme="1"/>
        <sz val="10.0"/>
      </rPr>
      <t xml:space="preserve">
</t>
    </r>
  </si>
  <si>
    <t>Selección de cuenta para cobro de membresía de forma exitosa</t>
  </si>
  <si>
    <t>CP111</t>
  </si>
  <si>
    <r>
      <rPr>
        <rFont val="Fira Sans Extra Condensed"/>
        <b/>
        <color theme="1"/>
        <sz val="10.0"/>
      </rPr>
      <t xml:space="preserve">(PENDIENTE DEFINICIÓN DE FUNCIONALIDAD CON EL PO)
</t>
    </r>
    <r>
      <rPr>
        <rFont val="Fira Sans Extra Condensed"/>
        <color theme="1"/>
        <sz val="10.0"/>
      </rPr>
      <t>- El cobro de la tarifa se hará de forma escalonada, para el caso de SV será por medio de una tabla en IBS.</t>
    </r>
    <r>
      <rPr>
        <rFont val="Fira Sans Extra Condensed"/>
        <b/>
        <color theme="1"/>
        <sz val="10.0"/>
      </rPr>
      <t xml:space="preserve">
</t>
    </r>
    <r>
      <rPr>
        <rFont val="Fira Sans Extra Condensed"/>
        <color theme="1"/>
        <sz val="10.0"/>
      </rPr>
      <t>- Si el cliente se marca en CC para cobro de membresía se debe definir el rango de días para el cobro y así ejecutar el débito si dispone de fondos en la cuenta seleccionada y acreditar a la cuenta contable de cada país.
- Si el cliente no dispone de fondos, realizar el cobro de acuerdo al rango de días establecido.
- El cargo será por mes vencido.
- Se brindará período de gracia o sera cobro inmediato?
- El cobro de la membresía se efectuará siempre y cuando el cliente se encuentre activo en CC, sin hacer distinción que ejecute o no transacciones?
- CLiente marcado en CC como inactivo no se realizará cobro por membresía.
- El cobro de membresía se hará a la sociedad que el cliente indique y no se hará el cobro parcial al grupo regional.</t>
    </r>
  </si>
  <si>
    <t>Pendiente de definición</t>
  </si>
  <si>
    <t>CP112</t>
  </si>
  <si>
    <t xml:space="preserve">La solicitud de cobro es realizada por el canal y debe solicitar al core local del país al que pertenezca la cuenta registrada; A nivel local se debe esperar la solicitud de recaudo la cual es ejecutada por el core local de cada país y se debe enviar desde el core una respuesta de “exitoso” o “fallido” para que el canal confirme si debe enviar el escenario de reintento o no. 
En Panamá se exonera de impuesto (ITBMS) a la comisión para algunas empresas, por la ubicación en Zona Franca, mas no se exonera la comisión. </t>
  </si>
  <si>
    <t>CP113</t>
  </si>
  <si>
    <t>- Cobro de membresía desde el canal se realiza de manera mensual (parametrizable) en dólares americanos a un producto cuya moneda depende del país de apertura, 
- El cobro será realizado de acuerdo a una tabla donde se parametriza el valor del servicio en Dólares y en caso que la moneda del producto sea diferente a USD, el core debe generar la conversión del cobro a la moneda local y generar solicitud del débito de los recursos del producto.
- El canal  debe informar a cada  core la cuenta, porcentaje a descuento y el periodo al que corresponde el recaudo.
Una vez el usuario Banco haya seleccionada la Empresa, cuenta de cobro y porcentaje de exoneración se habilita el botón de “Asignar cobro” al dar clic se actualiza mensaje que informa “ El cobro de la membresía fue asignado exitosamente”  posterior se actualiza la pantalla con el siguiente paso.</t>
  </si>
  <si>
    <t>CP114</t>
  </si>
  <si>
    <r>
      <rPr>
        <rFont val="Fira Sans Extra Condensed"/>
        <b/>
        <color theme="1"/>
        <sz val="10.0"/>
      </rPr>
      <t>Escenario Reintentos de cobro de membresía.</t>
    </r>
    <r>
      <rPr>
        <rFont val="Fira Sans Extra Condensed"/>
        <color theme="1"/>
        <sz val="10.0"/>
      </rPr>
      <t xml:space="preserve">
- Si el país ya tiene definido localmente los cobros por concepto de membresía para acceder a un canal transaccional se debe aplicar lo mismo a lo que ya fue definido referente a los reintentos y notificaciones si aplica.
- Si el intento del recaudo falla debido a fondos insuficientes o cualquier causal se debe generar reintentos de cobro de manera automática durante los próximos 5 días hábiles
- La herramienta debe registrar los intentos fallidos de cobro y los intentos realizados.  si el cobro aún no es exitoso se debe notificar a la unidad centralizada para que pueda ser escalado localmente y revisión puntual, no se debe suspender el servicio del canal.  
</t>
    </r>
    <r>
      <rPr>
        <rFont val="Fira Sans Extra Condensed"/>
        <b/>
        <color theme="1"/>
        <sz val="10.0"/>
      </rPr>
      <t xml:space="preserve">
- Para Costa Rica, se van a realizar 5 reintentos diarios cada 2 horas, durante los próximos 5 días hábiles.</t>
    </r>
  </si>
  <si>
    <t>CP115</t>
  </si>
  <si>
    <t>Paso 4 "Administración" Administrador principal</t>
  </si>
  <si>
    <t>Empresa y usuarios deberán estar marcados como multilatinos en CC de BEL local</t>
  </si>
  <si>
    <r>
      <rPr>
        <rFont val="Fira Sans Extra Condensed"/>
        <color theme="1"/>
        <sz val="10.0"/>
      </rPr>
      <t xml:space="preserve">Teniendo en cuenta que en paso 1 “Datos” el usuario seleccionó el tipo de administración que tendrá el grupo regional en este paso debe buscar y mostrar los usuarios que en la banca local de casa matriz esten marcados como usuarios maestros y que tengan 'SI' en la administración.
- En esta sección no mostrará a usuarios operador o que en la administración tengan 'NO'
- Permitir seleccionar los usuarios y se mostrará la siguiente información en pantalla:
</t>
    </r>
    <r>
      <rPr>
        <rFont val="Fira Sans Extra Condensed"/>
        <b/>
        <color theme="1"/>
        <sz val="10.0"/>
      </rPr>
      <t>Administrador principal:</t>
    </r>
    <r>
      <rPr>
        <rFont val="Fira Sans Extra Condensed"/>
        <color theme="1"/>
        <sz val="10.0"/>
      </rPr>
      <t xml:space="preserve">
Para habilitar un usuario como “Administrador” diligencie los siguientes campos, recuerde que el usuario debe estar creado previamente en la banca local de alguna de las empresas seleccionadas
</t>
    </r>
    <r>
      <rPr>
        <rFont val="Fira Sans Extra Condensed"/>
        <b/>
        <color theme="1"/>
        <sz val="10.0"/>
      </rPr>
      <t>País origen:</t>
    </r>
    <r>
      <rPr>
        <rFont val="Fira Sans Extra Condensed"/>
        <color theme="1"/>
        <sz val="10.0"/>
      </rPr>
      <t xml:space="preserve"> Desplegable que permite seleccionar el país al que pertenece el usuario, excepto “super Usuario” 
</t>
    </r>
    <r>
      <rPr>
        <rFont val="Fira Sans Extra Condensed"/>
        <b/>
        <color theme="1"/>
        <sz val="10.0"/>
      </rPr>
      <t xml:space="preserve">Tipo de identificación: </t>
    </r>
    <r>
      <rPr>
        <rFont val="Fira Sans Extra Condensed"/>
        <color theme="1"/>
        <sz val="10.0"/>
      </rPr>
      <t xml:space="preserve">Habilita los tipos de identificación de acuerdo a la selección de país.
</t>
    </r>
    <r>
      <rPr>
        <rFont val="Fira Sans Extra Condensed"/>
        <b/>
        <color theme="1"/>
        <sz val="10.0"/>
      </rPr>
      <t>Número de identificación</t>
    </r>
    <r>
      <rPr>
        <rFont val="Fira Sans Extra Condensed"/>
        <color theme="1"/>
        <sz val="10.0"/>
      </rPr>
      <t xml:space="preserve">: espacio para ingresar el número de identificación.
</t>
    </r>
    <r>
      <rPr>
        <rFont val="Fira Sans Extra Condensed"/>
        <b/>
        <color theme="1"/>
        <sz val="10.0"/>
      </rPr>
      <t>posterior se habilitan las siguientes opciones:</t>
    </r>
    <r>
      <rPr>
        <rFont val="Fira Sans Extra Condensed"/>
        <color theme="1"/>
        <sz val="10.0"/>
      </rPr>
      <t xml:space="preserve">
</t>
    </r>
    <r>
      <rPr>
        <rFont val="Fira Sans Extra Condensed"/>
        <b/>
        <color theme="1"/>
        <sz val="10.0"/>
      </rPr>
      <t xml:space="preserve">Regresar: </t>
    </r>
    <r>
      <rPr>
        <rFont val="Fira Sans Extra Condensed"/>
        <color theme="1"/>
        <sz val="10.0"/>
      </rPr>
      <t xml:space="preserve">al dar clic lleva a la pantalla anterior con la preselección realizada.
</t>
    </r>
    <r>
      <rPr>
        <rFont val="Fira Sans Extra Condensed"/>
        <b/>
        <color theme="1"/>
        <sz val="10.0"/>
      </rPr>
      <t>Consultar</t>
    </r>
    <r>
      <rPr>
        <rFont val="Fira Sans Extra Condensed"/>
        <color theme="1"/>
        <sz val="10.0"/>
      </rPr>
      <t xml:space="preserve">: al dar clic  de acuerdo con la información ingresada se mostrarán las siguientes opciones:
</t>
    </r>
    <r>
      <rPr>
        <rFont val="Fira Sans Extra Condensed"/>
        <b/>
        <color theme="1"/>
        <sz val="10.0"/>
      </rPr>
      <t>Mensajería error:</t>
    </r>
    <r>
      <rPr>
        <rFont val="Fira Sans Extra Condensed"/>
        <color theme="1"/>
        <sz val="10.0"/>
      </rPr>
      <t xml:space="preserve"> Si los datos ingresados están errados o no coinciden el canal mostrará mensaje: Información ingresada está errada o no coincide, recuerde que el usuario debe existir previamente en la banca local de las empresas seleccionadas.</t>
    </r>
  </si>
  <si>
    <t>Consulta de usuario de forma exitosa
- Mostrar mensaje de error si los datos ingresados son incorrectos.</t>
  </si>
  <si>
    <t>CP116</t>
  </si>
  <si>
    <r>
      <rPr>
        <rFont val="Fira Sans Extra Condensed"/>
        <color theme="1"/>
        <sz val="10.0"/>
      </rPr>
      <t xml:space="preserve">Cuando la información ingresada por el usuario sea correcta la herramienta debe mostrar el resultado en la parte inferior así:
</t>
    </r>
    <r>
      <rPr>
        <rFont val="Fira Sans Extra Condensed"/>
        <b/>
        <color theme="1"/>
        <sz val="10.0"/>
      </rPr>
      <t>País Origen: b</t>
    </r>
    <r>
      <rPr>
        <rFont val="Fira Sans Extra Condensed"/>
        <color theme="1"/>
        <sz val="10.0"/>
      </rPr>
      <t xml:space="preserve">andera y nombre del país.
</t>
    </r>
    <r>
      <rPr>
        <rFont val="Fira Sans Extra Condensed"/>
        <b/>
        <color theme="1"/>
        <sz val="10.0"/>
      </rPr>
      <t>Tipo de Identificación:</t>
    </r>
    <r>
      <rPr>
        <rFont val="Fira Sans Extra Condensed"/>
        <color theme="1"/>
        <sz val="10.0"/>
      </rPr>
      <t xml:space="preserve"> Debe mostrar el mismo tipo de identificación ingresado.
</t>
    </r>
    <r>
      <rPr>
        <rFont val="Fira Sans Extra Condensed"/>
        <b/>
        <color theme="1"/>
        <sz val="10.0"/>
      </rPr>
      <t xml:space="preserve">Número de identificación: </t>
    </r>
    <r>
      <rPr>
        <rFont val="Fira Sans Extra Condensed"/>
        <color theme="1"/>
        <sz val="10.0"/>
      </rPr>
      <t xml:space="preserve">Debe mostrar el mismo tipo de identificación ingresado.
</t>
    </r>
    <r>
      <rPr>
        <rFont val="Fira Sans Extra Condensed"/>
        <b/>
        <color theme="1"/>
        <sz val="10.0"/>
      </rPr>
      <t>Nombre</t>
    </r>
    <r>
      <rPr>
        <rFont val="Fira Sans Extra Condensed"/>
        <color theme="1"/>
        <sz val="10.0"/>
      </rPr>
      <t xml:space="preserve">: La herramienta debe mostrar el nombre del usuario tal cual cómo se encuentra creado en la banca en línea
</t>
    </r>
    <r>
      <rPr>
        <rFont val="Fira Sans Extra Condensed"/>
        <b/>
        <color theme="1"/>
        <sz val="10.0"/>
      </rPr>
      <t>Apellido</t>
    </r>
    <r>
      <rPr>
        <rFont val="Fira Sans Extra Condensed"/>
        <color theme="1"/>
        <sz val="10.0"/>
      </rPr>
      <t xml:space="preserve">: La herramienta debe mostrar el apellido del usuario tal cual cómo se encuentra creado en la banca en línea
</t>
    </r>
    <r>
      <rPr>
        <rFont val="Fira Sans Extra Condensed"/>
        <b/>
        <color theme="1"/>
        <sz val="10.0"/>
      </rPr>
      <t xml:space="preserve">Email: </t>
    </r>
    <r>
      <rPr>
        <rFont val="Fira Sans Extra Condensed"/>
        <color theme="1"/>
        <sz val="10.0"/>
      </rPr>
      <t xml:space="preserve">La herramienta debe mostrar el correo del usuario tal cual cómo se encuentra creado en la Banca en línea.
</t>
    </r>
    <r>
      <rPr>
        <rFont val="Fira Sans Extra Condensed"/>
        <b/>
        <color theme="1"/>
        <sz val="10.0"/>
      </rPr>
      <t xml:space="preserve">Empresa: </t>
    </r>
    <r>
      <rPr>
        <rFont val="Fira Sans Extra Condensed"/>
        <color theme="1"/>
        <sz val="10.0"/>
      </rPr>
      <t xml:space="preserve">Teniendo en cuenta que el usuario a crear puede existir en todas las empresas seleccionadas en el paso anterior, la herramienta debe mostrar la información por cada registro la información de acuerdo a la consulta realizada. </t>
    </r>
  </si>
  <si>
    <t xml:space="preserve">Visualización de nformación de usuario administrador </t>
  </si>
  <si>
    <t>CP117</t>
  </si>
  <si>
    <r>
      <rPr>
        <rFont val="Fira Sans Extra Condensed"/>
        <color theme="1"/>
        <sz val="10.0"/>
      </rPr>
      <t xml:space="preserve">Una vez el usuario preparador del Grupo le de clic en el checkbox para seleccionar el usuario y dependiendo del tipo de Administración el canal Mostrará:
</t>
    </r>
    <r>
      <rPr>
        <rFont val="Fira Sans Extra Condensed"/>
        <b/>
        <color theme="1"/>
        <sz val="10.0"/>
      </rPr>
      <t>Administración Sencilla:</t>
    </r>
    <r>
      <rPr>
        <rFont val="Fira Sans Extra Condensed"/>
        <color theme="1"/>
        <sz val="10.0"/>
      </rPr>
      <t xml:space="preserve"> Una vez seleccionado el usuario administrador se habilita el botón de “continuar”.
</t>
    </r>
    <r>
      <rPr>
        <rFont val="Fira Sans Extra Condensed"/>
        <b/>
        <color theme="1"/>
        <sz val="10.0"/>
      </rPr>
      <t xml:space="preserve">
Administración Dual: </t>
    </r>
    <r>
      <rPr>
        <rFont val="Fira Sans Extra Condensed"/>
        <color theme="1"/>
        <sz val="10.0"/>
      </rPr>
      <t xml:space="preserve">una vez seleccionado el Administrador Principal el canal mostrará mensaje el usuario fue seleccionado exitosamente, para buscar el Administrador secundario diligencie nuevamente los campos de país origen, tipo de identificación, y número de identificación. 
En la parte inferior se debe mostrar el usuario principal seleccionado y el siguiente mensaje: </t>
    </r>
    <r>
      <rPr>
        <rFont val="Fira Sans Extra Condensed"/>
        <b/>
        <color theme="1"/>
        <sz val="10.0"/>
      </rPr>
      <t xml:space="preserve">“Aquí se mostrarán los usuarios que seleccione”, </t>
    </r>
    <r>
      <rPr>
        <rFont val="Fira Sans Extra Condensed"/>
        <color theme="1"/>
        <sz val="10.0"/>
      </rPr>
      <t>posterior se debe mostrar la misma información al momento de la selección y al lado se debe habilitar un icono que haga referencia a que puede eliminar la selección. Una vez seleccionado el usuario administrador secundario se habilita el botón de “continuar”</t>
    </r>
  </si>
  <si>
    <t>Asignación de administración, si es Dual debe permitir ingresar la información de 2 usuarios administradores.</t>
  </si>
  <si>
    <t>CP118</t>
  </si>
  <si>
    <t>Paso 5 "Transacciones permitidas"  Asignación de productos</t>
  </si>
  <si>
    <r>
      <rPr>
        <rFont val="Fira Sans Extra Condensed"/>
        <color theme="1"/>
        <sz val="10.0"/>
      </rPr>
      <t xml:space="preserve">La herramienta debe permitir asignar servicios y límites que tendrá el grupo Regional, para el MVP únicamente visualiza el servicio de Consultas y transferencias regionales a cuentas propias y terceros, los demás servicios se habilitarán de acuerdo a los entregables que se realicen en producción. 
- Permitir agregar solamente límite diario
una vez seleccionado el servicio se habilitará las opciones de:
</t>
    </r>
    <r>
      <rPr>
        <rFont val="Fira Sans Extra Condensed"/>
        <b/>
        <color theme="1"/>
        <sz val="10.0"/>
      </rPr>
      <t xml:space="preserve">Regresar: </t>
    </r>
    <r>
      <rPr>
        <rFont val="Fira Sans Extra Condensed"/>
        <color theme="1"/>
        <sz val="10.0"/>
      </rPr>
      <t xml:space="preserve">al dar clic lleva a la pantalla anterior con la preselección realizada.
</t>
    </r>
    <r>
      <rPr>
        <rFont val="Fira Sans Extra Condensed"/>
        <b/>
        <color theme="1"/>
        <sz val="10.0"/>
      </rPr>
      <t>Confirmar:</t>
    </r>
    <r>
      <rPr>
        <rFont val="Fira Sans Extra Condensed"/>
        <color theme="1"/>
        <sz val="10.0"/>
      </rPr>
      <t xml:space="preserve"> al dar clic actualiza la pantalla y muestra que se encuentra en la pantalla número 6 así:
</t>
    </r>
    <r>
      <rPr>
        <rFont val="Fira Sans Extra Condensed"/>
        <b/>
        <color theme="1"/>
        <sz val="10.0"/>
      </rPr>
      <t xml:space="preserve">
La asignación del límite de una transacción monetaria es mandatoria, no permitirá asignar funcionalidades por valor ilimitado. ” </t>
    </r>
    <r>
      <rPr>
        <rFont val="Fira Sans Extra Condensed"/>
        <color theme="1"/>
        <sz val="10.0"/>
      </rPr>
      <t xml:space="preserve">
</t>
    </r>
  </si>
  <si>
    <t>Asignación de límites monetarios al grupo regional</t>
  </si>
  <si>
    <t>CP119</t>
  </si>
  <si>
    <t>Paso 6 "Resumen"  Asignación de productos</t>
  </si>
  <si>
    <r>
      <rPr>
        <rFont val="Fira Sans Extra Condensed"/>
        <color theme="1"/>
        <sz val="10.0"/>
      </rPr>
      <t xml:space="preserve">La herramienta debe mostrar el resumen general de la creación de grupo con la información registrada en el mismo orden que se diligenció la información:
Datos, Empresas (ver productos), Cobro membresía, Administración, transacciones permitidas. 
</t>
    </r>
    <r>
      <rPr>
        <rFont val="Fira Sans Extra Condensed"/>
        <b/>
        <color theme="1"/>
        <sz val="10.0"/>
      </rPr>
      <t>- Los datos se deben mostrar poblados y bloqueados.</t>
    </r>
    <r>
      <rPr>
        <rFont val="Fira Sans Extra Condensed"/>
        <color theme="1"/>
        <sz val="10.0"/>
      </rPr>
      <t xml:space="preserve">
En la parte final de la pantalla se mostrarán las siguientes opciones:
</t>
    </r>
    <r>
      <rPr>
        <rFont val="Fira Sans Extra Condensed"/>
        <b/>
        <color theme="1"/>
        <sz val="10.0"/>
      </rPr>
      <t>Regresar:</t>
    </r>
    <r>
      <rPr>
        <rFont val="Fira Sans Extra Condensed"/>
        <color theme="1"/>
        <sz val="10.0"/>
      </rPr>
      <t xml:space="preserve"> al dar clic lleva al punto anterior con la preselección realizada.
</t>
    </r>
    <r>
      <rPr>
        <rFont val="Fira Sans Extra Condensed"/>
        <b/>
        <color theme="1"/>
        <sz val="10.0"/>
      </rPr>
      <t>Enviar a aprobar:</t>
    </r>
    <r>
      <rPr>
        <rFont val="Fira Sans Extra Condensed"/>
        <color theme="1"/>
        <sz val="10.0"/>
      </rPr>
      <t xml:space="preserve"> En la pantalla aparecerá pop up con el mensaje “El grupo regional fue enviado a aprobación exitosamente”</t>
    </r>
  </si>
  <si>
    <t>Visualización del resumen general de la creación del grupo regional</t>
  </si>
  <si>
    <t>CP120</t>
  </si>
  <si>
    <t>Adición de empresas a Grupo Regional diferente de casa Matriz</t>
  </si>
  <si>
    <t>Únicamente pueden adicionar empresas al Grupo regional los países que estén seleccionados en el punto de “Datos/Presencia Países)</t>
  </si>
  <si>
    <r>
      <rPr>
        <rFont val="Fira Sans Extra Condensed"/>
        <color theme="1"/>
        <sz val="10.0"/>
      </rPr>
      <t xml:space="preserve">- Únicamente pueden adicionar empresas al Grupo regional los países que estén seleccionados en el punto de “Datos/Presencia Países)
- En caso que se requiera adicionar y no esté marcado el país casa matriz debe actualizar el Grupo Regional realizando la inclusión del país para que se habilite la opción de “Adicionar empresa” en la pantalla de “ver detalle”, esta actualización debe ser en línea es decir una vez la casa matriz actualice la empresa el país adicionado podrá ver en linea el botón para adicionar. 
- El usuario preparador únicamente podrá adicionar empresas del país al que pertenece, es decir que si el usuario preparador está en Costa Rica únicamente podrá adicionar empresas creadas en el core de Costa Rica.
- Para Adicionar una empresa a un grupo regional creado, debe ingresar por Administración/ Grupos regionales/Consulta/ Ver detalle, una vez el usuario con perfil preparador este detalle de las empresas asociadas al grupo se habilita el botón “Adicionar empresa”, al dar clic sobre esta opción se actualiza la pantalla así:
</t>
    </r>
    <r>
      <rPr>
        <rFont val="Fira Sans Extra Condensed"/>
        <b/>
        <color theme="1"/>
        <sz val="10.0"/>
      </rPr>
      <t xml:space="preserve">el canal informará: </t>
    </r>
    <r>
      <rPr>
        <rFont val="Fira Sans Extra Condensed"/>
        <color theme="1"/>
        <sz val="10.0"/>
      </rPr>
      <t xml:space="preserve">“Busque y seleccione las empresas que desea agregar al grupo regional” posterior se muestra la información que debe ser ingresada de carácter obligatorio para buscar la empresa:
</t>
    </r>
    <r>
      <rPr>
        <rFont val="Fira Sans Extra Condensed"/>
        <b/>
        <color theme="1"/>
        <sz val="10.0"/>
      </rPr>
      <t xml:space="preserve">País Origen: </t>
    </r>
    <r>
      <rPr>
        <rFont val="Fira Sans Extra Condensed"/>
        <color theme="1"/>
        <sz val="10.0"/>
      </rPr>
      <t xml:space="preserve">Lista desplegable que mostrará el mismo país del usuario que realiza la creación, es decir que si el usuario preparador que realiza la creación del grupo regional es de Colombia únicamente visualizará “Colombia”, el unico usuario que visualiza todos es el “super usuario”
</t>
    </r>
    <r>
      <rPr>
        <rFont val="Fira Sans Extra Condensed"/>
        <b/>
        <color theme="1"/>
        <sz val="10.0"/>
      </rPr>
      <t xml:space="preserve">Tipo de identificación: </t>
    </r>
    <r>
      <rPr>
        <rFont val="Fira Sans Extra Condensed"/>
        <color theme="1"/>
        <sz val="10.0"/>
      </rPr>
      <t xml:space="preserve">De acuerdo a la selección del paso anterior se deben mostrar un listado desplegable con las opciones de tipo de identificación para el país seleccionado.
</t>
    </r>
    <r>
      <rPr>
        <rFont val="Fira Sans Extra Condensed"/>
        <b/>
        <color theme="1"/>
        <sz val="10.0"/>
      </rPr>
      <t>Número de identificación:</t>
    </r>
    <r>
      <rPr>
        <rFont val="Fira Sans Extra Condensed"/>
        <color theme="1"/>
        <sz val="10.0"/>
      </rPr>
      <t xml:space="preserve"> Espacio en el cual el usuario debe ingresar el número de identificación tal cual y cómo fue creado en el país seleccionado.
posterior se debe mostrar las siguientes opciones:
</t>
    </r>
    <r>
      <rPr>
        <rFont val="Fira Sans Extra Condensed"/>
        <b/>
        <color theme="1"/>
        <sz val="10.0"/>
      </rPr>
      <t>Regresar</t>
    </r>
    <r>
      <rPr>
        <rFont val="Fira Sans Extra Condensed"/>
        <color theme="1"/>
        <sz val="10.0"/>
      </rPr>
      <t xml:space="preserve">: Al dar clic en esta opción el canal debe llevar a la pantalla anterior.
</t>
    </r>
    <r>
      <rPr>
        <rFont val="Fira Sans Extra Condensed"/>
        <b/>
        <color theme="1"/>
        <sz val="10.0"/>
      </rPr>
      <t xml:space="preserve">Consultar: </t>
    </r>
    <r>
      <rPr>
        <rFont val="Fira Sans Extra Condensed"/>
        <color theme="1"/>
        <sz val="10.0"/>
      </rPr>
      <t xml:space="preserve">de acuerdo con la información ingresada se mostrarán las siguientes opciones:
</t>
    </r>
    <r>
      <rPr>
        <rFont val="Fira Sans Extra Condensed"/>
        <b/>
        <color theme="1"/>
        <sz val="10.0"/>
      </rPr>
      <t>Mensajería error:</t>
    </r>
    <r>
      <rPr>
        <rFont val="Fira Sans Extra Condensed"/>
        <color theme="1"/>
        <sz val="10.0"/>
      </rPr>
      <t xml:space="preserve"> Si los datos ingresados están errados o no coinciden el canal mostrará mensaje: Información ingresada está errada, no coincide o la empresa no tiene contratado el servicio de “Módulo regional” en la Banca local.</t>
    </r>
  </si>
  <si>
    <t>Adicionar clientes de acuerdo al país origen del usuario BO</t>
  </si>
  <si>
    <t>CP121</t>
  </si>
  <si>
    <r>
      <rPr>
        <rFont val="Fira Sans Extra Condensed"/>
        <color theme="1"/>
        <sz val="10.0"/>
      </rPr>
      <t xml:space="preserve">En caso que la información ingresada por el usuario sea correcta la herramienta debe mostrar el resultado en la parte inferior así:
</t>
    </r>
    <r>
      <rPr>
        <rFont val="Fira Sans Extra Condensed"/>
        <b/>
        <color theme="1"/>
        <sz val="10.0"/>
      </rPr>
      <t xml:space="preserve">País Origen: </t>
    </r>
    <r>
      <rPr>
        <rFont val="Fira Sans Extra Condensed"/>
        <color theme="1"/>
        <sz val="10.0"/>
      </rPr>
      <t xml:space="preserve">bandera y nombre del país.
</t>
    </r>
    <r>
      <rPr>
        <rFont val="Fira Sans Extra Condensed"/>
        <b/>
        <color theme="1"/>
        <sz val="10.0"/>
      </rPr>
      <t>Tipo de Identificación:</t>
    </r>
    <r>
      <rPr>
        <rFont val="Fira Sans Extra Condensed"/>
        <color theme="1"/>
        <sz val="10.0"/>
      </rPr>
      <t xml:space="preserve"> Debe mostrar el mismo tipo de identificación ingresado.
</t>
    </r>
    <r>
      <rPr>
        <rFont val="Fira Sans Extra Condensed"/>
        <b/>
        <color theme="1"/>
        <sz val="10.0"/>
      </rPr>
      <t xml:space="preserve">Número de identificación: </t>
    </r>
    <r>
      <rPr>
        <rFont val="Fira Sans Extra Condensed"/>
        <color theme="1"/>
        <sz val="10.0"/>
      </rPr>
      <t xml:space="preserve">Debe mostrar el mismo tipo de identificación ingresado.
</t>
    </r>
    <r>
      <rPr>
        <rFont val="Fira Sans Extra Condensed"/>
        <b/>
        <color theme="1"/>
        <sz val="10.0"/>
      </rPr>
      <t>Razón Social:</t>
    </r>
    <r>
      <rPr>
        <rFont val="Fira Sans Extra Condensed"/>
        <color theme="1"/>
        <sz val="10.0"/>
      </rPr>
      <t xml:space="preserve"> La herramienta debe mostrar el nombre de la empresa tal cual cómo se encuentra creada en el core.
</t>
    </r>
    <r>
      <rPr>
        <rFont val="Fira Sans Extra Condensed"/>
        <b/>
        <color theme="1"/>
        <sz val="10.0"/>
      </rPr>
      <t xml:space="preserve">Segmento: </t>
    </r>
    <r>
      <rPr>
        <rFont val="Fira Sans Extra Condensed"/>
        <color theme="1"/>
        <sz val="10.0"/>
      </rPr>
      <t xml:space="preserve">Se debe mostrar el segmento al cual pertenece.
Al lado se debe habilitar el botón “Seleccionar empresa”, al dar clic la pantalla debe actualizar y donde estaba la información se mostrará el mensaje: La empresa fue seleccionada exitosamente, si desea agregar más empresas diligencie nuevamente los campos de país origen, tipo de identificación, y número de identificación. 
en la parte inferior se debe mostrar el texto “Seleccionados” y el siguiente mensaje: “Aquí se mostrarán todas las empresas que seleccione”, posterior se debe mostrar la misma información al momento de la selección y al lado se debe habilitar un icono que haga referencia a que puede eliminar la selección. El usuario podrá adicionar las empresas que requiera siguiendo la misma lógica. 
en la parte final de la pantalla se debe mostrar los botones de:
</t>
    </r>
    <r>
      <rPr>
        <rFont val="Fira Sans Extra Condensed"/>
        <b/>
        <color theme="1"/>
        <sz val="10.0"/>
      </rPr>
      <t xml:space="preserve">Regresar: </t>
    </r>
    <r>
      <rPr>
        <rFont val="Fira Sans Extra Condensed"/>
        <color theme="1"/>
        <sz val="10.0"/>
      </rPr>
      <t>al dar clic lleva a la pantalla anterior.</t>
    </r>
  </si>
  <si>
    <t>Búsqueda y adición de empresa correctamente</t>
  </si>
  <si>
    <t>CP122</t>
  </si>
  <si>
    <r>
      <rPr>
        <rFont val="Fira Sans Extra Condensed"/>
        <b/>
        <color theme="1"/>
        <sz val="10.0"/>
      </rPr>
      <t>Asignar Productos:</t>
    </r>
    <r>
      <rPr>
        <rFont val="Fira Sans Extra Condensed"/>
        <color theme="1"/>
        <sz val="10.0"/>
      </rPr>
      <t xml:space="preserve"> se actualiza la pantalla, y el sistema debe permitir seleccionar uno, algunos o todos los productos del cliente en la región. Para el MVP solo se deben mostrar cuentas de ahorro y corriente. en la cual el usuario debe realizar la selección de productos con los cuales operará el grupo regional podrá filtrar por “tipo de producto” y tendrá la opción de “Operar con todos los productos” al lado estará un Toggle o swich con las opciones SÍ/NO, por default viene cómo “NO” al dar clic cambia a “SI” y marca todos los productos para todas las empresas seleccionadas en el paso anterior. posterior se muestran el detalle de las cuentas agrupadas por tipo de productos y se mostrará la siguiente información de los productos:
</t>
    </r>
    <r>
      <rPr>
        <rFont val="Fira Sans Extra Condensed"/>
        <b/>
        <color theme="1"/>
        <sz val="10.0"/>
      </rPr>
      <t>Checkbox:</t>
    </r>
    <r>
      <rPr>
        <rFont val="Fira Sans Extra Condensed"/>
        <color theme="1"/>
        <sz val="10.0"/>
      </rPr>
      <t xml:space="preserve"> Permite seleccionar los productos, si se escoge Operar con todos, todos quedan seleccionados.
</t>
    </r>
    <r>
      <rPr>
        <rFont val="Fira Sans Extra Condensed"/>
        <b/>
        <color theme="1"/>
        <sz val="10.0"/>
      </rPr>
      <t>Empresa</t>
    </r>
    <r>
      <rPr>
        <rFont val="Fira Sans Extra Condensed"/>
        <color theme="1"/>
        <sz val="10.0"/>
      </rPr>
      <t xml:space="preserve">: Nombre de la empresa al cual pertenece el producto.
</t>
    </r>
    <r>
      <rPr>
        <rFont val="Fira Sans Extra Condensed"/>
        <b/>
        <color theme="1"/>
        <sz val="10.0"/>
      </rPr>
      <t>Tipo de cuenta</t>
    </r>
    <r>
      <rPr>
        <rFont val="Fira Sans Extra Condensed"/>
        <color theme="1"/>
        <sz val="10.0"/>
      </rPr>
      <t xml:space="preserve">: Mostrará el tipo de cuenta (cuenta ahorro / Cuenta Corriente)
</t>
    </r>
    <r>
      <rPr>
        <rFont val="Fira Sans Extra Condensed"/>
        <b/>
        <color theme="1"/>
        <sz val="10.0"/>
      </rPr>
      <t>Alias</t>
    </r>
    <r>
      <rPr>
        <rFont val="Fira Sans Extra Condensed"/>
        <color theme="1"/>
        <sz val="10.0"/>
      </rPr>
      <t xml:space="preserve">: La herramienta debe mostrar el nombre del alias si aplica. 
</t>
    </r>
    <r>
      <rPr>
        <rFont val="Fira Sans Extra Condensed"/>
        <b/>
        <color theme="1"/>
        <sz val="10.0"/>
      </rPr>
      <t>Número de producto:</t>
    </r>
    <r>
      <rPr>
        <rFont val="Fira Sans Extra Condensed"/>
        <color theme="1"/>
        <sz val="10.0"/>
      </rPr>
      <t xml:space="preserve"> se debe presentar el número de cuenta completo cómo fue creado en el core.
Posterior se habilita el botón de “Guardar” al dar clic el canal informa “Los cambios han sido guardados exitosamente” y el usuario del país con perfil Aprobador deberá realizar aprobación de la misma 
Si no realiza clic en guardar no debe ejecutar los cambios.</t>
    </r>
  </si>
  <si>
    <t>Asignación de empresa correctamente</t>
  </si>
  <si>
    <t>CP123</t>
  </si>
  <si>
    <t>Módulo Parametrizaciones del Sistema</t>
  </si>
  <si>
    <r>
      <rPr>
        <rFont val="Fira Sans Extra Condensed"/>
        <color theme="1"/>
        <sz val="10.0"/>
      </rPr>
      <t xml:space="preserve">Dentro del módulo regional debe permitir al rol de super usuario realizar las siguientes parametrizaciones del sistema:
</t>
    </r>
    <r>
      <rPr>
        <rFont val="Fira Sans Extra Condensed"/>
        <b/>
        <color theme="1"/>
        <sz val="10.0"/>
      </rPr>
      <t xml:space="preserve">Productos habilitados: </t>
    </r>
    <r>
      <rPr>
        <rFont val="Fira Sans Extra Condensed"/>
        <color theme="1"/>
        <sz val="10.0"/>
      </rPr>
      <t xml:space="preserve">La herramienta de control center debe permitir realizar el alta de un nuevo subproducto, el nuevo subproducto debe ir asociado a un producto existente, lo anterior con el fin de que cuando el negocio lo requiera sacar un nuevo producto este pueda ser visible en el módulo regional. 
</t>
    </r>
    <r>
      <rPr>
        <rFont val="Fira Sans Extra Condensed"/>
        <b/>
        <color theme="1"/>
        <sz val="10.0"/>
      </rPr>
      <t>Enumerados:</t>
    </r>
    <r>
      <rPr>
        <rFont val="Fira Sans Extra Condensed"/>
        <color theme="1"/>
        <sz val="10.0"/>
      </rPr>
      <t xml:space="preserve"> La herramienta de control Center debe permitir realizar la asociación de códigos de error o respuesta de los servicios con un mensaje que el usuario visualizará en Front, la parametrización de estos mensajes se realizará por este módulo. 
</t>
    </r>
    <r>
      <rPr>
        <rFont val="Fira Sans Extra Condensed"/>
        <b/>
        <color theme="1"/>
        <sz val="10.0"/>
      </rPr>
      <t>Tiempo de sesión Módulo Regional Clientes (PENDIENTE DEFINIR TIEMPO)</t>
    </r>
    <r>
      <rPr>
        <rFont val="Fira Sans Extra Condensed"/>
        <color theme="1"/>
        <sz val="10.0"/>
      </rPr>
      <t xml:space="preserve">
</t>
    </r>
  </si>
  <si>
    <t>Gestiones por super usuario realizadas correctamente.
- No mostrará esta opción a usuarios operadores y/o autorizantes.</t>
  </si>
  <si>
    <t>CP124</t>
  </si>
  <si>
    <t>DME 508 Integración PER a Control Center Banca Local</t>
  </si>
  <si>
    <t>Integración PER a Control Center de cada banca local</t>
  </si>
  <si>
    <t>Cliente debe existir en la banca local de CR, HN, PA, SV y COL</t>
  </si>
  <si>
    <t>Integración de PER al Control Center de los países CR, HN, PA, SV y MI. 
1. Generación de la novedad de marcación de empresa multilatina, debe mostrarse en checkbox, incluye llamado al servicio Crear/Actualizar Cliente Empresarial Multilatino, servicio expuesto por PER a través de Datapower Regional.
2. El nuevo campo de checkbox  se llamará cliente multilatino, tal y como se muestra para CC de CR.
3. El checkbox debe estar vacío y deberá permitir marcar y desmarcar a los clientes.</t>
  </si>
  <si>
    <t>- Mostrar nuevo campo para CC de HN, SV, PA y COL
- Marcar y descarmar a los clientes de forma exitosa</t>
  </si>
  <si>
    <t>CP125</t>
  </si>
  <si>
    <t>Si el usuario BO marca al cliente como multilatino,  debe permitir añadirlo al nuevo módulo regional.</t>
  </si>
  <si>
    <t>- Adición del cliente al módulo de PER de forma exitosa</t>
  </si>
  <si>
    <t>CP126</t>
  </si>
  <si>
    <t>Si el usuario BO NO marca al cliente como multilatino, no debe permitir añadirlo al nuevo módulo regional.</t>
  </si>
  <si>
    <t>No deberá mostrar al cliente en el módulo de PER para poder añadirlo.</t>
  </si>
  <si>
    <t>CP127</t>
  </si>
  <si>
    <t>Cliente y Usuario deben existir en la banca local de CR, HN, PA, SV y COL</t>
  </si>
  <si>
    <t>Consulta, detalle, alta, modificación, deshabilitación y eliminación de usuarios en CC Local se deberá mostrar el nuevo campo de 'Multilatino', unicamente para aquellos usuarios cuya empresa haya sido marcada previamente como multilatina en su banca local</t>
  </si>
  <si>
    <t>- Visualización del nuevo campo Multilatino</t>
  </si>
  <si>
    <t>CP128</t>
  </si>
  <si>
    <t>El nuevo ´campo checkbox 'multilatino' para los usuarios, será marcado de acuerdo a lo establecido por el cliente y serán marcados por el usuario BO del mismo origen del usuario multilatino.</t>
  </si>
  <si>
    <t>Marcación del usuario multilatino de acuerdo al origen del usuario BO</t>
  </si>
  <si>
    <t>CP129</t>
  </si>
  <si>
    <t xml:space="preserve">1- Crear y exponer un servicio nuevo para poder crear un usuario multilatino en la BEL por medio de la marcación de un checkbox
2. Creación y exposición del servicio Consulta Usuarios BEL's: 
● Crear y exponer un servicio nuevo para consulta de usuario
3. Creación y exposición del servicio Novedades Usuarios PER (Altas/Bajas):
 ● Crear y exponer un servicio nuevo para consultar.
</t>
  </si>
  <si>
    <t xml:space="preserve">Visualización del nuevo campo en formato checkbox 'multilatino' </t>
  </si>
  <si>
    <t>CP130</t>
  </si>
  <si>
    <t>Al ingresar al detalle del usuario en CC local y hacer clic en modificar, deberá mostrar el nuevo campo 'Multilatino' y permitir marcar y desmarcar al usuario</t>
  </si>
  <si>
    <t>- Mostrar nuevo campo para CC local de HN, SV, PA y COL, unicamente si la empresa ha sido marcada previamente
- Marcar y descarmar a los clientes de forma exitosa</t>
  </si>
  <si>
    <t>CP131</t>
  </si>
  <si>
    <t>Si el usuario BO marca al usuario como multilatino,  deberá mostrarle en la BEL local el nuevo botón de 'Módulo regional'</t>
  </si>
  <si>
    <t>- Visualización del nuevo módulo regional en la BEL local de SV, HN, PA, CR, COL</t>
  </si>
  <si>
    <t>CP132</t>
  </si>
  <si>
    <t>Si el usuario BO NO marca al usuario como multilatino, no  deberá mostrarle en la BEL local el nuevo botón de 'Módulo regional'</t>
  </si>
  <si>
    <t>- No mostrar el nuevo módulo</t>
  </si>
  <si>
    <t>CP133</t>
  </si>
  <si>
    <t>DME 508 Integración PER a Banca Local</t>
  </si>
  <si>
    <t>Integración PER a BEL</t>
  </si>
  <si>
    <t xml:space="preserve">El banco solicita una nueva funcionalidad para integrar el SSO para los países CR, HN, PA y SV. 
1. Nueva funcionalidad de Single Sign On con PER, incluye llamado a los servicios, Autenticar Usuario PER Canal externo y Validar Autenticación: 
● Crear en cada Banca en Línea, una nueva funcionalidad en la que llame a 2 servicios del banco para realizar el Single Sign On. Se entiende que el canal abrirá una nueva pestaña con la aplicación y esta aplicación cerrará la sesión del canal. </t>
  </si>
  <si>
    <t>- Realizar el SSO correctamente</t>
  </si>
  <si>
    <t>CP134</t>
  </si>
  <si>
    <t xml:space="preserve">2. Creación y Exposición del servicio Cerrar Sesión: 
● Crear y exponer un servicio nuevo para cerrar sesión en BEL. </t>
  </si>
  <si>
    <t>- Al momento de hacer el SSO, se cerrará la sesión de BEL.</t>
  </si>
  <si>
    <t>CP135</t>
  </si>
  <si>
    <t>3. Control de sesión abierta en PER y BEL: 
● Cuando el usuario hace login en BEL, y selecciona ingresar a PER, se debe pasar la sesión a PER y PER deberá cerrar la sesión en BEL, a través del servicio del punto anterior. Luego, si se realiza un login en BEL, teniendo una sesión activa en PER, BEL llamara a un nuevo servicio para solicitar el cierre de sesión en PER (Servicio expuesto por PER). 
- Si la sesión aun se encuentra activa en PER y el usuario ingresa las credenciales en BEL, deberá mostrar mensaje indicando que posee una sesión activa y no permitir el ingreso a BEL.</t>
  </si>
  <si>
    <t>- Al momento de hacer el SSO, se cerrará la sesión de BEL.
-</t>
  </si>
  <si>
    <t>País Responsable</t>
  </si>
  <si>
    <t>Grupo de Productos / Escala 7x24 Gestión desde Control Center</t>
  </si>
  <si>
    <t>Criterio 1 Características Grupo de Productos</t>
  </si>
  <si>
    <t>Usuario BO debe existir en Control Center Escala 7x24</t>
  </si>
  <si>
    <t xml:space="preserve">Se debe habilitar una opción que permita a los usuarios administradores dentro del nuevo módulo regional crear, editar, consultar o eliminar grupo de productos que facilitarán la asignación de productos a los usuarios y a los esquemas de firmas definidos. </t>
  </si>
  <si>
    <t>Visualización a la funcionalidad de grupo de productos.</t>
  </si>
  <si>
    <t>Acceso a la funcionalidad de grupo de productos.</t>
  </si>
  <si>
    <t xml:space="preserve">Consolidado de casos </t>
  </si>
  <si>
    <t xml:space="preserve">Los productos a los que el usuario BO puede acceder para autogestionar las novedades de grupos de productos corresponde únicamente de productos asignados a la empresa desde el control center.
</t>
  </si>
  <si>
    <t xml:space="preserve">Gestionar grupo de productos </t>
  </si>
  <si>
    <t>- Cliente deberá tener productos activos</t>
  </si>
  <si>
    <t>Todos los textos cómo modales deben ser incluidos por una herramienta de gestión de contenidos o CMS paramétricos en caso que cuando tengamos los siguientes incrementales se puedan editar de manera sencilla.</t>
  </si>
  <si>
    <t>Poseer una herramienta de gestión de contenidos</t>
  </si>
  <si>
    <t>Brindar mantenimiento cuando sea requerido</t>
  </si>
  <si>
    <t>Una vez el usuario acceda a esta funcionalidad mientras carga la información que se mostrará en pantalla, se debe mostrar el “Skeleton” de la funcionalidad.</t>
  </si>
  <si>
    <t>Visualizar la estructura de la funcionalidad con grupos de productos, roles y esquema de firmas</t>
  </si>
  <si>
    <t>Mostrar los campos que contiene la funcionalidad en formato lectura</t>
  </si>
  <si>
    <t>Si el usuario visualiza el contenido en inglés los textos del canal deben corresponder.</t>
  </si>
  <si>
    <t>Permitir al usuario gestionar grupo de productos en idioma inglés</t>
  </si>
  <si>
    <t>Mostrar traducidos los campos al inglés y oermitir ejecutar la gestión.</t>
  </si>
  <si>
    <t>Criterio 2 - Creación Grupo de Productos</t>
  </si>
  <si>
    <r>
      <rPr>
        <rFont val="Fira Sans Extra Condensed"/>
        <b/>
        <color theme="1"/>
        <sz val="10.0"/>
      </rPr>
      <t>2.3 Creación Grupo:</t>
    </r>
    <r>
      <rPr>
        <rFont val="Fira Sans Extra Condensed"/>
        <color theme="1"/>
        <sz val="10.0"/>
      </rPr>
      <t xml:space="preserve">
</t>
    </r>
    <r>
      <rPr>
        <rFont val="Fira Sans Extra Condensed"/>
        <b/>
        <color theme="1"/>
        <sz val="10.0"/>
      </rPr>
      <t>Título:</t>
    </r>
    <r>
      <rPr>
        <rFont val="Fira Sans Extra Condensed"/>
        <color theme="1"/>
        <sz val="10.0"/>
      </rPr>
      <t xml:space="preserve"> Nombre del grupo de productos
</t>
    </r>
    <r>
      <rPr>
        <rFont val="Fira Sans Extra Condensed"/>
        <b/>
        <color theme="1"/>
        <sz val="10.0"/>
      </rPr>
      <t>Elemento para regresar</t>
    </r>
  </si>
  <si>
    <t>Describir el nombre de la funcionalidad</t>
  </si>
  <si>
    <t>Mostrar campos en formato lectura</t>
  </si>
  <si>
    <r>
      <rPr>
        <rFont val="Fira Sans Extra Condensed"/>
        <b/>
        <color theme="1"/>
        <sz val="10.0"/>
      </rPr>
      <t xml:space="preserve">Descripción: </t>
    </r>
    <r>
      <rPr>
        <rFont val="Fira Sans Extra Condensed"/>
        <color theme="1"/>
        <sz val="10.0"/>
      </rPr>
      <t xml:space="preserve">Asigne un nombre al nuevo grupo de productos
</t>
    </r>
    <r>
      <rPr>
        <rFont val="Fira Sans Extra Condensed"/>
        <b/>
        <color theme="1"/>
        <sz val="10.0"/>
      </rPr>
      <t>Espacio para el nombre:</t>
    </r>
    <r>
      <rPr>
        <rFont val="Fira Sans Extra Condensed"/>
        <color theme="1"/>
        <sz val="10.0"/>
      </rPr>
      <t xml:space="preserve"> Se habilita la opción para que el usuario ingrese el nombre del grupo de productos que creará.
</t>
    </r>
    <r>
      <rPr>
        <rFont val="Fira Sans Extra Condensed"/>
        <b/>
        <color theme="1"/>
        <sz val="10.0"/>
      </rPr>
      <t xml:space="preserve">Características del campo: 
</t>
    </r>
    <r>
      <rPr>
        <rFont val="Fira Sans Extra Condensed"/>
        <color theme="1"/>
        <sz val="10.0"/>
      </rPr>
      <t xml:space="preserve">- Alfanumérico.
- Longitud máxima de 50 caracteres, debe habilitar un contador de caracteres que muestre al usuario la  longitud máxima, los caracteres usados y los caracteres disponibles.
- Longitud mínima de 5 caracteres, si no cumple con esta característica no permite continuar la creación, debe tener un elemento  informe “ la longitud mínima es de 5 caracteres”.
- Debe validar que el nombre ingresado sea único para el grupo regional, es decir no podrá tener el nombre repetido, en caso que intente crear un grupo con el mismo nombre el canal debe mostrar mensaje: “Este nombre ya se usó en otro grupo regional. Asigne uno nuevo” </t>
    </r>
  </si>
  <si>
    <t>Permitir al usuario asignar un nombre personalizado al grupo de productos</t>
  </si>
  <si>
    <t>Asignar nombre personalizado al grupo de producto</t>
  </si>
  <si>
    <t>Botón de “Asignar” permita continuar con el proceso de creación del Grupo de productos.</t>
  </si>
  <si>
    <t>Accesibilidad al botón de agregar</t>
  </si>
  <si>
    <t>- Mostrará botón de asignar cuando se haya colocado un nombre al grupo de producto</t>
  </si>
  <si>
    <t>Visualización y acceso al botón de 'Asignar'</t>
  </si>
  <si>
    <t>Criterio 3 - Búsqueda y Selección de productos</t>
  </si>
  <si>
    <t>Asignar nombre al grupo de productos</t>
  </si>
  <si>
    <r>
      <rPr>
        <rFont val="Fira Sans Extra Condensed"/>
        <b/>
        <color theme="1"/>
        <sz val="10.0"/>
      </rPr>
      <t>Pantalla:</t>
    </r>
    <r>
      <rPr>
        <rFont val="Fira Sans Extra Condensed"/>
        <color theme="1"/>
        <sz val="10.0"/>
      </rPr>
      <t xml:space="preserve">
</t>
    </r>
    <r>
      <rPr>
        <rFont val="Fira Sans Extra Condensed"/>
        <b/>
        <color theme="1"/>
        <sz val="10.0"/>
      </rPr>
      <t>3.1 Título del Header:</t>
    </r>
    <r>
      <rPr>
        <rFont val="Fira Sans Extra Condensed"/>
        <color theme="1"/>
        <sz val="10.0"/>
      </rPr>
      <t xml:space="preserve"> “Elección de productos”
</t>
    </r>
    <r>
      <rPr>
        <rFont val="Fira Sans Extra Condensed"/>
        <b/>
        <color theme="1"/>
        <sz val="10.0"/>
      </rPr>
      <t xml:space="preserve">3.2 Elemento regresar: </t>
    </r>
    <r>
      <rPr>
        <rFont val="Fira Sans Extra Condensed"/>
        <color theme="1"/>
        <sz val="10.0"/>
      </rPr>
      <t>Debe existir un botón o elemento que le permita al usuario regresar a la pantalla anterior en cualquier momen.</t>
    </r>
  </si>
  <si>
    <t>El canal debe actualizar la pantalla para sugerir al usuario realizar la selección de los productos que conformarán el grupo de productos que está creando.</t>
  </si>
  <si>
    <t>Se debe presentar todos los productos que tienen las empresas que conforman el grupo regional de acuerdo a lo parametrizado en el control center regional.</t>
  </si>
  <si>
    <t>Visualizar título de la pantalla y botón de regresar</t>
  </si>
  <si>
    <r>
      <rPr>
        <rFont val="Fira Sans Extra Condensed"/>
        <b/>
        <color theme="1"/>
        <sz val="10.0"/>
      </rPr>
      <t xml:space="preserve">3.3 Títulos por columnas del resultado de productos: </t>
    </r>
    <r>
      <rPr>
        <rFont val="Fira Sans Extra Condensed"/>
        <color theme="1"/>
        <sz val="10.0"/>
      </rPr>
      <t xml:space="preserve">
</t>
    </r>
    <r>
      <rPr>
        <rFont val="Fira Sans Extra Condensed"/>
        <b/>
        <color theme="1"/>
        <sz val="10.0"/>
      </rPr>
      <t xml:space="preserve">País: </t>
    </r>
    <r>
      <rPr>
        <rFont val="Fira Sans Extra Condensed"/>
        <color theme="1"/>
        <sz val="10.0"/>
      </rPr>
      <t xml:space="preserve">Debe mostrar bandera e iniciales del país al que pertenece el producto
</t>
    </r>
    <r>
      <rPr>
        <rFont val="Fira Sans Extra Condensed"/>
        <b/>
        <color theme="1"/>
        <sz val="10.0"/>
      </rPr>
      <t>Empresa:</t>
    </r>
    <r>
      <rPr>
        <rFont val="Fira Sans Extra Condensed"/>
        <color theme="1"/>
        <sz val="10.0"/>
      </rPr>
      <t xml:space="preserve"> Debe mostrar el nombre de la empresa a la que pertenece el producto.
</t>
    </r>
    <r>
      <rPr>
        <rFont val="Fira Sans Extra Condensed"/>
        <b/>
        <color theme="1"/>
        <sz val="10.0"/>
      </rPr>
      <t xml:space="preserve">Nombre del Producto: </t>
    </r>
    <r>
      <rPr>
        <rFont val="Fira Sans Extra Condensed"/>
        <color theme="1"/>
        <sz val="10.0"/>
      </rPr>
      <t xml:space="preserve">se debe mostrar el nombre o el  alias si está asignado de lo contrario mostrará el nombre de la empresa. 
</t>
    </r>
    <r>
      <rPr>
        <rFont val="Fira Sans Extra Condensed"/>
        <b/>
        <color theme="1"/>
        <sz val="10.0"/>
      </rPr>
      <t>Tipo de producto</t>
    </r>
    <r>
      <rPr>
        <rFont val="Fira Sans Extra Condensed"/>
        <color theme="1"/>
        <sz val="10.0"/>
      </rPr>
      <t xml:space="preserve">: Debe mostrar el tipo de la cuenta a la que pertenece el producto ( Cuenta ahorro, cuenta corriente, cuenta ahorro maestra)
</t>
    </r>
    <r>
      <rPr>
        <rFont val="Fira Sans Extra Condensed"/>
        <b/>
        <color theme="1"/>
        <sz val="10.0"/>
      </rPr>
      <t>Número de producto:</t>
    </r>
    <r>
      <rPr>
        <rFont val="Fira Sans Extra Condensed"/>
        <color theme="1"/>
        <sz val="10.0"/>
      </rPr>
      <t xml:space="preserve"> debe mostrar el número de la cuenta enmascarado. 
</t>
    </r>
    <r>
      <rPr>
        <rFont val="Fira Sans Extra Condensed"/>
        <b/>
        <color theme="1"/>
        <sz val="10.0"/>
      </rPr>
      <t xml:space="preserve">Checkbox: </t>
    </r>
    <r>
      <rPr>
        <rFont val="Fira Sans Extra Condensed"/>
        <color theme="1"/>
        <sz val="10.0"/>
      </rPr>
      <t>debe tener por cada fila de resultado este elemento que permite realizar selección de manera individual.</t>
    </r>
  </si>
  <si>
    <t>- Permitir al usuario seleccionar el producto para la creación del grupo de productos.
- Marcar y desmarcar productos de forma correcta</t>
  </si>
  <si>
    <t>-Visualizar las cuentas de las sociedades con las cuales se ingresó al módulo regional.</t>
  </si>
  <si>
    <t>Selección de productos de forma exitosa.</t>
  </si>
  <si>
    <r>
      <rPr>
        <rFont val="Fira Sans Extra Condensed"/>
        <b/>
        <color theme="1"/>
        <sz val="10.0"/>
      </rPr>
      <t>3.4 Paginación:</t>
    </r>
    <r>
      <rPr>
        <rFont val="Fira Sans Extra Condensed"/>
        <color theme="1"/>
        <sz val="10.0"/>
      </rPr>
      <t xml:space="preserve"> En la pantalla se debe presentar la paginación mostrando el número de páginas totales que arroja la consulta.
- La paginación se debe presentar en la parte superior del resultado.
- Se presentarán hasta 50 registros por página, de acuerdo a la información obtenida del resultado de la consulta, para llegar a la parte inferior el usuario podrá usar el scroll y el teclado. </t>
    </r>
  </si>
  <si>
    <t>- La paginación se presentará de acuerdo al resultado de la búsqueda</t>
  </si>
  <si>
    <t>- Si no posee 50 registros no mostrará paginación.</t>
  </si>
  <si>
    <t>Mostrará paginación a partir de los 50 registros</t>
  </si>
  <si>
    <r>
      <rPr>
        <rFont val="Fira Sans Extra Condensed"/>
        <b/>
        <color theme="1"/>
        <sz val="10.0"/>
      </rPr>
      <t>3.5 Opción para operar con todos los productos:</t>
    </r>
    <r>
      <rPr>
        <rFont val="Fira Sans Extra Condensed"/>
        <color theme="1"/>
        <sz val="10.0"/>
      </rPr>
      <t xml:space="preserve"> El canal debe contar con una opción que permite al usuario seleccionar si desea “operar con todos los productos”. Una vez seleccionado se muestra la totalidad de los productos  marcados de forma automática en el checkbox.  </t>
    </r>
  </si>
  <si>
    <t>Permitir seleccionar todos los registros con un solo clic en el botón de checkbox y al seleccionarlo se marquen automáticamente todos los productos del mismo tipo o de manera individual.</t>
  </si>
  <si>
    <t>Marcación de todos los productos de forma exitosa.</t>
  </si>
  <si>
    <r>
      <rPr>
        <rFont val="Fira Sans Extra Condensed"/>
        <b/>
        <color theme="1"/>
        <sz val="10.0"/>
      </rPr>
      <t>3.6 Búsqueda avanzada de productos</t>
    </r>
    <r>
      <rPr>
        <rFont val="Fira Sans Extra Condensed"/>
        <color theme="1"/>
        <sz val="10.0"/>
      </rPr>
      <t xml:space="preserve">
</t>
    </r>
    <r>
      <rPr>
        <rFont val="Fira Sans Extra Condensed"/>
        <b/>
        <color theme="1"/>
        <sz val="10.0"/>
      </rPr>
      <t>Buscar</t>
    </r>
    <r>
      <rPr>
        <rFont val="Fira Sans Extra Condensed"/>
        <color theme="1"/>
        <sz val="10.0"/>
      </rPr>
      <t xml:space="preserve">: Al dar clic se debe habilitar una barra de búsqueda que permite al usuario ingresar el nombre del producto,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 
</t>
    </r>
    <r>
      <rPr>
        <rFont val="Fira Sans Extra Condensed"/>
        <b/>
        <color theme="1"/>
        <sz val="10.0"/>
      </rPr>
      <t xml:space="preserve">Filtrar: </t>
    </r>
    <r>
      <rPr>
        <rFont val="Fira Sans Extra Condensed"/>
        <color theme="1"/>
        <sz val="10.0"/>
      </rPr>
      <t xml:space="preserve">Adicional 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 Filtrar
Botón “x”:</t>
    </r>
    <r>
      <rPr>
        <rFont val="Fira Sans Extra Condensed"/>
        <color theme="1"/>
        <sz val="10.0"/>
      </rPr>
      <t xml:space="preserve"> Regresa a la pantalla anterior. 
Texto: Aplique las opciones de filtrado que desea</t>
    </r>
  </si>
  <si>
    <t>El canal debe permitir al usuario buscar productos por las funciones de Buscar y filtrar</t>
  </si>
  <si>
    <t>Búsqueda y uso de filtros exitoso.</t>
  </si>
  <si>
    <r>
      <rPr>
        <rFont val="Fira Sans Extra Condensed"/>
        <b/>
        <color theme="1"/>
        <sz val="10.0"/>
      </rPr>
      <t>3.6.1  País:</t>
    </r>
    <r>
      <rPr>
        <rFont val="Fira Sans Extra Condensed"/>
        <color theme="1"/>
        <sz val="10.0"/>
      </rPr>
      <t xml:space="preserve"> permite seleccionar uno o todos los países, la opción que aquí se muestre dependerá de donde el grupo tenga presencia mostrando únicamente los países donde tiene productos.</t>
    </r>
  </si>
  <si>
    <t>Selección de 1 o varios productos de los países en donde tiene presencia</t>
  </si>
  <si>
    <t xml:space="preserve">Visualizar los productos del país o países en donde tiene presencia el grupo empresarial </t>
  </si>
  <si>
    <r>
      <rPr>
        <rFont val="Fira Sans Extra Condensed"/>
        <b/>
        <color theme="1"/>
        <sz val="10.0"/>
      </rPr>
      <t xml:space="preserve">3.6.2 Empresa: </t>
    </r>
    <r>
      <rPr>
        <rFont val="Fira Sans Extra Condensed"/>
        <color theme="1"/>
        <sz val="10.0"/>
      </rPr>
      <t xml:space="preserve">Permite seleccionar una o todas las empresas del grupo de acuerdo a la selección de empresas al iniciar la sesión. </t>
    </r>
  </si>
  <si>
    <t>Selección de empresas ligadas al grupo regional</t>
  </si>
  <si>
    <t xml:space="preserve">Visualizar las empresas ligadas al grupo regional </t>
  </si>
  <si>
    <r>
      <rPr>
        <rFont val="Fira Sans Extra Condensed"/>
        <b/>
        <color theme="1"/>
        <sz val="10.0"/>
      </rPr>
      <t xml:space="preserve">3.6.3 Tipo de Producto: </t>
    </r>
    <r>
      <rPr>
        <rFont val="Fira Sans Extra Condensed"/>
        <color theme="1"/>
        <sz val="10.0"/>
      </rPr>
      <t>debe mostrar los productos habilitados en el módulo regional, para el MVP debe mostrar únicamente cuentas Ahorros y Corriente. y en caso que el Grupo regional tenga presencia en Costa Rica y tenga cuenta con naturaleza “ahorro maestra” debe mostrar esta opción.</t>
    </r>
  </si>
  <si>
    <t>Mostrar los productos activos que posea el cliente</t>
  </si>
  <si>
    <t>Para el caso de CR deberá mostrar cuentas de Ahorro Maestras.</t>
  </si>
  <si>
    <t>Selección de los productos activos que posea el cliente exitosamente.</t>
  </si>
  <si>
    <r>
      <rPr>
        <rFont val="Fira Sans Extra Condensed"/>
        <b/>
        <color theme="1"/>
        <sz val="10.0"/>
      </rPr>
      <t>3.6.4 Número de cuenta:</t>
    </r>
    <r>
      <rPr>
        <rFont val="Fira Sans Extra Condensed"/>
        <color theme="1"/>
        <sz val="10.0"/>
      </rPr>
      <t xml:space="preserve"> Permite al usuario seleccionar el número de la cuenta desde el cual se puede realizar la transferencia.</t>
    </r>
  </si>
  <si>
    <t>Selección del número de cuenta desde donde se hará la transferencia</t>
  </si>
  <si>
    <t>Número de producto deberá mostrarse enmascarado</t>
  </si>
  <si>
    <r>
      <rPr>
        <rFont val="Fira Sans Extra Condensed"/>
        <b/>
        <color theme="1"/>
        <sz val="10.0"/>
      </rPr>
      <t xml:space="preserve">Una vez presentados los filtros el canal debe mostrar las opciones: 
</t>
    </r>
    <r>
      <rPr>
        <rFont val="Fira Sans Extra Condensed"/>
        <color theme="1"/>
        <sz val="10.0"/>
      </rPr>
      <t xml:space="preserve">
</t>
    </r>
    <r>
      <rPr>
        <rFont val="Fira Sans Extra Condensed"/>
        <b/>
        <color theme="1"/>
        <sz val="10.0"/>
      </rPr>
      <t xml:space="preserve">3.6.5 Botón “Borrar": </t>
    </r>
    <r>
      <rPr>
        <rFont val="Fira Sans Extra Condensed"/>
        <color theme="1"/>
        <sz val="10.0"/>
      </rPr>
      <t xml:space="preserve">al dar clic debe eliminar los filtros de búsqueda ingresados por el usuario. 
</t>
    </r>
    <r>
      <rPr>
        <rFont val="Fira Sans Extra Condensed"/>
        <b/>
        <color theme="1"/>
        <sz val="10.0"/>
      </rPr>
      <t xml:space="preserve">3.6.6 Botón “Aplicar”: </t>
    </r>
    <r>
      <rPr>
        <rFont val="Fira Sans Extra Condensed"/>
        <color theme="1"/>
        <sz val="10.0"/>
      </rPr>
      <t>Al dar clic el canal actualiza la pantalla donde muestra los productos, mostrando como resultado únicamente productos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En caso que el usuario al buscar productos para conformar un "Grupo de Productos" y utilice la funcionalidad de “filtro o búsqueda”  no se debe eliminar la selección realizada previamente. 
En caso que el usuario aplique filtros y no encuentra coincidencia debe mostrar “La búsqueda no presenta resultados”</t>
    </r>
  </si>
  <si>
    <t>Al aplicar el filtro deberá mostrar el resultado de acuerdo a los filtros utilizados.</t>
  </si>
  <si>
    <r>
      <rPr>
        <rFont val="Fira Sans Extra Condensed"/>
        <b/>
        <color theme="1"/>
        <sz val="10.0"/>
      </rPr>
      <t xml:space="preserve">3.7 Ordenar: </t>
    </r>
    <r>
      <rPr>
        <rFont val="Fira Sans Extra Condensed"/>
        <color theme="1"/>
        <sz val="10.0"/>
      </rPr>
      <t>Debe existir una opción en el título que permita ordenar los resultados teniendo en cuenta el título así “De la A a la Z” o “De la Z a la A”, aplica para la columna de “Empresa”</t>
    </r>
  </si>
  <si>
    <t>Permitir ordenar los resultados de acuerdo a un rango</t>
  </si>
  <si>
    <t>Ejecutar orden de resultados mediante un rango.</t>
  </si>
  <si>
    <r>
      <rPr>
        <rFont val="Fira Sans Extra Condensed"/>
        <b/>
        <color theme="1"/>
        <sz val="10.0"/>
      </rPr>
      <t>3.8 Selección de productos:</t>
    </r>
    <r>
      <rPr>
        <rFont val="Fira Sans Extra Condensed"/>
        <color theme="1"/>
        <sz val="10.0"/>
      </rPr>
      <t xml:space="preserve"> Se debe presentar en pantalla todos los productos a los que tiene acceso el usuario administrador, para continuar con la creación del grupo de productos debe estar seleccionado al menos un producto. El usuario podrá seleccionar uno, varios o todos los productos para conformar un grupo de productos.
Teniendo en cuenta que al lado del producto debe incluir un checkbox que al dar clic permite seleccionar el producto hará parte del Grupo, adicional debe mostrar de manera visual el número total de los productos seleccionados.</t>
    </r>
  </si>
  <si>
    <t>Seleccionar los productos que pertenecerán al grupo de productos por medio de un checkbox</t>
  </si>
  <si>
    <t>- Selección de al menos 1 producto para continuar con el flujo</t>
  </si>
  <si>
    <t>Seleccionar los productos para la creación del grupo productos.</t>
  </si>
  <si>
    <r>
      <rPr>
        <rFont val="Fira Sans Extra Condensed"/>
        <b/>
        <color theme="1"/>
        <sz val="10.0"/>
      </rPr>
      <t xml:space="preserve">Una vez seleccionado al menos un producto se habilitará en la pantalla los siguientes botones:
3.9 Botón “Agregar”: </t>
    </r>
    <r>
      <rPr>
        <rFont val="Fira Sans Extra Condensed"/>
        <color theme="1"/>
        <sz val="10.0"/>
      </rPr>
      <t xml:space="preserve"> Al dar clic a esta opción debe actualizar la pantalla con la información del criterio 4. </t>
    </r>
  </si>
  <si>
    <t>Mostrar botón de agregar una vez se haya seleccionado un producto.</t>
  </si>
  <si>
    <t>Esta opción únicamente se habilita si el usuario ingresa un nombre de grupo válido y selecciona al menos un producto.</t>
  </si>
  <si>
    <t>Mostrar botón de agregar y al hacer clic mostrará el resumen del grupo de producto.</t>
  </si>
  <si>
    <r>
      <rPr>
        <rFont val="Fira Sans Extra Condensed"/>
        <b/>
        <color theme="1"/>
        <sz val="10.0"/>
      </rPr>
      <t xml:space="preserve">3.10 Mensajería Error: </t>
    </r>
    <r>
      <rPr>
        <rFont val="Fira Sans Extra Condensed"/>
        <color theme="1"/>
        <sz val="10.0"/>
      </rPr>
      <t xml:space="preserve">
En caso que un país no esté en la capacidad de responder la solicitud de productos se debe mostrar mensaje “La información de (país) no carga,Intente más tarde”, el canal debe mostrar en pantalla la información de los productos de los países que retornan la información por si el usuario requiere continuar con el proceso.</t>
    </r>
  </si>
  <si>
    <t>Validación de mensajes de error de acuerdo al catálogo de errores</t>
  </si>
  <si>
    <t>- Mostrar error en caso no cargue la información de los productos a adicionar</t>
  </si>
  <si>
    <t>Criterio 5 - Resumen</t>
  </si>
  <si>
    <t>Selección de productos para crear el grupo de productos</t>
  </si>
  <si>
    <r>
      <rPr>
        <rFont val="Fira Sans Extra Condensed"/>
        <b/>
        <color theme="1"/>
        <sz val="10.0"/>
      </rPr>
      <t xml:space="preserve">Resumen: 
</t>
    </r>
    <r>
      <rPr>
        <rFont val="Fira Sans Extra Condensed"/>
        <color theme="1"/>
        <sz val="10.0"/>
      </rPr>
      <t xml:space="preserve">El canal deberá mostrar: 
</t>
    </r>
    <r>
      <rPr>
        <rFont val="Fira Sans Extra Condensed"/>
        <b/>
        <color theme="1"/>
        <sz val="10.0"/>
      </rPr>
      <t xml:space="preserve">4.1 Título del Header: </t>
    </r>
    <r>
      <rPr>
        <rFont val="Fira Sans Extra Condensed"/>
        <color theme="1"/>
        <sz val="10.0"/>
      </rPr>
      <t>Resumen</t>
    </r>
    <r>
      <rPr>
        <rFont val="Fira Sans Extra Condensed"/>
        <b/>
        <color theme="1"/>
        <sz val="10.0"/>
      </rPr>
      <t>.</t>
    </r>
    <r>
      <rPr>
        <rFont val="Fira Sans Extra Condensed"/>
        <color theme="1"/>
        <sz val="10.0"/>
      </rPr>
      <t xml:space="preserve">
</t>
    </r>
    <r>
      <rPr>
        <rFont val="Fira Sans Extra Condensed"/>
        <b/>
        <color theme="1"/>
        <sz val="10.0"/>
      </rPr>
      <t>4.2 Elemento regresar:</t>
    </r>
    <r>
      <rPr>
        <rFont val="Fira Sans Extra Condensed"/>
        <color theme="1"/>
        <sz val="10.0"/>
      </rPr>
      <t xml:space="preserve"> Debe existir un botón o elemento que le permita al usuario regresar a la pantalla anterior en cualquier momento.
</t>
    </r>
    <r>
      <rPr>
        <rFont val="Fira Sans Extra Condensed"/>
        <b/>
        <color theme="1"/>
        <sz val="10.0"/>
      </rPr>
      <t xml:space="preserve">4.3 Nombre del Grupo: </t>
    </r>
    <r>
      <rPr>
        <rFont val="Fira Sans Extra Condensed"/>
        <color theme="1"/>
        <sz val="10.0"/>
      </rPr>
      <t xml:space="preserve">Se debe mostrar el nombre del grupo de producto ingresado en el criterio 2. </t>
    </r>
  </si>
  <si>
    <t>En esta pantalla el canal debe guardar la información ingresada de la pantalla anterior y actualizará una nueva pantalla donde el usuario tendrá un resumen visual de cómo sería creado el grupo si no se realiza ninguna edición, esta pantalla permite “confirmar”, agregar más productos, guardar o eliminar si así lo requiere</t>
  </si>
  <si>
    <t>Mostrar el resumen del grupo producto de acuerdo a lo ingresado en el criterio 2 y 3</t>
  </si>
  <si>
    <r>
      <rPr>
        <rFont val="Fira Sans Extra Condensed"/>
        <b/>
        <color theme="1"/>
        <sz val="10.0"/>
      </rPr>
      <t xml:space="preserve">4.4 Resumen: </t>
    </r>
    <r>
      <rPr>
        <rFont val="Fira Sans Extra Condensed"/>
        <color theme="1"/>
        <sz val="10.0"/>
      </rPr>
      <t xml:space="preserve">Deberá informar: 
</t>
    </r>
    <r>
      <rPr>
        <rFont val="Fira Sans Extra Condensed"/>
        <b/>
        <color theme="1"/>
        <sz val="10.0"/>
      </rPr>
      <t xml:space="preserve">Países: </t>
    </r>
    <r>
      <rPr>
        <rFont val="Fira Sans Extra Condensed"/>
        <color theme="1"/>
        <sz val="10.0"/>
      </rPr>
      <t xml:space="preserve">Banderas origen de los países de los productos que conforman el grupo de producto.
</t>
    </r>
    <r>
      <rPr>
        <rFont val="Fira Sans Extra Condensed"/>
        <b/>
        <color theme="1"/>
        <sz val="10.0"/>
      </rPr>
      <t xml:space="preserve">Empresas: </t>
    </r>
    <r>
      <rPr>
        <rFont val="Fira Sans Extra Condensed"/>
        <color theme="1"/>
        <sz val="10.0"/>
      </rPr>
      <t xml:space="preserve">Número del total de empresas que conforman el grupo de productos.
</t>
    </r>
    <r>
      <rPr>
        <rFont val="Fira Sans Extra Condensed"/>
        <b/>
        <color theme="1"/>
        <sz val="10.0"/>
      </rPr>
      <t>Productos:</t>
    </r>
    <r>
      <rPr>
        <rFont val="Fira Sans Extra Condensed"/>
        <color theme="1"/>
        <sz val="10.0"/>
      </rPr>
      <t xml:space="preserve"> Número del total de productos seleccionados en el paso anterior.
</t>
    </r>
    <r>
      <rPr>
        <rFont val="Fira Sans Extra Condensed"/>
        <b/>
        <color theme="1"/>
        <sz val="10.0"/>
      </rPr>
      <t>Tipo Productos</t>
    </r>
    <r>
      <rPr>
        <rFont val="Fira Sans Extra Condensed"/>
        <color theme="1"/>
        <sz val="10.0"/>
      </rPr>
      <t xml:space="preserve">: nombre del tipo de productos, ejemplo: Cuentas de ahorros / Cuenta Corriente. </t>
    </r>
  </si>
  <si>
    <t>Este paso es la “confirmación”, el canal deberá mostrar un resumen general de las características principales de los productos seleccionados en el paso anterior</t>
  </si>
  <si>
    <t>- Mostrar campos en formato lectura</t>
  </si>
  <si>
    <t>Visualizar el detalle del grupo de producto, de acuerdo a la información ingresada en el criterio 2 y 3</t>
  </si>
  <si>
    <r>
      <rPr>
        <rFont val="Fira Sans Extra Condensed"/>
        <b/>
        <color theme="1"/>
        <sz val="10.0"/>
      </rPr>
      <t xml:space="preserve">4.5 Productos Seleccionados: </t>
    </r>
    <r>
      <rPr>
        <rFont val="Fira Sans Extra Condensed"/>
        <color theme="1"/>
        <sz val="10.0"/>
      </rPr>
      <t xml:space="preserve">
</t>
    </r>
    <r>
      <rPr>
        <rFont val="Fira Sans Extra Condensed"/>
        <b/>
        <color theme="1"/>
        <sz val="10.0"/>
      </rPr>
      <t>País:</t>
    </r>
    <r>
      <rPr>
        <rFont val="Fira Sans Extra Condensed"/>
        <color theme="1"/>
        <sz val="10.0"/>
      </rPr>
      <t xml:space="preserve"> Se debe mostrar la bandera del país origen al que pertenece el producto seleccionado. 
</t>
    </r>
    <r>
      <rPr>
        <rFont val="Fira Sans Extra Condensed"/>
        <b/>
        <color theme="1"/>
        <sz val="10.0"/>
      </rPr>
      <t xml:space="preserve">Empresa: </t>
    </r>
    <r>
      <rPr>
        <rFont val="Fira Sans Extra Condensed"/>
        <color theme="1"/>
        <sz val="10.0"/>
      </rPr>
      <t xml:space="preserve">Se debe mostrar la empresa a la que pertenece el producto seleccionado.
</t>
    </r>
    <r>
      <rPr>
        <rFont val="Fira Sans Extra Condensed"/>
        <b/>
        <color theme="1"/>
        <sz val="10.0"/>
      </rPr>
      <t>Nombre del producto:</t>
    </r>
    <r>
      <rPr>
        <rFont val="Fira Sans Extra Condensed"/>
        <color theme="1"/>
        <sz val="10.0"/>
      </rPr>
      <t xml:space="preserve"> Se debe mostrar el nombre o alias del producto seleccionado
</t>
    </r>
    <r>
      <rPr>
        <rFont val="Fira Sans Extra Condensed"/>
        <b/>
        <color theme="1"/>
        <sz val="10.0"/>
      </rPr>
      <t xml:space="preserve">Tipo de Producto: </t>
    </r>
    <r>
      <rPr>
        <rFont val="Fira Sans Extra Condensed"/>
        <color theme="1"/>
        <sz val="10.0"/>
      </rPr>
      <t xml:space="preserve">Se debe presentar la naturaleza del producto seleccionado.
</t>
    </r>
    <r>
      <rPr>
        <rFont val="Fira Sans Extra Condensed"/>
        <b/>
        <color theme="1"/>
        <sz val="10.0"/>
      </rPr>
      <t>Número del Producto</t>
    </r>
    <r>
      <rPr>
        <rFont val="Fira Sans Extra Condensed"/>
        <color theme="1"/>
        <sz val="10.0"/>
      </rPr>
      <t xml:space="preserve">: Se debe presentar el número de producto seleccionado enmascarado.
</t>
    </r>
    <r>
      <rPr>
        <rFont val="Fira Sans Extra Condensed"/>
        <b/>
        <color theme="1"/>
        <sz val="10.0"/>
      </rPr>
      <t>Eliminar:</t>
    </r>
    <r>
      <rPr>
        <rFont val="Fira Sans Extra Condensed"/>
        <color theme="1"/>
        <sz val="10.0"/>
      </rPr>
      <t xml:space="preserve"> Al lado de cada registro debe estar un elemento que permita “eliminar” de manera individual si el usuario así lo requiere. Si el usuario da clic actualiza la pantalla y debe mostrar el mensaje ”producto desmarcado” con una opción de deshacer por si el usuario quiere revertir la acción. </t>
    </r>
  </si>
  <si>
    <t xml:space="preserve">En la pantalla el canal mostrará la información de los productos seleccionados en el mismo orden del paso anterior agrupando la información por tipo de productos. </t>
  </si>
  <si>
    <t>- En este paso podrá eliminar los grupos de productos antes de proceder a la confirmación</t>
  </si>
  <si>
    <r>
      <rPr>
        <rFont val="Fira Sans Extra Condensed"/>
        <b/>
        <color theme="1"/>
        <sz val="10.0"/>
      </rPr>
      <t>4.6 Paginación: L</t>
    </r>
    <r>
      <rPr>
        <rFont val="Fira Sans Extra Condensed"/>
        <color theme="1"/>
        <sz val="10.0"/>
      </rPr>
      <t xml:space="preserve">a paginación debe tener las siguientes características teniendo en cuenta que es una experiencia transversal en varias experiencias.
La paginación se debe presentar en la parte superior del resultado, se presentará hasta 50 registros por página, de acuerdo la información obtenida del resultado de la consulta, para llegar a la parte inferior el usuario podrá usar el scroll y el teclado. </t>
    </r>
  </si>
  <si>
    <t>Se debe presentar la paginación mostrando el número de páginas totales que arroja el resultado</t>
  </si>
  <si>
    <t>Mostrar paginación a partir de los 50 registros.</t>
  </si>
  <si>
    <r>
      <rPr>
        <rFont val="Fira Sans Extra Condensed"/>
        <b/>
        <color theme="1"/>
        <sz val="10.0"/>
      </rPr>
      <t>4.7 Elemento Back to top:</t>
    </r>
    <r>
      <rPr>
        <rFont val="Fira Sans Extra Condensed"/>
        <color theme="1"/>
        <sz val="10.0"/>
      </rPr>
      <t xml:space="preserve"> El canal debe tener un elemento en pantalla que  al dar clic lo debe llevar a la parte superior de la pantalla esto en caso que el cliente haga scroll para llegar a la parte inferior del resultado. </t>
    </r>
  </si>
  <si>
    <t>Mostrar elemento de Back to top y al hacer clic permitir al usuario retornar a la parte superior de la pantalla</t>
  </si>
  <si>
    <r>
      <rPr>
        <rFont val="Fira Sans Extra Condensed"/>
        <b/>
        <color theme="1"/>
        <sz val="10.0"/>
      </rPr>
      <t xml:space="preserve">4.8 Editar grupo: </t>
    </r>
    <r>
      <rPr>
        <rFont val="Fira Sans Extra Condensed"/>
        <color theme="1"/>
        <sz val="10.0"/>
      </rPr>
      <t>Si el usuario requiere editar la selección de productos del grupo debe dar clic en regresar donde puede realizar esta novedad.</t>
    </r>
  </si>
  <si>
    <t xml:space="preserve">Al dar clic en esta opción el canal debe llevar al usuario a la pantalla anterior con la preselección realizada. </t>
  </si>
  <si>
    <t>Mostrar selección de productos previamente realizada.</t>
  </si>
  <si>
    <r>
      <rPr>
        <rFont val="Fira Sans Extra Condensed"/>
        <b/>
        <color theme="1"/>
        <sz val="10.0"/>
      </rPr>
      <t xml:space="preserve">4.9 Botón “Crear grupo": </t>
    </r>
    <r>
      <rPr>
        <rFont val="Fira Sans Extra Condensed"/>
        <color theme="1"/>
        <sz val="10.0"/>
      </rPr>
      <t>Una vez el usuario de clic al botón se debe actualizar la pantalla y mostrar el resumen del grupo de productos.</t>
    </r>
  </si>
  <si>
    <t xml:space="preserve">Visualizar botón de 'Crear Grupo' </t>
  </si>
  <si>
    <t>Acceso al botón 'Crear Grupo'. la gestión quedará pendiente de autorización</t>
  </si>
  <si>
    <r>
      <rPr>
        <rFont val="Fira Sans Extra Condensed"/>
        <b/>
        <color theme="1"/>
        <sz val="10.0"/>
      </rPr>
      <t xml:space="preserve">4.10 Mensajería: </t>
    </r>
    <r>
      <rPr>
        <rFont val="Fira Sans Extra Condensed"/>
        <color theme="1"/>
        <sz val="10.0"/>
      </rPr>
      <t xml:space="preserve">En caso que el usuario de clic a alguna parte del sidebar intentando ir a otro módulo se debe presentar mensaje “¿Quiere abandonar la asignación de grupo de producto? 
Si abandona debe empezar de cero con la asignación.” seguido de las opciones de volver/ Abandonar 
Este mensaje puede aparecer en cualquier paso desde la creación desde el criterio 2.3 hasta el este punto. </t>
    </r>
  </si>
  <si>
    <t>Mostrar mensaje de error en caso el usuario BO quiera salirse de la gestión de grupo de producto.</t>
  </si>
  <si>
    <t>Validación de mensaje cuando el usuario haga clic en otra opción de CC</t>
  </si>
  <si>
    <t xml:space="preserve">Confirmación del grupo de producto </t>
  </si>
  <si>
    <t>Luego de confirmar la creación del grupo producto mostrará la pantalla de resultado indicando que la gestión se encuentra pendiente de autorización y mostrar el detalle del grupo producto</t>
  </si>
  <si>
    <t>Mostrar resumen del grupo producto</t>
  </si>
  <si>
    <t>- Gestión pendiente de autorización.</t>
  </si>
  <si>
    <t>Criterio 6 - Consulta grupos de productos</t>
  </si>
  <si>
    <t>Tener creado al menos un grupo de producto.</t>
  </si>
  <si>
    <r>
      <rPr>
        <rFont val="Fira Sans Extra Condensed"/>
        <color theme="1"/>
        <sz val="10.0"/>
      </rPr>
      <t xml:space="preserve">Para ingresar a esta opción debe ingresar por Administración/Grupo de productos
En esta pantalla el usuario tendrá la visual de todos los “grupos de productos” creados donde podrá aplicar filtros para encontrar un “grupo de productos” de manera sencilla, visualizar un mayor detalle de un grupo creado, editar o eliminar un grupo ya sea de manera individual o masiva, así:
</t>
    </r>
    <r>
      <rPr>
        <rFont val="Fira Sans Extra Condensed"/>
        <b/>
        <color theme="1"/>
        <sz val="10.0"/>
      </rPr>
      <t xml:space="preserve">6.1 Título: Grupos de productos
</t>
    </r>
    <r>
      <rPr>
        <rFont val="Fira Sans Extra Condensed"/>
        <color theme="1"/>
        <sz val="10.0"/>
      </rPr>
      <t xml:space="preserve">
</t>
    </r>
    <r>
      <rPr>
        <rFont val="Fira Sans Extra Condensed"/>
        <b/>
        <color theme="1"/>
        <sz val="10.0"/>
      </rPr>
      <t>Regresar</t>
    </r>
    <r>
      <rPr>
        <rFont val="Fira Sans Extra Condensed"/>
        <color theme="1"/>
        <sz val="10.0"/>
      </rPr>
      <t xml:space="preserve">: Debe existir un elemento que permita regresar a la pantalla anterior al darle clic.
</t>
    </r>
    <r>
      <rPr>
        <rFont val="Fira Sans Extra Condensed"/>
        <b/>
        <color theme="1"/>
        <sz val="10.0"/>
      </rPr>
      <t>Descripción:</t>
    </r>
    <r>
      <rPr>
        <rFont val="Fira Sans Extra Condensed"/>
        <color theme="1"/>
        <sz val="10.0"/>
      </rPr>
      <t xml:space="preserve"> Aquí puede crear, consultar y editar los grupos de productos. Para facilitar su gestión, puede usar el buscador o los filtros presentados. </t>
    </r>
  </si>
  <si>
    <t>Se debe habilitar una opción que permita al usuario administrador visualizar, editar o eliminar los grupos de productos creados, teniendo en cuenta que el canal debe guiar al usuario.</t>
  </si>
  <si>
    <t xml:space="preserve">- En caso que el usuario elimine todos grupos de productos creados el canal debe guiar al usuario desde el criterio 2. y la opción de consultas no estará disponible.
</t>
  </si>
  <si>
    <t>-Acceso a consultas de grupo de productos.</t>
  </si>
  <si>
    <r>
      <rPr>
        <rFont val="Fira Sans Extra Condensed"/>
        <b/>
        <color theme="1"/>
        <sz val="10.0"/>
      </rPr>
      <t>6.2 Resultado consulta:</t>
    </r>
    <r>
      <rPr>
        <rFont val="Fira Sans Extra Condensed"/>
        <color theme="1"/>
        <sz val="10.0"/>
      </rPr>
      <t xml:space="preserve"> Los títulos de las las  columnas del resultado de productos son: 
</t>
    </r>
    <r>
      <rPr>
        <rFont val="Fira Sans Extra Condensed"/>
        <b/>
        <color theme="1"/>
        <sz val="10.0"/>
      </rPr>
      <t xml:space="preserve">Nombre del grupo: </t>
    </r>
    <r>
      <rPr>
        <rFont val="Fira Sans Extra Condensed"/>
        <color theme="1"/>
        <sz val="10.0"/>
      </rPr>
      <t>Se debe mostrar el nombre con el que se creó  grupo ejemplo: “Tesorería Honduras” en caso que el grupo de productos haya sido marcado como “destacado” una estrella debe aparecer al lado del nombre. l</t>
    </r>
    <r>
      <rPr>
        <rFont val="Fira Sans Extra Condensed"/>
        <b/>
        <color theme="1"/>
        <sz val="10.0"/>
      </rPr>
      <t xml:space="preserve">os grupos marcados como “destacados” debe visualizarse en la parte superior del resultado, La marcación de un grupo cómo destacado podrá ser realizada al consultar un grupo puntual. </t>
    </r>
    <r>
      <rPr>
        <rFont val="Fira Sans Extra Condensed"/>
        <color theme="1"/>
        <sz val="10.0"/>
      </rPr>
      <t xml:space="preserve">
</t>
    </r>
    <r>
      <rPr>
        <rFont val="Fira Sans Extra Condensed"/>
        <b/>
        <color theme="1"/>
        <sz val="10.0"/>
      </rPr>
      <t xml:space="preserve">País: </t>
    </r>
    <r>
      <rPr>
        <rFont val="Fira Sans Extra Condensed"/>
        <color theme="1"/>
        <sz val="10.0"/>
      </rPr>
      <t xml:space="preserve">El canal debe mostrar las banderas de los productos que se encuentran incluidos en el grupo.
</t>
    </r>
    <r>
      <rPr>
        <rFont val="Fira Sans Extra Condensed"/>
        <b/>
        <color theme="1"/>
        <sz val="10.0"/>
      </rPr>
      <t xml:space="preserve">Empresas: </t>
    </r>
    <r>
      <rPr>
        <rFont val="Fira Sans Extra Condensed"/>
        <color theme="1"/>
        <sz val="10.0"/>
      </rPr>
      <t xml:space="preserve">Se deben visualizar el número del total de  las empresas de los productos que se encuentran incluidos en el grupo de productos. 
</t>
    </r>
    <r>
      <rPr>
        <rFont val="Fira Sans Extra Condensed"/>
        <b/>
        <color theme="1"/>
        <sz val="10.0"/>
      </rPr>
      <t>Destacado: Debe existir un elemento que permita a los usuarios marcar o desmarcar un grupo como “destacado”, los grupos marcados como destacado serán mostrados en la tarde superior de resultado de las pantallas donde aplique la selección de grupos de productos.
Accionables</t>
    </r>
    <r>
      <rPr>
        <rFont val="Fira Sans Extra Condensed"/>
        <color theme="1"/>
        <sz val="10.0"/>
      </rPr>
      <t xml:space="preserve">: permite al usuario seleccionar si requiere ver un mayor detalle o eliminar un grupo de productos creado previamente.
</t>
    </r>
    <r>
      <rPr>
        <rFont val="Fira Sans Extra Condensed"/>
        <b/>
        <color theme="1"/>
        <sz val="10.0"/>
      </rPr>
      <t>Paginación:</t>
    </r>
    <r>
      <rPr>
        <rFont val="Fira Sans Extra Condensed"/>
        <color theme="1"/>
        <sz val="10.0"/>
      </rPr>
      <t xml:space="preserve"> Teniendo en cuenta que la experiencia de paginación es transversal en caso que el resultado de la consulta tenga más de 50 registros debe incluir una paginación.</t>
    </r>
  </si>
  <si>
    <t>Una vez el usuario esté en la opción de consultas visualizará en esta pantalla el resultado de las consultas de grupos de productos creados previamente</t>
  </si>
  <si>
    <t>Mostrar los registros de los grupos permisos que ha sido creados anteriormente</t>
  </si>
  <si>
    <r>
      <rPr>
        <rFont val="Fira Sans Extra Condensed"/>
        <b/>
        <color theme="1"/>
        <sz val="10.0"/>
      </rPr>
      <t xml:space="preserve">6.3 Búsqueda avanzada de productos: </t>
    </r>
    <r>
      <rPr>
        <rFont val="Fira Sans Extra Condensed"/>
        <color theme="1"/>
        <sz val="10.0"/>
      </rPr>
      <t xml:space="preserve">El canal debe permitir al usuario buscar productos por por las siguientes opciones:
</t>
    </r>
    <r>
      <rPr>
        <rFont val="Fira Sans Extra Condensed"/>
        <b/>
        <color theme="1"/>
        <sz val="10.0"/>
      </rPr>
      <t xml:space="preserve">Elemento “Buscar": </t>
    </r>
    <r>
      <rPr>
        <rFont val="Fira Sans Extra Condensed"/>
        <color theme="1"/>
        <sz val="10.0"/>
      </rPr>
      <t xml:space="preserve">Al dar clic se debe habilitar una barra de búsqueda que permite al usuario ingresar el nombre del Grupo de producto,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
</t>
    </r>
    <r>
      <rPr>
        <rFont val="Fira Sans Extra Condensed"/>
        <b/>
        <color theme="1"/>
        <sz val="10.0"/>
      </rPr>
      <t xml:space="preserve"> 
Elemento “Filtrar”: </t>
    </r>
    <r>
      <rPr>
        <rFont val="Fira Sans Extra Condensed"/>
        <color theme="1"/>
        <sz val="10.0"/>
      </rPr>
      <t xml:space="preserve">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 Filtrar
Botón “x”:</t>
    </r>
    <r>
      <rPr>
        <rFont val="Fira Sans Extra Condensed"/>
        <color theme="1"/>
        <sz val="10.0"/>
      </rPr>
      <t xml:space="preserve"> Regresa a la pantalla anterior. 
</t>
    </r>
    <r>
      <rPr>
        <rFont val="Fira Sans Extra Condensed"/>
        <b/>
        <color theme="1"/>
        <sz val="10.0"/>
      </rPr>
      <t>Texto:</t>
    </r>
    <r>
      <rPr>
        <rFont val="Fira Sans Extra Condensed"/>
        <color theme="1"/>
        <sz val="10.0"/>
      </rPr>
      <t xml:space="preserve"> Aplique las opciones de filtrado que desea:</t>
    </r>
  </si>
  <si>
    <t>Realizar consultas de grupo de productos por medio de filtros.</t>
  </si>
  <si>
    <t>Consultar grupos de productos por medio de filtros y opciones de búsqueda.</t>
  </si>
  <si>
    <r>
      <rPr>
        <rFont val="Fira Sans Extra Condensed"/>
        <b/>
        <color theme="1"/>
        <sz val="10.0"/>
      </rPr>
      <t>6.3.1  Países:</t>
    </r>
    <r>
      <rPr>
        <rFont val="Fira Sans Extra Condensed"/>
        <color theme="1"/>
        <sz val="10.0"/>
      </rPr>
      <t xml:space="preserve"> permite seleccionar uno o todos los países, la opción que aquí se muestre dependerá de donde el grupo tenga presencia mostrando únicamente los países donde tiene productos.
</t>
    </r>
    <r>
      <rPr>
        <rFont val="Fira Sans Extra Condensed"/>
        <b/>
        <color theme="1"/>
        <sz val="10.0"/>
      </rPr>
      <t xml:space="preserve">6.3.2 Empresa: </t>
    </r>
    <r>
      <rPr>
        <rFont val="Fira Sans Extra Condensed"/>
        <color theme="1"/>
        <sz val="10.0"/>
      </rPr>
      <t xml:space="preserve">Permite seleccionar una o todas las empresas del grupo de acuerdo a la selección de empresas que conforman el grupo de productos. 
</t>
    </r>
    <r>
      <rPr>
        <rFont val="Fira Sans Extra Condensed"/>
        <b/>
        <color theme="1"/>
        <sz val="10.0"/>
      </rPr>
      <t xml:space="preserve">
En la parte inferior deben estar las opciones: “Borrar” y “aplicar” 
Botón “Borrar": </t>
    </r>
    <r>
      <rPr>
        <rFont val="Fira Sans Extra Condensed"/>
        <color theme="1"/>
        <sz val="10.0"/>
      </rPr>
      <t xml:space="preserve">al dar clic debe eliminar los filtros de búsqueda ingresados por el usuario. 
</t>
    </r>
    <r>
      <rPr>
        <rFont val="Fira Sans Extra Condensed"/>
        <b/>
        <color theme="1"/>
        <sz val="10.0"/>
      </rPr>
      <t xml:space="preserve">Botón “Aplicar”: </t>
    </r>
    <r>
      <rPr>
        <rFont val="Fira Sans Extra Condensed"/>
        <color theme="1"/>
        <sz val="10.0"/>
      </rPr>
      <t xml:space="preserve">Al dar clic el canal actualiza la pantalla donde muestra los grupos de productos, mostrando como resultado únicamente los grupos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t>
    </r>
  </si>
  <si>
    <t>Mostrará los campos países y empresas con los cuales permitirá realizar búsqueda de grupos de productos.</t>
  </si>
  <si>
    <t>En caso que el usuario aplique filtros y no encuentra coincidencia debe mostrar “La búsqueda no presenta resultados”</t>
  </si>
  <si>
    <t>Mostrar resultado de búsqueda de acuerdo a los filtros utilizados.</t>
  </si>
  <si>
    <r>
      <rPr>
        <rFont val="Fira Sans Extra Condensed"/>
        <b/>
        <color theme="1"/>
        <sz val="10.0"/>
      </rPr>
      <t xml:space="preserve">6.5 Accionable / Detalle: </t>
    </r>
    <r>
      <rPr>
        <rFont val="Fira Sans Extra Condensed"/>
        <color theme="1"/>
        <sz val="10.0"/>
      </rPr>
      <t xml:space="preserve">El canal debe permitir al usuario acceder desde la pantalla de resultados a una nueva pantalla donde el usuario podrá visualizar el detalle completo de cómo está conformado un grupo de productos. </t>
    </r>
  </si>
  <si>
    <t>Consultar detalle del grupo de producto</t>
  </si>
  <si>
    <t>Criterio 7 - Detalle del grupo</t>
  </si>
  <si>
    <r>
      <rPr>
        <rFont val="Fira Sans Extra Condensed"/>
        <b/>
        <color theme="1"/>
        <sz val="10.0"/>
      </rPr>
      <t xml:space="preserve">7.1 Título: Detalle del grupo de producto
</t>
    </r>
    <r>
      <rPr>
        <rFont val="Fira Sans Extra Condensed"/>
        <color theme="1"/>
        <sz val="10.0"/>
      </rPr>
      <t xml:space="preserve">
</t>
    </r>
    <r>
      <rPr>
        <rFont val="Fira Sans Extra Condensed"/>
        <b/>
        <color theme="1"/>
        <sz val="10.0"/>
      </rPr>
      <t xml:space="preserve">7.2 Elemento regresar: </t>
    </r>
    <r>
      <rPr>
        <rFont val="Fira Sans Extra Condensed"/>
        <color theme="1"/>
        <sz val="10.0"/>
      </rPr>
      <t xml:space="preserve">Debe existir un botón o elemento que le permita al usuario regresar a la pantalla anterior en cualquier momento.
</t>
    </r>
    <r>
      <rPr>
        <rFont val="Fira Sans Extra Condensed"/>
        <b/>
        <color theme="1"/>
        <sz val="10.0"/>
      </rPr>
      <t xml:space="preserve">7.3 Nombre del Grupo: </t>
    </r>
    <r>
      <rPr>
        <rFont val="Fira Sans Extra Condensed"/>
        <color theme="1"/>
        <sz val="10.0"/>
      </rPr>
      <t xml:space="preserve">Se debe mostrar el nombre del grupo de producto ingresado en la creación.
</t>
    </r>
    <r>
      <rPr>
        <rFont val="Fira Sans Extra Condensed"/>
        <b/>
        <color theme="1"/>
        <sz val="10.0"/>
      </rPr>
      <t>7.4 Resumen:</t>
    </r>
    <r>
      <rPr>
        <rFont val="Fira Sans Extra Condensed"/>
        <color theme="1"/>
        <sz val="10.0"/>
      </rPr>
      <t xml:space="preserve"> El canal deberá mostrar un resumen general de las características principales de los productos previamente seleccionados, el cuadro deberá informar: 
</t>
    </r>
    <r>
      <rPr>
        <rFont val="Fira Sans Extra Condensed"/>
        <b/>
        <color theme="1"/>
        <sz val="10.0"/>
      </rPr>
      <t xml:space="preserve">Países: </t>
    </r>
    <r>
      <rPr>
        <rFont val="Fira Sans Extra Condensed"/>
        <color theme="1"/>
        <sz val="10.0"/>
      </rPr>
      <t xml:space="preserve">Banderas origen de los países de los productos que conforman el grupo de producto.
</t>
    </r>
    <r>
      <rPr>
        <rFont val="Fira Sans Extra Condensed"/>
        <b/>
        <color theme="1"/>
        <sz val="10.0"/>
      </rPr>
      <t>Empresas:</t>
    </r>
    <r>
      <rPr>
        <rFont val="Fira Sans Extra Condensed"/>
        <color theme="1"/>
        <sz val="10.0"/>
      </rPr>
      <t xml:space="preserve"> Número del total de empresas que conforman el grupo de productos.
</t>
    </r>
    <r>
      <rPr>
        <rFont val="Fira Sans Extra Condensed"/>
        <b/>
        <color theme="1"/>
        <sz val="10.0"/>
      </rPr>
      <t xml:space="preserve">Productos: </t>
    </r>
    <r>
      <rPr>
        <rFont val="Fira Sans Extra Condensed"/>
        <color theme="1"/>
        <sz val="10.0"/>
      </rPr>
      <t xml:space="preserve">Número del total de productos seleccionados en el paso anterior.
</t>
    </r>
    <r>
      <rPr>
        <rFont val="Fira Sans Extra Condensed"/>
        <b/>
        <color theme="1"/>
        <sz val="10.0"/>
      </rPr>
      <t>Tipo Productos</t>
    </r>
    <r>
      <rPr>
        <rFont val="Fira Sans Extra Condensed"/>
        <color theme="1"/>
        <sz val="10.0"/>
      </rPr>
      <t xml:space="preserve">: nombre del tipo de productos, ejemplo: Cuentas de ahorros / Cuenta Corriente. </t>
    </r>
  </si>
  <si>
    <t>Al ingresar al detalle  se debe visualizar de manera detallada el resumen del grupo de producto.</t>
  </si>
  <si>
    <t>Visualizar el detalle del grupo producto</t>
  </si>
  <si>
    <r>
      <rPr>
        <rFont val="Fira Sans Extra Condensed"/>
        <b/>
        <color theme="1"/>
        <sz val="10.0"/>
      </rPr>
      <t xml:space="preserve">7.5 Productos Seleccionados: </t>
    </r>
    <r>
      <rPr>
        <rFont val="Fira Sans Extra Condensed"/>
        <color theme="1"/>
        <sz val="10.0"/>
      </rPr>
      <t xml:space="preserve">En la pantalla el canal mostrará la información de los productos seleccionados en el mismo orden del paso anterior agrupando la información por tipo de productos. </t>
    </r>
    <r>
      <rPr>
        <rFont val="Fira Sans Extra Condensed"/>
        <b/>
        <color theme="1"/>
        <sz val="10.0"/>
      </rPr>
      <t xml:space="preserve">
País: </t>
    </r>
    <r>
      <rPr>
        <rFont val="Fira Sans Extra Condensed"/>
        <color theme="1"/>
        <sz val="10.0"/>
      </rPr>
      <t xml:space="preserve">Se debe mostrar la bandera del país origen al que pertenece el producto seleccionado. 
</t>
    </r>
    <r>
      <rPr>
        <rFont val="Fira Sans Extra Condensed"/>
        <b/>
        <color theme="1"/>
        <sz val="10.0"/>
      </rPr>
      <t xml:space="preserve">Empresa: </t>
    </r>
    <r>
      <rPr>
        <rFont val="Fira Sans Extra Condensed"/>
        <color theme="1"/>
        <sz val="10.0"/>
      </rPr>
      <t xml:space="preserve">Se debe mostrar la empresa a la que pertenece el producto seleccionado.
</t>
    </r>
    <r>
      <rPr>
        <rFont val="Fira Sans Extra Condensed"/>
        <b/>
        <color theme="1"/>
        <sz val="10.0"/>
      </rPr>
      <t>Nombre del producto:</t>
    </r>
    <r>
      <rPr>
        <rFont val="Fira Sans Extra Condensed"/>
        <color theme="1"/>
        <sz val="10.0"/>
      </rPr>
      <t xml:space="preserve"> Se debe mostrar el nombre o alias del producto seleccionado
</t>
    </r>
    <r>
      <rPr>
        <rFont val="Fira Sans Extra Condensed"/>
        <b/>
        <color theme="1"/>
        <sz val="10.0"/>
      </rPr>
      <t xml:space="preserve">Tipo de Producto: </t>
    </r>
    <r>
      <rPr>
        <rFont val="Fira Sans Extra Condensed"/>
        <color theme="1"/>
        <sz val="10.0"/>
      </rPr>
      <t xml:space="preserve">Se debe presentar la naturaleza del producto seleccionado.
</t>
    </r>
    <r>
      <rPr>
        <rFont val="Fira Sans Extra Condensed"/>
        <b/>
        <color theme="1"/>
        <sz val="10.0"/>
      </rPr>
      <t>Número del Producto:</t>
    </r>
    <r>
      <rPr>
        <rFont val="Fira Sans Extra Condensed"/>
        <color theme="1"/>
        <sz val="10.0"/>
      </rPr>
      <t xml:space="preserve"> Se debe presentar el número de producto seleccionado enmascarado.</t>
    </r>
  </si>
  <si>
    <t xml:space="preserve">Mostrar la información del grupo de producto </t>
  </si>
  <si>
    <t>Campos se visualizaran en formato lectura.</t>
  </si>
  <si>
    <t>Mostrar detalle del grupo de producto.</t>
  </si>
  <si>
    <r>
      <rPr>
        <rFont val="Fira Sans Extra Condensed"/>
        <b/>
        <color theme="1"/>
        <sz val="10.0"/>
      </rPr>
      <t xml:space="preserve">7.6 Paginación: </t>
    </r>
    <r>
      <rPr>
        <rFont val="Fira Sans Extra Condensed"/>
        <color theme="1"/>
        <sz val="10.0"/>
      </rPr>
      <t xml:space="preserve">La paginación se debe presentar en la parte superior del resultado, se presentará hasta 50 registros por página, de acuerdo la información obtenida del resultado de la consulta, para llegar a la parte inferior el usuario podrá usar el scroll y el teclado. </t>
    </r>
  </si>
  <si>
    <t>En la pantalla se debe presentar la paginación mostrando el número de páginas totales que arroja el resultado</t>
  </si>
  <si>
    <t>Mostrar paginación de los resultados de los grupos de producto a partir de los 50 registros.</t>
  </si>
  <si>
    <r>
      <rPr>
        <rFont val="Fira Sans Extra Condensed"/>
        <b/>
        <color theme="1"/>
        <sz val="10.0"/>
      </rPr>
      <t xml:space="preserve">7.7 Elemento Back to top: </t>
    </r>
    <r>
      <rPr>
        <rFont val="Fira Sans Extra Condensed"/>
        <color theme="1"/>
        <sz val="10.0"/>
      </rPr>
      <t xml:space="preserve">El canal debe tener un elemento en pantalla que  al dar clic lo debe llevar a la parte superior de la pantalla esto en caso que el cliente haga scroll para llegar a la parte de inferior del resultado. </t>
    </r>
  </si>
  <si>
    <t>Mostrar botón de Back to top para que el usuario pueda dirigirse a la parte superior de la pantalla</t>
  </si>
  <si>
    <t>Redireccionar a la parte superior de la pantalla.</t>
  </si>
  <si>
    <r>
      <rPr>
        <rFont val="Fira Sans Extra Condensed"/>
        <b/>
        <color theme="1"/>
        <sz val="10.0"/>
      </rPr>
      <t>7.8 Icono “Destacado”:</t>
    </r>
    <r>
      <rPr>
        <rFont val="Fira Sans Extra Condensed"/>
        <color theme="1"/>
        <sz val="10.0"/>
      </rPr>
      <t xml:space="preserve">  Se debe incluir un tooltip “Destacado”. Debe existir un elemento que permita a los usuarios marcar o desmarcar un grupo como “favorito”, los grupos marcados como favoritos serán mostrados en la parte superior del resultado de las pantallas donde aplique la selección de grupos de productos.</t>
    </r>
  </si>
  <si>
    <t>Mostrar botón informativo que permita margar a un grupo de producto como favorito</t>
  </si>
  <si>
    <t>Marcación exitosa de un grupo de producto como favorito.</t>
  </si>
  <si>
    <r>
      <rPr>
        <rFont val="Fira Sans Extra Condensed"/>
        <b/>
        <color theme="1"/>
        <sz val="10.0"/>
      </rPr>
      <t xml:space="preserve">7.9 Icono “Descarga”: </t>
    </r>
    <r>
      <rPr>
        <rFont val="Fira Sans Extra Condensed"/>
        <color theme="1"/>
        <sz val="10.0"/>
      </rPr>
      <t xml:space="preserve"> Se debe incluir un tooltip “Descargar reporte”. Debe existir un elemento que le permita al usuario realizar la descarga de todo el detalle de cómo está confirmado el Grupo de productos con toda la información de todas las páginas, el usuario al dar clic actualiza la pantalla y el canal muestra:
</t>
    </r>
    <r>
      <rPr>
        <rFont val="Fira Sans Extra Condensed"/>
        <b/>
        <color theme="1"/>
        <sz val="10.0"/>
      </rPr>
      <t xml:space="preserve">Titulo: </t>
    </r>
    <r>
      <rPr>
        <rFont val="Fira Sans Extra Condensed"/>
        <color theme="1"/>
        <sz val="10.0"/>
      </rPr>
      <t xml:space="preserve">Descargar Reporte
</t>
    </r>
    <r>
      <rPr>
        <rFont val="Fira Sans Extra Condensed"/>
        <b/>
        <color theme="1"/>
        <sz val="10.0"/>
      </rPr>
      <t xml:space="preserve">Descripción: </t>
    </r>
    <r>
      <rPr>
        <rFont val="Fira Sans Extra Condensed"/>
        <color theme="1"/>
        <sz val="10.0"/>
      </rPr>
      <t xml:space="preserve">Si la descarga no se da de inmediato le enviaremos el archivo al buzón.
</t>
    </r>
    <r>
      <rPr>
        <rFont val="Fira Sans Extra Condensed"/>
        <b/>
        <color theme="1"/>
        <sz val="10.0"/>
      </rPr>
      <t>Texto: Elija el formato 
PDF    (.pdf)</t>
    </r>
    <r>
      <rPr>
        <rFont val="Fira Sans Extra Condensed"/>
        <color theme="1"/>
        <sz val="10.0"/>
      </rPr>
      <t xml:space="preserve">
</t>
    </r>
    <r>
      <rPr>
        <rFont val="Fira Sans Extra Condensed"/>
        <b/>
        <color theme="1"/>
        <sz val="10.0"/>
      </rPr>
      <t>Una vez el cliente seleccione un formato se habilita el botón de “Descargar”.
Si el usuario requiere realizar una descarga masiva debe seleccionar primero los checkbox y cuando tenga seleccionado al menos un registro el canal habilita la opción de “descargar selección”</t>
    </r>
  </si>
  <si>
    <t>Descargar el detalle de los grupos de productos en formato PDF</t>
  </si>
  <si>
    <t>Descargar el detalle de los grupos de producto y validar el detalle.</t>
  </si>
  <si>
    <r>
      <rPr>
        <rFont val="Fira Sans Extra Condensed"/>
        <color theme="1"/>
        <sz val="10.0"/>
      </rPr>
      <t xml:space="preserve">Descarga en formato PDF, se deberá mostrar la siguiente información:
</t>
    </r>
    <r>
      <rPr>
        <rFont val="Fira Sans Extra Condensed"/>
        <b/>
        <color theme="1"/>
        <sz val="10.0"/>
      </rPr>
      <t xml:space="preserve">Nombre del banco en la parte superior
Fecha y hora de descarga: </t>
    </r>
    <r>
      <rPr>
        <rFont val="Fira Sans Extra Condensed"/>
        <color theme="1"/>
        <sz val="10.0"/>
      </rPr>
      <t xml:space="preserve">Se debe presentar la fecha y hora de la descarga del archivo dd/mm/aaaa hh/mm am-pm
</t>
    </r>
    <r>
      <rPr>
        <rFont val="Fira Sans Extra Condensed"/>
        <b/>
        <color theme="1"/>
        <sz val="10.0"/>
      </rPr>
      <t xml:space="preserve">Título: </t>
    </r>
    <r>
      <rPr>
        <rFont val="Fira Sans Extra Condensed"/>
        <color theme="1"/>
        <sz val="10.0"/>
      </rPr>
      <t xml:space="preserve">Detalle Grupo regional
</t>
    </r>
    <r>
      <rPr>
        <rFont val="Fira Sans Extra Condensed"/>
        <b/>
        <color theme="1"/>
        <sz val="10.0"/>
      </rPr>
      <t>Nombre del grupo regional:</t>
    </r>
    <r>
      <rPr>
        <rFont val="Fira Sans Extra Condensed"/>
        <color theme="1"/>
        <sz val="10.0"/>
      </rPr>
      <t xml:space="preserve"> Se debe mostrar el nombre con el que fue creado.
</t>
    </r>
    <r>
      <rPr>
        <rFont val="Fira Sans Extra Condensed"/>
        <b/>
        <color theme="1"/>
        <sz val="10.0"/>
      </rPr>
      <t xml:space="preserve">Países: </t>
    </r>
    <r>
      <rPr>
        <rFont val="Fira Sans Extra Condensed"/>
        <color theme="1"/>
        <sz val="10.0"/>
      </rPr>
      <t xml:space="preserve">Se debe mostrar las banderas del país de origen que  conforman el grupo.
</t>
    </r>
    <r>
      <rPr>
        <rFont val="Fira Sans Extra Condensed"/>
        <b/>
        <color theme="1"/>
        <sz val="10.0"/>
      </rPr>
      <t xml:space="preserve">Productos: </t>
    </r>
    <r>
      <rPr>
        <rFont val="Fira Sans Extra Condensed"/>
        <color theme="1"/>
        <sz val="10.0"/>
      </rPr>
      <t xml:space="preserve">Debe mostrar el número de productos que conforman el Grupo de productos 
</t>
    </r>
    <r>
      <rPr>
        <rFont val="Fira Sans Extra Condensed"/>
        <b/>
        <color theme="1"/>
        <sz val="10.0"/>
      </rPr>
      <t xml:space="preserve">Empresas: </t>
    </r>
    <r>
      <rPr>
        <rFont val="Fira Sans Extra Condensed"/>
        <color theme="1"/>
        <sz val="10.0"/>
      </rPr>
      <t xml:space="preserve">Debe mostrar la cantidad de empresas que tiene asociadas el Grupo de productos.
</t>
    </r>
    <r>
      <rPr>
        <rFont val="Fira Sans Extra Condensed"/>
        <b/>
        <color theme="1"/>
        <sz val="10.0"/>
      </rPr>
      <t>Tipo de productos:</t>
    </r>
    <r>
      <rPr>
        <rFont val="Fira Sans Extra Condensed"/>
        <color theme="1"/>
        <sz val="10.0"/>
      </rPr>
      <t xml:space="preserve"> debe mostrar la naturaleza por tipo de producto que lo conforma. 
</t>
    </r>
    <r>
      <rPr>
        <rFont val="Fira Sans Extra Condensed"/>
        <b/>
        <color theme="1"/>
        <sz val="10.0"/>
      </rPr>
      <t xml:space="preserve">Tabla de resultados: </t>
    </r>
    <r>
      <rPr>
        <rFont val="Fira Sans Extra Condensed"/>
        <color theme="1"/>
        <sz val="10.0"/>
      </rPr>
      <t xml:space="preserve">contenido de la consulta en la parte inferior de manera ordenada y clara con información de las columnas: País, Empresa (se debe mostrar el nombre completo), nombre del producto(se debe mostrar el nombre completo), tipo de producto, Número del producto (enmascarado). </t>
    </r>
  </si>
  <si>
    <t>Al ingresar al detalle del archivo descargado debe permitir visualizar la información completa de los grupos de producto.</t>
  </si>
  <si>
    <t>Ingreso al archivo descargado y Validación del detalle con la información compelta del grupo de producto.</t>
  </si>
  <si>
    <r>
      <rPr>
        <rFont val="Fira Sans Extra Condensed"/>
        <b/>
        <color theme="1"/>
        <sz val="10.0"/>
      </rPr>
      <t xml:space="preserve">Mensajería:
</t>
    </r>
    <r>
      <rPr>
        <rFont val="Fira Sans Extra Condensed"/>
        <color theme="1"/>
        <sz val="10.0"/>
      </rPr>
      <t xml:space="preserve">- Si la descarga se realiza de manera satisfactoria actualiza la pantalla e informa en la parte superior “Descarga exitosa”
- Si la generación del reporte no se puede realizar en línea por el tamaño se debe mostrar el siguiente modal: “El reporte se enviará al buzón de notificaciones del módulo regional.”
- En caso que la descarga no se pueda generar por algún error se debe presentar mensaje: “Descarga fallida. Intente más tarde”  </t>
    </r>
  </si>
  <si>
    <t>Mostrar mensajes de acuerdo al resultado obtenido de la descarga de los grupos productos.</t>
  </si>
  <si>
    <t>Visualización de mensajes informativos de acuerdo al resultado de la búsqueda.</t>
  </si>
  <si>
    <r>
      <rPr>
        <rFont val="Fira Sans Extra Condensed"/>
        <b/>
        <color theme="1"/>
        <sz val="10.0"/>
      </rPr>
      <t>7.10 Icono “Editar”:</t>
    </r>
    <r>
      <rPr>
        <rFont val="Fira Sans Extra Condensed"/>
        <color theme="1"/>
        <sz val="10.0"/>
      </rPr>
      <t xml:space="preserve">  Se debe incluir un tooltip “Editar”, al dar clic a este botón debe actualizar la pantalla y mostrar el nombre ingresado durante la creación, el nombre se debe mostrar de manera editable permitiendo cambiar o confirmar el nombre asignado, una vez el usuario de clic al botón “asignar” debe actualizar nuevamente la pantalla y continuar con el flujo desde el criterio 2.3 al criterio 5.  pasando por la selección de productos, resumen y resultado, los productos que se muestran en la “selección” se deben mostrarse de manera preseleccionada teniendo en cuenta los que conforman el grupo. </t>
    </r>
  </si>
  <si>
    <t>Permitir al usuario modificar un grupo de producto</t>
  </si>
  <si>
    <t>La gestión quedará con estado pendiente de autorización.</t>
  </si>
  <si>
    <r>
      <rPr>
        <rFont val="Fira Sans Extra Condensed"/>
        <b/>
        <color theme="1"/>
        <sz val="10.0"/>
      </rPr>
      <t>7.11 Icono “Eliminar”:</t>
    </r>
    <r>
      <rPr>
        <rFont val="Fira Sans Extra Condensed"/>
        <color theme="1"/>
        <sz val="10.0"/>
      </rPr>
      <t xml:space="preserve"> Se debe incluir un tooltip “eliminar grupo” al dar clic se debe presentar la mensajería según aplique del criterio 9, teniendo en cuenta el flujo el usuario deberá confirmar la eliminación incluyendo la regla definida de retar al usuario ingresando la clave de confirmación, funcionalidad transversal de acuerdo a lo planteado en la: HU017_PER - Autorizaciones transversal</t>
    </r>
  </si>
  <si>
    <t>Eliminar un grupo de producto previamente creado</t>
  </si>
  <si>
    <t>Eliminación exitosa de un grupo de producto.</t>
  </si>
  <si>
    <t xml:space="preserve">Criterio 8 - Edición  grupos de productos    </t>
  </si>
  <si>
    <r>
      <rPr>
        <rFont val="Fira Sans Extra Condensed"/>
        <b/>
        <color theme="1"/>
        <sz val="10.0"/>
      </rPr>
      <t>Pantalla que debe mostrar la información pre diligenciada</t>
    </r>
    <r>
      <rPr>
        <rFont val="Fira Sans Extra Condensed"/>
        <color theme="1"/>
        <sz val="10.0"/>
      </rPr>
      <t xml:space="preserve">
</t>
    </r>
    <r>
      <rPr>
        <rFont val="Fira Sans Extra Condensed"/>
        <b/>
        <color theme="1"/>
        <sz val="10.0"/>
      </rPr>
      <t xml:space="preserve">8.1 Nombre de grupo: </t>
    </r>
    <r>
      <rPr>
        <rFont val="Fira Sans Extra Condensed"/>
        <color theme="1"/>
        <sz val="10.0"/>
      </rPr>
      <t>El canal debe actualizar la pantalla y mostrar el nombre ingresado durante la creación, el nombre se debe mostrar de manera editable permitiendo cambiar o confirmar el nombre asignado cómo en el criterio 2.3, una vez el usuario de clic al botón “asignar” debe actualizar nuevamente la pantalla y continuar con el flujo.</t>
    </r>
  </si>
  <si>
    <t>Dentro de la opción de detalle del Grupo de producto creado previamente debe existir un elemento que permita al usuario realizar la edición del grupo de productos, al dar clic en esta opción se debe actualizar la pantalla y debe permitir visualizar y editar toda la información del grupo de producto.</t>
  </si>
  <si>
    <t>Editar el nombre del grupo producto.</t>
  </si>
  <si>
    <r>
      <rPr>
        <rFont val="Fira Sans Extra Condensed"/>
        <b/>
        <color theme="1"/>
        <sz val="10.0"/>
      </rPr>
      <t xml:space="preserve">8.2 Productos seleccionados: </t>
    </r>
    <r>
      <rPr>
        <rFont val="Fira Sans Extra Condensed"/>
        <color theme="1"/>
        <sz val="10.0"/>
      </rPr>
      <t>En la pantalla el canal mostrará la información de los productos seleccionados en el mismo orden agrupando la información por tipo de productos,  en esta pantalla al lado del producto seleccionado mostrará un icono que hará referencia a eliminar de manera individual el producto seleccionado, adicional deberá contar con una opción (checkbox) que muestra los productos seleccionados y permita al usuario adicionar o desmarcar de acuerdo a lo que requiere (criterio 3.8)</t>
    </r>
  </si>
  <si>
    <t>Permitir al usuario agregar y quitar productos del grupo</t>
  </si>
  <si>
    <t>Eliminar y agregar productos correctamente.</t>
  </si>
  <si>
    <r>
      <rPr>
        <rFont val="Fira Sans Extra Condensed"/>
        <b/>
        <color theme="1"/>
        <sz val="10.0"/>
      </rPr>
      <t>8.3 Resumen:</t>
    </r>
    <r>
      <rPr>
        <rFont val="Fira Sans Extra Condensed"/>
        <color theme="1"/>
        <sz val="10.0"/>
      </rPr>
      <t xml:space="preserve"> Una vez seleccionados los nuevos productos el canal debe aplicar las reglas del criterio 4, donde tendrá la visual completa de cómo quedaría creado el nuevo grupo de productos.
</t>
    </r>
    <r>
      <rPr>
        <rFont val="Fira Sans Extra Condensed"/>
        <b/>
        <color theme="1"/>
        <sz val="10.0"/>
      </rPr>
      <t>Mensajería:</t>
    </r>
    <r>
      <rPr>
        <rFont val="Fira Sans Extra Condensed"/>
        <color theme="1"/>
        <sz val="10.0"/>
      </rPr>
      <t xml:space="preserve"> En la confirmación se debe presentar un modal que informe al usuario: “Una vez aprobada esta novedad, se actualizará los permisos a los usuarios y/o esquemas de firmas que tengas asignado este Grupo de Productos”</t>
    </r>
  </si>
  <si>
    <t>Mostrar el resumen de la modificación del grupo de producto</t>
  </si>
  <si>
    <t>- El grupo de producto modificado tendrá validez una vez haya sido aprobado.</t>
  </si>
  <si>
    <t>Visualizar el resumen del grupo de producto modificado.</t>
  </si>
  <si>
    <r>
      <rPr>
        <rFont val="Fira Sans Extra Condensed"/>
        <b/>
        <color theme="1"/>
        <sz val="10.0"/>
      </rPr>
      <t>8.4 Resultado:</t>
    </r>
    <r>
      <rPr>
        <rFont val="Fira Sans Extra Condensed"/>
        <color theme="1"/>
        <sz val="10.0"/>
      </rPr>
      <t xml:space="preserve"> El canal debe aplicar las reglas del criterio 5 “resultado” teniendo en cuenta el tipo de administración que tenga el grupo regional y mostrar la información de acuerdo a las reglas ya definidas del criterio.</t>
    </r>
  </si>
  <si>
    <t>Mostrar pantalla de resultados con la información del grupo a modificar.</t>
  </si>
  <si>
    <t xml:space="preserve">- Una vez se ejecute de autorización, el grupo de productos será actualizado de acuerdo a lo requerido por el usuario y la información debe actualizar en la opción de consultas. </t>
  </si>
  <si>
    <t>Gestión quedará pendiente de autorización.</t>
  </si>
  <si>
    <t xml:space="preserve">Criterio 9 - Eliminar grupos de productos </t>
  </si>
  <si>
    <r>
      <rPr>
        <rFont val="Fira Sans Extra Condensed"/>
        <color theme="1"/>
        <sz val="10.0"/>
      </rPr>
      <t xml:space="preserve">Para la </t>
    </r>
    <r>
      <rPr>
        <rFont val="Fira Sans Extra Condensed"/>
        <b/>
        <color theme="1"/>
        <sz val="10.0"/>
      </rPr>
      <t>eliminación masiva</t>
    </r>
    <r>
      <rPr>
        <rFont val="Fira Sans Extra Condensed"/>
        <color theme="1"/>
        <sz val="10.0"/>
      </rPr>
      <t xml:space="preserve"> debe permitir seleccionar varios registros, una vez marcados al menos un registro se habilita el botón “Eliminar seleccionados”. </t>
    </r>
  </si>
  <si>
    <t>Mostrar un campo el cual permita seleccionar todos los grupos productos para poder eliminarlos</t>
  </si>
  <si>
    <t>Eliminación de todos los grupos productos.</t>
  </si>
  <si>
    <r>
      <rPr>
        <rFont val="Fira Sans Extra Condensed"/>
        <b/>
        <color theme="1"/>
        <sz val="10.0"/>
      </rPr>
      <t xml:space="preserve">Escenario Grupo a eliminar no está asignado a usuarios ni Esquemas de Firmas:
</t>
    </r>
    <r>
      <rPr>
        <rFont val="Fira Sans Extra Condensed"/>
        <color theme="1"/>
        <sz val="10.0"/>
      </rPr>
      <t xml:space="preserve">
En caso que el canal identifique que un grupo a eliminar no está asociado a un usuario ni a un esquema de firmas debe mostrar mensaje de confirmación previo a eliminación “ ¿Quiere eliminar el grupo de productos? seguido de las opciones “Volver/Eliminar” al dar clic en “eliminar </t>
    </r>
  </si>
  <si>
    <t xml:space="preserve">Mostrar mensaje de confirmación previo a eliminación </t>
  </si>
  <si>
    <t>Visualización de mensaje informativo previo a la eliminación.</t>
  </si>
  <si>
    <r>
      <rPr>
        <rFont val="Fira Sans Extra Condensed"/>
        <b/>
        <color theme="1"/>
        <sz val="10.0"/>
      </rPr>
      <t>Modal de advertencia eliminación:</t>
    </r>
    <r>
      <rPr>
        <rFont val="Fira Sans Extra Condensed"/>
        <color theme="1"/>
        <sz val="10.0"/>
      </rPr>
      <t xml:space="preserve">
En caso que el usuario intente eliminar un grupo de productos que se encuentre asociado a un usuario y/o a un esquema de firmas el canal deberá informar: 
- “¿Quiere eliminar el grupo de productos? Hay roles o esquemas que se asocian exclusivamente a este grupo. Si lo elimina, esos roles o esquemas no funcionarán dentro del módulo regional. Para que pueda usar el módulo, debe crearles un nuevo grupo de productos ” seguido de las opciones “Volver / Eliminar”
Si el usuario da clic en “eliminar” el canal debe retar al usuario a ingresar el código de confirmación o clave según aplique y continuar con las aprobaciones de acuerdo al tipo de administración.</t>
    </r>
  </si>
  <si>
    <r>
      <rPr>
        <rFont val="Fira Sans Extra Condensed"/>
        <b/>
        <color theme="1"/>
        <sz val="10.0"/>
      </rPr>
      <t xml:space="preserve">Escenario eliminación del único o todos los Grupo de Productos
</t>
    </r>
    <r>
      <rPr>
        <rFont val="Fira Sans Extra Condensed"/>
        <color theme="1"/>
        <sz val="10.0"/>
      </rPr>
      <t xml:space="preserve">
Una vez mostrado el mensaje “¿Quiere eliminar todos los grupos? Todos los roles y esquemas de firmas están asociados a estos grupos. Si los elimina, deberá crear nuevos grupos de productos para asignar a los roles y agregar las firmas.” posterior se muestran las opciones Volver/Eliminar. Una vez  confirmado con las firmas requeridas, el canal deshabilita la opción de consultas de grupos de productos y debe mostrar el flujo para la creación del criterio 2.</t>
    </r>
  </si>
  <si>
    <t>En caso que el usuario desee realizar la eliminación del único o de todos los grupos de productos, el canal debe permitir realizar la eliminación, siguiendo las reglas anteriores.</t>
  </si>
  <si>
    <t>Teniendo en cuenta que el usuario  puede tener habilitados usuarios dentro del módulo regional y/o esquemas de firmas las opciones del submódulo aparecerán disponibles pero con un elemento de “alerta”, una vez el usuario de clic tendrá la visual de consultas donde en la columna de estado visualizará “inconsistencia” al ingresar a cada opción tendrá mayor detalle que se encontrará en la H.U. de Administración de usuarios y Administración esquema de firma.</t>
  </si>
  <si>
    <t>Mostrar alerta de inconsistencia en grupo de productos con un ícono de señalización</t>
  </si>
  <si>
    <t>Visualizar el ícono de alerta en los grupos de productos.</t>
  </si>
  <si>
    <t>En caso que se presente error en el momento de ejecutar  la solicitud se debe presentar el mensaje “Eliminación fallida. Intente más tarde”</t>
  </si>
  <si>
    <t>Mostrar mensaje de error de acuerdo al catálogo de errores</t>
  </si>
  <si>
    <t>No ejecutará la eliminación.</t>
  </si>
  <si>
    <t>Resultado: Mostrará mensaje indicando que la gestión de eliminación de grupo de producto se encuentra pendiente de autorización.</t>
  </si>
  <si>
    <t>Mostrar mensaje de resultado.</t>
  </si>
  <si>
    <t>Gestión pendiente de autorización</t>
  </si>
  <si>
    <t>Grupo de Productos / Escala 7x24 Gestión desde Canal</t>
  </si>
  <si>
    <t>Realizar la gestión con usuario con perfilamiento de operador</t>
  </si>
  <si>
    <t xml:space="preserve">Se debe habilitar una opción que permita a los usuarios con el perfilamiento de grupos de productos dentro del nuevo módulo regional crear, editar, consultar o eliminar grupo de productos que facilitarán la asignación de productos a los usuarios y a los esquemas de firmas definidos. </t>
  </si>
  <si>
    <t>- Crear grupo de producto con esquema administrativo simple.</t>
  </si>
  <si>
    <t>Acceso a la funcionalidad de grupo de productos desde el canal.</t>
  </si>
  <si>
    <t xml:space="preserve">Los productos a los que el usuario operador puede acceder para autogestionar las novedades de grupos de productos corresponde únicamente de productos asignados a la empresa desde el control center.
</t>
  </si>
  <si>
    <t xml:space="preserve">Autogestionar grupo de productos </t>
  </si>
  <si>
    <t>Poseer una herramienta de gestión de contenidos que permita hacer modificaciones a los grupos de productos cuando se les realicen cambios.</t>
  </si>
  <si>
    <t>Modificar los grupos de productos de forma exitosa</t>
  </si>
  <si>
    <t>- Ejeuctar el flujo completo con esquema administrativo iSmple y Dual</t>
  </si>
  <si>
    <r>
      <rPr>
        <rFont val="Fira Sans Extra Condensed"/>
        <color rgb="FF000000"/>
        <sz val="10.0"/>
      </rPr>
      <t xml:space="preserve">Al ingresar a la funcionalidad de grupo de productos debe visualizar las opciones del módulo:
</t>
    </r>
    <r>
      <rPr>
        <rFont val="Fira Sans Extra Condensed"/>
        <b/>
        <color rgb="FF000000"/>
        <sz val="10.0"/>
      </rPr>
      <t xml:space="preserve">Grupos de productos </t>
    </r>
    <r>
      <rPr>
        <rFont val="Fira Sans Extra Condensed"/>
        <color rgb="FF000000"/>
        <sz val="10.0"/>
      </rPr>
      <t xml:space="preserve">
</t>
    </r>
    <r>
      <rPr>
        <rFont val="Fira Sans Extra Condensed"/>
        <b/>
        <color rgb="FF000000"/>
        <sz val="10.0"/>
      </rPr>
      <t xml:space="preserve">Descripción: </t>
    </r>
    <r>
      <rPr>
        <rFont val="Fira Sans Extra Condensed"/>
        <color rgb="FF000000"/>
        <sz val="10.0"/>
      </rPr>
      <t xml:space="preserve">Cree y administre los grupos de productos
</t>
    </r>
    <r>
      <rPr>
        <rFont val="Fira Sans Extra Condensed"/>
        <b/>
        <color rgb="FF000000"/>
        <sz val="10.0"/>
      </rPr>
      <t>Roles 
Descripción:</t>
    </r>
    <r>
      <rPr>
        <rFont val="Fira Sans Extra Condensed"/>
        <color rgb="FF000000"/>
        <sz val="10.0"/>
      </rPr>
      <t xml:space="preserve"> Asigne los roles según el acceso que le dará a cada usuario.
</t>
    </r>
    <r>
      <rPr>
        <rFont val="Fira Sans Extra Condensed"/>
        <b/>
        <color rgb="FF000000"/>
        <sz val="10.0"/>
      </rPr>
      <t>Esquemas de firmas 
Descripción:</t>
    </r>
    <r>
      <rPr>
        <rFont val="Fira Sans Extra Condensed"/>
        <color rgb="FF000000"/>
        <sz val="10.0"/>
      </rPr>
      <t xml:space="preserve"> Agregue las firmas de las personas que pueden dar autorizaciones. </t>
    </r>
  </si>
  <si>
    <t>Mostrar información del detalle de las opciones del módulo</t>
  </si>
  <si>
    <t>Visualización de la descripción de los campos en formato lectura</t>
  </si>
  <si>
    <r>
      <rPr>
        <rFont val="Fira Sans Extra Condensed"/>
        <color theme="1"/>
        <sz val="10.0"/>
      </rPr>
      <t xml:space="preserve">El usuario operador podrá crear los grupos de productos que desee, una vez el usuario de clic a “Grupo de productos” el canal debe identificar si el usuario ya ha creado antes o es la primera vez teniendo en cuenta el flujo podrá ser: 
</t>
    </r>
    <r>
      <rPr>
        <rFont val="Fira Sans Extra Condensed"/>
        <b/>
        <color theme="1"/>
        <sz val="10.0"/>
      </rPr>
      <t xml:space="preserve">2.1 Flujo Primera vez: </t>
    </r>
    <r>
      <rPr>
        <rFont val="Fira Sans Extra Condensed"/>
        <color theme="1"/>
        <sz val="10.0"/>
      </rPr>
      <t>Cuando sea la primera vez que el usuario administrador ingresa al módulo de administración el canal debe guiar al usuario a realizar una creación de “grupo de productos”, teniendo en cuenta lo anterior esta será la única opción habilitada al usuario, al dar clic debe actualizar la pantalla y mostrar el flujo del criterio 2.3.</t>
    </r>
  </si>
  <si>
    <t>Mostrar al usuario una guía para crear por primera vez el grupo de productos</t>
  </si>
  <si>
    <t>- Crear grupo de producto con esquema administrativo simple.
- El canal debe hacer la validación que es primera vez que el usuario ejecuta esta acción y no volver a mostrarlo una segunda vez.</t>
  </si>
  <si>
    <t>El usuario pueda visualizar la guia para la creación del grupo de producto por primera vez.</t>
  </si>
  <si>
    <r>
      <rPr>
        <rFont val="Fira Sans Extra Condensed"/>
        <b/>
        <color theme="1"/>
        <sz val="10.0"/>
      </rPr>
      <t>2.2 Flujo Creación Regular:</t>
    </r>
    <r>
      <rPr>
        <rFont val="Fira Sans Extra Condensed"/>
        <color theme="1"/>
        <sz val="10.0"/>
      </rPr>
      <t xml:space="preserve"> Si existe un grupo creado previamente el usuario accede a la visual de Grupos creados y debe estar habilitado el botón para “Crear grupo” una vez de clic continua con el flujo del criterio 2.3.
</t>
    </r>
  </si>
  <si>
    <t>Mostrar boton de 'Crear grupo'</t>
  </si>
  <si>
    <t>Habilitar el botón Crear grupo</t>
  </si>
  <si>
    <r>
      <rPr>
        <rFont val="Fira Sans Extra Condensed"/>
        <b/>
        <color theme="1"/>
        <sz val="10.0"/>
      </rPr>
      <t>2.3 Creación Grupo:</t>
    </r>
    <r>
      <rPr>
        <rFont val="Fira Sans Extra Condensed"/>
        <color theme="1"/>
        <sz val="10.0"/>
      </rPr>
      <t xml:space="preserve">
</t>
    </r>
    <r>
      <rPr>
        <rFont val="Fira Sans Extra Condensed"/>
        <b/>
        <color theme="1"/>
        <sz val="10.0"/>
      </rPr>
      <t>Título:</t>
    </r>
    <r>
      <rPr>
        <rFont val="Fira Sans Extra Condensed"/>
        <color theme="1"/>
        <sz val="10.0"/>
      </rPr>
      <t xml:space="preserve"> Nombre del grupo de productos
</t>
    </r>
    <r>
      <rPr>
        <rFont val="Fira Sans Extra Condensed"/>
        <b/>
        <color theme="1"/>
        <sz val="10.0"/>
      </rPr>
      <t>Elemento para regresar</t>
    </r>
  </si>
  <si>
    <t>- Crear grupo de producto con esquema administrativo simple.
- Mostrar campos en formato lectura</t>
  </si>
  <si>
    <r>
      <rPr>
        <rFont val="Fira Sans Extra Condensed"/>
        <b/>
        <color theme="1"/>
        <sz val="10.0"/>
      </rPr>
      <t xml:space="preserve">Descripción: </t>
    </r>
    <r>
      <rPr>
        <rFont val="Fira Sans Extra Condensed"/>
        <color theme="1"/>
        <sz val="10.0"/>
      </rPr>
      <t xml:space="preserve">Asigne un nombre al nuevo grupo de productos
</t>
    </r>
    <r>
      <rPr>
        <rFont val="Fira Sans Extra Condensed"/>
        <b/>
        <color theme="1"/>
        <sz val="10.0"/>
      </rPr>
      <t>Espacio para el nombre:</t>
    </r>
    <r>
      <rPr>
        <rFont val="Fira Sans Extra Condensed"/>
        <color theme="1"/>
        <sz val="10.0"/>
      </rPr>
      <t xml:space="preserve"> Se habilita la opción para que el usuario ingrese el nombre del grupo de productos que creará.
</t>
    </r>
    <r>
      <rPr>
        <rFont val="Fira Sans Extra Condensed"/>
        <b/>
        <color theme="1"/>
        <sz val="10.0"/>
      </rPr>
      <t xml:space="preserve">Características del campo: 
</t>
    </r>
    <r>
      <rPr>
        <rFont val="Fira Sans Extra Condensed"/>
        <color theme="1"/>
        <sz val="10.0"/>
      </rPr>
      <t xml:space="preserve">- Alfanumérico.
- Longitud máxima de 50 caracteres, debe habilitar un contador de caracteres que muestre al usuario la  longitud máxima, los caracteres usados y los caracteres disponibles.
- Longitud mínima de 5 caracteres, si no cumple con esta característica no permite continuar la creación, debe tener un elemento  informe “ la longitud mínima es de 5 caracteres”.
- Debe validar que el nombre ingresado sea único para el grupo regional, es decir no podrá tener el nombre repetido, en caso que intente crear un grupo con el mismo nombre el canal debe mostrar mensaje: “Este nombre ya se usó en otro grupo regional. Asigne uno nuevo” </t>
    </r>
  </si>
  <si>
    <t xml:space="preserve">- Crear grupo de producto con esquema administrativo simple.
</t>
  </si>
  <si>
    <t>- Mostrará botón de asignar cuando se haya colocado un nombre al grupo de producto
- Crear grupo de producto con esquema administrativo simple.</t>
  </si>
  <si>
    <r>
      <rPr>
        <rFont val="Fira Sans Extra Condensed"/>
        <b/>
        <color theme="1"/>
        <sz val="10.0"/>
      </rPr>
      <t>Pantalla:</t>
    </r>
    <r>
      <rPr>
        <rFont val="Fira Sans Extra Condensed"/>
        <color theme="1"/>
        <sz val="10.0"/>
      </rPr>
      <t xml:space="preserve">
</t>
    </r>
    <r>
      <rPr>
        <rFont val="Fira Sans Extra Condensed"/>
        <b/>
        <color theme="1"/>
        <sz val="10.0"/>
      </rPr>
      <t>3.1 Título del Header:</t>
    </r>
    <r>
      <rPr>
        <rFont val="Fira Sans Extra Condensed"/>
        <color theme="1"/>
        <sz val="10.0"/>
      </rPr>
      <t xml:space="preserve"> “Elección de productos”
</t>
    </r>
    <r>
      <rPr>
        <rFont val="Fira Sans Extra Condensed"/>
        <b/>
        <color theme="1"/>
        <sz val="10.0"/>
      </rPr>
      <t xml:space="preserve">3.2 Elemento regresar: </t>
    </r>
    <r>
      <rPr>
        <rFont val="Fira Sans Extra Condensed"/>
        <color theme="1"/>
        <sz val="10.0"/>
      </rPr>
      <t>Debe existir un botón o elemento que le permita al usuario regresar a la pantalla anterior en cualquier momen.</t>
    </r>
  </si>
  <si>
    <t>- Se debe presentar todos los productos que tienen las empresas que conforman el grupo regional de acuerdo a lo parametrizado en el control center regional.
- Crear grupo de producto con esquema administrativo simple.</t>
  </si>
  <si>
    <r>
      <rPr>
        <rFont val="Fira Sans Extra Condensed"/>
        <b/>
        <color theme="1"/>
        <sz val="10.0"/>
      </rPr>
      <t xml:space="preserve">3.3 Títulos por columnas del resultado de productos: </t>
    </r>
    <r>
      <rPr>
        <rFont val="Fira Sans Extra Condensed"/>
        <color theme="1"/>
        <sz val="10.0"/>
      </rPr>
      <t xml:space="preserve">
</t>
    </r>
    <r>
      <rPr>
        <rFont val="Fira Sans Extra Condensed"/>
        <b/>
        <color theme="1"/>
        <sz val="10.0"/>
      </rPr>
      <t xml:space="preserve">País: </t>
    </r>
    <r>
      <rPr>
        <rFont val="Fira Sans Extra Condensed"/>
        <color theme="1"/>
        <sz val="10.0"/>
      </rPr>
      <t xml:space="preserve">Debe mostrar bandera e iniciales del país al que pertenece el producto
</t>
    </r>
    <r>
      <rPr>
        <rFont val="Fira Sans Extra Condensed"/>
        <b/>
        <color theme="1"/>
        <sz val="10.0"/>
      </rPr>
      <t>Empresa:</t>
    </r>
    <r>
      <rPr>
        <rFont val="Fira Sans Extra Condensed"/>
        <color theme="1"/>
        <sz val="10.0"/>
      </rPr>
      <t xml:space="preserve"> Debe mostrar el nombre de la empresa a la que pertenece el producto.
</t>
    </r>
    <r>
      <rPr>
        <rFont val="Fira Sans Extra Condensed"/>
        <b/>
        <color theme="1"/>
        <sz val="10.0"/>
      </rPr>
      <t xml:space="preserve">Nombre del Producto: </t>
    </r>
    <r>
      <rPr>
        <rFont val="Fira Sans Extra Condensed"/>
        <color theme="1"/>
        <sz val="10.0"/>
      </rPr>
      <t xml:space="preserve">se debe mostrar el nombre o el  alias si está asignado de lo contrario mostrará el nombre de la empresa. 
</t>
    </r>
    <r>
      <rPr>
        <rFont val="Fira Sans Extra Condensed"/>
        <b/>
        <color theme="1"/>
        <sz val="10.0"/>
      </rPr>
      <t>Tipo de producto</t>
    </r>
    <r>
      <rPr>
        <rFont val="Fira Sans Extra Condensed"/>
        <color theme="1"/>
        <sz val="10.0"/>
      </rPr>
      <t xml:space="preserve">: Debe mostrar el tipo de la cuenta a la que pertenece el producto ( Cuenta ahorro, cuenta corriente, cuenta ahorro maestra)
</t>
    </r>
    <r>
      <rPr>
        <rFont val="Fira Sans Extra Condensed"/>
        <b/>
        <color theme="1"/>
        <sz val="10.0"/>
      </rPr>
      <t>Número de producto:</t>
    </r>
    <r>
      <rPr>
        <rFont val="Fira Sans Extra Condensed"/>
        <color theme="1"/>
        <sz val="10.0"/>
      </rPr>
      <t xml:space="preserve"> debe mostrar el número de la cuenta enmascarado. 
</t>
    </r>
    <r>
      <rPr>
        <rFont val="Fira Sans Extra Condensed"/>
        <b/>
        <color theme="1"/>
        <sz val="10.0"/>
      </rPr>
      <t xml:space="preserve">Checkbox: </t>
    </r>
    <r>
      <rPr>
        <rFont val="Fira Sans Extra Condensed"/>
        <color theme="1"/>
        <sz val="10.0"/>
      </rPr>
      <t>debe tener por cada fila de resultado este elemento que permite realizar selección de manera individual.</t>
    </r>
  </si>
  <si>
    <t>- Visualizar las cuentas de las sociedades con las cuales se ingresó al módulo regional.
- Crear grupo de producto con esquema administrativo simple.</t>
  </si>
  <si>
    <r>
      <rPr>
        <rFont val="Fira Sans Extra Condensed"/>
        <b/>
        <color theme="1"/>
        <sz val="10.0"/>
      </rPr>
      <t>3.4 Paginación:</t>
    </r>
    <r>
      <rPr>
        <rFont val="Fira Sans Extra Condensed"/>
        <color theme="1"/>
        <sz val="10.0"/>
      </rPr>
      <t xml:space="preserve"> En la pantalla se debe presentar la paginación mostrando el número de páginas totales que arroja la consulta.
- La paginación se debe presentar en la parte superior del resultado.
- Se presentarán hasta 50 registros por página, de acuerdo a la información obtenida del resultado de la consulta, para llegar a la parte inferior el usuario podrá usar el scroll y el teclado. </t>
    </r>
  </si>
  <si>
    <t>- Si no posee 50 registros no mostrará paginación.
- Crear grupo de producto con esquema administrativo simple.</t>
  </si>
  <si>
    <r>
      <rPr>
        <rFont val="Fira Sans Extra Condensed"/>
        <b/>
        <color theme="1"/>
        <sz val="10.0"/>
      </rPr>
      <t>3.5 Opción para operar con todos los productos:</t>
    </r>
    <r>
      <rPr>
        <rFont val="Fira Sans Extra Condensed"/>
        <color theme="1"/>
        <sz val="10.0"/>
      </rPr>
      <t xml:space="preserve"> El canal debe contar con una opción que permite al usuario seleccionar si desea “operar con todos los productos”. Una vez seleccionado se muestra la totalidad de los productos  marcados de forma automática en el checkbox.  </t>
    </r>
  </si>
  <si>
    <r>
      <rPr>
        <rFont val="Fira Sans Extra Condensed"/>
        <b/>
        <color theme="1"/>
        <sz val="10.0"/>
      </rPr>
      <t>3.6 Búsqueda avanzada de productos</t>
    </r>
    <r>
      <rPr>
        <rFont val="Fira Sans Extra Condensed"/>
        <color theme="1"/>
        <sz val="10.0"/>
      </rPr>
      <t xml:space="preserve">
</t>
    </r>
    <r>
      <rPr>
        <rFont val="Fira Sans Extra Condensed"/>
        <b/>
        <color theme="1"/>
        <sz val="10.0"/>
      </rPr>
      <t>Buscar</t>
    </r>
    <r>
      <rPr>
        <rFont val="Fira Sans Extra Condensed"/>
        <color theme="1"/>
        <sz val="10.0"/>
      </rPr>
      <t xml:space="preserve">: Al dar clic se debe habilitar una barra de búsqueda que permite al usuario ingresar el nombre del producto,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 
</t>
    </r>
    <r>
      <rPr>
        <rFont val="Fira Sans Extra Condensed"/>
        <b/>
        <color theme="1"/>
        <sz val="10.0"/>
      </rPr>
      <t xml:space="preserve">Filtrar: </t>
    </r>
    <r>
      <rPr>
        <rFont val="Fira Sans Extra Condensed"/>
        <color theme="1"/>
        <sz val="10.0"/>
      </rPr>
      <t xml:space="preserve">Adicional 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 Filtrar
Botón “x”:</t>
    </r>
    <r>
      <rPr>
        <rFont val="Fira Sans Extra Condensed"/>
        <color theme="1"/>
        <sz val="10.0"/>
      </rPr>
      <t xml:space="preserve"> Regresa a la pantalla anterior. 
Texto: Aplique las opciones de filtrado que desea</t>
    </r>
  </si>
  <si>
    <r>
      <rPr>
        <rFont val="Fira Sans Extra Condensed"/>
        <b/>
        <color theme="1"/>
        <sz val="10.0"/>
      </rPr>
      <t>3.6.1  País:</t>
    </r>
    <r>
      <rPr>
        <rFont val="Fira Sans Extra Condensed"/>
        <color theme="1"/>
        <sz val="10.0"/>
      </rPr>
      <t xml:space="preserve"> permite seleccionar uno o todos los países, la opción que aquí se muestre dependerá de donde el grupo tenga presencia mostrando únicamente los países donde tiene productos.</t>
    </r>
  </si>
  <si>
    <r>
      <rPr>
        <rFont val="Fira Sans Extra Condensed"/>
        <b/>
        <color theme="1"/>
        <sz val="10.0"/>
      </rPr>
      <t xml:space="preserve">3.6.2 Empresa: </t>
    </r>
    <r>
      <rPr>
        <rFont val="Fira Sans Extra Condensed"/>
        <color theme="1"/>
        <sz val="10.0"/>
      </rPr>
      <t xml:space="preserve">Permite seleccionar una o todas las empresas del grupo de acuerdo a la selección de empresas al iniciar la sesión. </t>
    </r>
  </si>
  <si>
    <r>
      <rPr>
        <rFont val="Fira Sans Extra Condensed"/>
        <b/>
        <color theme="1"/>
        <sz val="10.0"/>
      </rPr>
      <t xml:space="preserve">3.6.3 Tipo de Producto: </t>
    </r>
    <r>
      <rPr>
        <rFont val="Fira Sans Extra Condensed"/>
        <color theme="1"/>
        <sz val="10.0"/>
      </rPr>
      <t>debe mostrar los productos habilitados en el módulo regional, para el MVP debe mostrar únicamente cuentas Ahorros y Corriente. y en caso que el Grupo regional tenga presencia en Costa Rica y tenga cuenta con naturaleza “ahorro maestra” debe mostrar esta opción.</t>
    </r>
  </si>
  <si>
    <t>- Para el caso de CR deberá mostrar cuentas de Ahorro Maestras.
- Crear grupo de producto con esquema administrativo simple.</t>
  </si>
  <si>
    <r>
      <rPr>
        <rFont val="Fira Sans Extra Condensed"/>
        <b/>
        <color theme="1"/>
        <sz val="10.0"/>
      </rPr>
      <t>3.6.4 Número de cuenta:</t>
    </r>
    <r>
      <rPr>
        <rFont val="Fira Sans Extra Condensed"/>
        <color theme="1"/>
        <sz val="10.0"/>
      </rPr>
      <t xml:space="preserve"> Permite al usuario seleccionar el número de la cuenta desde el cual se puede realizar la transferencia.</t>
    </r>
  </si>
  <si>
    <t>- Número de producto deberá mostrarse enmascarado
- Crear grupo de producto con esquema administrativo simple.</t>
  </si>
  <si>
    <r>
      <rPr>
        <rFont val="Fira Sans Extra Condensed"/>
        <b/>
        <color theme="1"/>
        <sz val="10.0"/>
      </rPr>
      <t xml:space="preserve">Una vez presentados los filtros el canal debe mostrar las opciones: 
</t>
    </r>
    <r>
      <rPr>
        <rFont val="Fira Sans Extra Condensed"/>
        <color theme="1"/>
        <sz val="10.0"/>
      </rPr>
      <t xml:space="preserve">
</t>
    </r>
    <r>
      <rPr>
        <rFont val="Fira Sans Extra Condensed"/>
        <b/>
        <color theme="1"/>
        <sz val="10.0"/>
      </rPr>
      <t xml:space="preserve">3.6.5 Botón “Borrar": </t>
    </r>
    <r>
      <rPr>
        <rFont val="Fira Sans Extra Condensed"/>
        <color theme="1"/>
        <sz val="10.0"/>
      </rPr>
      <t xml:space="preserve">al dar clic debe eliminar los filtros de búsqueda ingresados por el usuario. 
</t>
    </r>
    <r>
      <rPr>
        <rFont val="Fira Sans Extra Condensed"/>
        <b/>
        <color theme="1"/>
        <sz val="10.0"/>
      </rPr>
      <t xml:space="preserve">3.6.6 Botón “Aplicar”: </t>
    </r>
    <r>
      <rPr>
        <rFont val="Fira Sans Extra Condensed"/>
        <color theme="1"/>
        <sz val="10.0"/>
      </rPr>
      <t>Al dar clic el canal actualiza la pantalla donde muestra los productos, mostrando como resultado únicamente productos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En caso que el usuario al buscar productos para conformar un "Grupo de Productos" y utilice la funcionalidad de “filtro o búsqueda”  no se debe eliminar la selección realizada previamente. 
En caso que el usuario aplique filtros y no encuentra coincidencia debe mostrar “La búsqueda no presenta resultados”</t>
    </r>
  </si>
  <si>
    <r>
      <rPr>
        <rFont val="Fira Sans Extra Condensed"/>
        <b/>
        <color theme="1"/>
        <sz val="10.0"/>
      </rPr>
      <t xml:space="preserve">3.7 Ordenar: </t>
    </r>
    <r>
      <rPr>
        <rFont val="Fira Sans Extra Condensed"/>
        <color theme="1"/>
        <sz val="10.0"/>
      </rPr>
      <t>Debe existir una opción en el título que permita ordenar los resultados teniendo en cuenta el título así “De la A a la Z” o “De la Z a la A”, aplica para la columna de “Empresa”</t>
    </r>
  </si>
  <si>
    <r>
      <rPr>
        <rFont val="Fira Sans Extra Condensed"/>
        <b/>
        <color theme="1"/>
        <sz val="10.0"/>
      </rPr>
      <t>3.8 Selección de productos:</t>
    </r>
    <r>
      <rPr>
        <rFont val="Fira Sans Extra Condensed"/>
        <color theme="1"/>
        <sz val="10.0"/>
      </rPr>
      <t xml:space="preserve"> Se debe presentar en pantalla todos los productos a los que tiene acceso el usuario administrador, para continuar con la creación del grupo de productos debe estar seleccionado al menos un producto. El usuario podrá seleccionar uno, varios o todos los productos para conformar un grupo de productos.
Teniendo en cuenta que al lado del producto debe incluir un checkbox que al dar clic permite seleccionar el producto hará parte del Grupo, adicional debe mostrar de manera visual el número total de los productos seleccionados.</t>
    </r>
  </si>
  <si>
    <t>- Selección de al menos 1 producto para continuar con el flujo
- Crear grupo de producto con esquema administrativo simple.</t>
  </si>
  <si>
    <r>
      <rPr>
        <rFont val="Fira Sans Extra Condensed"/>
        <b/>
        <color theme="1"/>
        <sz val="10.0"/>
      </rPr>
      <t xml:space="preserve">Una vez seleccionado al menos un producto se habilitará en la pantalla los siguientes botones:
3.9 Botón “Agregar”: </t>
    </r>
    <r>
      <rPr>
        <rFont val="Fira Sans Extra Condensed"/>
        <color theme="1"/>
        <sz val="10.0"/>
      </rPr>
      <t xml:space="preserve"> Al dar clic a esta opción debe actualizar la pantalla con la información del criterio 4. </t>
    </r>
  </si>
  <si>
    <t>- Esta opción únicamente se habilita si el usuario ingresa un nombre de grupo válido y selecciona al menos un producto.
- Crear grupo de producto con esquema administrativo simple.</t>
  </si>
  <si>
    <r>
      <rPr>
        <rFont val="Fira Sans Extra Condensed"/>
        <b/>
        <color theme="1"/>
        <sz val="10.0"/>
      </rPr>
      <t xml:space="preserve">3.10 Mensajería Error: </t>
    </r>
    <r>
      <rPr>
        <rFont val="Fira Sans Extra Condensed"/>
        <color theme="1"/>
        <sz val="10.0"/>
      </rPr>
      <t xml:space="preserve">
En caso que un país no esté en la capacidad de responder la solicitud de productos se debe mostrar mensaje “La información de (país) no carga,Intente más tarde”, el canal debe mostrar en pantalla la información de los productos de los países que retornan la información por si el usuario requiere continuar con el proceso.</t>
    </r>
  </si>
  <si>
    <t>- Mostrar error en caso no cargue la información de los productos a adicionar
- Crear grupo de producto con esquema administrativo simple.</t>
  </si>
  <si>
    <r>
      <rPr>
        <rFont val="Fira Sans Extra Condensed"/>
        <b/>
        <color theme="1"/>
        <sz val="10.0"/>
      </rPr>
      <t xml:space="preserve">Resumen: 
</t>
    </r>
    <r>
      <rPr>
        <rFont val="Fira Sans Extra Condensed"/>
        <color theme="1"/>
        <sz val="10.0"/>
      </rPr>
      <t xml:space="preserve">El canal deberá mostrar: 
</t>
    </r>
    <r>
      <rPr>
        <rFont val="Fira Sans Extra Condensed"/>
        <b/>
        <color theme="1"/>
        <sz val="10.0"/>
      </rPr>
      <t xml:space="preserve">4.1 Título del Header: </t>
    </r>
    <r>
      <rPr>
        <rFont val="Fira Sans Extra Condensed"/>
        <color theme="1"/>
        <sz val="10.0"/>
      </rPr>
      <t>Resumen</t>
    </r>
    <r>
      <rPr>
        <rFont val="Fira Sans Extra Condensed"/>
        <b/>
        <color theme="1"/>
        <sz val="10.0"/>
      </rPr>
      <t>.</t>
    </r>
    <r>
      <rPr>
        <rFont val="Fira Sans Extra Condensed"/>
        <color theme="1"/>
        <sz val="10.0"/>
      </rPr>
      <t xml:space="preserve">
</t>
    </r>
    <r>
      <rPr>
        <rFont val="Fira Sans Extra Condensed"/>
        <b/>
        <color theme="1"/>
        <sz val="10.0"/>
      </rPr>
      <t>4.2 Elemento regresar:</t>
    </r>
    <r>
      <rPr>
        <rFont val="Fira Sans Extra Condensed"/>
        <color theme="1"/>
        <sz val="10.0"/>
      </rPr>
      <t xml:space="preserve"> Debe existir un botón o elemento que le permita al usuario regresar a la pantalla anterior en cualquier momento.
</t>
    </r>
    <r>
      <rPr>
        <rFont val="Fira Sans Extra Condensed"/>
        <b/>
        <color theme="1"/>
        <sz val="10.0"/>
      </rPr>
      <t xml:space="preserve">4.3 Nombre del Grupo: </t>
    </r>
    <r>
      <rPr>
        <rFont val="Fira Sans Extra Condensed"/>
        <color theme="1"/>
        <sz val="10.0"/>
      </rPr>
      <t xml:space="preserve">Se debe mostrar el nombre del grupo de producto ingresado en el criterio 2. </t>
    </r>
  </si>
  <si>
    <r>
      <rPr>
        <rFont val="Fira Sans Extra Condensed"/>
        <b/>
        <color theme="1"/>
        <sz val="10.0"/>
      </rPr>
      <t xml:space="preserve">4.4 Resumen: </t>
    </r>
    <r>
      <rPr>
        <rFont val="Fira Sans Extra Condensed"/>
        <color theme="1"/>
        <sz val="10.0"/>
      </rPr>
      <t xml:space="preserve">Deberá informar: 
</t>
    </r>
    <r>
      <rPr>
        <rFont val="Fira Sans Extra Condensed"/>
        <b/>
        <color theme="1"/>
        <sz val="10.0"/>
      </rPr>
      <t xml:space="preserve">Países: </t>
    </r>
    <r>
      <rPr>
        <rFont val="Fira Sans Extra Condensed"/>
        <color theme="1"/>
        <sz val="10.0"/>
      </rPr>
      <t xml:space="preserve">Banderas origen de los países de los productos que conforman el grupo de producto.
</t>
    </r>
    <r>
      <rPr>
        <rFont val="Fira Sans Extra Condensed"/>
        <b/>
        <color theme="1"/>
        <sz val="10.0"/>
      </rPr>
      <t xml:space="preserve">Empresas: </t>
    </r>
    <r>
      <rPr>
        <rFont val="Fira Sans Extra Condensed"/>
        <color theme="1"/>
        <sz val="10.0"/>
      </rPr>
      <t xml:space="preserve">Número del total de empresas que conforman el grupo de productos.
</t>
    </r>
    <r>
      <rPr>
        <rFont val="Fira Sans Extra Condensed"/>
        <b/>
        <color theme="1"/>
        <sz val="10.0"/>
      </rPr>
      <t>Productos:</t>
    </r>
    <r>
      <rPr>
        <rFont val="Fira Sans Extra Condensed"/>
        <color theme="1"/>
        <sz val="10.0"/>
      </rPr>
      <t xml:space="preserve"> Número del total de productos seleccionados en el paso anterior.
</t>
    </r>
    <r>
      <rPr>
        <rFont val="Fira Sans Extra Condensed"/>
        <b/>
        <color theme="1"/>
        <sz val="10.0"/>
      </rPr>
      <t>Tipo Productos</t>
    </r>
    <r>
      <rPr>
        <rFont val="Fira Sans Extra Condensed"/>
        <color theme="1"/>
        <sz val="10.0"/>
      </rPr>
      <t xml:space="preserve">: nombre del tipo de productos, ejemplo: Cuentas de ahorros / Cuenta Corriente. </t>
    </r>
  </si>
  <si>
    <t>- Mostrar campos en formato lectura
- Crear grupo de producto con esquema administrativo simple.</t>
  </si>
  <si>
    <r>
      <rPr>
        <rFont val="Fira Sans Extra Condensed"/>
        <b/>
        <color theme="1"/>
        <sz val="10.0"/>
      </rPr>
      <t xml:space="preserve">4.5 Productos Seleccionados: </t>
    </r>
    <r>
      <rPr>
        <rFont val="Fira Sans Extra Condensed"/>
        <color theme="1"/>
        <sz val="10.0"/>
      </rPr>
      <t xml:space="preserve">
</t>
    </r>
    <r>
      <rPr>
        <rFont val="Fira Sans Extra Condensed"/>
        <b/>
        <color theme="1"/>
        <sz val="10.0"/>
      </rPr>
      <t>País:</t>
    </r>
    <r>
      <rPr>
        <rFont val="Fira Sans Extra Condensed"/>
        <color theme="1"/>
        <sz val="10.0"/>
      </rPr>
      <t xml:space="preserve"> Se debe mostrar la bandera del país origen al que pertenece el producto seleccionado. 
</t>
    </r>
    <r>
      <rPr>
        <rFont val="Fira Sans Extra Condensed"/>
        <b/>
        <color theme="1"/>
        <sz val="10.0"/>
      </rPr>
      <t xml:space="preserve">Empresa: </t>
    </r>
    <r>
      <rPr>
        <rFont val="Fira Sans Extra Condensed"/>
        <color theme="1"/>
        <sz val="10.0"/>
      </rPr>
      <t xml:space="preserve">Se debe mostrar la empresa a la que pertenece el producto seleccionado.
</t>
    </r>
    <r>
      <rPr>
        <rFont val="Fira Sans Extra Condensed"/>
        <b/>
        <color theme="1"/>
        <sz val="10.0"/>
      </rPr>
      <t>Nombre del producto:</t>
    </r>
    <r>
      <rPr>
        <rFont val="Fira Sans Extra Condensed"/>
        <color theme="1"/>
        <sz val="10.0"/>
      </rPr>
      <t xml:space="preserve"> Se debe mostrar el nombre o alias del producto seleccionado
</t>
    </r>
    <r>
      <rPr>
        <rFont val="Fira Sans Extra Condensed"/>
        <b/>
        <color theme="1"/>
        <sz val="10.0"/>
      </rPr>
      <t xml:space="preserve">Tipo de Producto: </t>
    </r>
    <r>
      <rPr>
        <rFont val="Fira Sans Extra Condensed"/>
        <color theme="1"/>
        <sz val="10.0"/>
      </rPr>
      <t xml:space="preserve">Se debe presentar la naturaleza del producto seleccionado.
</t>
    </r>
    <r>
      <rPr>
        <rFont val="Fira Sans Extra Condensed"/>
        <b/>
        <color theme="1"/>
        <sz val="10.0"/>
      </rPr>
      <t>Número del Producto</t>
    </r>
    <r>
      <rPr>
        <rFont val="Fira Sans Extra Condensed"/>
        <color theme="1"/>
        <sz val="10.0"/>
      </rPr>
      <t xml:space="preserve">: Se debe presentar el número de producto seleccionado enmascarado.
</t>
    </r>
    <r>
      <rPr>
        <rFont val="Fira Sans Extra Condensed"/>
        <b/>
        <color theme="1"/>
        <sz val="10.0"/>
      </rPr>
      <t>Eliminar:</t>
    </r>
    <r>
      <rPr>
        <rFont val="Fira Sans Extra Condensed"/>
        <color theme="1"/>
        <sz val="10.0"/>
      </rPr>
      <t xml:space="preserve"> Al lado de cada registro debe estar un elemento que permita “eliminar” de manera individual si el usuario así lo requiere. Si el usuario da clic actualiza la pantalla y debe mostrar el mensaje ”producto desmarcado” con una opción de deshacer por si el usuario quiere revertir la acción. </t>
    </r>
  </si>
  <si>
    <t>- En este paso podrá eliminar los grupos de productos antes de proceder a la confirmación
- Crear grupo de producto con esquema administrativo simple.</t>
  </si>
  <si>
    <r>
      <rPr>
        <rFont val="Fira Sans Extra Condensed"/>
        <b/>
        <color theme="1"/>
        <sz val="10.0"/>
      </rPr>
      <t>4.6 Paginación: L</t>
    </r>
    <r>
      <rPr>
        <rFont val="Fira Sans Extra Condensed"/>
        <color theme="1"/>
        <sz val="10.0"/>
      </rPr>
      <t xml:space="preserve">a paginación debe tener las siguientes características teniendo en cuenta que es una experiencia transversal en varias experiencias.
La paginación se debe presentar en la parte superior del resultado, se presentará hasta 50 registros por página, de acuerdo la información obtenida del resultado de la consulta, para llegar a la parte inferior el usuario podrá usar el scroll y el teclado. </t>
    </r>
  </si>
  <si>
    <r>
      <rPr>
        <rFont val="Fira Sans Extra Condensed"/>
        <b/>
        <color theme="1"/>
        <sz val="10.0"/>
      </rPr>
      <t>4.7 Elemento Back to top:</t>
    </r>
    <r>
      <rPr>
        <rFont val="Fira Sans Extra Condensed"/>
        <color theme="1"/>
        <sz val="10.0"/>
      </rPr>
      <t xml:space="preserve"> El canal debe tener un elemento en pantalla que  al dar clic lo debe llevar a la parte superior de la pantalla esto en caso que el cliente haga scroll para llegar a la parte inferior del resultado. </t>
    </r>
  </si>
  <si>
    <r>
      <rPr>
        <rFont val="Fira Sans Extra Condensed"/>
        <b/>
        <color theme="1"/>
        <sz val="10.0"/>
      </rPr>
      <t xml:space="preserve">4.8 Editar grupo: </t>
    </r>
    <r>
      <rPr>
        <rFont val="Fira Sans Extra Condensed"/>
        <color theme="1"/>
        <sz val="10.0"/>
      </rPr>
      <t>Si el usuario requiere editar la selección de productos del grupo debe dar clic en regresar donde puede realizar esta novedad.</t>
    </r>
  </si>
  <si>
    <r>
      <rPr>
        <rFont val="Fira Sans Extra Condensed"/>
        <b/>
        <color theme="1"/>
        <sz val="10.0"/>
      </rPr>
      <t xml:space="preserve">4.9 Botón “Crear grupo": </t>
    </r>
    <r>
      <rPr>
        <rFont val="Fira Sans Extra Condensed"/>
        <color theme="1"/>
        <sz val="10.0"/>
      </rPr>
      <t>Una vez el usuario de clic al botón se debe actualizar la pantalla y mostrar el resumen del grupo de productos.</t>
    </r>
  </si>
  <si>
    <r>
      <rPr>
        <rFont val="Fira Sans Extra Condensed"/>
        <b/>
        <color theme="1"/>
        <sz val="10.0"/>
      </rPr>
      <t xml:space="preserve">4.10 Mensajería: </t>
    </r>
    <r>
      <rPr>
        <rFont val="Fira Sans Extra Condensed"/>
        <color theme="1"/>
        <sz val="10.0"/>
      </rPr>
      <t xml:space="preserve">En caso que el usuario de clic a alguna parte del sidebar intentando ir a otro módulo se debe presentar mensaje “¿Quiere abandonar la asignación de grupo de producto? 
Si abandona debe empezar de cero con la asignación.” seguido de las opciones de volver/ Abandonar 
Este mensaje puede aparecer en cualquier paso desde la creación desde el criterio 2.3 hasta el este punto. </t>
    </r>
  </si>
  <si>
    <r>
      <rPr>
        <rFont val="Fira Sans Extra Condensed"/>
        <b/>
        <color theme="1"/>
        <sz val="10.0"/>
      </rPr>
      <t xml:space="preserve">4.9 Botón “Crear grupo": </t>
    </r>
    <r>
      <rPr>
        <rFont val="Fira Sans Extra Condensed"/>
        <color theme="1"/>
        <sz val="10.0"/>
      </rPr>
      <t>Una vez el usuario de clic al botón se debe actualizar la pantalla y sobre poner una opción en donde a el usuario le permite ingresar el código de confirmación de Soft Token o Hard Token según sea el caso,  se debe aplicar las reglas definidas la esta funcionalidad transversal de acuerdo a lo planteado en la: HU017_PER - Autorizaciones transversal</t>
    </r>
  </si>
  <si>
    <t>Solicitud de método de autenticación para continuar con el flujo</t>
  </si>
  <si>
    <t>Realizar desde módulo Regional</t>
  </si>
  <si>
    <t>Si el usuario ingresar un token incorrecto deberá mostrar en pantalla el mensaje de error y no permitirle continuar con el flujo.</t>
  </si>
  <si>
    <t>Mostrar mensaje de error en pantalla indicando que el token  ingresado es incorrecto</t>
  </si>
  <si>
    <t>- Crear grupo de producto con esquema administrativo simple.
- Mostrar mensaje de error de acuerdo al catálogo de errores</t>
  </si>
  <si>
    <t>Mostrar mensaje de error y no continuar con el flujo</t>
  </si>
  <si>
    <t>Ingresar código OTP</t>
  </si>
  <si>
    <r>
      <rPr>
        <rFont val="Fira Sans Extra Condensed"/>
        <b/>
        <color theme="1"/>
        <sz val="10.0"/>
      </rPr>
      <t>5.1 Administración Sencilla:</t>
    </r>
    <r>
      <rPr>
        <rFont val="Fira Sans Extra Condensed"/>
        <color theme="1"/>
        <sz val="10.0"/>
      </rPr>
      <t xml:space="preserve">  Una vez aprobada la creación del nuevo grupo regional el canal en la parte superior  presentará la siguiente información:
</t>
    </r>
    <r>
      <rPr>
        <rFont val="Fira Sans Extra Condensed"/>
        <b/>
        <color theme="1"/>
        <sz val="10.0"/>
      </rPr>
      <t>Título:</t>
    </r>
    <r>
      <rPr>
        <rFont val="Fira Sans Extra Condensed"/>
        <color theme="1"/>
        <sz val="10.0"/>
      </rPr>
      <t xml:space="preserve"> “Creación Exitosa”, 
</t>
    </r>
    <r>
      <rPr>
        <rFont val="Fira Sans Extra Condensed"/>
        <b/>
        <color theme="1"/>
        <sz val="10.0"/>
      </rPr>
      <t xml:space="preserve">Descripción: </t>
    </r>
    <r>
      <rPr>
        <rFont val="Fira Sans Extra Condensed"/>
        <color theme="1"/>
        <sz val="10.0"/>
      </rPr>
      <t xml:space="preserve">Información de la operación.
</t>
    </r>
    <r>
      <rPr>
        <rFont val="Fira Sans Extra Condensed"/>
        <b/>
        <color theme="1"/>
        <sz val="10.0"/>
      </rPr>
      <t>Estado:</t>
    </r>
    <r>
      <rPr>
        <rFont val="Fira Sans Extra Condensed"/>
        <color theme="1"/>
        <sz val="10.0"/>
      </rPr>
      <t xml:space="preserve"> Se debe mostrar el estado “Creado”
</t>
    </r>
    <r>
      <rPr>
        <rFont val="Fira Sans Extra Condensed"/>
        <b/>
        <color theme="1"/>
        <sz val="10.0"/>
      </rPr>
      <t xml:space="preserve">Nombre del Grupo: </t>
    </r>
    <r>
      <rPr>
        <rFont val="Fira Sans Extra Condensed"/>
        <color theme="1"/>
        <sz val="10.0"/>
      </rPr>
      <t xml:space="preserve">Se debe presentar el nombre ingresado por el usuario.
</t>
    </r>
    <r>
      <rPr>
        <rFont val="Fira Sans Extra Condensed"/>
        <b/>
        <color theme="1"/>
        <sz val="10.0"/>
      </rPr>
      <t>Fecha y hora:</t>
    </r>
    <r>
      <rPr>
        <rFont val="Fira Sans Extra Condensed"/>
        <color theme="1"/>
        <sz val="10.0"/>
      </rPr>
      <t xml:space="preserve"> Se debe presentar la fecha y hora de aprobación.
</t>
    </r>
    <r>
      <rPr>
        <rFont val="Fira Sans Extra Condensed"/>
        <b/>
        <color theme="1"/>
        <sz val="10.0"/>
      </rPr>
      <t>Número de transacción:</t>
    </r>
    <r>
      <rPr>
        <rFont val="Fira Sans Extra Condensed"/>
        <color theme="1"/>
        <sz val="10.0"/>
      </rPr>
      <t xml:space="preserve"> Se debe presentar el número único de identificación 
Adicional debe estar habilitados los botones:
</t>
    </r>
    <r>
      <rPr>
        <rFont val="Fira Sans Extra Condensed"/>
        <b/>
        <color theme="1"/>
        <sz val="10.0"/>
      </rPr>
      <t xml:space="preserve">Finalizar: </t>
    </r>
    <r>
      <rPr>
        <rFont val="Fira Sans Extra Condensed"/>
        <color theme="1"/>
        <sz val="10.0"/>
      </rPr>
      <t xml:space="preserve">Al dar clic el usuario regresa a la visual de las opciones en Administrar. 
</t>
    </r>
    <r>
      <rPr>
        <rFont val="Fira Sans Extra Condensed"/>
        <b/>
        <color theme="1"/>
        <sz val="10.0"/>
      </rPr>
      <t>Continuar</t>
    </r>
    <r>
      <rPr>
        <rFont val="Fira Sans Extra Condensed"/>
        <color theme="1"/>
        <sz val="10.0"/>
      </rPr>
      <t xml:space="preserve">: una vez el usuario de clic en esta opción regresará a la pantalla de Usuarios donde puede consultar o crear un nuevo grupo de productos, criterio 6. 
</t>
    </r>
    <r>
      <rPr>
        <rFont val="Fira Sans Extra Condensed"/>
        <b/>
        <color theme="1"/>
        <sz val="10.0"/>
      </rPr>
      <t xml:space="preserve">
Asignar Rol: </t>
    </r>
    <r>
      <rPr>
        <rFont val="Fira Sans Extra Condensed"/>
        <color theme="1"/>
        <sz val="10.0"/>
      </rPr>
      <t>Esta opción únicamente se debe presentar la primera vez que el usuario crea un Grupo Regional, Debe existir un elemento que guíe al usuario a realizar la novedades de roles de usuario, una vez el usuario de clic a esta opción el usuario iniciará el proceso para habilitar un usuario dentro del módulo regional.</t>
    </r>
  </si>
  <si>
    <t>Validación de OTP exitoso y confirmación del grupo de producto.</t>
  </si>
  <si>
    <t>Mostrar resumen del grupo de producto y resultado de la creación del grupo de producto correctamente.</t>
  </si>
  <si>
    <r>
      <rPr>
        <rFont val="Fira Sans Extra Condensed"/>
        <b/>
        <color theme="1"/>
        <sz val="10.0"/>
      </rPr>
      <t xml:space="preserve">5.2 Administración Dual: </t>
    </r>
    <r>
      <rPr>
        <rFont val="Fira Sans Extra Condensed"/>
        <color theme="1"/>
        <sz val="10.0"/>
      </rPr>
      <t xml:space="preserve">Una vez aprobada la creación del nuevo “grupo de productos” el canal en la parte superior  presentará la siguiente información:
</t>
    </r>
    <r>
      <rPr>
        <rFont val="Fira Sans Extra Condensed"/>
        <b/>
        <color theme="1"/>
        <sz val="10.0"/>
      </rPr>
      <t>Título:</t>
    </r>
    <r>
      <rPr>
        <rFont val="Fira Sans Extra Condensed"/>
        <color theme="1"/>
        <sz val="10.0"/>
      </rPr>
      <t xml:space="preserve"> “Pendiente autorización”, seguida de un mensaje: ”La creación del grupo se envió para aprobación. Quedará en estado pendiente hasta que el esquema de firma se complete” 
</t>
    </r>
    <r>
      <rPr>
        <rFont val="Fira Sans Extra Condensed"/>
        <b/>
        <color theme="1"/>
        <sz val="10.0"/>
      </rPr>
      <t xml:space="preserve">Descripción: </t>
    </r>
    <r>
      <rPr>
        <rFont val="Fira Sans Extra Condensed"/>
        <color theme="1"/>
        <sz val="10.0"/>
      </rPr>
      <t xml:space="preserve">Información de la operación.
</t>
    </r>
    <r>
      <rPr>
        <rFont val="Fira Sans Extra Condensed"/>
        <b/>
        <color theme="1"/>
        <sz val="10.0"/>
      </rPr>
      <t xml:space="preserve">Estado: </t>
    </r>
    <r>
      <rPr>
        <rFont val="Fira Sans Extra Condensed"/>
        <color theme="1"/>
        <sz val="10.0"/>
      </rPr>
      <t xml:space="preserve">Se debe mostrar el estado “Pendiente aprobación”
</t>
    </r>
    <r>
      <rPr>
        <rFont val="Fira Sans Extra Condensed"/>
        <b/>
        <color theme="1"/>
        <sz val="10.0"/>
      </rPr>
      <t xml:space="preserve">Nombre del Grupo: </t>
    </r>
    <r>
      <rPr>
        <rFont val="Fira Sans Extra Condensed"/>
        <color theme="1"/>
        <sz val="10.0"/>
      </rPr>
      <t xml:space="preserve">Se debe presentar el nombre ingresado por el usuario.
</t>
    </r>
    <r>
      <rPr>
        <rFont val="Fira Sans Extra Condensed"/>
        <b/>
        <color theme="1"/>
        <sz val="10.0"/>
      </rPr>
      <t>Fecha y hora</t>
    </r>
    <r>
      <rPr>
        <rFont val="Fira Sans Extra Condensed"/>
        <color theme="1"/>
        <sz val="10.0"/>
      </rPr>
      <t xml:space="preserve">: Se debe presentar la fecha y hora de aprobación.
</t>
    </r>
    <r>
      <rPr>
        <rFont val="Fira Sans Extra Condensed"/>
        <b/>
        <color theme="1"/>
        <sz val="10.0"/>
      </rPr>
      <t>Número de transacción:</t>
    </r>
    <r>
      <rPr>
        <rFont val="Fira Sans Extra Condensed"/>
        <color theme="1"/>
        <sz val="10.0"/>
      </rPr>
      <t xml:space="preserve"> Se debe presentar el número único de identificación</t>
    </r>
  </si>
  <si>
    <t>Ejecutar todo el flujo creación de grupo de producto con usuario Operador o maestro</t>
  </si>
  <si>
    <t>- Crear grupo de producto con esquema administrativo DUAL</t>
  </si>
  <si>
    <t>Gestión quedará con estado pendiente de autorización y mostrar el resumen el grupo de producto.</t>
  </si>
  <si>
    <r>
      <rPr>
        <rFont val="Fira Sans Extra Condensed"/>
        <b/>
        <color theme="1"/>
        <sz val="10.0"/>
      </rPr>
      <t xml:space="preserve">Finalizar: </t>
    </r>
    <r>
      <rPr>
        <rFont val="Fira Sans Extra Condensed"/>
        <color theme="1"/>
        <sz val="10.0"/>
      </rPr>
      <t xml:space="preserve">una vez el usuario de clic en esta opción regresará a la pantalla de usuarios donde puede consultar o crear un nuevo Grupo de productos. Para finalizar el proceso de creación de grupo regional el otro administrador deberá revisar y aprobar la solicitud por el módulo de autorizaciones.  
</t>
    </r>
    <r>
      <rPr>
        <rFont val="Fira Sans Extra Condensed"/>
        <b/>
        <color theme="1"/>
        <sz val="10.0"/>
      </rPr>
      <t xml:space="preserve">Continuar: </t>
    </r>
    <r>
      <rPr>
        <rFont val="Fira Sans Extra Condensed"/>
        <color theme="1"/>
        <sz val="10.0"/>
      </rPr>
      <t xml:space="preserve">una vez el usuario de clic en esta opción regresará a la pantalla de Usuarios donde puede consultar o crear un nuevo grupo de productos, criterio 6. </t>
    </r>
  </si>
  <si>
    <t xml:space="preserve">Al finalizar la gestión, redirigirá a la pantalla de creación o consulta de grupo de productos. </t>
  </si>
  <si>
    <t>- Gestión grupo de producto con esquema administrativo DUAL</t>
  </si>
  <si>
    <t xml:space="preserve">Redirigir al paso de usuarios </t>
  </si>
  <si>
    <t>- Mostrar campos en formato lectura
- Gestión grupo de producto con esquema administrativo DUAL</t>
  </si>
  <si>
    <r>
      <rPr>
        <rFont val="Fira Sans Extra Condensed"/>
        <color theme="1"/>
        <sz val="10.0"/>
      </rPr>
      <t xml:space="preserve">Para ingresar a esta opción debe ingresar por Administración/Grupo de productos con </t>
    </r>
    <r>
      <rPr>
        <rFont val="Fira Sans Extra Condensed"/>
        <b/>
        <color theme="1"/>
        <sz val="10.0"/>
      </rPr>
      <t xml:space="preserve">usuario que posea perfil de gestión producto permiso operador, maestro, autorizador o usuario con aprobación directa.
</t>
    </r>
    <r>
      <rPr>
        <rFont val="Fira Sans Extra Condensed"/>
        <color theme="1"/>
        <sz val="10.0"/>
      </rPr>
      <t xml:space="preserve">
En esta pantalla el usuario tendrá la visual de todos los “grupos de productos” creados donde podrá aplicar filtros para encontrar un “grupo de productos” de manera sencilla, visualizar un mayor detalle de un grupo creado, editar o eliminar un grupo ya sea de manera individual o masiva, así:
</t>
    </r>
    <r>
      <rPr>
        <rFont val="Fira Sans Extra Condensed"/>
        <b/>
        <color theme="1"/>
        <sz val="10.0"/>
      </rPr>
      <t xml:space="preserve">6.1 Título: Grupos de productos
</t>
    </r>
    <r>
      <rPr>
        <rFont val="Fira Sans Extra Condensed"/>
        <color theme="1"/>
        <sz val="10.0"/>
      </rPr>
      <t xml:space="preserve">
</t>
    </r>
    <r>
      <rPr>
        <rFont val="Fira Sans Extra Condensed"/>
        <b/>
        <color theme="1"/>
        <sz val="10.0"/>
      </rPr>
      <t>Regresar</t>
    </r>
    <r>
      <rPr>
        <rFont val="Fira Sans Extra Condensed"/>
        <color theme="1"/>
        <sz val="10.0"/>
      </rPr>
      <t xml:space="preserve">: Debe existir un elemento que permita regresar a la pantalla anterior al darle clic.
</t>
    </r>
    <r>
      <rPr>
        <rFont val="Fira Sans Extra Condensed"/>
        <b/>
        <color theme="1"/>
        <sz val="10.0"/>
      </rPr>
      <t>Descripción:</t>
    </r>
    <r>
      <rPr>
        <rFont val="Fira Sans Extra Condensed"/>
        <color theme="1"/>
        <sz val="10.0"/>
      </rPr>
      <t xml:space="preserve"> Aquí puede crear, consultar y editar los grupos de productos. Para facilitar su gestión, puede usar el buscador o los filtros presentados. </t>
    </r>
  </si>
  <si>
    <t>Se debe habilitar una opción que permita al usuario con permisos de perfilamiento de grupo de productos visualizar, editar o eliminar los grupos de productos creados, teniendo en cuenta que el canal debe guiar al usuario.</t>
  </si>
  <si>
    <t>- En caso que el usuario elimine todos grupos de productos creados el canal debe guiar al usuario desde el criterio 2. y la opción de consultas no estará disponible.
- Acceso a consulta de grupo de productos a usuarios que posean el perfilamiento, operadores, maestros, autorizadores o usuarios con aprobación única.</t>
  </si>
  <si>
    <r>
      <rPr>
        <rFont val="Fira Sans Extra Condensed"/>
        <b/>
        <color theme="1"/>
        <sz val="10.0"/>
      </rPr>
      <t>6.2 Resultado consulta:</t>
    </r>
    <r>
      <rPr>
        <rFont val="Fira Sans Extra Condensed"/>
        <color theme="1"/>
        <sz val="10.0"/>
      </rPr>
      <t xml:space="preserve"> Los títulos de las las  columnas del resultado de productos son: 
</t>
    </r>
    <r>
      <rPr>
        <rFont val="Fira Sans Extra Condensed"/>
        <b/>
        <color theme="1"/>
        <sz val="10.0"/>
      </rPr>
      <t xml:space="preserve">Nombre del grupo: </t>
    </r>
    <r>
      <rPr>
        <rFont val="Fira Sans Extra Condensed"/>
        <color theme="1"/>
        <sz val="10.0"/>
      </rPr>
      <t>Se debe mostrar el nombre con el que se creó  grupo ejemplo: “Tesorería Honduras” en caso que el grupo de productos haya sido marcado como “destacado” una estrella debe aparecer al lado del nombre. l</t>
    </r>
    <r>
      <rPr>
        <rFont val="Fira Sans Extra Condensed"/>
        <b/>
        <color theme="1"/>
        <sz val="10.0"/>
      </rPr>
      <t xml:space="preserve">os grupos marcados como “destacados” debe visualizarse en la parte superior del resultado, La marcación de un grupo cómo destacado podrá ser realizada al consultar un grupo puntual. </t>
    </r>
    <r>
      <rPr>
        <rFont val="Fira Sans Extra Condensed"/>
        <color theme="1"/>
        <sz val="10.0"/>
      </rPr>
      <t xml:space="preserve">
</t>
    </r>
    <r>
      <rPr>
        <rFont val="Fira Sans Extra Condensed"/>
        <b/>
        <color theme="1"/>
        <sz val="10.0"/>
      </rPr>
      <t xml:space="preserve">País: </t>
    </r>
    <r>
      <rPr>
        <rFont val="Fira Sans Extra Condensed"/>
        <color theme="1"/>
        <sz val="10.0"/>
      </rPr>
      <t xml:space="preserve">El canal debe mostrar las banderas de los productos que se encuentran incluidos en el grupo.
</t>
    </r>
    <r>
      <rPr>
        <rFont val="Fira Sans Extra Condensed"/>
        <b/>
        <color theme="1"/>
        <sz val="10.0"/>
      </rPr>
      <t xml:space="preserve">Empresas: </t>
    </r>
    <r>
      <rPr>
        <rFont val="Fira Sans Extra Condensed"/>
        <color theme="1"/>
        <sz val="10.0"/>
      </rPr>
      <t xml:space="preserve">Se deben visualizar el número del total de  las empresas de los productos que se encuentran incluidos en el grupo de productos. 
</t>
    </r>
    <r>
      <rPr>
        <rFont val="Fira Sans Extra Condensed"/>
        <b/>
        <color theme="1"/>
        <sz val="10.0"/>
      </rPr>
      <t>Destacado: Debe existir un elemento que permita a los usuarios marcar o desmarcar un grupo como “destacado”, los grupos marcados como destacado serán mostrados en la tarde superior de resultado de las pantallas donde aplique la selección de grupos de productos.
Accionables</t>
    </r>
    <r>
      <rPr>
        <rFont val="Fira Sans Extra Condensed"/>
        <color theme="1"/>
        <sz val="10.0"/>
      </rPr>
      <t xml:space="preserve">: permite al usuario seleccionar si requiere ver un mayor detalle o eliminar un grupo de productos creado previamente.
</t>
    </r>
    <r>
      <rPr>
        <rFont val="Fira Sans Extra Condensed"/>
        <b/>
        <color theme="1"/>
        <sz val="10.0"/>
      </rPr>
      <t>Paginación:</t>
    </r>
    <r>
      <rPr>
        <rFont val="Fira Sans Extra Condensed"/>
        <color theme="1"/>
        <sz val="10.0"/>
      </rPr>
      <t xml:space="preserve"> Teniendo en cuenta que la experiencia de paginación es transversal en caso que el resultado de la consulta tenga más de 50 registros debe incluir una paginación.</t>
    </r>
  </si>
  <si>
    <t>- Acceso a consulta de grupo de productos a usuarios que posean el perfilamiento, operadores, maestros, autorizadores o usuarios con aprobación única.</t>
  </si>
  <si>
    <r>
      <rPr>
        <rFont val="Fira Sans Extra Condensed"/>
        <b/>
        <color theme="1"/>
        <sz val="10.0"/>
      </rPr>
      <t xml:space="preserve">6.3 Búsqueda avanzada de productos: </t>
    </r>
    <r>
      <rPr>
        <rFont val="Fira Sans Extra Condensed"/>
        <color theme="1"/>
        <sz val="10.0"/>
      </rPr>
      <t xml:space="preserve">El canal debe permitir al usuario buscar productos por por las siguientes opciones:
</t>
    </r>
    <r>
      <rPr>
        <rFont val="Fira Sans Extra Condensed"/>
        <b/>
        <color theme="1"/>
        <sz val="10.0"/>
      </rPr>
      <t xml:space="preserve">Elemento “Buscar": </t>
    </r>
    <r>
      <rPr>
        <rFont val="Fira Sans Extra Condensed"/>
        <color theme="1"/>
        <sz val="10.0"/>
      </rPr>
      <t xml:space="preserve">Al dar clic se debe habilitar una barra de búsqueda que permite al usuario ingresar el nombre del Grupo de producto,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
</t>
    </r>
    <r>
      <rPr>
        <rFont val="Fira Sans Extra Condensed"/>
        <b/>
        <color theme="1"/>
        <sz val="10.0"/>
      </rPr>
      <t xml:space="preserve"> 
Elemento “Filtrar”: </t>
    </r>
    <r>
      <rPr>
        <rFont val="Fira Sans Extra Condensed"/>
        <color theme="1"/>
        <sz val="10.0"/>
      </rPr>
      <t xml:space="preserve">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 Filtrar
Botón “x”:</t>
    </r>
    <r>
      <rPr>
        <rFont val="Fira Sans Extra Condensed"/>
        <color theme="1"/>
        <sz val="10.0"/>
      </rPr>
      <t xml:space="preserve"> Regresa a la pantalla anterior. 
</t>
    </r>
    <r>
      <rPr>
        <rFont val="Fira Sans Extra Condensed"/>
        <b/>
        <color theme="1"/>
        <sz val="10.0"/>
      </rPr>
      <t>Texto:</t>
    </r>
    <r>
      <rPr>
        <rFont val="Fira Sans Extra Condensed"/>
        <color theme="1"/>
        <sz val="10.0"/>
      </rPr>
      <t xml:space="preserve"> Aplique las opciones de filtrado que desea:</t>
    </r>
  </si>
  <si>
    <r>
      <rPr>
        <rFont val="Fira Sans Extra Condensed"/>
        <b/>
        <color theme="1"/>
        <sz val="10.0"/>
      </rPr>
      <t>6.3.1  Países:</t>
    </r>
    <r>
      <rPr>
        <rFont val="Fira Sans Extra Condensed"/>
        <color theme="1"/>
        <sz val="10.0"/>
      </rPr>
      <t xml:space="preserve"> permite seleccionar uno o todos los países, la opción que aquí se muestre dependerá de donde el grupo tenga presencia mostrando únicamente los países donde tiene productos.
</t>
    </r>
    <r>
      <rPr>
        <rFont val="Fira Sans Extra Condensed"/>
        <b/>
        <color theme="1"/>
        <sz val="10.0"/>
      </rPr>
      <t xml:space="preserve">6.3.2 Empresa: </t>
    </r>
    <r>
      <rPr>
        <rFont val="Fira Sans Extra Condensed"/>
        <color theme="1"/>
        <sz val="10.0"/>
      </rPr>
      <t xml:space="preserve">Permite seleccionar una o todas las empresas del grupo de acuerdo a la selección de empresas que conforman el grupo de productos. 
</t>
    </r>
    <r>
      <rPr>
        <rFont val="Fira Sans Extra Condensed"/>
        <b/>
        <color theme="1"/>
        <sz val="10.0"/>
      </rPr>
      <t xml:space="preserve">
En la parte inferior deben estar las opciones: “Borrar” y “aplicar” 
Botón “Borrar": </t>
    </r>
    <r>
      <rPr>
        <rFont val="Fira Sans Extra Condensed"/>
        <color theme="1"/>
        <sz val="10.0"/>
      </rPr>
      <t xml:space="preserve">al dar clic debe eliminar los filtros de búsqueda ingresados por el usuario. 
</t>
    </r>
    <r>
      <rPr>
        <rFont val="Fira Sans Extra Condensed"/>
        <b/>
        <color theme="1"/>
        <sz val="10.0"/>
      </rPr>
      <t xml:space="preserve">Botón “Aplicar”: </t>
    </r>
    <r>
      <rPr>
        <rFont val="Fira Sans Extra Condensed"/>
        <color theme="1"/>
        <sz val="10.0"/>
      </rPr>
      <t xml:space="preserve">Al dar clic el canal actualiza la pantalla donde muestra los grupos de productos, mostrando como resultado únicamente los grupos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t>
    </r>
  </si>
  <si>
    <t>- En caso que el usuario aplique filtros y no encuentra coincidencia debe mostrar “La búsqueda no presenta resultados”
- Acceso a consulta de grupo de productos a usuarios que posean el perfilamiento, operadores, maestros, autorizadores o usuarios con aprobación única.</t>
  </si>
  <si>
    <r>
      <rPr>
        <rFont val="Fira Sans Extra Condensed"/>
        <b/>
        <color theme="1"/>
        <sz val="10.0"/>
      </rPr>
      <t>6.4 Descargar:</t>
    </r>
    <r>
      <rPr>
        <rFont val="Fira Sans Extra Condensed"/>
        <color theme="1"/>
        <sz val="10.0"/>
      </rPr>
      <t xml:space="preserve"> Debe existir un elemento que le permita al usuario realizar la descarga de todos los grupos de productos creados y activos en el canal, el usuario al dar clic actualiza la pantalla y el canal muestra:
</t>
    </r>
    <r>
      <rPr>
        <rFont val="Fira Sans Extra Condensed"/>
        <b/>
        <color theme="1"/>
        <sz val="10.0"/>
      </rPr>
      <t xml:space="preserve">Titulo: </t>
    </r>
    <r>
      <rPr>
        <rFont val="Fira Sans Extra Condensed"/>
        <color theme="1"/>
        <sz val="10.0"/>
      </rPr>
      <t xml:space="preserve">Descargar Reporte
</t>
    </r>
    <r>
      <rPr>
        <rFont val="Fira Sans Extra Condensed"/>
        <b/>
        <color theme="1"/>
        <sz val="10.0"/>
      </rPr>
      <t>Descripción:</t>
    </r>
    <r>
      <rPr>
        <rFont val="Fira Sans Extra Condensed"/>
        <color theme="1"/>
        <sz val="10.0"/>
      </rPr>
      <t xml:space="preserve"> Si la descarga no se da de inmediato le enviaremos el archivo al buzón.
</t>
    </r>
    <r>
      <rPr>
        <rFont val="Fira Sans Extra Condensed"/>
        <b/>
        <color theme="1"/>
        <sz val="10.0"/>
      </rPr>
      <t xml:space="preserve">
Texto:</t>
    </r>
    <r>
      <rPr>
        <rFont val="Fira Sans Extra Condensed"/>
        <color theme="1"/>
        <sz val="10.0"/>
      </rPr>
      <t xml:space="preserve"> Elija el formato 
</t>
    </r>
    <r>
      <rPr>
        <rFont val="Fira Sans Extra Condensed"/>
        <b/>
        <color theme="1"/>
        <sz val="10.0"/>
      </rPr>
      <t>Excel  (.xlsx) 
PDF    (.pdf)</t>
    </r>
    <r>
      <rPr>
        <rFont val="Fira Sans Extra Condensed"/>
        <color theme="1"/>
        <sz val="10.0"/>
      </rPr>
      <t xml:space="preserve">
Una vez el cliente seleccione un formato se habilita el botón de “Descargar”.
</t>
    </r>
    <r>
      <rPr>
        <rFont val="Fira Sans Extra Condensed"/>
        <b/>
        <color theme="1"/>
        <sz val="10.0"/>
      </rPr>
      <t xml:space="preserve">
En el formato en PDF en canal debe mostrar:</t>
    </r>
    <r>
      <rPr>
        <rFont val="Fira Sans Extra Condensed"/>
        <color theme="1"/>
        <sz val="10.0"/>
      </rPr>
      <t xml:space="preserve">
</t>
    </r>
    <r>
      <rPr>
        <rFont val="Fira Sans Extra Condensed"/>
        <b/>
        <color theme="1"/>
        <sz val="10.0"/>
      </rPr>
      <t>Nombre del banco en la parte superior.</t>
    </r>
    <r>
      <rPr>
        <rFont val="Fira Sans Extra Condensed"/>
        <color theme="1"/>
        <sz val="10.0"/>
      </rPr>
      <t xml:space="preserve">
</t>
    </r>
    <r>
      <rPr>
        <rFont val="Fira Sans Extra Condensed"/>
        <b/>
        <color theme="1"/>
        <sz val="10.0"/>
      </rPr>
      <t>Título:</t>
    </r>
    <r>
      <rPr>
        <rFont val="Fira Sans Extra Condensed"/>
        <color theme="1"/>
        <sz val="10.0"/>
      </rPr>
      <t xml:space="preserve"> Grupo de productos
</t>
    </r>
    <r>
      <rPr>
        <rFont val="Fira Sans Extra Condensed"/>
        <b/>
        <color theme="1"/>
        <sz val="10.0"/>
      </rPr>
      <t xml:space="preserve">Fecha y hora de descarga: </t>
    </r>
    <r>
      <rPr>
        <rFont val="Fira Sans Extra Condensed"/>
        <color theme="1"/>
        <sz val="10.0"/>
      </rPr>
      <t xml:space="preserve">Se debe mostrar la fecha y hora de descarga.
</t>
    </r>
    <r>
      <rPr>
        <rFont val="Fira Sans Extra Condensed"/>
        <b/>
        <color theme="1"/>
        <sz val="10.0"/>
      </rPr>
      <t>Resultado:</t>
    </r>
    <r>
      <rPr>
        <rFont val="Fira Sans Extra Condensed"/>
        <color theme="1"/>
        <sz val="10.0"/>
      </rPr>
      <t xml:space="preserve"> debe mostrar el contenido de la consulta en la parte inferior de manera ordenada y clara informando: El nombre del grupo de productos, país, cantidad de empresas asociadas y si el grupo fue marcado como destacado. 
</t>
    </r>
    <r>
      <rPr>
        <rFont val="Fira Sans Extra Condensed"/>
        <b/>
        <color theme="1"/>
        <sz val="10.0"/>
      </rPr>
      <t>Mensajería</t>
    </r>
    <r>
      <rPr>
        <rFont val="Fira Sans Extra Condensed"/>
        <color theme="1"/>
        <sz val="10.0"/>
      </rPr>
      <t xml:space="preserve">:
- Si la descarga se realiza de manera satisfactoria actualiza la pantalla e informa en la parte superior “Descarga exitosa”
- Si la generación del reporte no se puede realizar en línea por el tamaño se debe mostrar el siguiente modal: “El reporte se enviará al buzón de notificaciones del módulo regional.”
- En caso que la descarga no se pueda generar por algún error se debe presentar mensaje: “Descarga fallida. Intente más tarde”  </t>
    </r>
  </si>
  <si>
    <t>Realizar descarga de búsqueda de acuerdo al tipo de formato seleccionado por el usuario</t>
  </si>
  <si>
    <t xml:space="preserve">- La información descargada debe coincidir si fue aplicado un filtro. El archivo descargado debe contener la información del total de resultados de todas las páginas que se muestran en el resultado. 
- Si el usuario requiere realizar una descarga masiva debe seleccionar primero los checkbox y cuando tenga seleccionado al menos un registro el canal habilita la opción de “descargar selección” </t>
  </si>
  <si>
    <t>Descargar reporte de consulta ejecutada de los grupos de productos en los formatos excel o PDF.</t>
  </si>
  <si>
    <r>
      <rPr>
        <rFont val="Fira Sans Extra Condensed"/>
        <b/>
        <color theme="1"/>
        <sz val="10.0"/>
      </rPr>
      <t xml:space="preserve">6.5 Accionable / Detalle: </t>
    </r>
    <r>
      <rPr>
        <rFont val="Fira Sans Extra Condensed"/>
        <color theme="1"/>
        <sz val="10.0"/>
      </rPr>
      <t xml:space="preserve">El canal debe permitir al usuario acceder desde la pantalla de resultados a una nueva pantalla donde el usuario podrá visualizar el detalle completo de cómo está conformado un grupo de productos. </t>
    </r>
  </si>
  <si>
    <r>
      <rPr>
        <rFont val="Fira Sans Extra Condensed"/>
        <b/>
        <color theme="1"/>
        <sz val="10.0"/>
      </rPr>
      <t xml:space="preserve">7.1 Título: Detalle del grupo de producto
</t>
    </r>
    <r>
      <rPr>
        <rFont val="Fira Sans Extra Condensed"/>
        <color theme="1"/>
        <sz val="10.0"/>
      </rPr>
      <t xml:space="preserve">
</t>
    </r>
    <r>
      <rPr>
        <rFont val="Fira Sans Extra Condensed"/>
        <b/>
        <color theme="1"/>
        <sz val="10.0"/>
      </rPr>
      <t xml:space="preserve">7.2 Elemento regresar: </t>
    </r>
    <r>
      <rPr>
        <rFont val="Fira Sans Extra Condensed"/>
        <color theme="1"/>
        <sz val="10.0"/>
      </rPr>
      <t xml:space="preserve">Debe existir un botón o elemento que le permita al usuario regresar a la pantalla anterior en cualquier momento.
</t>
    </r>
    <r>
      <rPr>
        <rFont val="Fira Sans Extra Condensed"/>
        <b/>
        <color theme="1"/>
        <sz val="10.0"/>
      </rPr>
      <t xml:space="preserve">7.3 Nombre del Grupo: </t>
    </r>
    <r>
      <rPr>
        <rFont val="Fira Sans Extra Condensed"/>
        <color theme="1"/>
        <sz val="10.0"/>
      </rPr>
      <t xml:space="preserve">Se debe mostrar el nombre del grupo de producto ingresado en la creación.
</t>
    </r>
    <r>
      <rPr>
        <rFont val="Fira Sans Extra Condensed"/>
        <b/>
        <color theme="1"/>
        <sz val="10.0"/>
      </rPr>
      <t>7.4 Resumen:</t>
    </r>
    <r>
      <rPr>
        <rFont val="Fira Sans Extra Condensed"/>
        <color theme="1"/>
        <sz val="10.0"/>
      </rPr>
      <t xml:space="preserve"> El canal deberá mostrar un resumen general de las características principales de los productos previamente seleccionados, el cuadro deberá informar: 
</t>
    </r>
    <r>
      <rPr>
        <rFont val="Fira Sans Extra Condensed"/>
        <b/>
        <color theme="1"/>
        <sz val="10.0"/>
      </rPr>
      <t xml:space="preserve">Países: </t>
    </r>
    <r>
      <rPr>
        <rFont val="Fira Sans Extra Condensed"/>
        <color theme="1"/>
        <sz val="10.0"/>
      </rPr>
      <t xml:space="preserve">Banderas origen de los países de los productos que conforman el grupo de producto.
</t>
    </r>
    <r>
      <rPr>
        <rFont val="Fira Sans Extra Condensed"/>
        <b/>
        <color theme="1"/>
        <sz val="10.0"/>
      </rPr>
      <t>Empresas:</t>
    </r>
    <r>
      <rPr>
        <rFont val="Fira Sans Extra Condensed"/>
        <color theme="1"/>
        <sz val="10.0"/>
      </rPr>
      <t xml:space="preserve"> Número del total de empresas que conforman el grupo de productos.
</t>
    </r>
    <r>
      <rPr>
        <rFont val="Fira Sans Extra Condensed"/>
        <b/>
        <color theme="1"/>
        <sz val="10.0"/>
      </rPr>
      <t xml:space="preserve">Productos: </t>
    </r>
    <r>
      <rPr>
        <rFont val="Fira Sans Extra Condensed"/>
        <color theme="1"/>
        <sz val="10.0"/>
      </rPr>
      <t xml:space="preserve">Número del total de productos seleccionados en el paso anterior.
</t>
    </r>
    <r>
      <rPr>
        <rFont val="Fira Sans Extra Condensed"/>
        <b/>
        <color theme="1"/>
        <sz val="10.0"/>
      </rPr>
      <t>Tipo Productos</t>
    </r>
    <r>
      <rPr>
        <rFont val="Fira Sans Extra Condensed"/>
        <color theme="1"/>
        <sz val="10.0"/>
      </rPr>
      <t xml:space="preserve">: nombre del tipo de productos, ejemplo: Cuentas de ahorros / Cuenta Corriente. </t>
    </r>
  </si>
  <si>
    <t>- Acceso a detalle de grupo de productos a usuarios que posean el perfilamiento, operadores, maestros, autorizadores o usuarios con aprobación única.</t>
  </si>
  <si>
    <r>
      <rPr>
        <rFont val="Fira Sans Extra Condensed"/>
        <b/>
        <color theme="1"/>
        <sz val="10.0"/>
      </rPr>
      <t xml:space="preserve">7.5 Productos Seleccionados: </t>
    </r>
    <r>
      <rPr>
        <rFont val="Fira Sans Extra Condensed"/>
        <color theme="1"/>
        <sz val="10.0"/>
      </rPr>
      <t xml:space="preserve">En la pantalla el canal mostrará la información de los productos seleccionados en el mismo orden del paso anterior agrupando la información por tipo de productos. </t>
    </r>
    <r>
      <rPr>
        <rFont val="Fira Sans Extra Condensed"/>
        <b/>
        <color theme="1"/>
        <sz val="10.0"/>
      </rPr>
      <t xml:space="preserve">
País: </t>
    </r>
    <r>
      <rPr>
        <rFont val="Fira Sans Extra Condensed"/>
        <color theme="1"/>
        <sz val="10.0"/>
      </rPr>
      <t xml:space="preserve">Se debe mostrar la bandera del país origen al que pertenece el producto seleccionado. 
</t>
    </r>
    <r>
      <rPr>
        <rFont val="Fira Sans Extra Condensed"/>
        <b/>
        <color theme="1"/>
        <sz val="10.0"/>
      </rPr>
      <t xml:space="preserve">Empresa: </t>
    </r>
    <r>
      <rPr>
        <rFont val="Fira Sans Extra Condensed"/>
        <color theme="1"/>
        <sz val="10.0"/>
      </rPr>
      <t xml:space="preserve">Se debe mostrar la empresa a la que pertenece el producto seleccionado.
</t>
    </r>
    <r>
      <rPr>
        <rFont val="Fira Sans Extra Condensed"/>
        <b/>
        <color theme="1"/>
        <sz val="10.0"/>
      </rPr>
      <t>Nombre del producto:</t>
    </r>
    <r>
      <rPr>
        <rFont val="Fira Sans Extra Condensed"/>
        <color theme="1"/>
        <sz val="10.0"/>
      </rPr>
      <t xml:space="preserve"> Se debe mostrar el nombre o alias del producto seleccionado
</t>
    </r>
    <r>
      <rPr>
        <rFont val="Fira Sans Extra Condensed"/>
        <b/>
        <color theme="1"/>
        <sz val="10.0"/>
      </rPr>
      <t xml:space="preserve">Tipo de Producto: </t>
    </r>
    <r>
      <rPr>
        <rFont val="Fira Sans Extra Condensed"/>
        <color theme="1"/>
        <sz val="10.0"/>
      </rPr>
      <t xml:space="preserve">Se debe presentar la naturaleza del producto seleccionado.
</t>
    </r>
    <r>
      <rPr>
        <rFont val="Fira Sans Extra Condensed"/>
        <b/>
        <color theme="1"/>
        <sz val="10.0"/>
      </rPr>
      <t>Número del Producto:</t>
    </r>
    <r>
      <rPr>
        <rFont val="Fira Sans Extra Condensed"/>
        <color theme="1"/>
        <sz val="10.0"/>
      </rPr>
      <t xml:space="preserve"> Se debe presentar el número de producto seleccionado enmascarado.</t>
    </r>
  </si>
  <si>
    <t>Campos se visualizaran en formato lectura.
- Acceso a detalle de grupo de productos a usuarios que posean el perfilamiento, operadores, maestros, autorizadores o usuarios con aprobación única.</t>
  </si>
  <si>
    <r>
      <rPr>
        <rFont val="Fira Sans Extra Condensed"/>
        <b/>
        <color theme="1"/>
        <sz val="10.0"/>
      </rPr>
      <t xml:space="preserve">7.6 Paginación: </t>
    </r>
    <r>
      <rPr>
        <rFont val="Fira Sans Extra Condensed"/>
        <color theme="1"/>
        <sz val="10.0"/>
      </rPr>
      <t xml:space="preserve">La paginación se debe presentar en la parte superior del resultado, se presentará hasta 50 registros por página, de acuerdo la información obtenida del resultado de la consulta, para llegar a la parte inferior el usuario podrá usar el scroll y el teclado. </t>
    </r>
  </si>
  <si>
    <r>
      <rPr>
        <rFont val="Fira Sans Extra Condensed"/>
        <b/>
        <color theme="1"/>
        <sz val="10.0"/>
      </rPr>
      <t xml:space="preserve">7.7 Elemento Back to top: </t>
    </r>
    <r>
      <rPr>
        <rFont val="Fira Sans Extra Condensed"/>
        <color theme="1"/>
        <sz val="10.0"/>
      </rPr>
      <t xml:space="preserve">El canal debe tener un elemento en pantalla que  al dar clic lo debe llevar a la parte superior de la pantalla esto en caso que el cliente haga scroll para llegar a la parte de inferior del resultado. </t>
    </r>
  </si>
  <si>
    <r>
      <rPr>
        <rFont val="Fira Sans Extra Condensed"/>
        <b/>
        <color theme="1"/>
        <sz val="10.0"/>
      </rPr>
      <t>7.8 Icono “Destacado”:</t>
    </r>
    <r>
      <rPr>
        <rFont val="Fira Sans Extra Condensed"/>
        <color theme="1"/>
        <sz val="10.0"/>
      </rPr>
      <t xml:space="preserve">  Se debe incluir un tooltip “Destacado”. Debe existir un elemento que permita a los usuarios marcar o desmarcar un grupo como “favorito”, los grupos marcados como favoritos serán mostrados en la parte superior del resultado de las pantallas donde aplique la selección de grupos de productos.</t>
    </r>
  </si>
  <si>
    <r>
      <rPr>
        <rFont val="Fira Sans Extra Condensed"/>
        <b/>
        <color theme="1"/>
        <sz val="10.0"/>
      </rPr>
      <t xml:space="preserve">7.9 Icono “Descarga”: </t>
    </r>
    <r>
      <rPr>
        <rFont val="Fira Sans Extra Condensed"/>
        <color theme="1"/>
        <sz val="10.0"/>
      </rPr>
      <t xml:space="preserve"> Se debe incluir un tooltip “Descargar reporte”. Debe existir un elemento que le permita al usuario realizar la descarga de todo el detalle de cómo está confirmado el Grupo de productos con toda la información de todas las páginas, el usuario al dar clic actualiza la pantalla y el canal muestra:
</t>
    </r>
    <r>
      <rPr>
        <rFont val="Fira Sans Extra Condensed"/>
        <b/>
        <color theme="1"/>
        <sz val="10.0"/>
      </rPr>
      <t xml:space="preserve">Titulo: </t>
    </r>
    <r>
      <rPr>
        <rFont val="Fira Sans Extra Condensed"/>
        <color theme="1"/>
        <sz val="10.0"/>
      </rPr>
      <t xml:space="preserve">Descargar Reporte
</t>
    </r>
    <r>
      <rPr>
        <rFont val="Fira Sans Extra Condensed"/>
        <b/>
        <color theme="1"/>
        <sz val="10.0"/>
      </rPr>
      <t xml:space="preserve">Descripción: </t>
    </r>
    <r>
      <rPr>
        <rFont val="Fira Sans Extra Condensed"/>
        <color theme="1"/>
        <sz val="10.0"/>
      </rPr>
      <t xml:space="preserve">Si la descarga no se da de inmediato le enviaremos el archivo al buzón.
</t>
    </r>
    <r>
      <rPr>
        <rFont val="Fira Sans Extra Condensed"/>
        <b/>
        <color theme="1"/>
        <sz val="10.0"/>
      </rPr>
      <t>Texto: Elija el formato 
PDF    (.pdf)</t>
    </r>
    <r>
      <rPr>
        <rFont val="Fira Sans Extra Condensed"/>
        <color theme="1"/>
        <sz val="10.0"/>
      </rPr>
      <t xml:space="preserve">
</t>
    </r>
    <r>
      <rPr>
        <rFont val="Fira Sans Extra Condensed"/>
        <b/>
        <color theme="1"/>
        <sz val="10.0"/>
      </rPr>
      <t>Una vez el cliente seleccione un formato se habilita el botón de “Descargar”.
Si el usuario requiere realizar una descarga masiva debe seleccionar primero los checkbox y cuando tenga seleccionado al menos un registro el canal habilita la opción de “descargar selección”</t>
    </r>
  </si>
  <si>
    <r>
      <rPr>
        <rFont val="Fira Sans Extra Condensed"/>
        <color theme="1"/>
        <sz val="10.0"/>
      </rPr>
      <t xml:space="preserve">Descarga en formato PDF, se deberá mostrar la siguiente información:
</t>
    </r>
    <r>
      <rPr>
        <rFont val="Fira Sans Extra Condensed"/>
        <b/>
        <color theme="1"/>
        <sz val="10.0"/>
      </rPr>
      <t xml:space="preserve">Nombre del banco en la parte superior
Fecha y hora de descarga: </t>
    </r>
    <r>
      <rPr>
        <rFont val="Fira Sans Extra Condensed"/>
        <color theme="1"/>
        <sz val="10.0"/>
      </rPr>
      <t xml:space="preserve">Se debe presentar la fecha y hora de la descarga del archivo dd/mm/aaaa hh/mm am-pm
</t>
    </r>
    <r>
      <rPr>
        <rFont val="Fira Sans Extra Condensed"/>
        <b/>
        <color theme="1"/>
        <sz val="10.0"/>
      </rPr>
      <t xml:space="preserve">Título: </t>
    </r>
    <r>
      <rPr>
        <rFont val="Fira Sans Extra Condensed"/>
        <color theme="1"/>
        <sz val="10.0"/>
      </rPr>
      <t xml:space="preserve">Detalle Grupo regional
</t>
    </r>
    <r>
      <rPr>
        <rFont val="Fira Sans Extra Condensed"/>
        <b/>
        <color theme="1"/>
        <sz val="10.0"/>
      </rPr>
      <t>Nombre del grupo regional:</t>
    </r>
    <r>
      <rPr>
        <rFont val="Fira Sans Extra Condensed"/>
        <color theme="1"/>
        <sz val="10.0"/>
      </rPr>
      <t xml:space="preserve"> Se debe mostrar el nombre con el que fue creado.
</t>
    </r>
    <r>
      <rPr>
        <rFont val="Fira Sans Extra Condensed"/>
        <b/>
        <color theme="1"/>
        <sz val="10.0"/>
      </rPr>
      <t xml:space="preserve">Países: </t>
    </r>
    <r>
      <rPr>
        <rFont val="Fira Sans Extra Condensed"/>
        <color theme="1"/>
        <sz val="10.0"/>
      </rPr>
      <t xml:space="preserve">Se debe mostrar las banderas del país de origen que  conforman el grupo.
</t>
    </r>
    <r>
      <rPr>
        <rFont val="Fira Sans Extra Condensed"/>
        <b/>
        <color theme="1"/>
        <sz val="10.0"/>
      </rPr>
      <t xml:space="preserve">Productos: </t>
    </r>
    <r>
      <rPr>
        <rFont val="Fira Sans Extra Condensed"/>
        <color theme="1"/>
        <sz val="10.0"/>
      </rPr>
      <t xml:space="preserve">Debe mostrar el número de productos que conforman el Grupo de productos 
</t>
    </r>
    <r>
      <rPr>
        <rFont val="Fira Sans Extra Condensed"/>
        <b/>
        <color theme="1"/>
        <sz val="10.0"/>
      </rPr>
      <t xml:space="preserve">Empresas: </t>
    </r>
    <r>
      <rPr>
        <rFont val="Fira Sans Extra Condensed"/>
        <color theme="1"/>
        <sz val="10.0"/>
      </rPr>
      <t xml:space="preserve">Debe mostrar la cantidad de empresas que tiene asociadas el Grupo de productos.
</t>
    </r>
    <r>
      <rPr>
        <rFont val="Fira Sans Extra Condensed"/>
        <b/>
        <color theme="1"/>
        <sz val="10.0"/>
      </rPr>
      <t>Tipo de productos:</t>
    </r>
    <r>
      <rPr>
        <rFont val="Fira Sans Extra Condensed"/>
        <color theme="1"/>
        <sz val="10.0"/>
      </rPr>
      <t xml:space="preserve"> debe mostrar la naturaleza por tipo de producto que lo conforma. 
</t>
    </r>
    <r>
      <rPr>
        <rFont val="Fira Sans Extra Condensed"/>
        <b/>
        <color theme="1"/>
        <sz val="10.0"/>
      </rPr>
      <t xml:space="preserve">Tabla de resultados: </t>
    </r>
    <r>
      <rPr>
        <rFont val="Fira Sans Extra Condensed"/>
        <color theme="1"/>
        <sz val="10.0"/>
      </rPr>
      <t xml:space="preserve">contenido de la consulta en la parte inferior de manera ordenada y clara con información de las columnas: País, Empresa (se debe mostrar el nombre completo), nombre del producto(se debe mostrar el nombre completo), tipo de producto, Número del producto (enmascarado). </t>
    </r>
  </si>
  <si>
    <r>
      <rPr>
        <rFont val="Fira Sans Extra Condensed"/>
        <b/>
        <color theme="1"/>
        <sz val="10.0"/>
      </rPr>
      <t xml:space="preserve">Mensajería:
</t>
    </r>
    <r>
      <rPr>
        <rFont val="Fira Sans Extra Condensed"/>
        <color theme="1"/>
        <sz val="10.0"/>
      </rPr>
      <t xml:space="preserve">- Si la descarga se realiza de manera satisfactoria actualiza la pantalla e informa en la parte superior “Descarga exitosa”
- Si la generación del reporte no se puede realizar en línea por el tamaño se debe mostrar el siguiente modal: “El reporte se enviará al buzón de notificaciones del módulo regional.”
- En caso que la descarga no se pueda generar por algún error se debe presentar mensaje: “Descarga fallida. Intente más tarde”  </t>
    </r>
  </si>
  <si>
    <r>
      <rPr>
        <rFont val="Fira Sans Extra Condensed"/>
        <b/>
        <color theme="1"/>
        <sz val="10.0"/>
      </rPr>
      <t>7.10 Icono “Editar”:</t>
    </r>
    <r>
      <rPr>
        <rFont val="Fira Sans Extra Condensed"/>
        <color theme="1"/>
        <sz val="10.0"/>
      </rPr>
      <t xml:space="preserve">  Se debe incluir un tooltip “Editar”, al dar clic a este botón debe actualizar la pantalla y mostrar el nombre ingresado durante la creación, el nombre se debe mostrar de manera editable permitiendo cambiar o confirmar el nombre asignado, una vez el usuario de clic al botón “asignar” debe actualizar nuevamente la pantalla y continuar con el flujo desde el criterio 2.3 al criterio 5.  pasando por la selección de productos, resumen y resultado, los productos que se muestran en la “selección” se deben mostrarse de manera preseleccionada teniendo en cuenta los que conforman el grupo. </t>
    </r>
  </si>
  <si>
    <r>
      <rPr>
        <rFont val="Fira Sans Extra Condensed"/>
        <b/>
        <color theme="1"/>
        <sz val="10.0"/>
      </rPr>
      <t>7.11 Icono “Eliminar”:</t>
    </r>
    <r>
      <rPr>
        <rFont val="Fira Sans Extra Condensed"/>
        <color theme="1"/>
        <sz val="10.0"/>
      </rPr>
      <t xml:space="preserve"> Se debe incluir un tooltip “eliminar grupo” al dar clic se debe presentar la mensajería según aplique del criterio 9, teniendo en cuenta el flujo el usuario deberá confirmar la eliminación incluyendo la regla definida de retar al usuario ingresando la clave de confirmación, funcionalidad transversal de acuerdo a lo planteado en la: HU017_PER - Autorizaciones transversal</t>
    </r>
  </si>
  <si>
    <r>
      <rPr>
        <rFont val="Fira Sans Extra Condensed"/>
        <b/>
        <color theme="1"/>
        <sz val="10.0"/>
      </rPr>
      <t>Pantalla que debe mostrar la información pre diligenciada</t>
    </r>
    <r>
      <rPr>
        <rFont val="Fira Sans Extra Condensed"/>
        <color theme="1"/>
        <sz val="10.0"/>
      </rPr>
      <t xml:space="preserve">
</t>
    </r>
    <r>
      <rPr>
        <rFont val="Fira Sans Extra Condensed"/>
        <b/>
        <color theme="1"/>
        <sz val="10.0"/>
      </rPr>
      <t xml:space="preserve">8.1 Nombre de grupo: </t>
    </r>
    <r>
      <rPr>
        <rFont val="Fira Sans Extra Condensed"/>
        <color theme="1"/>
        <sz val="10.0"/>
      </rPr>
      <t>El canal debe actualizar la pantalla y mostrar el nombre ingresado durante la creación, el nombre se debe mostrar de manera editable permitiendo cambiar o confirmar el nombre asignado cómo en el criterio 2.3, una vez el usuario de clic al botón “asignar” debe actualizar nuevamente la pantalla y continuar con el flujo.</t>
    </r>
  </si>
  <si>
    <t>- Acceso a edición de grupo de productos a usuarios que posean el perfilamiento, operadores, maestros, autorizadores o usuarios con aprobación única.</t>
  </si>
  <si>
    <r>
      <rPr>
        <rFont val="Fira Sans Extra Condensed"/>
        <b/>
        <color theme="1"/>
        <sz val="10.0"/>
      </rPr>
      <t xml:space="preserve">8.2 Productos seleccionados: </t>
    </r>
    <r>
      <rPr>
        <rFont val="Fira Sans Extra Condensed"/>
        <color theme="1"/>
        <sz val="10.0"/>
      </rPr>
      <t>En la pantalla el canal mostrará la información de los productos seleccionados en el mismo orden agrupando la información por tipo de productos,  en esta pantalla al lado del producto seleccionado mostrará un icono que hará referencia a eliminar de manera individual el producto seleccionado, adicional deberá contar con una opción (checkbox) que muestra los productos seleccionados y permita al usuario adicionar o desmarcar de acuerdo a lo que requiere (criterio 3.8)</t>
    </r>
  </si>
  <si>
    <r>
      <rPr>
        <rFont val="Fira Sans Extra Condensed"/>
        <b/>
        <color theme="1"/>
        <sz val="10.0"/>
      </rPr>
      <t>8.3 Resumen:</t>
    </r>
    <r>
      <rPr>
        <rFont val="Fira Sans Extra Condensed"/>
        <color theme="1"/>
        <sz val="10.0"/>
      </rPr>
      <t xml:space="preserve"> Una vez seleccionados los nuevos productos el canal debe aplicar las reglas del criterio 4, donde tendrá la visual completa de cómo quedaría creado el nuevo grupo de productos.
</t>
    </r>
    <r>
      <rPr>
        <rFont val="Fira Sans Extra Condensed"/>
        <b/>
        <color theme="1"/>
        <sz val="10.0"/>
      </rPr>
      <t>Mensajería:</t>
    </r>
    <r>
      <rPr>
        <rFont val="Fira Sans Extra Condensed"/>
        <color theme="1"/>
        <sz val="10.0"/>
      </rPr>
      <t xml:space="preserve"> En la confirmación se debe presentar un modal que informe al usuario: “Una vez aprobada esta novedad, se actualizará los permisos a los usuarios y/o esquemas de firmas que tengas asignado este Grupo de Productos”</t>
    </r>
  </si>
  <si>
    <r>
      <rPr>
        <rFont val="Fira Sans Extra Condensed"/>
        <b/>
        <color theme="1"/>
        <sz val="10.0"/>
      </rPr>
      <t>8.4 Resultado:</t>
    </r>
    <r>
      <rPr>
        <rFont val="Fira Sans Extra Condensed"/>
        <color theme="1"/>
        <sz val="10.0"/>
      </rPr>
      <t xml:space="preserve"> El canal debe aplicar las reglas del criterio 5 “resultado” teniendo en cuenta el tipo de administración que tenga el grupo regional y mostrar la información de acuerdo a las reglas ya definidas del criterio.</t>
    </r>
  </si>
  <si>
    <t>Realizar proceso de edición de grupo de permison con cliente que posea esquema administrativo DUAL</t>
  </si>
  <si>
    <t>- Acceso a edición de grupo de productos a usuarios que posean el perfilamiento, operadores, maestros, autorizadores o usuarios con aprobación única.
- Esquema administrativo Dual.</t>
  </si>
  <si>
    <t>Gestión de edición quedará pendiente de autorización</t>
  </si>
  <si>
    <r>
      <rPr>
        <rFont val="Fira Sans Extra Condensed"/>
        <color theme="1"/>
        <sz val="10.0"/>
      </rPr>
      <t xml:space="preserve">El usuario podrá realizar la eliminación de grupos de productos desde dos puntos:
</t>
    </r>
    <r>
      <rPr>
        <rFont val="Fira Sans Extra Condensed"/>
        <b/>
        <color theme="1"/>
        <sz val="10.0"/>
      </rPr>
      <t xml:space="preserve">Eliminación desde la consulta de todos los grupos de productos.
Eliminación desde el detalle del grupo de productos </t>
    </r>
    <r>
      <rPr>
        <rFont val="Fira Sans Extra Condensed"/>
        <color theme="1"/>
        <sz val="10.0"/>
      </rPr>
      <t xml:space="preserve">
Toda eliminación que los usuarios administradores realicen dentro del canal debe retar al usuario cuando confirme que desea eliminar el registro posterior al modal de confirmación posterior el usuario visualizará la pantalla de autorizaciones transversal donde a el usuario le permite ingresar el código de confirmación de Soft Token o hard token según aplique, siguiendo los criterios descritos en la  HU017_PER - Autorizaciones transversal</t>
    </r>
  </si>
  <si>
    <t>Eliminar grupo de productos desde el canal y solicitar método de autenticación para ejecutar el proceso</t>
  </si>
  <si>
    <t>- Acceso a eliminación de grupo de productos a usuarios que posean el perfilamiento, operadores, maestros, autorizadores o usuarios con aprobación única.</t>
  </si>
  <si>
    <t>Eliminación de grupo de producto desde el canal</t>
  </si>
  <si>
    <r>
      <rPr>
        <rFont val="Fira Sans Extra Condensed"/>
        <color theme="1"/>
        <sz val="10.0"/>
      </rPr>
      <t xml:space="preserve">Para la </t>
    </r>
    <r>
      <rPr>
        <rFont val="Fira Sans Extra Condensed"/>
        <b/>
        <color theme="1"/>
        <sz val="10.0"/>
      </rPr>
      <t>eliminación masiva</t>
    </r>
    <r>
      <rPr>
        <rFont val="Fira Sans Extra Condensed"/>
        <color theme="1"/>
        <sz val="10.0"/>
      </rPr>
      <t xml:space="preserve"> debe permitir seleccionar varios registros, una vez marcados al menos un registro se habilita el botón “Eliminar seleccionados”. </t>
    </r>
  </si>
  <si>
    <r>
      <rPr>
        <rFont val="Fira Sans Extra Condensed"/>
        <b/>
        <color theme="1"/>
        <sz val="10.0"/>
      </rPr>
      <t xml:space="preserve">Escenario Grupo a eliminar no está asignado a usuarios ni Esquemas de Firmas:
</t>
    </r>
    <r>
      <rPr>
        <rFont val="Fira Sans Extra Condensed"/>
        <color theme="1"/>
        <sz val="10.0"/>
      </rPr>
      <t xml:space="preserve">
En caso que el canal identifique que un grupo a eliminar no está asociado a un usuario ni a un esquema de firmas debe mostrar mensaje de confirmación previo a eliminación “ ¿Quiere eliminar el grupo de productos? seguido de las opciones “Volver/Eliminar” al dar clic en “eliminar </t>
    </r>
  </si>
  <si>
    <r>
      <rPr>
        <rFont val="Fira Sans Extra Condensed"/>
        <b/>
        <color theme="1"/>
        <sz val="10.0"/>
      </rPr>
      <t>Modal de advertencia eliminación:</t>
    </r>
    <r>
      <rPr>
        <rFont val="Fira Sans Extra Condensed"/>
        <color theme="1"/>
        <sz val="10.0"/>
      </rPr>
      <t xml:space="preserve">
En caso que el usuario intente eliminar un grupo de productos que se encuentre asociado a un usuario y/o a un esquema de firmas el canal deberá informar: 
- “¿Quiere eliminar el grupo de productos? Hay roles o esquemas que se asocian exclusivamente a este grupo. Si lo elimina, esos roles o esquemas no funcionarán dentro del módulo regional. Para que pueda usar el módulo, debe crearles un nuevo grupo de productos ” seguido de las opciones “Volver / Eliminar”
Si el usuario da clic en “eliminar” el canal debe retar al usuario a ingresar el código de confirmación o clave según aplique y continuar con las aprobaciones de acuerdo al tipo de administración.</t>
    </r>
  </si>
  <si>
    <r>
      <rPr>
        <rFont val="Fira Sans Extra Condensed"/>
        <b/>
        <color theme="1"/>
        <sz val="10.0"/>
      </rPr>
      <t xml:space="preserve">Escenario eliminación del único o todos los Grupo de Productos
</t>
    </r>
    <r>
      <rPr>
        <rFont val="Fira Sans Extra Condensed"/>
        <color theme="1"/>
        <sz val="10.0"/>
      </rPr>
      <t xml:space="preserve">
Una vez mostrado el mensaje “¿Quiere eliminar todos los grupos? Todos los roles y esquemas de firmas están asociados a estos grupos. Si los elimina, deberá crear nuevos grupos de productos para asignar a los roles y agregar las firmas.” posterior se muestran las opciones Volver/Eliminar. Una vez  confirmado con las firmas requeridas, el canal deshabilita la opción de consultas de grupos de productos y debe mostrar el flujo para la creación del criterio 2.</t>
    </r>
  </si>
  <si>
    <t>eliminación exitosa del unico grupo de producto.</t>
  </si>
  <si>
    <r>
      <rPr>
        <rFont val="Fira Sans Extra Condensed"/>
        <b/>
        <color theme="1"/>
        <sz val="10.0"/>
      </rPr>
      <t>Resultado:</t>
    </r>
    <r>
      <rPr>
        <rFont val="Fira Sans Extra Condensed"/>
        <color theme="1"/>
        <sz val="10.0"/>
      </rPr>
      <t xml:space="preserve"> La información que aquí se muestra dependerá del tipo de administración que tenga parametrizada el grupo Regional así:
</t>
    </r>
    <r>
      <rPr>
        <rFont val="Fira Sans Extra Condensed"/>
        <b/>
        <color theme="1"/>
        <sz val="10.0"/>
      </rPr>
      <t xml:space="preserve">Administración Sencilla: </t>
    </r>
    <r>
      <rPr>
        <rFont val="Fira Sans Extra Condensed"/>
        <color theme="1"/>
        <sz val="10.0"/>
      </rPr>
      <t xml:space="preserve"> Una vez de clic a la novedad el canal en la parte superior  presentará el siguiente mensaje: “ Eliminación exitosa” y desaparecerá el registro de la consulta. </t>
    </r>
  </si>
  <si>
    <t>Realizar proceso de eliminación de grupo de producto con esquema administrativo simple</t>
  </si>
  <si>
    <t>Mostrar mensaje indicando que la eliminación ha sido exitosa.</t>
  </si>
  <si>
    <r>
      <rPr>
        <rFont val="Fira Sans Extra Condensed"/>
        <b/>
        <color theme="1"/>
        <sz val="10.0"/>
      </rPr>
      <t>Administración Dual:</t>
    </r>
    <r>
      <rPr>
        <rFont val="Fira Sans Extra Condensed"/>
        <color theme="1"/>
        <sz val="10.0"/>
      </rPr>
      <t xml:space="preserve">  Una vez de clic a la novedad el canal en la parte superior  presentará el siguiente mensaje: “Solicitud pendiente de aprobación” y mantendrá el registro de la consulta</t>
    </r>
  </si>
  <si>
    <t>Realizar gestión con esquema administrativo DUAL</t>
  </si>
  <si>
    <t>Creación de grupo de producto en idioma ingles</t>
  </si>
  <si>
    <t>Ejecutar el proceso de creación de grupo de producto en idioma inglés</t>
  </si>
  <si>
    <t>Validar todo el flujo de creación en idioma ingles.</t>
  </si>
  <si>
    <t>- Esquema de firmas Simple</t>
  </si>
  <si>
    <t xml:space="preserve">Mostrar campos traducidos en idioma ingles y mostrar mensaje de resultado </t>
  </si>
  <si>
    <t>Modificación de grupo de producto en idioma ingles</t>
  </si>
  <si>
    <t>Ejecutar el proceso de Modificación de grupo de producto en idioma inglés</t>
  </si>
  <si>
    <t>Validar todo el flujo de modificación en idioma ingles.</t>
  </si>
  <si>
    <t>Eliminación de grupo de producto en idioma ingles</t>
  </si>
  <si>
    <t>Ejecutar el proceso de Eliminación de grupo de producto en idioma inglés</t>
  </si>
  <si>
    <t>Validar todo el flujo de eliminación en idioma ingles.</t>
  </si>
  <si>
    <t>- Esquema de firmas DUAL</t>
  </si>
  <si>
    <t>Mostrar campos traducidos en idioma ingles, gestión quedará pendiente de autorización.</t>
  </si>
  <si>
    <t>Validación de mensajes de error en idioma inglés</t>
  </si>
  <si>
    <t>Realizar la gestión con usuario con perfilamiento de grupo productos</t>
  </si>
  <si>
    <t>Ejecutar creación, modificación, eliminación y que presente error al momento de ingresar token incorrecto o error al momento de confirmar la gestión.</t>
  </si>
  <si>
    <t>Muestre los mensajes de error traducidos al inglés de acuerdo al catálogo de errores.</t>
  </si>
  <si>
    <t>Realizar la gestión con usuario maestro</t>
  </si>
  <si>
    <t>CP136</t>
  </si>
  <si>
    <t>CP137</t>
  </si>
  <si>
    <t>CP138</t>
  </si>
  <si>
    <t>CP139</t>
  </si>
  <si>
    <t>CP140</t>
  </si>
  <si>
    <r>
      <rPr>
        <rFont val="Fira Sans Extra Condensed"/>
        <color rgb="FF000000"/>
        <sz val="10.0"/>
      </rPr>
      <t xml:space="preserve">Al ingresar a la funcionalidad de grupo de productos debe visualizar las opciones del módulo:
</t>
    </r>
    <r>
      <rPr>
        <rFont val="Fira Sans Extra Condensed"/>
        <b/>
        <color rgb="FF000000"/>
        <sz val="10.0"/>
      </rPr>
      <t xml:space="preserve">Grupos de productos </t>
    </r>
    <r>
      <rPr>
        <rFont val="Fira Sans Extra Condensed"/>
        <color rgb="FF000000"/>
        <sz val="10.0"/>
      </rPr>
      <t xml:space="preserve">
</t>
    </r>
    <r>
      <rPr>
        <rFont val="Fira Sans Extra Condensed"/>
        <b/>
        <color rgb="FF000000"/>
        <sz val="10.0"/>
      </rPr>
      <t xml:space="preserve">Descripción: </t>
    </r>
    <r>
      <rPr>
        <rFont val="Fira Sans Extra Condensed"/>
        <color rgb="FF000000"/>
        <sz val="10.0"/>
      </rPr>
      <t xml:space="preserve">Cree y administre los grupos de productos
</t>
    </r>
    <r>
      <rPr>
        <rFont val="Fira Sans Extra Condensed"/>
        <b/>
        <color rgb="FF000000"/>
        <sz val="10.0"/>
      </rPr>
      <t>Roles 
Descripción:</t>
    </r>
    <r>
      <rPr>
        <rFont val="Fira Sans Extra Condensed"/>
        <color rgb="FF000000"/>
        <sz val="10.0"/>
      </rPr>
      <t xml:space="preserve"> Asigne los roles según el acceso que le dará a cada usuario.
</t>
    </r>
    <r>
      <rPr>
        <rFont val="Fira Sans Extra Condensed"/>
        <b/>
        <color rgb="FF000000"/>
        <sz val="10.0"/>
      </rPr>
      <t>Esquemas de firmas 
Descripción:</t>
    </r>
    <r>
      <rPr>
        <rFont val="Fira Sans Extra Condensed"/>
        <color rgb="FF000000"/>
        <sz val="10.0"/>
      </rPr>
      <t xml:space="preserve"> Agregue las firmas de las personas que pueden dar autorizaciones. </t>
    </r>
  </si>
  <si>
    <t>CP141</t>
  </si>
  <si>
    <r>
      <rPr>
        <rFont val="Fira Sans Extra Condensed"/>
        <color theme="1"/>
        <sz val="10.0"/>
      </rPr>
      <t xml:space="preserve">El usuario operador podrá crear los grupos de productos que desee, una vez el usuario de clic a “Grupo de productos” el canal debe identificar si el usuario ya ha creado antes o es la primera vez teniendo en cuenta el flujo podrá ser: 
</t>
    </r>
    <r>
      <rPr>
        <rFont val="Fira Sans Extra Condensed"/>
        <b/>
        <color theme="1"/>
        <sz val="10.0"/>
      </rPr>
      <t xml:space="preserve">2.1 Flujo Primera vez: </t>
    </r>
    <r>
      <rPr>
        <rFont val="Fira Sans Extra Condensed"/>
        <color theme="1"/>
        <sz val="10.0"/>
      </rPr>
      <t>Cuando sea la primera vez que el usuario administrador ingresa al módulo de administración el canal debe guiar al usuario a realizar una creación de “grupo de productos”, teniendo en cuenta lo anterior esta será la única opción habilitada al usuario, al dar clic debe actualizar la pantalla y mostrar el flujo del criterio 2.3.</t>
    </r>
  </si>
  <si>
    <t>CP142</t>
  </si>
  <si>
    <r>
      <rPr>
        <rFont val="Fira Sans Extra Condensed"/>
        <b/>
        <color theme="1"/>
        <sz val="10.0"/>
      </rPr>
      <t>2.2 Flujo Creación Regular:</t>
    </r>
    <r>
      <rPr>
        <rFont val="Fira Sans Extra Condensed"/>
        <color theme="1"/>
        <sz val="10.0"/>
      </rPr>
      <t xml:space="preserve"> Si existe un grupo creado previamente el usuario accede a la visual de Grupos creados y debe estar habilitado el botón para “Crear grupo” una vez de clic continua con el flujo del criterio 2.3.
</t>
    </r>
  </si>
  <si>
    <t>Habilitar el botón de 'Crear Grupo'</t>
  </si>
  <si>
    <t>Visualización y acceso al botón de Crear Grupo.</t>
  </si>
  <si>
    <t>CP143</t>
  </si>
  <si>
    <r>
      <rPr>
        <rFont val="Fira Sans Extra Condensed"/>
        <b/>
        <color theme="1"/>
        <sz val="10.0"/>
      </rPr>
      <t>2.3 Creación Grupo:</t>
    </r>
    <r>
      <rPr>
        <rFont val="Fira Sans Extra Condensed"/>
        <color theme="1"/>
        <sz val="10.0"/>
      </rPr>
      <t xml:space="preserve">
</t>
    </r>
    <r>
      <rPr>
        <rFont val="Fira Sans Extra Condensed"/>
        <b/>
        <color theme="1"/>
        <sz val="10.0"/>
      </rPr>
      <t>Título:</t>
    </r>
    <r>
      <rPr>
        <rFont val="Fira Sans Extra Condensed"/>
        <color theme="1"/>
        <sz val="10.0"/>
      </rPr>
      <t xml:space="preserve"> Nombre del grupo de productos
</t>
    </r>
    <r>
      <rPr>
        <rFont val="Fira Sans Extra Condensed"/>
        <b/>
        <color theme="1"/>
        <sz val="10.0"/>
      </rPr>
      <t>Elemento para regresar</t>
    </r>
  </si>
  <si>
    <t>CP144</t>
  </si>
  <si>
    <r>
      <rPr>
        <rFont val="Fira Sans Extra Condensed"/>
        <b/>
        <color theme="1"/>
        <sz val="10.0"/>
      </rPr>
      <t xml:space="preserve">Descripción: </t>
    </r>
    <r>
      <rPr>
        <rFont val="Fira Sans Extra Condensed"/>
        <color theme="1"/>
        <sz val="10.0"/>
      </rPr>
      <t xml:space="preserve">Asigne un nombre al nuevo grupo de productos
</t>
    </r>
    <r>
      <rPr>
        <rFont val="Fira Sans Extra Condensed"/>
        <b/>
        <color theme="1"/>
        <sz val="10.0"/>
      </rPr>
      <t>Espacio para el nombre:</t>
    </r>
    <r>
      <rPr>
        <rFont val="Fira Sans Extra Condensed"/>
        <color theme="1"/>
        <sz val="10.0"/>
      </rPr>
      <t xml:space="preserve"> Se habilita la opción para que el usuario ingrese el nombre del grupo de productos que creará.
</t>
    </r>
    <r>
      <rPr>
        <rFont val="Fira Sans Extra Condensed"/>
        <b/>
        <color theme="1"/>
        <sz val="10.0"/>
      </rPr>
      <t xml:space="preserve">Características del campo: 
</t>
    </r>
    <r>
      <rPr>
        <rFont val="Fira Sans Extra Condensed"/>
        <color theme="1"/>
        <sz val="10.0"/>
      </rPr>
      <t xml:space="preserve">- Alfanumérico.
- Longitud máxima de 50 caracteres, debe habilitar un contador de caracteres que muestre al usuario la  longitud máxima, los caracteres usados y los caracteres disponibles.
- Longitud mínima de 5 caracteres, si no cumple con esta característica no permite continuar la creación, debe tener un elemento  informe “ la longitud mínima es de 5 caracteres”.
- Debe validar que el nombre ingresado sea único para el grupo regional, es decir no podrá tener el nombre repetido, en caso que intente crear un grupo con el mismo nombre el canal debe mostrar mensaje: “Este nombre ya se usó en otro grupo regional. Asigne uno nuevo” </t>
    </r>
  </si>
  <si>
    <t>CP145</t>
  </si>
  <si>
    <t>CP146</t>
  </si>
  <si>
    <t>- Asignar nombre al grupo de productos
- Realizar la gestión con usuario maestro</t>
  </si>
  <si>
    <r>
      <rPr>
        <rFont val="Fira Sans Extra Condensed"/>
        <b/>
        <color theme="1"/>
        <sz val="10.0"/>
      </rPr>
      <t>Pantalla:</t>
    </r>
    <r>
      <rPr>
        <rFont val="Fira Sans Extra Condensed"/>
        <color theme="1"/>
        <sz val="10.0"/>
      </rPr>
      <t xml:space="preserve">
</t>
    </r>
    <r>
      <rPr>
        <rFont val="Fira Sans Extra Condensed"/>
        <b/>
        <color theme="1"/>
        <sz val="10.0"/>
      </rPr>
      <t>3.1 Título del Header:</t>
    </r>
    <r>
      <rPr>
        <rFont val="Fira Sans Extra Condensed"/>
        <color theme="1"/>
        <sz val="10.0"/>
      </rPr>
      <t xml:space="preserve"> “Elección de productos”
</t>
    </r>
    <r>
      <rPr>
        <rFont val="Fira Sans Extra Condensed"/>
        <b/>
        <color theme="1"/>
        <sz val="10.0"/>
      </rPr>
      <t xml:space="preserve">3.2 Elemento regresar: </t>
    </r>
    <r>
      <rPr>
        <rFont val="Fira Sans Extra Condensed"/>
        <color theme="1"/>
        <sz val="10.0"/>
      </rPr>
      <t>Debe existir un botón o elemento que le permita al usuario regresar a la pantalla anterior en cualquier momen.</t>
    </r>
  </si>
  <si>
    <t>CP147</t>
  </si>
  <si>
    <r>
      <rPr>
        <rFont val="Fira Sans Extra Condensed"/>
        <b/>
        <color theme="1"/>
        <sz val="10.0"/>
      </rPr>
      <t xml:space="preserve">3.3 Títulos por columnas del resultado de productos: </t>
    </r>
    <r>
      <rPr>
        <rFont val="Fira Sans Extra Condensed"/>
        <color theme="1"/>
        <sz val="10.0"/>
      </rPr>
      <t xml:space="preserve">
</t>
    </r>
    <r>
      <rPr>
        <rFont val="Fira Sans Extra Condensed"/>
        <b/>
        <color theme="1"/>
        <sz val="10.0"/>
      </rPr>
      <t xml:space="preserve">País: </t>
    </r>
    <r>
      <rPr>
        <rFont val="Fira Sans Extra Condensed"/>
        <color theme="1"/>
        <sz val="10.0"/>
      </rPr>
      <t xml:space="preserve">Debe mostrar bandera e iniciales del país al que pertenece el producto
</t>
    </r>
    <r>
      <rPr>
        <rFont val="Fira Sans Extra Condensed"/>
        <b/>
        <color theme="1"/>
        <sz val="10.0"/>
      </rPr>
      <t>Empresa:</t>
    </r>
    <r>
      <rPr>
        <rFont val="Fira Sans Extra Condensed"/>
        <color theme="1"/>
        <sz val="10.0"/>
      </rPr>
      <t xml:space="preserve"> Debe mostrar el nombre de la empresa a la que pertenece el producto.
</t>
    </r>
    <r>
      <rPr>
        <rFont val="Fira Sans Extra Condensed"/>
        <b/>
        <color theme="1"/>
        <sz val="10.0"/>
      </rPr>
      <t xml:space="preserve">Nombre del Producto: </t>
    </r>
    <r>
      <rPr>
        <rFont val="Fira Sans Extra Condensed"/>
        <color theme="1"/>
        <sz val="10.0"/>
      </rPr>
      <t xml:space="preserve">se debe mostrar el nombre o el  alias si está asignado de lo contrario mostrará el nombre de la empresa. 
</t>
    </r>
    <r>
      <rPr>
        <rFont val="Fira Sans Extra Condensed"/>
        <b/>
        <color theme="1"/>
        <sz val="10.0"/>
      </rPr>
      <t>Tipo de producto</t>
    </r>
    <r>
      <rPr>
        <rFont val="Fira Sans Extra Condensed"/>
        <color theme="1"/>
        <sz val="10.0"/>
      </rPr>
      <t xml:space="preserve">: Debe mostrar el tipo de la cuenta a la que pertenece el producto ( Cuenta ahorro, cuenta corriente, cuenta ahorro maestra)
</t>
    </r>
    <r>
      <rPr>
        <rFont val="Fira Sans Extra Condensed"/>
        <b/>
        <color theme="1"/>
        <sz val="10.0"/>
      </rPr>
      <t>Número de producto:</t>
    </r>
    <r>
      <rPr>
        <rFont val="Fira Sans Extra Condensed"/>
        <color theme="1"/>
        <sz val="10.0"/>
      </rPr>
      <t xml:space="preserve"> debe mostrar el número de la cuenta enmascarado. 
</t>
    </r>
    <r>
      <rPr>
        <rFont val="Fira Sans Extra Condensed"/>
        <b/>
        <color theme="1"/>
        <sz val="10.0"/>
      </rPr>
      <t xml:space="preserve">Checkbox: </t>
    </r>
    <r>
      <rPr>
        <rFont val="Fira Sans Extra Condensed"/>
        <color theme="1"/>
        <sz val="10.0"/>
      </rPr>
      <t>debe tener por cada fila de resultado este elemento que permite realizar selección de manera individual.</t>
    </r>
  </si>
  <si>
    <t>CP148</t>
  </si>
  <si>
    <r>
      <rPr>
        <rFont val="Fira Sans Extra Condensed"/>
        <b/>
        <color theme="1"/>
        <sz val="10.0"/>
      </rPr>
      <t>3.4 Paginación:</t>
    </r>
    <r>
      <rPr>
        <rFont val="Fira Sans Extra Condensed"/>
        <color theme="1"/>
        <sz val="10.0"/>
      </rPr>
      <t xml:space="preserve"> En la pantalla se debe presentar la paginación mostrando el número de páginas totales que arroja la consulta.
- La paginación se debe presentar en la parte superior del resultado.
- Se presentarán hasta 50 registros por página, de acuerdo a la información obtenida del resultado de la consulta, para llegar a la parte inferior el usuario podrá usar el scroll y el teclado. </t>
    </r>
  </si>
  <si>
    <t>CP149</t>
  </si>
  <si>
    <r>
      <rPr>
        <rFont val="Fira Sans Extra Condensed"/>
        <b/>
        <color theme="1"/>
        <sz val="10.0"/>
      </rPr>
      <t>3.5 Opción para operar con todos los productos:</t>
    </r>
    <r>
      <rPr>
        <rFont val="Fira Sans Extra Condensed"/>
        <color theme="1"/>
        <sz val="10.0"/>
      </rPr>
      <t xml:space="preserve"> El canal debe contar con una opción que permite al usuario seleccionar si desea “operar con todos los productos”. Una vez seleccionado se muestra la totalidad de los productos  marcados de forma automática en el checkbox.  </t>
    </r>
  </si>
  <si>
    <t>CP150</t>
  </si>
  <si>
    <r>
      <rPr>
        <rFont val="Fira Sans Extra Condensed"/>
        <b/>
        <color theme="1"/>
        <sz val="10.0"/>
      </rPr>
      <t>3.6 Búsqueda avanzada de productos</t>
    </r>
    <r>
      <rPr>
        <rFont val="Fira Sans Extra Condensed"/>
        <color theme="1"/>
        <sz val="10.0"/>
      </rPr>
      <t xml:space="preserve">
</t>
    </r>
    <r>
      <rPr>
        <rFont val="Fira Sans Extra Condensed"/>
        <b/>
        <color theme="1"/>
        <sz val="10.0"/>
      </rPr>
      <t>Buscar</t>
    </r>
    <r>
      <rPr>
        <rFont val="Fira Sans Extra Condensed"/>
        <color theme="1"/>
        <sz val="10.0"/>
      </rPr>
      <t xml:space="preserve">: Al dar clic se debe habilitar una barra de búsqueda que permite al usuario ingresar el nombre del producto,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 
</t>
    </r>
    <r>
      <rPr>
        <rFont val="Fira Sans Extra Condensed"/>
        <b/>
        <color theme="1"/>
        <sz val="10.0"/>
      </rPr>
      <t xml:space="preserve">Filtrar: </t>
    </r>
    <r>
      <rPr>
        <rFont val="Fira Sans Extra Condensed"/>
        <color theme="1"/>
        <sz val="10.0"/>
      </rPr>
      <t xml:space="preserve">Adicional 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 Filtrar
Botón “x”:</t>
    </r>
    <r>
      <rPr>
        <rFont val="Fira Sans Extra Condensed"/>
        <color theme="1"/>
        <sz val="10.0"/>
      </rPr>
      <t xml:space="preserve"> Regresa a la pantalla anterior. 
Texto: Aplique las opciones de filtrado que desea</t>
    </r>
  </si>
  <si>
    <t>CP151</t>
  </si>
  <si>
    <r>
      <rPr>
        <rFont val="Fira Sans Extra Condensed"/>
        <b/>
        <color theme="1"/>
        <sz val="10.0"/>
      </rPr>
      <t>3.6.1  País:</t>
    </r>
    <r>
      <rPr>
        <rFont val="Fira Sans Extra Condensed"/>
        <color theme="1"/>
        <sz val="10.0"/>
      </rPr>
      <t xml:space="preserve"> permite seleccionar uno o todos los países, la opción que aquí se muestre dependerá de donde el grupo tenga presencia mostrando únicamente los países donde tiene productos.</t>
    </r>
  </si>
  <si>
    <t>CP152</t>
  </si>
  <si>
    <r>
      <rPr>
        <rFont val="Fira Sans Extra Condensed"/>
        <b/>
        <color theme="1"/>
        <sz val="10.0"/>
      </rPr>
      <t xml:space="preserve">3.6.2 Empresa: </t>
    </r>
    <r>
      <rPr>
        <rFont val="Fira Sans Extra Condensed"/>
        <color theme="1"/>
        <sz val="10.0"/>
      </rPr>
      <t xml:space="preserve">Permite seleccionar una o todas las empresas del grupo de acuerdo a la selección de empresas al iniciar la sesión. </t>
    </r>
  </si>
  <si>
    <t>CP153</t>
  </si>
  <si>
    <r>
      <rPr>
        <rFont val="Fira Sans Extra Condensed"/>
        <b/>
        <color theme="1"/>
        <sz val="10.0"/>
      </rPr>
      <t xml:space="preserve">3.6.3 Tipo de Producto: </t>
    </r>
    <r>
      <rPr>
        <rFont val="Fira Sans Extra Condensed"/>
        <color theme="1"/>
        <sz val="10.0"/>
      </rPr>
      <t>debe mostrar los productos habilitados en el módulo regional, para el MVP debe mostrar únicamente cuentas Ahorros y Corriente. y en caso que el Grupo regional tenga presencia en Costa Rica y tenga cuenta con naturaleza “ahorro maestra” debe mostrar esta opción.</t>
    </r>
  </si>
  <si>
    <t>CP154</t>
  </si>
  <si>
    <r>
      <rPr>
        <rFont val="Fira Sans Extra Condensed"/>
        <b/>
        <color theme="1"/>
        <sz val="10.0"/>
      </rPr>
      <t>3.6.4 Número de cuenta:</t>
    </r>
    <r>
      <rPr>
        <rFont val="Fira Sans Extra Condensed"/>
        <color theme="1"/>
        <sz val="10.0"/>
      </rPr>
      <t xml:space="preserve"> Permite al usuario seleccionar el número de la cuenta desde el cual se puede realizar la transferencia.</t>
    </r>
  </si>
  <si>
    <t>CP155</t>
  </si>
  <si>
    <r>
      <rPr>
        <rFont val="Fira Sans Extra Condensed"/>
        <b/>
        <color theme="1"/>
        <sz val="10.0"/>
      </rPr>
      <t xml:space="preserve">Una vez presentados los filtros el canal debe mostrar las opciones: 
</t>
    </r>
    <r>
      <rPr>
        <rFont val="Fira Sans Extra Condensed"/>
        <color theme="1"/>
        <sz val="10.0"/>
      </rPr>
      <t xml:space="preserve">
</t>
    </r>
    <r>
      <rPr>
        <rFont val="Fira Sans Extra Condensed"/>
        <b/>
        <color theme="1"/>
        <sz val="10.0"/>
      </rPr>
      <t xml:space="preserve">3.6.5 Botón “Borrar": </t>
    </r>
    <r>
      <rPr>
        <rFont val="Fira Sans Extra Condensed"/>
        <color theme="1"/>
        <sz val="10.0"/>
      </rPr>
      <t xml:space="preserve">al dar clic debe eliminar los filtros de búsqueda ingresados por el usuario. 
</t>
    </r>
    <r>
      <rPr>
        <rFont val="Fira Sans Extra Condensed"/>
        <b/>
        <color theme="1"/>
        <sz val="10.0"/>
      </rPr>
      <t xml:space="preserve">3.6.6 Botón “Aplicar”: </t>
    </r>
    <r>
      <rPr>
        <rFont val="Fira Sans Extra Condensed"/>
        <color theme="1"/>
        <sz val="10.0"/>
      </rPr>
      <t>Al dar clic el canal actualiza la pantalla donde muestra los productos, mostrando como resultado únicamente productos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En caso que el usuario al buscar productos para conformar un "Grupo de Productos" y utilice la funcionalidad de “filtro o búsqueda”  no se debe eliminar la selección realizada previamente. 
En caso que el usuario aplique filtros y no encuentra coincidencia debe mostrar “La búsqueda no presenta resultados”</t>
    </r>
  </si>
  <si>
    <t>CP156</t>
  </si>
  <si>
    <r>
      <rPr>
        <rFont val="Fira Sans Extra Condensed"/>
        <b/>
        <color theme="1"/>
        <sz val="10.0"/>
      </rPr>
      <t xml:space="preserve">3.7 Ordenar: </t>
    </r>
    <r>
      <rPr>
        <rFont val="Fira Sans Extra Condensed"/>
        <color theme="1"/>
        <sz val="10.0"/>
      </rPr>
      <t>Debe existir una opción en el título que permita ordenar los resultados teniendo en cuenta el título así “De la A a la Z” o “De la Z a la A”, aplica para la columna de “Empresa”</t>
    </r>
  </si>
  <si>
    <t>CP157</t>
  </si>
  <si>
    <r>
      <rPr>
        <rFont val="Fira Sans Extra Condensed"/>
        <b/>
        <color theme="1"/>
        <sz val="10.0"/>
      </rPr>
      <t>3.8 Selección de productos:</t>
    </r>
    <r>
      <rPr>
        <rFont val="Fira Sans Extra Condensed"/>
        <color theme="1"/>
        <sz val="10.0"/>
      </rPr>
      <t xml:space="preserve"> Se debe presentar en pantalla todos los productos a los que tiene acceso el usuario administrador, para continuar con la creación del grupo de productos debe estar seleccionado al menos un producto. El usuario podrá seleccionar uno, varios o todos los productos para conformar un grupo de productos.
Teniendo en cuenta que al lado del producto debe incluir un checkbox que al dar clic permite seleccionar el producto hará parte del Grupo, adicional debe mostrar de manera visual el número total de los productos seleccionados.</t>
    </r>
  </si>
  <si>
    <t>CP158</t>
  </si>
  <si>
    <r>
      <rPr>
        <rFont val="Fira Sans Extra Condensed"/>
        <b/>
        <color theme="1"/>
        <sz val="10.0"/>
      </rPr>
      <t xml:space="preserve">Una vez seleccionado al menos un producto se habilitará en la pantalla los siguientes botones:
3.9 Botón “Agregar”: </t>
    </r>
    <r>
      <rPr>
        <rFont val="Fira Sans Extra Condensed"/>
        <color theme="1"/>
        <sz val="10.0"/>
      </rPr>
      <t xml:space="preserve"> Al dar clic a esta opción debe actualizar la pantalla con la información del criterio 4. </t>
    </r>
  </si>
  <si>
    <t>CP159</t>
  </si>
  <si>
    <r>
      <rPr>
        <rFont val="Fira Sans Extra Condensed"/>
        <b/>
        <color theme="1"/>
        <sz val="10.0"/>
      </rPr>
      <t xml:space="preserve">3.10 Mensajería Error: </t>
    </r>
    <r>
      <rPr>
        <rFont val="Fira Sans Extra Condensed"/>
        <color theme="1"/>
        <sz val="10.0"/>
      </rPr>
      <t xml:space="preserve">
En caso que un país no esté en la capacidad de responder la solicitud de productos se debe mostrar mensaje “La información de (país) no carga,Intente más tarde”, el canal debe mostrar en pantalla la información de los productos de los países que retornan la información por si el usuario requiere continuar con el proceso.</t>
    </r>
  </si>
  <si>
    <t>CP160</t>
  </si>
  <si>
    <t>- Selección de productos para crear el grupo de productos
- Realizar la gestión con usuario maestro</t>
  </si>
  <si>
    <r>
      <rPr>
        <rFont val="Fira Sans Extra Condensed"/>
        <b/>
        <color theme="1"/>
        <sz val="10.0"/>
      </rPr>
      <t xml:space="preserve">Resumen: 
</t>
    </r>
    <r>
      <rPr>
        <rFont val="Fira Sans Extra Condensed"/>
        <color theme="1"/>
        <sz val="10.0"/>
      </rPr>
      <t xml:space="preserve">El canal deberá mostrar: 
</t>
    </r>
    <r>
      <rPr>
        <rFont val="Fira Sans Extra Condensed"/>
        <b/>
        <color theme="1"/>
        <sz val="10.0"/>
      </rPr>
      <t xml:space="preserve">4.1 Título del Header: </t>
    </r>
    <r>
      <rPr>
        <rFont val="Fira Sans Extra Condensed"/>
        <color theme="1"/>
        <sz val="10.0"/>
      </rPr>
      <t>Resumen</t>
    </r>
    <r>
      <rPr>
        <rFont val="Fira Sans Extra Condensed"/>
        <b/>
        <color theme="1"/>
        <sz val="10.0"/>
      </rPr>
      <t>.</t>
    </r>
    <r>
      <rPr>
        <rFont val="Fira Sans Extra Condensed"/>
        <color theme="1"/>
        <sz val="10.0"/>
      </rPr>
      <t xml:space="preserve">
</t>
    </r>
    <r>
      <rPr>
        <rFont val="Fira Sans Extra Condensed"/>
        <b/>
        <color theme="1"/>
        <sz val="10.0"/>
      </rPr>
      <t>4.2 Elemento regresar:</t>
    </r>
    <r>
      <rPr>
        <rFont val="Fira Sans Extra Condensed"/>
        <color theme="1"/>
        <sz val="10.0"/>
      </rPr>
      <t xml:space="preserve"> Debe existir un botón o elemento que le permita al usuario regresar a la pantalla anterior en cualquier momento.
</t>
    </r>
    <r>
      <rPr>
        <rFont val="Fira Sans Extra Condensed"/>
        <b/>
        <color theme="1"/>
        <sz val="10.0"/>
      </rPr>
      <t xml:space="preserve">4.3 Nombre del Grupo: </t>
    </r>
    <r>
      <rPr>
        <rFont val="Fira Sans Extra Condensed"/>
        <color theme="1"/>
        <sz val="10.0"/>
      </rPr>
      <t xml:space="preserve">Se debe mostrar el nombre del grupo de producto ingresado en el criterio 2. </t>
    </r>
  </si>
  <si>
    <t>CP161</t>
  </si>
  <si>
    <r>
      <rPr>
        <rFont val="Fira Sans Extra Condensed"/>
        <b/>
        <color theme="1"/>
        <sz val="10.0"/>
      </rPr>
      <t xml:space="preserve">4.4 Resumen: </t>
    </r>
    <r>
      <rPr>
        <rFont val="Fira Sans Extra Condensed"/>
        <color theme="1"/>
        <sz val="10.0"/>
      </rPr>
      <t xml:space="preserve">Deberá informar: 
</t>
    </r>
    <r>
      <rPr>
        <rFont val="Fira Sans Extra Condensed"/>
        <b/>
        <color theme="1"/>
        <sz val="10.0"/>
      </rPr>
      <t xml:space="preserve">Países: </t>
    </r>
    <r>
      <rPr>
        <rFont val="Fira Sans Extra Condensed"/>
        <color theme="1"/>
        <sz val="10.0"/>
      </rPr>
      <t xml:space="preserve">Banderas origen de los países de los productos que conforman el grupo de producto.
</t>
    </r>
    <r>
      <rPr>
        <rFont val="Fira Sans Extra Condensed"/>
        <b/>
        <color theme="1"/>
        <sz val="10.0"/>
      </rPr>
      <t xml:space="preserve">Empresas: </t>
    </r>
    <r>
      <rPr>
        <rFont val="Fira Sans Extra Condensed"/>
        <color theme="1"/>
        <sz val="10.0"/>
      </rPr>
      <t xml:space="preserve">Número del total de empresas que conforman el grupo de productos.
</t>
    </r>
    <r>
      <rPr>
        <rFont val="Fira Sans Extra Condensed"/>
        <b/>
        <color theme="1"/>
        <sz val="10.0"/>
      </rPr>
      <t>Productos:</t>
    </r>
    <r>
      <rPr>
        <rFont val="Fira Sans Extra Condensed"/>
        <color theme="1"/>
        <sz val="10.0"/>
      </rPr>
      <t xml:space="preserve"> Número del total de productos seleccionados en el paso anterior.
</t>
    </r>
    <r>
      <rPr>
        <rFont val="Fira Sans Extra Condensed"/>
        <b/>
        <color theme="1"/>
        <sz val="10.0"/>
      </rPr>
      <t>Tipo Productos</t>
    </r>
    <r>
      <rPr>
        <rFont val="Fira Sans Extra Condensed"/>
        <color theme="1"/>
        <sz val="10.0"/>
      </rPr>
      <t xml:space="preserve">: nombre del tipo de productos, ejemplo: Cuentas de ahorros / Cuenta Corriente. </t>
    </r>
  </si>
  <si>
    <t>CP162</t>
  </si>
  <si>
    <r>
      <rPr>
        <rFont val="Fira Sans Extra Condensed"/>
        <b/>
        <color theme="1"/>
        <sz val="10.0"/>
      </rPr>
      <t xml:space="preserve">4.5 Productos Seleccionados: </t>
    </r>
    <r>
      <rPr>
        <rFont val="Fira Sans Extra Condensed"/>
        <color theme="1"/>
        <sz val="10.0"/>
      </rPr>
      <t xml:space="preserve">
</t>
    </r>
    <r>
      <rPr>
        <rFont val="Fira Sans Extra Condensed"/>
        <b/>
        <color theme="1"/>
        <sz val="10.0"/>
      </rPr>
      <t>País:</t>
    </r>
    <r>
      <rPr>
        <rFont val="Fira Sans Extra Condensed"/>
        <color theme="1"/>
        <sz val="10.0"/>
      </rPr>
      <t xml:space="preserve"> Se debe mostrar la bandera del país origen al que pertenece el producto seleccionado. 
</t>
    </r>
    <r>
      <rPr>
        <rFont val="Fira Sans Extra Condensed"/>
        <b/>
        <color theme="1"/>
        <sz val="10.0"/>
      </rPr>
      <t xml:space="preserve">Empresa: </t>
    </r>
    <r>
      <rPr>
        <rFont val="Fira Sans Extra Condensed"/>
        <color theme="1"/>
        <sz val="10.0"/>
      </rPr>
      <t xml:space="preserve">Se debe mostrar la empresa a la que pertenece el producto seleccionado.
</t>
    </r>
    <r>
      <rPr>
        <rFont val="Fira Sans Extra Condensed"/>
        <b/>
        <color theme="1"/>
        <sz val="10.0"/>
      </rPr>
      <t>Nombre del producto:</t>
    </r>
    <r>
      <rPr>
        <rFont val="Fira Sans Extra Condensed"/>
        <color theme="1"/>
        <sz val="10.0"/>
      </rPr>
      <t xml:space="preserve"> Se debe mostrar el nombre o alias del producto seleccionado
</t>
    </r>
    <r>
      <rPr>
        <rFont val="Fira Sans Extra Condensed"/>
        <b/>
        <color theme="1"/>
        <sz val="10.0"/>
      </rPr>
      <t xml:space="preserve">Tipo de Producto: </t>
    </r>
    <r>
      <rPr>
        <rFont val="Fira Sans Extra Condensed"/>
        <color theme="1"/>
        <sz val="10.0"/>
      </rPr>
      <t xml:space="preserve">Se debe presentar la naturaleza del producto seleccionado.
</t>
    </r>
    <r>
      <rPr>
        <rFont val="Fira Sans Extra Condensed"/>
        <b/>
        <color theme="1"/>
        <sz val="10.0"/>
      </rPr>
      <t>Número del Producto</t>
    </r>
    <r>
      <rPr>
        <rFont val="Fira Sans Extra Condensed"/>
        <color theme="1"/>
        <sz val="10.0"/>
      </rPr>
      <t xml:space="preserve">: Se debe presentar el número de producto seleccionado enmascarado.
</t>
    </r>
    <r>
      <rPr>
        <rFont val="Fira Sans Extra Condensed"/>
        <b/>
        <color theme="1"/>
        <sz val="10.0"/>
      </rPr>
      <t>Eliminar:</t>
    </r>
    <r>
      <rPr>
        <rFont val="Fira Sans Extra Condensed"/>
        <color theme="1"/>
        <sz val="10.0"/>
      </rPr>
      <t xml:space="preserve"> Al lado de cada registro debe estar un elemento que permita “eliminar” de manera individual si el usuario así lo requiere. Si el usuario da clic actualiza la pantalla y debe mostrar el mensaje ”producto desmarcado” con una opción de deshacer por si el usuario quiere revertir la acción. </t>
    </r>
  </si>
  <si>
    <t>CP163</t>
  </si>
  <si>
    <r>
      <rPr>
        <rFont val="Fira Sans Extra Condensed"/>
        <b/>
        <color theme="1"/>
        <sz val="10.0"/>
      </rPr>
      <t>4.6 Paginación: L</t>
    </r>
    <r>
      <rPr>
        <rFont val="Fira Sans Extra Condensed"/>
        <color theme="1"/>
        <sz val="10.0"/>
      </rPr>
      <t xml:space="preserve">a paginación debe tener las siguientes características teniendo en cuenta que es una experiencia transversal en varias experiencias.
La paginación se debe presentar en la parte superior del resultado, se presentará hasta 50 registros por página, de acuerdo la información obtenida del resultado de la consulta, para llegar a la parte inferior el usuario podrá usar el scroll y el teclado. </t>
    </r>
  </si>
  <si>
    <t>CP164</t>
  </si>
  <si>
    <r>
      <rPr>
        <rFont val="Fira Sans Extra Condensed"/>
        <b/>
        <color theme="1"/>
        <sz val="10.0"/>
      </rPr>
      <t>4.7 Elemento Back to top:</t>
    </r>
    <r>
      <rPr>
        <rFont val="Fira Sans Extra Condensed"/>
        <color theme="1"/>
        <sz val="10.0"/>
      </rPr>
      <t xml:space="preserve"> El canal debe tener un elemento en pantalla que  al dar clic lo debe llevar a la parte superior de la pantalla esto en caso que el cliente haga scroll para llegar a la parte inferior del resultado. </t>
    </r>
  </si>
  <si>
    <t>CP165</t>
  </si>
  <si>
    <r>
      <rPr>
        <rFont val="Fira Sans Extra Condensed"/>
        <b/>
        <color theme="1"/>
        <sz val="10.0"/>
      </rPr>
      <t xml:space="preserve">4.8 Editar grupo: </t>
    </r>
    <r>
      <rPr>
        <rFont val="Fira Sans Extra Condensed"/>
        <color theme="1"/>
        <sz val="10.0"/>
      </rPr>
      <t>Si el usuario requiere editar la selección de productos del grupo debe dar clic en regresar donde puede realizar esta novedad.</t>
    </r>
  </si>
  <si>
    <t>CP166</t>
  </si>
  <si>
    <r>
      <rPr>
        <rFont val="Fira Sans Extra Condensed"/>
        <b/>
        <color theme="1"/>
        <sz val="10.0"/>
      </rPr>
      <t xml:space="preserve">4.9 Botón “Crear grupo": </t>
    </r>
    <r>
      <rPr>
        <rFont val="Fira Sans Extra Condensed"/>
        <color theme="1"/>
        <sz val="10.0"/>
      </rPr>
      <t>Una vez el usuario de clic al botón se debe actualizar la pantalla y mostrar el resumen del grupo de productos.</t>
    </r>
  </si>
  <si>
    <t>CP167</t>
  </si>
  <si>
    <r>
      <rPr>
        <rFont val="Fira Sans Extra Condensed"/>
        <b/>
        <color theme="1"/>
        <sz val="10.0"/>
      </rPr>
      <t xml:space="preserve">4.10 Mensajería: </t>
    </r>
    <r>
      <rPr>
        <rFont val="Fira Sans Extra Condensed"/>
        <color theme="1"/>
        <sz val="10.0"/>
      </rPr>
      <t xml:space="preserve">En caso que el usuario de clic a alguna parte del sidebar intentando ir a otro módulo se debe presentar mensaje “¿Quiere abandonar la asignación de grupo de producto? 
Si abandona debe empezar de cero con la asignación.” seguido de las opciones de volver/ Abandonar 
Este mensaje puede aparecer en cualquier paso desde la creación desde el criterio 2.3 hasta el este punto. </t>
    </r>
  </si>
  <si>
    <t>CP168</t>
  </si>
  <si>
    <r>
      <rPr>
        <rFont val="Fira Sans Extra Condensed"/>
        <b/>
        <color theme="1"/>
        <sz val="10.0"/>
      </rPr>
      <t xml:space="preserve">4.9 Botón “Crear grupo": </t>
    </r>
    <r>
      <rPr>
        <rFont val="Fira Sans Extra Condensed"/>
        <color theme="1"/>
        <sz val="10.0"/>
      </rPr>
      <t>Una vez el usuario de clic al botón se debe actualizar la pantalla y sobre poner una opción en donde a el usuario le permite ingresar el código de confirmación de Soft Token o Hard Token según sea el caso,  se debe aplicar las reglas definidas la esta funcionalidad transversal de acuerdo a lo planteado en la: HU017_PER - Autorizaciones transversal</t>
    </r>
  </si>
  <si>
    <t>CP169</t>
  </si>
  <si>
    <t>CP170</t>
  </si>
  <si>
    <t>- Ingresar código OTP
- Realizar la gestión con usuario maestro</t>
  </si>
  <si>
    <r>
      <rPr>
        <rFont val="Fira Sans Extra Condensed"/>
        <b/>
        <color theme="1"/>
        <sz val="10.0"/>
      </rPr>
      <t>5.1 Administración Sencilla:</t>
    </r>
    <r>
      <rPr>
        <rFont val="Fira Sans Extra Condensed"/>
        <color theme="1"/>
        <sz val="10.0"/>
      </rPr>
      <t xml:space="preserve">  Una vez aprobada la creación del nuevo grupo regional el canal en la parte superior  presentará la siguiente información:
</t>
    </r>
    <r>
      <rPr>
        <rFont val="Fira Sans Extra Condensed"/>
        <b/>
        <color theme="1"/>
        <sz val="10.0"/>
      </rPr>
      <t>Título:</t>
    </r>
    <r>
      <rPr>
        <rFont val="Fira Sans Extra Condensed"/>
        <color theme="1"/>
        <sz val="10.0"/>
      </rPr>
      <t xml:space="preserve"> “Creación Exitosa”, 
</t>
    </r>
    <r>
      <rPr>
        <rFont val="Fira Sans Extra Condensed"/>
        <b/>
        <color theme="1"/>
        <sz val="10.0"/>
      </rPr>
      <t xml:space="preserve">Descripción: </t>
    </r>
    <r>
      <rPr>
        <rFont val="Fira Sans Extra Condensed"/>
        <color theme="1"/>
        <sz val="10.0"/>
      </rPr>
      <t xml:space="preserve">Información de la operación.
</t>
    </r>
    <r>
      <rPr>
        <rFont val="Fira Sans Extra Condensed"/>
        <b/>
        <color theme="1"/>
        <sz val="10.0"/>
      </rPr>
      <t>Estado:</t>
    </r>
    <r>
      <rPr>
        <rFont val="Fira Sans Extra Condensed"/>
        <color theme="1"/>
        <sz val="10.0"/>
      </rPr>
      <t xml:space="preserve"> Se debe mostrar el estado “Creado”
</t>
    </r>
    <r>
      <rPr>
        <rFont val="Fira Sans Extra Condensed"/>
        <b/>
        <color theme="1"/>
        <sz val="10.0"/>
      </rPr>
      <t xml:space="preserve">Nombre del Grupo: </t>
    </r>
    <r>
      <rPr>
        <rFont val="Fira Sans Extra Condensed"/>
        <color theme="1"/>
        <sz val="10.0"/>
      </rPr>
      <t xml:space="preserve">Se debe presentar el nombre ingresado por el usuario.
</t>
    </r>
    <r>
      <rPr>
        <rFont val="Fira Sans Extra Condensed"/>
        <b/>
        <color theme="1"/>
        <sz val="10.0"/>
      </rPr>
      <t>Fecha y hora:</t>
    </r>
    <r>
      <rPr>
        <rFont val="Fira Sans Extra Condensed"/>
        <color theme="1"/>
        <sz val="10.0"/>
      </rPr>
      <t xml:space="preserve"> Se debe presentar la fecha y hora de aprobación.
</t>
    </r>
    <r>
      <rPr>
        <rFont val="Fira Sans Extra Condensed"/>
        <b/>
        <color theme="1"/>
        <sz val="10.0"/>
      </rPr>
      <t>Número de transacción:</t>
    </r>
    <r>
      <rPr>
        <rFont val="Fira Sans Extra Condensed"/>
        <color theme="1"/>
        <sz val="10.0"/>
      </rPr>
      <t xml:space="preserve"> Se debe presentar el número único de identificación 
Adicional debe estar habilitados los botones:
</t>
    </r>
    <r>
      <rPr>
        <rFont val="Fira Sans Extra Condensed"/>
        <b/>
        <color theme="1"/>
        <sz val="10.0"/>
      </rPr>
      <t xml:space="preserve">Finalizar: </t>
    </r>
    <r>
      <rPr>
        <rFont val="Fira Sans Extra Condensed"/>
        <color theme="1"/>
        <sz val="10.0"/>
      </rPr>
      <t xml:space="preserve">Al dar clic el usuario regresa a la visual de las opciones en Administrar. 
</t>
    </r>
    <r>
      <rPr>
        <rFont val="Fira Sans Extra Condensed"/>
        <b/>
        <color theme="1"/>
        <sz val="10.0"/>
      </rPr>
      <t>Continuar</t>
    </r>
    <r>
      <rPr>
        <rFont val="Fira Sans Extra Condensed"/>
        <color theme="1"/>
        <sz val="10.0"/>
      </rPr>
      <t xml:space="preserve">: una vez el usuario de clic en esta opción regresará a la pantalla de Usuarios donde puede consultar o crear un nuevo grupo de productos, criterio 6. 
</t>
    </r>
    <r>
      <rPr>
        <rFont val="Fira Sans Extra Condensed"/>
        <b/>
        <color theme="1"/>
        <sz val="10.0"/>
      </rPr>
      <t xml:space="preserve">
Asignar Rol: </t>
    </r>
    <r>
      <rPr>
        <rFont val="Fira Sans Extra Condensed"/>
        <color theme="1"/>
        <sz val="10.0"/>
      </rPr>
      <t>Esta opción únicamente se debe presentar la primera vez que el usuario crea un Grupo Regional, Debe existir un elemento que guíe al usuario a realizar la novedades de roles de usuario, una vez el usuario de clic a esta opción el usuario iniciará el proceso para habilitar un usuario dentro del módulo regional.</t>
    </r>
  </si>
  <si>
    <t>CP171</t>
  </si>
  <si>
    <r>
      <rPr>
        <rFont val="Fira Sans Extra Condensed"/>
        <b/>
        <color theme="1"/>
        <sz val="10.0"/>
      </rPr>
      <t xml:space="preserve">5.2 Administración Dual: </t>
    </r>
    <r>
      <rPr>
        <rFont val="Fira Sans Extra Condensed"/>
        <color theme="1"/>
        <sz val="10.0"/>
      </rPr>
      <t xml:space="preserve">Una vez aprobada la creación del nuevo “grupo de productos” el canal en la parte superior  presentará la siguiente información:
</t>
    </r>
    <r>
      <rPr>
        <rFont val="Fira Sans Extra Condensed"/>
        <b/>
        <color theme="1"/>
        <sz val="10.0"/>
      </rPr>
      <t>Título:</t>
    </r>
    <r>
      <rPr>
        <rFont val="Fira Sans Extra Condensed"/>
        <color theme="1"/>
        <sz val="10.0"/>
      </rPr>
      <t xml:space="preserve"> “Pendiente autorización”, seguida de un mensaje: ”La creación del grupo se envió para aprobación. Quedará en estado pendiente hasta que el esquema de firma se complete” 
</t>
    </r>
    <r>
      <rPr>
        <rFont val="Fira Sans Extra Condensed"/>
        <b/>
        <color theme="1"/>
        <sz val="10.0"/>
      </rPr>
      <t xml:space="preserve">Descripción: </t>
    </r>
    <r>
      <rPr>
        <rFont val="Fira Sans Extra Condensed"/>
        <color theme="1"/>
        <sz val="10.0"/>
      </rPr>
      <t xml:space="preserve">Información de la operación.
</t>
    </r>
    <r>
      <rPr>
        <rFont val="Fira Sans Extra Condensed"/>
        <b/>
        <color theme="1"/>
        <sz val="10.0"/>
      </rPr>
      <t xml:space="preserve">Estado: </t>
    </r>
    <r>
      <rPr>
        <rFont val="Fira Sans Extra Condensed"/>
        <color theme="1"/>
        <sz val="10.0"/>
      </rPr>
      <t xml:space="preserve">Se debe mostrar el estado “Pendiente aprobación”
</t>
    </r>
    <r>
      <rPr>
        <rFont val="Fira Sans Extra Condensed"/>
        <b/>
        <color theme="1"/>
        <sz val="10.0"/>
      </rPr>
      <t xml:space="preserve">Nombre del Grupo: </t>
    </r>
    <r>
      <rPr>
        <rFont val="Fira Sans Extra Condensed"/>
        <color theme="1"/>
        <sz val="10.0"/>
      </rPr>
      <t xml:space="preserve">Se debe presentar el nombre ingresado por el usuario.
</t>
    </r>
    <r>
      <rPr>
        <rFont val="Fira Sans Extra Condensed"/>
        <b/>
        <color theme="1"/>
        <sz val="10.0"/>
      </rPr>
      <t>Fecha y hora</t>
    </r>
    <r>
      <rPr>
        <rFont val="Fira Sans Extra Condensed"/>
        <color theme="1"/>
        <sz val="10.0"/>
      </rPr>
      <t xml:space="preserve">: Se debe presentar la fecha y hora de aprobación.
</t>
    </r>
    <r>
      <rPr>
        <rFont val="Fira Sans Extra Condensed"/>
        <b/>
        <color theme="1"/>
        <sz val="10.0"/>
      </rPr>
      <t>Número de transacción:</t>
    </r>
    <r>
      <rPr>
        <rFont val="Fira Sans Extra Condensed"/>
        <color theme="1"/>
        <sz val="10.0"/>
      </rPr>
      <t xml:space="preserve"> Se debe presentar el número único de identificación</t>
    </r>
  </si>
  <si>
    <t>CP172</t>
  </si>
  <si>
    <r>
      <rPr>
        <rFont val="Fira Sans Extra Condensed"/>
        <b/>
        <color theme="1"/>
        <sz val="10.0"/>
      </rPr>
      <t xml:space="preserve">Finalizar: </t>
    </r>
    <r>
      <rPr>
        <rFont val="Fira Sans Extra Condensed"/>
        <color theme="1"/>
        <sz val="10.0"/>
      </rPr>
      <t xml:space="preserve">una vez el usuario de clic en esta opción regresará a la pantalla de usuarios donde puede consultar o crear un nuevo Grupo de productos. Para finalizar el proceso de creación de grupo regional el otro administrador deberá revisar y aprobar la solicitud por el módulo de autorizaciones.  
</t>
    </r>
    <r>
      <rPr>
        <rFont val="Fira Sans Extra Condensed"/>
        <b/>
        <color theme="1"/>
        <sz val="10.0"/>
      </rPr>
      <t xml:space="preserve">Continuar: </t>
    </r>
    <r>
      <rPr>
        <rFont val="Fira Sans Extra Condensed"/>
        <color theme="1"/>
        <sz val="10.0"/>
      </rPr>
      <t xml:space="preserve">una vez el usuario de clic en esta opción regresará a la pantalla de Usuarios donde puede consultar o crear un nuevo grupo de productos, criterio 6. </t>
    </r>
  </si>
  <si>
    <t>CP173</t>
  </si>
  <si>
    <t>- Confirmación del grupo de producto 
- Realizar la gestión con usuario maestro</t>
  </si>
  <si>
    <t>CP174</t>
  </si>
  <si>
    <t>- Tener creado al menos un grupo de producto.
- Realizar la gestión con usuario maestro</t>
  </si>
  <si>
    <r>
      <rPr>
        <rFont val="Fira Sans Extra Condensed"/>
        <color theme="1"/>
        <sz val="10.0"/>
      </rPr>
      <t xml:space="preserve">Para ingresar a esta opción debe ingresar por Administración/Grupo de productos con </t>
    </r>
    <r>
      <rPr>
        <rFont val="Fira Sans Extra Condensed"/>
        <b/>
        <color theme="1"/>
        <sz val="10.0"/>
      </rPr>
      <t xml:space="preserve">usuario que posea perfil de gestión producto permiso operador, maestro, autorizador o usuario con aprobación directa.
</t>
    </r>
    <r>
      <rPr>
        <rFont val="Fira Sans Extra Condensed"/>
        <color theme="1"/>
        <sz val="10.0"/>
      </rPr>
      <t xml:space="preserve">
En esta pantalla el usuario tendrá la visual de todos los “grupos de productos” creados donde podrá aplicar filtros para encontrar un “grupo de productos” de manera sencilla, visualizar un mayor detalle de un grupo creado, editar o eliminar un grupo ya sea de manera individual o masiva, así:
</t>
    </r>
    <r>
      <rPr>
        <rFont val="Fira Sans Extra Condensed"/>
        <b/>
        <color theme="1"/>
        <sz val="10.0"/>
      </rPr>
      <t xml:space="preserve">6.1 Título: Grupos de productos
</t>
    </r>
    <r>
      <rPr>
        <rFont val="Fira Sans Extra Condensed"/>
        <color theme="1"/>
        <sz val="10.0"/>
      </rPr>
      <t xml:space="preserve">
</t>
    </r>
    <r>
      <rPr>
        <rFont val="Fira Sans Extra Condensed"/>
        <b/>
        <color theme="1"/>
        <sz val="10.0"/>
      </rPr>
      <t>Regresar</t>
    </r>
    <r>
      <rPr>
        <rFont val="Fira Sans Extra Condensed"/>
        <color theme="1"/>
        <sz val="10.0"/>
      </rPr>
      <t xml:space="preserve">: Debe existir un elemento que permita regresar a la pantalla anterior al darle clic.
</t>
    </r>
    <r>
      <rPr>
        <rFont val="Fira Sans Extra Condensed"/>
        <b/>
        <color theme="1"/>
        <sz val="10.0"/>
      </rPr>
      <t>Descripción:</t>
    </r>
    <r>
      <rPr>
        <rFont val="Fira Sans Extra Condensed"/>
        <color theme="1"/>
        <sz val="10.0"/>
      </rPr>
      <t xml:space="preserve"> Aquí puede crear, consultar y editar los grupos de productos. Para facilitar su gestión, puede usar el buscador o los filtros presentados. </t>
    </r>
  </si>
  <si>
    <t>CP175</t>
  </si>
  <si>
    <r>
      <rPr>
        <rFont val="Fira Sans Extra Condensed"/>
        <b/>
        <color theme="1"/>
        <sz val="10.0"/>
      </rPr>
      <t>6.2 Resultado consulta:</t>
    </r>
    <r>
      <rPr>
        <rFont val="Fira Sans Extra Condensed"/>
        <color theme="1"/>
        <sz val="10.0"/>
      </rPr>
      <t xml:space="preserve"> Los títulos de las las  columnas del resultado de productos son: 
</t>
    </r>
    <r>
      <rPr>
        <rFont val="Fira Sans Extra Condensed"/>
        <b/>
        <color theme="1"/>
        <sz val="10.0"/>
      </rPr>
      <t xml:space="preserve">Nombre del grupo: </t>
    </r>
    <r>
      <rPr>
        <rFont val="Fira Sans Extra Condensed"/>
        <color theme="1"/>
        <sz val="10.0"/>
      </rPr>
      <t>Se debe mostrar el nombre con el que se creó  grupo ejemplo: “Tesorería Honduras” en caso que el grupo de productos haya sido marcado como “destacado” una estrella debe aparecer al lado del nombre. l</t>
    </r>
    <r>
      <rPr>
        <rFont val="Fira Sans Extra Condensed"/>
        <b/>
        <color theme="1"/>
        <sz val="10.0"/>
      </rPr>
      <t xml:space="preserve">os grupos marcados como “destacados” debe visualizarse en la parte superior del resultado, La marcación de un grupo cómo destacado podrá ser realizada al consultar un grupo puntual. </t>
    </r>
    <r>
      <rPr>
        <rFont val="Fira Sans Extra Condensed"/>
        <color theme="1"/>
        <sz val="10.0"/>
      </rPr>
      <t xml:space="preserve">
</t>
    </r>
    <r>
      <rPr>
        <rFont val="Fira Sans Extra Condensed"/>
        <b/>
        <color theme="1"/>
        <sz val="10.0"/>
      </rPr>
      <t xml:space="preserve">País: </t>
    </r>
    <r>
      <rPr>
        <rFont val="Fira Sans Extra Condensed"/>
        <color theme="1"/>
        <sz val="10.0"/>
      </rPr>
      <t xml:space="preserve">El canal debe mostrar las banderas de los productos que se encuentran incluidos en el grupo.
</t>
    </r>
    <r>
      <rPr>
        <rFont val="Fira Sans Extra Condensed"/>
        <b/>
        <color theme="1"/>
        <sz val="10.0"/>
      </rPr>
      <t xml:space="preserve">Empresas: </t>
    </r>
    <r>
      <rPr>
        <rFont val="Fira Sans Extra Condensed"/>
        <color theme="1"/>
        <sz val="10.0"/>
      </rPr>
      <t xml:space="preserve">Se deben visualizar el número del total de  las empresas de los productos que se encuentran incluidos en el grupo de productos. 
</t>
    </r>
    <r>
      <rPr>
        <rFont val="Fira Sans Extra Condensed"/>
        <b/>
        <color theme="1"/>
        <sz val="10.0"/>
      </rPr>
      <t>Destacado: Debe existir un elemento que permita a los usuarios marcar o desmarcar un grupo como “destacado”, los grupos marcados como destacado serán mostrados en la tarde superior de resultado de las pantallas donde aplique la selección de grupos de productos.
Accionables</t>
    </r>
    <r>
      <rPr>
        <rFont val="Fira Sans Extra Condensed"/>
        <color theme="1"/>
        <sz val="10.0"/>
      </rPr>
      <t xml:space="preserve">: permite al usuario seleccionar si requiere ver un mayor detalle o eliminar un grupo de productos creado previamente.
</t>
    </r>
    <r>
      <rPr>
        <rFont val="Fira Sans Extra Condensed"/>
        <b/>
        <color theme="1"/>
        <sz val="10.0"/>
      </rPr>
      <t>Paginación:</t>
    </r>
    <r>
      <rPr>
        <rFont val="Fira Sans Extra Condensed"/>
        <color theme="1"/>
        <sz val="10.0"/>
      </rPr>
      <t xml:space="preserve"> Teniendo en cuenta que la experiencia de paginación es transversal en caso que el resultado de la consulta tenga más de 50 registros debe incluir una paginación.</t>
    </r>
  </si>
  <si>
    <t>CP176</t>
  </si>
  <si>
    <r>
      <rPr>
        <rFont val="Fira Sans Extra Condensed"/>
        <b/>
        <color theme="1"/>
        <sz val="10.0"/>
      </rPr>
      <t xml:space="preserve">6.3 Búsqueda avanzada de productos: </t>
    </r>
    <r>
      <rPr>
        <rFont val="Fira Sans Extra Condensed"/>
        <color theme="1"/>
        <sz val="10.0"/>
      </rPr>
      <t xml:space="preserve">El canal debe permitir al usuario buscar productos por por las siguientes opciones:
</t>
    </r>
    <r>
      <rPr>
        <rFont val="Fira Sans Extra Condensed"/>
        <b/>
        <color theme="1"/>
        <sz val="10.0"/>
      </rPr>
      <t xml:space="preserve">Elemento “Buscar": </t>
    </r>
    <r>
      <rPr>
        <rFont val="Fira Sans Extra Condensed"/>
        <color theme="1"/>
        <sz val="10.0"/>
      </rPr>
      <t xml:space="preserve">Al dar clic se debe habilitar una barra de búsqueda que permite al usuario ingresar el nombre del Grupo de producto,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
</t>
    </r>
    <r>
      <rPr>
        <rFont val="Fira Sans Extra Condensed"/>
        <b/>
        <color theme="1"/>
        <sz val="10.0"/>
      </rPr>
      <t xml:space="preserve"> 
Elemento “Filtrar”: </t>
    </r>
    <r>
      <rPr>
        <rFont val="Fira Sans Extra Condensed"/>
        <color theme="1"/>
        <sz val="10.0"/>
      </rPr>
      <t xml:space="preserve">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 Filtrar
Botón “x”:</t>
    </r>
    <r>
      <rPr>
        <rFont val="Fira Sans Extra Condensed"/>
        <color theme="1"/>
        <sz val="10.0"/>
      </rPr>
      <t xml:space="preserve"> Regresa a la pantalla anterior. 
</t>
    </r>
    <r>
      <rPr>
        <rFont val="Fira Sans Extra Condensed"/>
        <b/>
        <color theme="1"/>
        <sz val="10.0"/>
      </rPr>
      <t>Texto:</t>
    </r>
    <r>
      <rPr>
        <rFont val="Fira Sans Extra Condensed"/>
        <color theme="1"/>
        <sz val="10.0"/>
      </rPr>
      <t xml:space="preserve"> Aplique las opciones de filtrado que desea:</t>
    </r>
  </si>
  <si>
    <t>CP177</t>
  </si>
  <si>
    <r>
      <rPr>
        <rFont val="Fira Sans Extra Condensed"/>
        <b/>
        <color theme="1"/>
        <sz val="10.0"/>
      </rPr>
      <t>6.3.1  Países:</t>
    </r>
    <r>
      <rPr>
        <rFont val="Fira Sans Extra Condensed"/>
        <color theme="1"/>
        <sz val="10.0"/>
      </rPr>
      <t xml:space="preserve"> permite seleccionar uno o todos los países, la opción que aquí se muestre dependerá de donde el grupo tenga presencia mostrando únicamente los países donde tiene productos.
</t>
    </r>
    <r>
      <rPr>
        <rFont val="Fira Sans Extra Condensed"/>
        <b/>
        <color theme="1"/>
        <sz val="10.0"/>
      </rPr>
      <t xml:space="preserve">6.3.2 Empresa: </t>
    </r>
    <r>
      <rPr>
        <rFont val="Fira Sans Extra Condensed"/>
        <color theme="1"/>
        <sz val="10.0"/>
      </rPr>
      <t xml:space="preserve">Permite seleccionar una o todas las empresas del grupo de acuerdo a la selección de empresas que conforman el grupo de productos. 
</t>
    </r>
    <r>
      <rPr>
        <rFont val="Fira Sans Extra Condensed"/>
        <b/>
        <color theme="1"/>
        <sz val="10.0"/>
      </rPr>
      <t xml:space="preserve">
En la parte inferior deben estar las opciones: “Borrar” y “aplicar” 
Botón “Borrar": </t>
    </r>
    <r>
      <rPr>
        <rFont val="Fira Sans Extra Condensed"/>
        <color theme="1"/>
        <sz val="10.0"/>
      </rPr>
      <t xml:space="preserve">al dar clic debe eliminar los filtros de búsqueda ingresados por el usuario. 
</t>
    </r>
    <r>
      <rPr>
        <rFont val="Fira Sans Extra Condensed"/>
        <b/>
        <color theme="1"/>
        <sz val="10.0"/>
      </rPr>
      <t xml:space="preserve">Botón “Aplicar”: </t>
    </r>
    <r>
      <rPr>
        <rFont val="Fira Sans Extra Condensed"/>
        <color theme="1"/>
        <sz val="10.0"/>
      </rPr>
      <t xml:space="preserve">Al dar clic el canal actualiza la pantalla donde muestra los grupos de productos, mostrando como resultado únicamente los grupos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t>
    </r>
  </si>
  <si>
    <t>CP178</t>
  </si>
  <si>
    <r>
      <rPr>
        <rFont val="Fira Sans Extra Condensed"/>
        <b/>
        <color theme="1"/>
        <sz val="10.0"/>
      </rPr>
      <t>6.4 Descargar:</t>
    </r>
    <r>
      <rPr>
        <rFont val="Fira Sans Extra Condensed"/>
        <color theme="1"/>
        <sz val="10.0"/>
      </rPr>
      <t xml:space="preserve"> Debe existir un elemento que le permita al usuario realizar la descarga de todos los grupos de productos creados y activos en el canal, el usuario al dar clic actualiza la pantalla y el canal muestra:
</t>
    </r>
    <r>
      <rPr>
        <rFont val="Fira Sans Extra Condensed"/>
        <b/>
        <color theme="1"/>
        <sz val="10.0"/>
      </rPr>
      <t xml:space="preserve">Titulo: </t>
    </r>
    <r>
      <rPr>
        <rFont val="Fira Sans Extra Condensed"/>
        <color theme="1"/>
        <sz val="10.0"/>
      </rPr>
      <t xml:space="preserve">Descargar Reporte
</t>
    </r>
    <r>
      <rPr>
        <rFont val="Fira Sans Extra Condensed"/>
        <b/>
        <color theme="1"/>
        <sz val="10.0"/>
      </rPr>
      <t>Descripción:</t>
    </r>
    <r>
      <rPr>
        <rFont val="Fira Sans Extra Condensed"/>
        <color theme="1"/>
        <sz val="10.0"/>
      </rPr>
      <t xml:space="preserve"> Si la descarga no se da de inmediato le enviaremos el archivo al buzón.
</t>
    </r>
    <r>
      <rPr>
        <rFont val="Fira Sans Extra Condensed"/>
        <b/>
        <color theme="1"/>
        <sz val="10.0"/>
      </rPr>
      <t xml:space="preserve">
Texto:</t>
    </r>
    <r>
      <rPr>
        <rFont val="Fira Sans Extra Condensed"/>
        <color theme="1"/>
        <sz val="10.0"/>
      </rPr>
      <t xml:space="preserve"> Elija el formato 
</t>
    </r>
    <r>
      <rPr>
        <rFont val="Fira Sans Extra Condensed"/>
        <b/>
        <color theme="1"/>
        <sz val="10.0"/>
      </rPr>
      <t>Excel  (.xlsx) 
PDF    (.pdf)</t>
    </r>
    <r>
      <rPr>
        <rFont val="Fira Sans Extra Condensed"/>
        <color theme="1"/>
        <sz val="10.0"/>
      </rPr>
      <t xml:space="preserve">
Una vez el cliente seleccione un formato se habilita el botón de “Descargar”.
</t>
    </r>
    <r>
      <rPr>
        <rFont val="Fira Sans Extra Condensed"/>
        <b/>
        <color theme="1"/>
        <sz val="10.0"/>
      </rPr>
      <t xml:space="preserve">
En el formato en PDF en canal debe mostrar:</t>
    </r>
    <r>
      <rPr>
        <rFont val="Fira Sans Extra Condensed"/>
        <color theme="1"/>
        <sz val="10.0"/>
      </rPr>
      <t xml:space="preserve">
</t>
    </r>
    <r>
      <rPr>
        <rFont val="Fira Sans Extra Condensed"/>
        <b/>
        <color theme="1"/>
        <sz val="10.0"/>
      </rPr>
      <t>Nombre del banco en la parte superior.</t>
    </r>
    <r>
      <rPr>
        <rFont val="Fira Sans Extra Condensed"/>
        <color theme="1"/>
        <sz val="10.0"/>
      </rPr>
      <t xml:space="preserve">
</t>
    </r>
    <r>
      <rPr>
        <rFont val="Fira Sans Extra Condensed"/>
        <b/>
        <color theme="1"/>
        <sz val="10.0"/>
      </rPr>
      <t>Título:</t>
    </r>
    <r>
      <rPr>
        <rFont val="Fira Sans Extra Condensed"/>
        <color theme="1"/>
        <sz val="10.0"/>
      </rPr>
      <t xml:space="preserve"> Grupo de productos
</t>
    </r>
    <r>
      <rPr>
        <rFont val="Fira Sans Extra Condensed"/>
        <b/>
        <color theme="1"/>
        <sz val="10.0"/>
      </rPr>
      <t xml:space="preserve">Fecha y hora de descarga: </t>
    </r>
    <r>
      <rPr>
        <rFont val="Fira Sans Extra Condensed"/>
        <color theme="1"/>
        <sz val="10.0"/>
      </rPr>
      <t xml:space="preserve">Se debe mostrar la fecha y hora de descarga.
</t>
    </r>
    <r>
      <rPr>
        <rFont val="Fira Sans Extra Condensed"/>
        <b/>
        <color theme="1"/>
        <sz val="10.0"/>
      </rPr>
      <t>Resultado:</t>
    </r>
    <r>
      <rPr>
        <rFont val="Fira Sans Extra Condensed"/>
        <color theme="1"/>
        <sz val="10.0"/>
      </rPr>
      <t xml:space="preserve"> debe mostrar el contenido de la consulta en la parte inferior de manera ordenada y clara informando: El nombre del grupo de productos, país, cantidad de empresas asociadas y si el grupo fue marcado como destacado. 
</t>
    </r>
    <r>
      <rPr>
        <rFont val="Fira Sans Extra Condensed"/>
        <b/>
        <color theme="1"/>
        <sz val="10.0"/>
      </rPr>
      <t>Mensajería</t>
    </r>
    <r>
      <rPr>
        <rFont val="Fira Sans Extra Condensed"/>
        <color theme="1"/>
        <sz val="10.0"/>
      </rPr>
      <t xml:space="preserve">:
- Si la descarga se realiza de manera satisfactoria actualiza la pantalla e informa en la parte superior “Descarga exitosa”
- Si la generación del reporte no se puede realizar en línea por el tamaño se debe mostrar el siguiente modal: “El reporte se enviará al buzón de notificaciones del módulo regional.”
- En caso que la descarga no se pueda generar por algún error se debe presentar mensaje: “Descarga fallida. Intente más tarde”  </t>
    </r>
  </si>
  <si>
    <t>CP179</t>
  </si>
  <si>
    <r>
      <rPr>
        <rFont val="Fira Sans Extra Condensed"/>
        <b/>
        <color theme="1"/>
        <sz val="10.0"/>
      </rPr>
      <t xml:space="preserve">6.5 Accionable / Detalle: </t>
    </r>
    <r>
      <rPr>
        <rFont val="Fira Sans Extra Condensed"/>
        <color theme="1"/>
        <sz val="10.0"/>
      </rPr>
      <t xml:space="preserve">El canal debe permitir al usuario acceder desde la pantalla de resultados a una nueva pantalla donde el usuario podrá visualizar el detalle completo de cómo está conformado un grupo de productos. </t>
    </r>
  </si>
  <si>
    <t>CP180</t>
  </si>
  <si>
    <r>
      <rPr>
        <rFont val="Fira Sans Extra Condensed"/>
        <b/>
        <color theme="1"/>
        <sz val="10.0"/>
      </rPr>
      <t xml:space="preserve">7.1 Título: Detalle del grupo de producto
</t>
    </r>
    <r>
      <rPr>
        <rFont val="Fira Sans Extra Condensed"/>
        <color theme="1"/>
        <sz val="10.0"/>
      </rPr>
      <t xml:space="preserve">
</t>
    </r>
    <r>
      <rPr>
        <rFont val="Fira Sans Extra Condensed"/>
        <b/>
        <color theme="1"/>
        <sz val="10.0"/>
      </rPr>
      <t xml:space="preserve">7.2 Elemento regresar: </t>
    </r>
    <r>
      <rPr>
        <rFont val="Fira Sans Extra Condensed"/>
        <color theme="1"/>
        <sz val="10.0"/>
      </rPr>
      <t xml:space="preserve">Debe existir un botón o elemento que le permita al usuario regresar a la pantalla anterior en cualquier momento.
</t>
    </r>
    <r>
      <rPr>
        <rFont val="Fira Sans Extra Condensed"/>
        <b/>
        <color theme="1"/>
        <sz val="10.0"/>
      </rPr>
      <t xml:space="preserve">7.3 Nombre del Grupo: </t>
    </r>
    <r>
      <rPr>
        <rFont val="Fira Sans Extra Condensed"/>
        <color theme="1"/>
        <sz val="10.0"/>
      </rPr>
      <t xml:space="preserve">Se debe mostrar el nombre del grupo de producto ingresado en la creación.
</t>
    </r>
    <r>
      <rPr>
        <rFont val="Fira Sans Extra Condensed"/>
        <b/>
        <color theme="1"/>
        <sz val="10.0"/>
      </rPr>
      <t>7.4 Resumen:</t>
    </r>
    <r>
      <rPr>
        <rFont val="Fira Sans Extra Condensed"/>
        <color theme="1"/>
        <sz val="10.0"/>
      </rPr>
      <t xml:space="preserve"> El canal deberá mostrar un resumen general de las características principales de los productos previamente seleccionados, el cuadro deberá informar: 
</t>
    </r>
    <r>
      <rPr>
        <rFont val="Fira Sans Extra Condensed"/>
        <b/>
        <color theme="1"/>
        <sz val="10.0"/>
      </rPr>
      <t xml:space="preserve">Países: </t>
    </r>
    <r>
      <rPr>
        <rFont val="Fira Sans Extra Condensed"/>
        <color theme="1"/>
        <sz val="10.0"/>
      </rPr>
      <t xml:space="preserve">Banderas origen de los países de los productos que conforman el grupo de producto.
</t>
    </r>
    <r>
      <rPr>
        <rFont val="Fira Sans Extra Condensed"/>
        <b/>
        <color theme="1"/>
        <sz val="10.0"/>
      </rPr>
      <t>Empresas:</t>
    </r>
    <r>
      <rPr>
        <rFont val="Fira Sans Extra Condensed"/>
        <color theme="1"/>
        <sz val="10.0"/>
      </rPr>
      <t xml:space="preserve"> Número del total de empresas que conforman el grupo de productos.
</t>
    </r>
    <r>
      <rPr>
        <rFont val="Fira Sans Extra Condensed"/>
        <b/>
        <color theme="1"/>
        <sz val="10.0"/>
      </rPr>
      <t xml:space="preserve">Productos: </t>
    </r>
    <r>
      <rPr>
        <rFont val="Fira Sans Extra Condensed"/>
        <color theme="1"/>
        <sz val="10.0"/>
      </rPr>
      <t xml:space="preserve">Número del total de productos seleccionados en el paso anterior.
</t>
    </r>
    <r>
      <rPr>
        <rFont val="Fira Sans Extra Condensed"/>
        <b/>
        <color theme="1"/>
        <sz val="10.0"/>
      </rPr>
      <t>Tipo Productos</t>
    </r>
    <r>
      <rPr>
        <rFont val="Fira Sans Extra Condensed"/>
        <color theme="1"/>
        <sz val="10.0"/>
      </rPr>
      <t xml:space="preserve">: nombre del tipo de productos, ejemplo: Cuentas de ahorros / Cuenta Corriente. </t>
    </r>
  </si>
  <si>
    <t>CP181</t>
  </si>
  <si>
    <r>
      <rPr>
        <rFont val="Fira Sans Extra Condensed"/>
        <b/>
        <color theme="1"/>
        <sz val="10.0"/>
      </rPr>
      <t xml:space="preserve">7.5 Productos Seleccionados: </t>
    </r>
    <r>
      <rPr>
        <rFont val="Fira Sans Extra Condensed"/>
        <color theme="1"/>
        <sz val="10.0"/>
      </rPr>
      <t xml:space="preserve">En la pantalla el canal mostrará la información de los productos seleccionados en el mismo orden del paso anterior agrupando la información por tipo de productos. </t>
    </r>
    <r>
      <rPr>
        <rFont val="Fira Sans Extra Condensed"/>
        <b/>
        <color theme="1"/>
        <sz val="10.0"/>
      </rPr>
      <t xml:space="preserve">
País: </t>
    </r>
    <r>
      <rPr>
        <rFont val="Fira Sans Extra Condensed"/>
        <color theme="1"/>
        <sz val="10.0"/>
      </rPr>
      <t xml:space="preserve">Se debe mostrar la bandera del país origen al que pertenece el producto seleccionado. 
</t>
    </r>
    <r>
      <rPr>
        <rFont val="Fira Sans Extra Condensed"/>
        <b/>
        <color theme="1"/>
        <sz val="10.0"/>
      </rPr>
      <t xml:space="preserve">Empresa: </t>
    </r>
    <r>
      <rPr>
        <rFont val="Fira Sans Extra Condensed"/>
        <color theme="1"/>
        <sz val="10.0"/>
      </rPr>
      <t xml:space="preserve">Se debe mostrar la empresa a la que pertenece el producto seleccionado.
</t>
    </r>
    <r>
      <rPr>
        <rFont val="Fira Sans Extra Condensed"/>
        <b/>
        <color theme="1"/>
        <sz val="10.0"/>
      </rPr>
      <t>Nombre del producto:</t>
    </r>
    <r>
      <rPr>
        <rFont val="Fira Sans Extra Condensed"/>
        <color theme="1"/>
        <sz val="10.0"/>
      </rPr>
      <t xml:space="preserve"> Se debe mostrar el nombre o alias del producto seleccionado
</t>
    </r>
    <r>
      <rPr>
        <rFont val="Fira Sans Extra Condensed"/>
        <b/>
        <color theme="1"/>
        <sz val="10.0"/>
      </rPr>
      <t xml:space="preserve">Tipo de Producto: </t>
    </r>
    <r>
      <rPr>
        <rFont val="Fira Sans Extra Condensed"/>
        <color theme="1"/>
        <sz val="10.0"/>
      </rPr>
      <t xml:space="preserve">Se debe presentar la naturaleza del producto seleccionado.
</t>
    </r>
    <r>
      <rPr>
        <rFont val="Fira Sans Extra Condensed"/>
        <b/>
        <color theme="1"/>
        <sz val="10.0"/>
      </rPr>
      <t>Número del Producto:</t>
    </r>
    <r>
      <rPr>
        <rFont val="Fira Sans Extra Condensed"/>
        <color theme="1"/>
        <sz val="10.0"/>
      </rPr>
      <t xml:space="preserve"> Se debe presentar el número de producto seleccionado enmascarado.</t>
    </r>
  </si>
  <si>
    <t>CP182</t>
  </si>
  <si>
    <r>
      <rPr>
        <rFont val="Fira Sans Extra Condensed"/>
        <b/>
        <color theme="1"/>
        <sz val="10.0"/>
      </rPr>
      <t xml:space="preserve">7.6 Paginación: </t>
    </r>
    <r>
      <rPr>
        <rFont val="Fira Sans Extra Condensed"/>
        <color theme="1"/>
        <sz val="10.0"/>
      </rPr>
      <t xml:space="preserve">La paginación se debe presentar en la parte superior del resultado, se presentará hasta 50 registros por página, de acuerdo la información obtenida del resultado de la consulta, para llegar a la parte inferior el usuario podrá usar el scroll y el teclado. </t>
    </r>
  </si>
  <si>
    <t>CP183</t>
  </si>
  <si>
    <r>
      <rPr>
        <rFont val="Fira Sans Extra Condensed"/>
        <b/>
        <color theme="1"/>
        <sz val="10.0"/>
      </rPr>
      <t xml:space="preserve">7.7 Elemento Back to top: </t>
    </r>
    <r>
      <rPr>
        <rFont val="Fira Sans Extra Condensed"/>
        <color theme="1"/>
        <sz val="10.0"/>
      </rPr>
      <t xml:space="preserve">El canal debe tener un elemento en pantalla que  al dar clic lo debe llevar a la parte superior de la pantalla esto en caso que el cliente haga scroll para llegar a la parte de inferior del resultado. </t>
    </r>
  </si>
  <si>
    <t>CP184</t>
  </si>
  <si>
    <r>
      <rPr>
        <rFont val="Fira Sans Extra Condensed"/>
        <b/>
        <color theme="1"/>
        <sz val="10.0"/>
      </rPr>
      <t>7.8 Icono “Destacado”:</t>
    </r>
    <r>
      <rPr>
        <rFont val="Fira Sans Extra Condensed"/>
        <color theme="1"/>
        <sz val="10.0"/>
      </rPr>
      <t xml:space="preserve">  Se debe incluir un tooltip “Destacado”. Debe existir un elemento que permita a los usuarios marcar o desmarcar un grupo como “favorito”, los grupos marcados como favoritos serán mostrados en la parte superior del resultado de las pantallas donde aplique la selección de grupos de productos.</t>
    </r>
  </si>
  <si>
    <t>CP185</t>
  </si>
  <si>
    <r>
      <rPr>
        <rFont val="Fira Sans Extra Condensed"/>
        <b/>
        <color theme="1"/>
        <sz val="10.0"/>
      </rPr>
      <t xml:space="preserve">7.9 Icono “Descarga”: </t>
    </r>
    <r>
      <rPr>
        <rFont val="Fira Sans Extra Condensed"/>
        <color theme="1"/>
        <sz val="10.0"/>
      </rPr>
      <t xml:space="preserve"> Se debe incluir un tooltip “Descargar reporte”. Debe existir un elemento que le permita al usuario realizar la descarga de todo el detalle de cómo está confirmado el Grupo de productos con toda la información de todas las páginas, el usuario al dar clic actualiza la pantalla y el canal muestra:
</t>
    </r>
    <r>
      <rPr>
        <rFont val="Fira Sans Extra Condensed"/>
        <b/>
        <color theme="1"/>
        <sz val="10.0"/>
      </rPr>
      <t xml:space="preserve">Titulo: </t>
    </r>
    <r>
      <rPr>
        <rFont val="Fira Sans Extra Condensed"/>
        <color theme="1"/>
        <sz val="10.0"/>
      </rPr>
      <t xml:space="preserve">Descargar Reporte
</t>
    </r>
    <r>
      <rPr>
        <rFont val="Fira Sans Extra Condensed"/>
        <b/>
        <color theme="1"/>
        <sz val="10.0"/>
      </rPr>
      <t xml:space="preserve">Descripción: </t>
    </r>
    <r>
      <rPr>
        <rFont val="Fira Sans Extra Condensed"/>
        <color theme="1"/>
        <sz val="10.0"/>
      </rPr>
      <t xml:space="preserve">Si la descarga no se da de inmediato le enviaremos el archivo al buzón.
</t>
    </r>
    <r>
      <rPr>
        <rFont val="Fira Sans Extra Condensed"/>
        <b/>
        <color theme="1"/>
        <sz val="10.0"/>
      </rPr>
      <t>Texto: Elija el formato 
PDF    (.pdf)</t>
    </r>
    <r>
      <rPr>
        <rFont val="Fira Sans Extra Condensed"/>
        <color theme="1"/>
        <sz val="10.0"/>
      </rPr>
      <t xml:space="preserve">
</t>
    </r>
    <r>
      <rPr>
        <rFont val="Fira Sans Extra Condensed"/>
        <b/>
        <color theme="1"/>
        <sz val="10.0"/>
      </rPr>
      <t>Una vez el cliente seleccione un formato se habilita el botón de “Descargar”.
Si el usuario requiere realizar una descarga masiva debe seleccionar primero los checkbox y cuando tenga seleccionado al menos un registro el canal habilita la opción de “descargar selección”</t>
    </r>
  </si>
  <si>
    <t>CP186</t>
  </si>
  <si>
    <r>
      <rPr>
        <rFont val="Fira Sans Extra Condensed"/>
        <color theme="1"/>
        <sz val="10.0"/>
      </rPr>
      <t xml:space="preserve">Descarga en formato PDF, se deberá mostrar la siguiente información:
</t>
    </r>
    <r>
      <rPr>
        <rFont val="Fira Sans Extra Condensed"/>
        <b/>
        <color theme="1"/>
        <sz val="10.0"/>
      </rPr>
      <t xml:space="preserve">Nombre del banco en la parte superior
Fecha y hora de descarga: </t>
    </r>
    <r>
      <rPr>
        <rFont val="Fira Sans Extra Condensed"/>
        <color theme="1"/>
        <sz val="10.0"/>
      </rPr>
      <t xml:space="preserve">Se debe presentar la fecha y hora de la descarga del archivo dd/mm/aaaa hh/mm am-pm
</t>
    </r>
    <r>
      <rPr>
        <rFont val="Fira Sans Extra Condensed"/>
        <b/>
        <color theme="1"/>
        <sz val="10.0"/>
      </rPr>
      <t xml:space="preserve">Título: </t>
    </r>
    <r>
      <rPr>
        <rFont val="Fira Sans Extra Condensed"/>
        <color theme="1"/>
        <sz val="10.0"/>
      </rPr>
      <t xml:space="preserve">Detalle Grupo regional
</t>
    </r>
    <r>
      <rPr>
        <rFont val="Fira Sans Extra Condensed"/>
        <b/>
        <color theme="1"/>
        <sz val="10.0"/>
      </rPr>
      <t>Nombre del grupo regional:</t>
    </r>
    <r>
      <rPr>
        <rFont val="Fira Sans Extra Condensed"/>
        <color theme="1"/>
        <sz val="10.0"/>
      </rPr>
      <t xml:space="preserve"> Se debe mostrar el nombre con el que fue creado.
</t>
    </r>
    <r>
      <rPr>
        <rFont val="Fira Sans Extra Condensed"/>
        <b/>
        <color theme="1"/>
        <sz val="10.0"/>
      </rPr>
      <t xml:space="preserve">Países: </t>
    </r>
    <r>
      <rPr>
        <rFont val="Fira Sans Extra Condensed"/>
        <color theme="1"/>
        <sz val="10.0"/>
      </rPr>
      <t xml:space="preserve">Se debe mostrar las banderas del país de origen que  conforman el grupo.
</t>
    </r>
    <r>
      <rPr>
        <rFont val="Fira Sans Extra Condensed"/>
        <b/>
        <color theme="1"/>
        <sz val="10.0"/>
      </rPr>
      <t xml:space="preserve">Productos: </t>
    </r>
    <r>
      <rPr>
        <rFont val="Fira Sans Extra Condensed"/>
        <color theme="1"/>
        <sz val="10.0"/>
      </rPr>
      <t xml:space="preserve">Debe mostrar el número de productos que conforman el Grupo de productos 
</t>
    </r>
    <r>
      <rPr>
        <rFont val="Fira Sans Extra Condensed"/>
        <b/>
        <color theme="1"/>
        <sz val="10.0"/>
      </rPr>
      <t xml:space="preserve">Empresas: </t>
    </r>
    <r>
      <rPr>
        <rFont val="Fira Sans Extra Condensed"/>
        <color theme="1"/>
        <sz val="10.0"/>
      </rPr>
      <t xml:space="preserve">Debe mostrar la cantidad de empresas que tiene asociadas el Grupo de productos.
</t>
    </r>
    <r>
      <rPr>
        <rFont val="Fira Sans Extra Condensed"/>
        <b/>
        <color theme="1"/>
        <sz val="10.0"/>
      </rPr>
      <t>Tipo de productos:</t>
    </r>
    <r>
      <rPr>
        <rFont val="Fira Sans Extra Condensed"/>
        <color theme="1"/>
        <sz val="10.0"/>
      </rPr>
      <t xml:space="preserve"> debe mostrar la naturaleza por tipo de producto que lo conforma. 
</t>
    </r>
    <r>
      <rPr>
        <rFont val="Fira Sans Extra Condensed"/>
        <b/>
        <color theme="1"/>
        <sz val="10.0"/>
      </rPr>
      <t xml:space="preserve">Tabla de resultados: </t>
    </r>
    <r>
      <rPr>
        <rFont val="Fira Sans Extra Condensed"/>
        <color theme="1"/>
        <sz val="10.0"/>
      </rPr>
      <t xml:space="preserve">contenido de la consulta en la parte inferior de manera ordenada y clara con información de las columnas: País, Empresa (se debe mostrar el nombre completo), nombre del producto(se debe mostrar el nombre completo), tipo de producto, Número del producto (enmascarado). </t>
    </r>
  </si>
  <si>
    <t>CP187</t>
  </si>
  <si>
    <r>
      <rPr>
        <rFont val="Fira Sans Extra Condensed"/>
        <b/>
        <color theme="1"/>
        <sz val="10.0"/>
      </rPr>
      <t xml:space="preserve">Mensajería:
</t>
    </r>
    <r>
      <rPr>
        <rFont val="Fira Sans Extra Condensed"/>
        <color theme="1"/>
        <sz val="10.0"/>
      </rPr>
      <t xml:space="preserve">- Si la descarga se realiza de manera satisfactoria actualiza la pantalla e informa en la parte superior “Descarga exitosa”
- Si la generación del reporte no se puede realizar en línea por el tamaño se debe mostrar el siguiente modal: “El reporte se enviará al buzón de notificaciones del módulo regional.”
- En caso que la descarga no se pueda generar por algún error se debe presentar mensaje: “Descarga fallida. Intente más tarde”  </t>
    </r>
  </si>
  <si>
    <t>CP188</t>
  </si>
  <si>
    <r>
      <rPr>
        <rFont val="Fira Sans Extra Condensed"/>
        <b/>
        <color theme="1"/>
        <sz val="10.0"/>
      </rPr>
      <t>7.10 Icono “Editar”:</t>
    </r>
    <r>
      <rPr>
        <rFont val="Fira Sans Extra Condensed"/>
        <color theme="1"/>
        <sz val="10.0"/>
      </rPr>
      <t xml:space="preserve">  Se debe incluir un tooltip “Editar”, al dar clic a este botón debe actualizar la pantalla y mostrar el nombre ingresado durante la creación, el nombre se debe mostrar de manera editable permitiendo cambiar o confirmar el nombre asignado, una vez el usuario de clic al botón “asignar” debe actualizar nuevamente la pantalla y continuar con el flujo desde el criterio 2.3 al criterio 5.  pasando por la selección de productos, resumen y resultado, los productos que se muestran en la “selección” se deben mostrarse de manera preseleccionada teniendo en cuenta los que conforman el grupo. </t>
    </r>
  </si>
  <si>
    <t>CP189</t>
  </si>
  <si>
    <r>
      <rPr>
        <rFont val="Fira Sans Extra Condensed"/>
        <b/>
        <color theme="1"/>
        <sz val="10.0"/>
      </rPr>
      <t>7.11 Icono “Eliminar”:</t>
    </r>
    <r>
      <rPr>
        <rFont val="Fira Sans Extra Condensed"/>
        <color theme="1"/>
        <sz val="10.0"/>
      </rPr>
      <t xml:space="preserve"> Se debe incluir un tooltip “eliminar grupo” al dar clic se debe presentar la mensajería según aplique del criterio 9, teniendo en cuenta el flujo el usuario deberá confirmar la eliminación incluyendo la regla definida de retar al usuario ingresando la clave de confirmación, funcionalidad transversal de acuerdo a lo planteado en la: HU017_PER - Autorizaciones transversal</t>
    </r>
  </si>
  <si>
    <t>CP190</t>
  </si>
  <si>
    <r>
      <rPr>
        <rFont val="Fira Sans Extra Condensed"/>
        <b/>
        <color theme="1"/>
        <sz val="10.0"/>
      </rPr>
      <t>Pantalla que debe mostrar la información pre diligenciada</t>
    </r>
    <r>
      <rPr>
        <rFont val="Fira Sans Extra Condensed"/>
        <color theme="1"/>
        <sz val="10.0"/>
      </rPr>
      <t xml:space="preserve">
</t>
    </r>
    <r>
      <rPr>
        <rFont val="Fira Sans Extra Condensed"/>
        <b/>
        <color theme="1"/>
        <sz val="10.0"/>
      </rPr>
      <t xml:space="preserve">8.1 Nombre de grupo: </t>
    </r>
    <r>
      <rPr>
        <rFont val="Fira Sans Extra Condensed"/>
        <color theme="1"/>
        <sz val="10.0"/>
      </rPr>
      <t>El canal debe actualizar la pantalla y mostrar el nombre ingresado durante la creación, el nombre se debe mostrar de manera editable permitiendo cambiar o confirmar el nombre asignado cómo en el criterio 2.3, una vez el usuario de clic al botón “asignar” debe actualizar nuevamente la pantalla y continuar con el flujo.</t>
    </r>
  </si>
  <si>
    <t>CP191</t>
  </si>
  <si>
    <r>
      <rPr>
        <rFont val="Fira Sans Extra Condensed"/>
        <b/>
        <color theme="1"/>
        <sz val="10.0"/>
      </rPr>
      <t xml:space="preserve">8.2 Productos seleccionados: </t>
    </r>
    <r>
      <rPr>
        <rFont val="Fira Sans Extra Condensed"/>
        <color theme="1"/>
        <sz val="10.0"/>
      </rPr>
      <t>En la pantalla el canal mostrará la información de los productos seleccionados en el mismo orden agrupando la información por tipo de productos,  en esta pantalla al lado del producto seleccionado mostrará un icono que hará referencia a eliminar de manera individual el producto seleccionado, adicional deberá contar con una opción (checkbox) que muestra los productos seleccionados y permita al usuario adicionar o desmarcar de acuerdo a lo que requiere (criterio 3.8)</t>
    </r>
  </si>
  <si>
    <t>CP192</t>
  </si>
  <si>
    <r>
      <rPr>
        <rFont val="Fira Sans Extra Condensed"/>
        <b/>
        <color theme="1"/>
        <sz val="10.0"/>
      </rPr>
      <t>8.3 Resumen:</t>
    </r>
    <r>
      <rPr>
        <rFont val="Fira Sans Extra Condensed"/>
        <color theme="1"/>
        <sz val="10.0"/>
      </rPr>
      <t xml:space="preserve"> Una vez seleccionados los nuevos productos el canal debe aplicar las reglas del criterio 4, donde tendrá la visual completa de cómo quedaría creado el nuevo grupo de productos.
</t>
    </r>
    <r>
      <rPr>
        <rFont val="Fira Sans Extra Condensed"/>
        <b/>
        <color theme="1"/>
        <sz val="10.0"/>
      </rPr>
      <t>Mensajería:</t>
    </r>
    <r>
      <rPr>
        <rFont val="Fira Sans Extra Condensed"/>
        <color theme="1"/>
        <sz val="10.0"/>
      </rPr>
      <t xml:space="preserve"> En la confirmación se debe presentar un modal que informe al usuario: “Una vez aprobada esta novedad, se actualizará los permisos a los usuarios y/o esquemas de firmas que tengas asignado este Grupo de Productos”</t>
    </r>
  </si>
  <si>
    <t>CP193</t>
  </si>
  <si>
    <r>
      <rPr>
        <rFont val="Fira Sans Extra Condensed"/>
        <b/>
        <color theme="1"/>
        <sz val="10.0"/>
      </rPr>
      <t>8.4 Resultado:</t>
    </r>
    <r>
      <rPr>
        <rFont val="Fira Sans Extra Condensed"/>
        <color theme="1"/>
        <sz val="10.0"/>
      </rPr>
      <t xml:space="preserve"> El canal debe aplicar las reglas del criterio 5 “resultado” teniendo en cuenta el tipo de administración que tenga el grupo regional y mostrar la información de acuerdo a las reglas ya definidas del criterio.</t>
    </r>
  </si>
  <si>
    <t>CP194</t>
  </si>
  <si>
    <t>CP195</t>
  </si>
  <si>
    <r>
      <rPr>
        <rFont val="Fira Sans Extra Condensed"/>
        <color theme="1"/>
        <sz val="10.0"/>
      </rPr>
      <t xml:space="preserve">El usuario podrá realizar la eliminación de grupos de productos desde dos puntos:
</t>
    </r>
    <r>
      <rPr>
        <rFont val="Fira Sans Extra Condensed"/>
        <b/>
        <color theme="1"/>
        <sz val="10.0"/>
      </rPr>
      <t xml:space="preserve">Eliminación desde la consulta de todos los grupos de productos.
Eliminación desde el detalle del grupo de productos </t>
    </r>
    <r>
      <rPr>
        <rFont val="Fira Sans Extra Condensed"/>
        <color theme="1"/>
        <sz val="10.0"/>
      </rPr>
      <t xml:space="preserve">
Toda eliminación que los usuarios administradores realicen dentro del canal debe retar al usuario cuando confirme que desea eliminar el registro posterior al modal de confirmación posterior el usuario visualizará la pantalla de autorizaciones transversal donde a el usuario le permite ingresar el código de confirmación de Soft Token o hard token según aplique, siguiendo los criterios descritos en la  HU017_PER - Autorizaciones transversal</t>
    </r>
  </si>
  <si>
    <t>CP196</t>
  </si>
  <si>
    <r>
      <rPr>
        <rFont val="Fira Sans Extra Condensed"/>
        <color theme="1"/>
        <sz val="10.0"/>
      </rPr>
      <t xml:space="preserve">Para la </t>
    </r>
    <r>
      <rPr>
        <rFont val="Fira Sans Extra Condensed"/>
        <b/>
        <color theme="1"/>
        <sz val="10.0"/>
      </rPr>
      <t>eliminación masiva</t>
    </r>
    <r>
      <rPr>
        <rFont val="Fira Sans Extra Condensed"/>
        <color theme="1"/>
        <sz val="10.0"/>
      </rPr>
      <t xml:space="preserve"> debe permitir seleccionar varios registros, una vez marcados al menos un registro se habilita el botón “Eliminar seleccionados”. </t>
    </r>
  </si>
  <si>
    <t>CP197</t>
  </si>
  <si>
    <r>
      <rPr>
        <rFont val="Fira Sans Extra Condensed"/>
        <b/>
        <color theme="1"/>
        <sz val="10.0"/>
      </rPr>
      <t xml:space="preserve">Escenario Grupo a eliminar no está asignado a usuarios ni Esquemas de Firmas:
</t>
    </r>
    <r>
      <rPr>
        <rFont val="Fira Sans Extra Condensed"/>
        <color theme="1"/>
        <sz val="10.0"/>
      </rPr>
      <t xml:space="preserve">
En caso que el canal identifique que un grupo a eliminar no está asociado a un usuario ni a un esquema de firmas debe mostrar mensaje de confirmación previo a eliminación “ ¿Quiere eliminar el grupo de productos? seguido de las opciones “Volver/Eliminar” al dar clic en “eliminar </t>
    </r>
  </si>
  <si>
    <t>CP198</t>
  </si>
  <si>
    <r>
      <rPr>
        <rFont val="Fira Sans Extra Condensed"/>
        <b/>
        <color theme="1"/>
        <sz val="10.0"/>
      </rPr>
      <t>Modal de advertencia eliminación:</t>
    </r>
    <r>
      <rPr>
        <rFont val="Fira Sans Extra Condensed"/>
        <color theme="1"/>
        <sz val="10.0"/>
      </rPr>
      <t xml:space="preserve">
En caso que el usuario intente eliminar un grupo de productos que se encuentre asociado a un usuario y/o a un esquema de firmas el canal deberá informar: 
- “¿Quiere eliminar el grupo de productos? Hay roles o esquemas que se asocian exclusivamente a este grupo. Si lo elimina, esos roles o esquemas no funcionarán dentro del módulo regional. Para que pueda usar el módulo, debe crearles un nuevo grupo de productos ” seguido de las opciones “Volver / Eliminar”
Si el usuario da clic en “eliminar” el canal debe retar al usuario a ingresar el código de confirmación o clave según aplique y continuar con las aprobaciones de acuerdo al tipo de administración.</t>
    </r>
  </si>
  <si>
    <t>CP199</t>
  </si>
  <si>
    <r>
      <rPr>
        <rFont val="Fira Sans Extra Condensed"/>
        <b/>
        <color theme="1"/>
        <sz val="10.0"/>
      </rPr>
      <t xml:space="preserve">Escenario eliminación del único o todos los Grupo de Productos
</t>
    </r>
    <r>
      <rPr>
        <rFont val="Fira Sans Extra Condensed"/>
        <color theme="1"/>
        <sz val="10.0"/>
      </rPr>
      <t xml:space="preserve">
Una vez mostrado el mensaje “¿Quiere eliminar todos los grupos? Todos los roles y esquemas de firmas están asociados a estos grupos. Si los elimina, deberá crear nuevos grupos de productos para asignar a los roles y agregar las firmas.” posterior se muestran las opciones Volver/Eliminar. Una vez  confirmado con las firmas requeridas, el canal deshabilita la opción de consultas de grupos de productos y debe mostrar el flujo para la creación del criterio 2.</t>
    </r>
  </si>
  <si>
    <t>CP200</t>
  </si>
  <si>
    <t>CP201</t>
  </si>
  <si>
    <r>
      <rPr>
        <rFont val="Fira Sans Extra Condensed"/>
        <b/>
        <color theme="1"/>
        <sz val="10.0"/>
      </rPr>
      <t>Resultado:</t>
    </r>
    <r>
      <rPr>
        <rFont val="Fira Sans Extra Condensed"/>
        <color theme="1"/>
        <sz val="10.0"/>
      </rPr>
      <t xml:space="preserve"> La información que aquí se muestra dependerá del tipo de administración que tenga parametrizada el grupo Regional así:
</t>
    </r>
    <r>
      <rPr>
        <rFont val="Fira Sans Extra Condensed"/>
        <b/>
        <color theme="1"/>
        <sz val="10.0"/>
      </rPr>
      <t xml:space="preserve">Administración Sencilla: </t>
    </r>
    <r>
      <rPr>
        <rFont val="Fira Sans Extra Condensed"/>
        <color theme="1"/>
        <sz val="10.0"/>
      </rPr>
      <t xml:space="preserve"> Una vez de clic a la novedad el canal en la parte superior  presentará el siguiente mensaje: “ Eliminación exitosa” y desaparecerá el registro de la consulta. </t>
    </r>
  </si>
  <si>
    <t>CP202</t>
  </si>
  <si>
    <r>
      <rPr>
        <rFont val="Fira Sans Extra Condensed"/>
        <b/>
        <color theme="1"/>
        <sz val="10.0"/>
      </rPr>
      <t>Administración Dual:</t>
    </r>
    <r>
      <rPr>
        <rFont val="Fira Sans Extra Condensed"/>
        <color theme="1"/>
        <sz val="10.0"/>
      </rPr>
      <t xml:space="preserve">  Una vez de clic a la novedad el canal en la parte superior  presentará el siguiente mensaje: “Solicitud pendiente de aprobación” y mantendrá el registro de la consulta</t>
    </r>
  </si>
  <si>
    <t>CP203</t>
  </si>
  <si>
    <t>CP204</t>
  </si>
  <si>
    <t>CP205</t>
  </si>
  <si>
    <t>- Realizar la gestión con usuario con perfilamiento de operador
- Realizar la gestión con usuario maestro</t>
  </si>
  <si>
    <t>CP206</t>
  </si>
  <si>
    <t>CP207</t>
  </si>
  <si>
    <t>CP208</t>
  </si>
  <si>
    <t>CP209</t>
  </si>
  <si>
    <t>CP210</t>
  </si>
  <si>
    <t>CP211</t>
  </si>
  <si>
    <t>Administración Usuarios/ Escala 7x24 Gestión usuarios desde Canal</t>
  </si>
  <si>
    <t>Criterio 1 Características Administración usuarios</t>
  </si>
  <si>
    <t>Usuario a crear debe estar marcado previamente como multilatino en CC de la banca local.</t>
  </si>
  <si>
    <t xml:space="preserve">Se debe habilitar una opción que permita al usuario administrador dentro del nuevo módulo regional realizar novedades referentes a los usuarios, en este submódulo podrá habilitar a los usuarios que podrán acceder al canal, asignar roles, grupos de productos y funcionalidades. Adicional debe permitir consultar usuarios que tengan acceso al canal, descargar reportes, editar roles y permisos, o eliminar permisos del usuario al módulo regional.  </t>
  </si>
  <si>
    <t>Mostrar módulo de mantenimiento a usuarios.</t>
  </si>
  <si>
    <t>Usuario posea los perfiles para gestionar usuarios</t>
  </si>
  <si>
    <t>Visualización del módulo de administración de usuarios</t>
  </si>
  <si>
    <t>Únicamente los usuarios con rol “Administrador” tendrán acceso al módulo de Administración/ Usuarios.</t>
  </si>
  <si>
    <t>Acceder al módulo de administración y gestionar usuarios.</t>
  </si>
  <si>
    <t>- Usuario deberá tener los perfiles para ejecutar las gestiones</t>
  </si>
  <si>
    <t>Acceso exitoso al módulo de administración de usuarios</t>
  </si>
  <si>
    <t>Usuario no visualiza el módulo de administración de usuarios</t>
  </si>
  <si>
    <t>No mostrar módulo de administración de usuarios.</t>
  </si>
  <si>
    <t>- Usuario NO deberá tener los perfiles para ejecutar las gestiones</t>
  </si>
  <si>
    <t>Los productos y funcionalidades a los que el usuario administrador puede acceder para autogestionar las novedades de usuarios corresponde únicamente de productos y funcionalidades asignados a la empresa desde el control center.</t>
  </si>
  <si>
    <t>Usuario con perfilamiento de gestión usuarios podrá realizar gestiones con los productos que el cliente posea activos</t>
  </si>
  <si>
    <t>Gestionar confirguraciones de usuarios previamente marcados en cada banca local.</t>
  </si>
  <si>
    <t>Mostrar los modales o cambios ejecutados desde Control Center se deberá ver actualizados desde el canal por todos los usuarios.</t>
  </si>
  <si>
    <t>Actualizar los modales desde CC y que el usuario al ingresar al modulo regional visualice dichos cambios</t>
  </si>
  <si>
    <t>Visualización de los textos actualizados.</t>
  </si>
  <si>
    <t>Visualizar la estructura de la funcionalidad mientras ejecuta la carga</t>
  </si>
  <si>
    <t>Ejecutar prueba en idioma inglés y validar que los campos se muestren traducidos</t>
  </si>
  <si>
    <t>Traducción exitosa de los campos al inglés y servicios respondan correctamente.</t>
  </si>
  <si>
    <t>La opción de asignar roles únicamente se debe habilitar si previamente se tiene asignado al menos un grupo de productos.</t>
  </si>
  <si>
    <t>Permitir asignación de roles al operador</t>
  </si>
  <si>
    <t>- Grupo de productos previamente creado</t>
  </si>
  <si>
    <t>Asignación de roles al operador</t>
  </si>
  <si>
    <t>Brindar acceso a usuario al nuevo módulo regional, este deberá estar previamente marcado en CC de su banca local</t>
  </si>
  <si>
    <t>Brindar acceso a usuario al módulo regional</t>
  </si>
  <si>
    <t>- Usuario deberá estar previamente marcado como multilatino en cc de su banca local</t>
  </si>
  <si>
    <t xml:space="preserve">
En caso que el grupo regional no tenga asignado ningún usuario aparte de usuarios con rol  “Administrador”, el canal debe guiar al usuario a realizar la asignación de un usuario desde una primera instancia, donde en la opción de “Roles” será un accionable disponible únicamente si previamente creó un grupo de productos, al dar clic en este botón se debe mostrar una nueva pantalla con los siguientes campos:
</t>
  </si>
  <si>
    <t>Indicar al usuario que el cliente solamente posee usuarios con perfil administrador</t>
  </si>
  <si>
    <t xml:space="preserve">Unicamentre mostrar disponible la opción de 'Asignar roles' </t>
  </si>
  <si>
    <t>Criterio 2 -  Empty state</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</si>
  <si>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</si>
  <si>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Teniendo en cuenta que los usuarios que podrán acceder al módulo regional deben existir previamente en alguna de las bancas en línea de Colombia, Panamá, Costa Rica, Honduras y El Salvador; El usuario administrador una vez ingrese por primera vez o de clic a crear visualizará:
</t>
    </r>
    <r>
      <rPr>
        <rFont val="Fira Sans Extra Condensed"/>
        <b/>
        <color theme="1"/>
        <sz val="10.0"/>
      </rPr>
      <t>Título del Header</t>
    </r>
    <r>
      <rPr>
        <rFont val="Fira Sans Extra Condensed"/>
        <color theme="1"/>
        <sz val="10.0"/>
      </rPr>
      <t xml:space="preserve">: Elección del usuario
</t>
    </r>
    <r>
      <rPr>
        <rFont val="Fira Sans Extra Condensed"/>
        <b/>
        <color theme="1"/>
        <sz val="10.0"/>
      </rPr>
      <t>Botón regresar</t>
    </r>
    <r>
      <rPr>
        <rFont val="Fira Sans Extra Condensed"/>
        <color theme="1"/>
        <sz val="10.0"/>
      </rPr>
      <t xml:space="preserve">: Al dar clic regresa a la pantalla anterior. 
</t>
    </r>
    <r>
      <rPr>
        <rFont val="Fira Sans Extra Condensed"/>
        <b/>
        <color theme="1"/>
        <sz val="10.0"/>
      </rPr>
      <t>Texto:</t>
    </r>
    <r>
      <rPr>
        <rFont val="Fira Sans Extra Condensed"/>
        <color theme="1"/>
        <sz val="10.0"/>
      </rPr>
      <t xml:space="preserve"> El usuario debe estar creado en la banca en línea para poder agregarlo al módulo regional. </t>
    </r>
  </si>
  <si>
    <t>Para crear un usuario en el módulo regional, debe existir previamente en cualquiera de las bancas locales</t>
  </si>
  <si>
    <t>- Campos en formato lectura
- Cliente con esquema administartivo Simple</t>
  </si>
  <si>
    <t>Visualizar la información de la funcionalidad</t>
  </si>
  <si>
    <t>Criterio 3 - Busqueda de Usuario</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</si>
  <si>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</si>
  <si>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Habilitar los siguientes filtros para iniciar los criterios de búsqueda: 
</t>
    </r>
    <r>
      <rPr>
        <rFont val="Fira Sans Extra Condensed"/>
        <b/>
        <color theme="1"/>
        <sz val="10.0"/>
      </rPr>
      <t>Seleccione el país:</t>
    </r>
    <r>
      <rPr>
        <rFont val="Fira Sans Extra Condensed"/>
        <color theme="1"/>
        <sz val="10.0"/>
      </rPr>
      <t xml:space="preserve"> lista desplegable (Colombia, Panamá, Costa Rica, Honduras, El Salvador) los países que aquí se muestran deben corresponder a los países de las empresas asociadas al grupo regional,  únicamente debe permitir seleccionar un país de las opciones disponibles.</t>
    </r>
  </si>
  <si>
    <t xml:space="preserve">Habilitar la opción para que el usuario administrador seleccione el país del usuario que requiere dar acceso al módulo regional
</t>
  </si>
  <si>
    <t>- Cliente con esquema administartivo Simple</t>
  </si>
  <si>
    <t>Selección exitosa del país del usuarioa  adicionar.</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</si>
  <si>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</si>
  <si>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t>Usuario con perfil admiistración de usuairo no seleccione el país del usuario a adicionar</t>
  </si>
  <si>
    <t>Al iniciar el proceso de creación de usuario no sleccionar el país del usuario.</t>
  </si>
  <si>
    <t>Mostrar error en pantalla indicando que debe seleccionar un país para poder crear el usuario.</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</si>
  <si>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</si>
  <si>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Una vez seleccionado el país origen se debe desplegar las siguientes opciones:
</t>
    </r>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Colombia</t>
    </r>
    <r>
      <rPr>
        <rFont val="Fira Sans Extra Condensed"/>
        <color theme="1"/>
        <sz val="10.0"/>
      </rPr>
      <t>:   Cédula de Ciudadania
                   Tarjeta de Identidad
                   Registro Civil de Nacimiento
                   Pasaporte
                   Cédula de Extranjería
                   Permiso Especial de Permanencia (PEP)</t>
    </r>
  </si>
  <si>
    <t>Mostrará en formato de lista desplegable los tipos de documentos de acuerdo al país seleccionado</t>
  </si>
  <si>
    <t>- El campo seleccione tipo de documento se habilitará unicamente si en el campo seleccione país se ha seleccionado previamente un país de la lista.
- Cliente con esquema administartivo Simple</t>
  </si>
  <si>
    <t>Selección de tipo de documento exitosa</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</si>
  <si>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</si>
  <si>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 xml:space="preserve">Seleccione tipo de documento: </t>
    </r>
    <r>
      <rPr>
        <rFont val="Fira Sans Extra Condensed"/>
        <color theme="1"/>
        <sz val="10.0"/>
      </rPr>
      <t xml:space="preserve">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Panamá:  </t>
    </r>
    <r>
      <rPr>
        <rFont val="Fira Sans Extra Condensed"/>
        <color theme="1"/>
        <sz val="10.0"/>
      </rPr>
      <t xml:space="preserve">  Cédula de Identidad Personal
                   Cédula Juvenil
                   Pasaporte
                   Carné de Residente Permanente
                   Carné de Residente Temporal</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</si>
  <si>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</si>
  <si>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Costa Rica:</t>
    </r>
    <r>
      <rPr>
        <rFont val="Fira Sans Extra Condensed"/>
        <color theme="1"/>
        <sz val="10.0"/>
      </rPr>
      <t xml:space="preserve">  Cédula de Identidad
                     Tarjeta de Identidad de Menores (TIM)
                     Pasaporte
                     Cédula de Residencia
                     Cédula de Refugiado</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</si>
  <si>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</si>
  <si>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Honduras: </t>
    </r>
    <r>
      <rPr>
        <rFont val="Fira Sans Extra Condensed"/>
        <color theme="1"/>
        <sz val="10.0"/>
      </rPr>
      <t xml:space="preserve">   Tarjeta de Identidad Nacional
                     Tarjeta de Identidad de Menores
                     Pasaporte
                     Carné de Residencia
                     Otro (Permite ingresar caracteres alfanuméricos y caracteres especiales)</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</si>
  <si>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</si>
  <si>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Para Honduras</t>
    </r>
    <r>
      <rPr>
        <rFont val="Fira Sans Extra Condensed"/>
        <color theme="1"/>
        <sz val="10.0"/>
      </rPr>
      <t xml:space="preserve"> en caso que haya sido seleccionado el campo “otro” debe habilitar un espacio donde el usuario debe ingresar el nombre del usuario cómo fue creado en la Banca en línea de este país. 
</t>
    </r>
  </si>
  <si>
    <t>Visualización del botón 'Otro' y habilitar campo para digitar el nombre del usuario</t>
  </si>
  <si>
    <t>- sino ingresa el nombre del usuario no debe permitir continuar al siguiente paso y mostrar mensaje en pantalla indicando que el campo es obligatorio.
- Cliente con esquema administartivo Simple</t>
  </si>
  <si>
    <t>Visualización del botón 'Otro e ingreso de nombre de usuario exitoso</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</si>
  <si>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</si>
  <si>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El Salvador:  </t>
    </r>
    <r>
      <rPr>
        <rFont val="Fira Sans Extra Condensed"/>
        <color theme="1"/>
        <sz val="10.0"/>
      </rPr>
      <t>Documento Único de Identidad (DUI)
                      Pasaporte
                      Carné de Residente
                      Identificación Beneficiario</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</si>
  <si>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</si>
  <si>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Número identificación:</t>
    </r>
    <r>
      <rPr>
        <rFont val="Fira Sans Extra Condensed"/>
        <color theme="1"/>
        <sz val="10.0"/>
      </rPr>
      <t xml:space="preserve"> Campo alfanumérico.
</t>
    </r>
    <r>
      <rPr>
        <rFont val="Fira Sans Extra Condensed"/>
        <b/>
        <color theme="1"/>
        <sz val="10.0"/>
      </rPr>
      <t xml:space="preserve">Colombia: </t>
    </r>
    <r>
      <rPr>
        <rFont val="Fira Sans Extra Condensed"/>
        <color theme="1"/>
        <sz val="10.0"/>
      </rPr>
      <t xml:space="preserve">Longitud máxima de 10 dígitos.
</t>
    </r>
    <r>
      <rPr>
        <rFont val="Fira Sans Extra Condensed"/>
        <b/>
        <color theme="1"/>
        <sz val="10.0"/>
      </rPr>
      <t>Panamá:</t>
    </r>
    <r>
      <rPr>
        <rFont val="Fira Sans Extra Condensed"/>
        <color theme="1"/>
        <sz val="10.0"/>
      </rPr>
      <t xml:space="preserve"> Longitud máxima de 9 dígitos.
</t>
    </r>
    <r>
      <rPr>
        <rFont val="Fira Sans Extra Condensed"/>
        <b/>
        <color theme="1"/>
        <sz val="10.0"/>
      </rPr>
      <t>Costa Rica:</t>
    </r>
    <r>
      <rPr>
        <rFont val="Fira Sans Extra Condensed"/>
        <color theme="1"/>
        <sz val="10.0"/>
      </rPr>
      <t xml:space="preserve"> Longitud máxima de 12 dígitos.
</t>
    </r>
    <r>
      <rPr>
        <rFont val="Fira Sans Extra Condensed"/>
        <b/>
        <color theme="1"/>
        <sz val="10.0"/>
      </rPr>
      <t>Honduras:</t>
    </r>
    <r>
      <rPr>
        <rFont val="Fira Sans Extra Condensed"/>
        <color theme="1"/>
        <sz val="10.0"/>
      </rPr>
      <t xml:space="preserve"> Longitud máxima de 13 caraceres.
</t>
    </r>
    <r>
      <rPr>
        <rFont val="Fira Sans Extra Condensed"/>
        <b/>
        <color theme="1"/>
        <sz val="10.0"/>
      </rPr>
      <t xml:space="preserve">El Salvador: </t>
    </r>
    <r>
      <rPr>
        <rFont val="Fira Sans Extra Condensed"/>
        <color theme="1"/>
        <sz val="10.0"/>
      </rPr>
      <t>Longitud máxima de 9 dígitos.</t>
    </r>
  </si>
  <si>
    <t>Mostrar campo de número de identificación</t>
  </si>
  <si>
    <t>- La longitud del campo dependerá del tipo de documento seleccionado
- Cliente con esquema administartivo Simple</t>
  </si>
  <si>
    <t>Ingreso de número de identificación exitoso.</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</si>
  <si>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</si>
  <si>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Número identificación:</t>
    </r>
    <r>
      <rPr>
        <rFont val="Fira Sans Extra Condensed"/>
        <color theme="1"/>
        <sz val="10.0"/>
      </rPr>
      <t xml:space="preserve"> Campo alfanumérico.
Ingresar numero de identificación incorrecto</t>
    </r>
  </si>
  <si>
    <t>Mostrar mensaje de error y no continuar al siguiente paso.</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</si>
  <si>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</si>
  <si>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t xml:space="preserve">En caso que no encuentre coincidencias deberá mostrar en un pop up con el siguiente mensaje: “usuario no encontrado, verifique que los datos ingresados correspondan al del usuario registrado en banca en línea” seguido del botón de “aceptar” al dar clic debe borrar la información ingresada previamente y permite ingresar una nueva. </t>
  </si>
  <si>
    <t>Al realizar la búsqueda no encuentre coincidencias</t>
  </si>
  <si>
    <t>Mostrar mensaje en pantalla indicando el motivo del error y no continuará al siguiente paso.</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</si>
  <si>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</si>
  <si>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t>En caso que el usuario ya esté habilitado en el PER debe mostrar “ Usuario existente, Este usuario ya tiene un rol en el Módulo Regional.”</t>
  </si>
  <si>
    <t>Realizar búsqueda con usuario existente</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</si>
  <si>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</si>
  <si>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t xml:space="preserve">Posterior a ingresar el número del documento debe existir un botón que se llama “Continuar”; El Módulo regional debe comunicarse con las bancas locales y buscar coincidencias de acuerdo con la información ingresada. </t>
  </si>
  <si>
    <t>Al hacer clic en 'Continuar' deberá invocar a cada core y buscar coincidencias con el usuario.</t>
  </si>
  <si>
    <t>Búsqueda de usuario exitosa.</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</si>
  <si>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</si>
  <si>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Cuando la información ingresada encuentra coincidencia actualizará la pantalla mostrando la  información no editable y completa con la información del usuario buscado:
</t>
    </r>
    <r>
      <rPr>
        <rFont val="Fira Sans Extra Condensed"/>
        <b/>
        <color theme="1"/>
        <sz val="10.0"/>
      </rPr>
      <t xml:space="preserve">Título del Header: </t>
    </r>
    <r>
      <rPr>
        <rFont val="Fira Sans Extra Condensed"/>
        <color theme="1"/>
        <sz val="10.0"/>
      </rPr>
      <t xml:space="preserve">Configuración del usuario.
</t>
    </r>
    <r>
      <rPr>
        <rFont val="Fira Sans Extra Condensed"/>
        <b/>
        <color theme="1"/>
        <sz val="10.0"/>
      </rPr>
      <t>Botón regresar: Regresa</t>
    </r>
    <r>
      <rPr>
        <rFont val="Fira Sans Extra Condensed"/>
        <color theme="1"/>
        <sz val="10.0"/>
      </rPr>
      <t xml:space="preserve"> a la pantalla anterior. 
</t>
    </r>
    <r>
      <rPr>
        <rFont val="Fira Sans Extra Condensed"/>
        <b/>
        <color theme="1"/>
        <sz val="10.0"/>
      </rPr>
      <t xml:space="preserve">Texto: </t>
    </r>
    <r>
      <rPr>
        <rFont val="Fira Sans Extra Condensed"/>
        <color theme="1"/>
        <sz val="10.0"/>
      </rPr>
      <t>Ahora debe incluir los grupos a los que tendrá acceso este usuario y asignarle un rol.</t>
    </r>
  </si>
  <si>
    <t>Mostrar información del usuario</t>
  </si>
  <si>
    <t>Visualizar el detalle del usuario a adicionar</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</si>
  <si>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</si>
  <si>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 xml:space="preserve">Posterior el canal debe mostrar una opción con la información resumen del usuario así:
</t>
    </r>
    <r>
      <rPr>
        <rFont val="Fira Sans Extra Condensed"/>
        <color theme="1"/>
        <sz val="10.0"/>
      </rPr>
      <t xml:space="preserve">
</t>
    </r>
    <r>
      <rPr>
        <rFont val="Fira Sans Extra Condensed"/>
        <b/>
        <color theme="1"/>
        <sz val="10.0"/>
      </rPr>
      <t xml:space="preserve">Nombres y Apellidos: </t>
    </r>
    <r>
      <rPr>
        <rFont val="Fira Sans Extra Condensed"/>
        <color theme="1"/>
        <sz val="10.0"/>
      </rPr>
      <t xml:space="preserve">Se debe mostrar nombres y apellidos del usuario cómo fue creado en la Banca local.
</t>
    </r>
    <r>
      <rPr>
        <rFont val="Fira Sans Extra Condensed"/>
        <b/>
        <color theme="1"/>
        <sz val="10.0"/>
      </rPr>
      <t>País:</t>
    </r>
    <r>
      <rPr>
        <rFont val="Fira Sans Extra Condensed"/>
        <color theme="1"/>
        <sz val="10.0"/>
      </rPr>
      <t xml:space="preserve"> Se debe mostrar el nombre del país y la bandera del mismo seleccionado en el paso anterior.
</t>
    </r>
    <r>
      <rPr>
        <rFont val="Fira Sans Extra Condensed"/>
        <b/>
        <color theme="1"/>
        <sz val="10.0"/>
      </rPr>
      <t>Tipo de documento:</t>
    </r>
    <r>
      <rPr>
        <rFont val="Fira Sans Extra Condensed"/>
        <color theme="1"/>
        <sz val="10.0"/>
      </rPr>
      <t xml:space="preserve"> Se debe mostrar el tipo de identificación seleccionado en el paso anterior.
</t>
    </r>
    <r>
      <rPr>
        <rFont val="Fira Sans Extra Condensed"/>
        <b/>
        <color theme="1"/>
        <sz val="10.0"/>
      </rPr>
      <t>Número de documento:</t>
    </r>
    <r>
      <rPr>
        <rFont val="Fira Sans Extra Condensed"/>
        <color theme="1"/>
        <sz val="10.0"/>
      </rPr>
      <t xml:space="preserve"> Se debe mostrar el número de identificación seleccionado en el paso anterior.
</t>
    </r>
    <r>
      <rPr>
        <rFont val="Fira Sans Extra Condensed"/>
        <b/>
        <color theme="1"/>
        <sz val="10.0"/>
      </rPr>
      <t xml:space="preserve">Teléfono: </t>
    </r>
    <r>
      <rPr>
        <rFont val="Fira Sans Extra Condensed"/>
        <color theme="1"/>
        <sz val="10.0"/>
      </rPr>
      <t>Se debe mostrar cómo está registrado el número en el país origen, indicando al inicio el  Indicativo del país. El número podrá ser móvil o fijo.</t>
    </r>
  </si>
  <si>
    <t>Mostrar el detalle de la información del usuario de acuerdo a lo seleccionado en pasos anteriores</t>
  </si>
  <si>
    <t>- Cliente con esquema administartivo Simple
- Campos en formato lectura.
- Las posibles opciones de código de área de acuerdo al país:
Colombia: Código 57 - Número de Celular 10 dígitos  / Teléfonos Fijos 7 dígitos
Panamá:  Código 507 - Número de Celular 8 Dígitos / Teléfonos Fijos 7 dígitos
Costa Rica: Código 506 - Número de Celular 8 Dígitos / Teléfonos Fijos 8 dígitos
Honduras: Código 504 - Número de Celular 8 Dígitos / Teléfonos Fijos 8 dígitos
El Salvador:  Código 503 - Número de Celular 8 Dígitos / Teléfonos Fijos 8 dígitos</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</si>
  <si>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</si>
  <si>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 xml:space="preserve">Sección “Grupo de productos”: </t>
    </r>
    <r>
      <rPr>
        <rFont val="Fira Sans Extra Condensed"/>
        <color theme="1"/>
        <sz val="10.0"/>
      </rPr>
      <t xml:space="preserve">Se debe mostrar una opción que le permita al usuario asignar los grupos de productos a los cuales el usuario tendrá acceso una vez habilitado. 
- El detalle de la asignación se encuentra en el criterio 4 de esta Historia de usuario. </t>
    </r>
  </si>
  <si>
    <t>Mostrar opción para asignar de grupos de productos a usuario</t>
  </si>
  <si>
    <t>formato lectura
- Cliente con esquema administartivo Simple</t>
  </si>
  <si>
    <t>Opción 'Grupo de productos' se muestre habilitada.</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</si>
  <si>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</si>
  <si>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Sección “Roles”:</t>
    </r>
    <r>
      <rPr>
        <rFont val="Fira Sans Extra Condensed"/>
        <color theme="1"/>
        <sz val="10.0"/>
      </rPr>
      <t xml:space="preserve"> Se debe mostrar una opción que le permita al usuario asignar el rol que el usuario tendrá dentro del módulo regional los detalles de esta asignación se encuentran en el criterio 5 de esta historia de usuario.</t>
    </r>
  </si>
  <si>
    <t>Mostrar opción para asignar los roles al usuario</t>
  </si>
  <si>
    <t>Opción 'Roles' se muestre habilitada.</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</si>
  <si>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</si>
  <si>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Elemento “Crear rol”</t>
    </r>
    <r>
      <rPr>
        <rFont val="Fira Sans Extra Condensed"/>
        <color theme="1"/>
        <sz val="10.0"/>
      </rPr>
      <t xml:space="preserve">: Este elemento únicamente se habilita una vez que el usuario haya seleccionado al menos un grupo de productos y haya asignado el rol confirmando las funcionalidades que requiere. </t>
    </r>
  </si>
  <si>
    <t>Mostrar botón 'Crear Rol'</t>
  </si>
  <si>
    <t>Mostrar activo el elemento de 'Crear Rol'</t>
  </si>
  <si>
    <t>Criterio 4 - Selección Grupo de Productos</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</si>
  <si>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</si>
  <si>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Se debe mostrar un elemento que permita seleccionar un grupo de productos creado previamente. 
</t>
    </r>
    <r>
      <rPr>
        <rFont val="Fira Sans Extra Condensed"/>
        <b/>
        <color theme="1"/>
        <sz val="10.0"/>
      </rPr>
      <t>Subtítulo:</t>
    </r>
    <r>
      <rPr>
        <rFont val="Fira Sans Extra Condensed"/>
        <color theme="1"/>
        <sz val="10.0"/>
      </rPr>
      <t xml:space="preserve"> Grupo de Productos
</t>
    </r>
    <r>
      <rPr>
        <rFont val="Fira Sans Extra Condensed"/>
        <b/>
        <color theme="1"/>
        <sz val="10.0"/>
      </rPr>
      <t xml:space="preserve">Texto: </t>
    </r>
    <r>
      <rPr>
        <rFont val="Fira Sans Extra Condensed"/>
        <color theme="1"/>
        <sz val="10.0"/>
      </rPr>
      <t xml:space="preserve">El usuario podrá acceder a los grupos de productos en donde haya sido agregado. </t>
    </r>
  </si>
  <si>
    <t>Acceder a los grupos de productos previamente creados</t>
  </si>
  <si>
    <t>Usuario a crear debe existir y estar marcado en en CC local</t>
  </si>
  <si>
    <r>
      <rPr>
        <rFont val="Fira Sans Extra Condensed"/>
        <color theme="1"/>
        <sz val="10.0"/>
      </rPr>
      <t xml:space="preserve">Si el usuario no posee ningun grupo de productos deberá mostrar el siguiente mensaje
</t>
    </r>
    <r>
      <rPr>
        <rFont val="Fira Sans Extra Condensed"/>
        <b/>
        <color theme="1"/>
        <sz val="10.0"/>
      </rPr>
      <t>Texto:</t>
    </r>
    <r>
      <rPr>
        <rFont val="Fira Sans Extra Condensed"/>
        <color theme="1"/>
        <sz val="10.0"/>
      </rPr>
      <t xml:space="preserve"> Este usuario no tiene grupos. Por favor, agréguelos. </t>
    </r>
  </si>
  <si>
    <t>Gestionar usuario que no posea ningun grupo de producto asignado y muestre mensaje de error indicando el motivo</t>
  </si>
  <si>
    <t>- Usuario no posea grupos de productos asignados
- Cliente con esquema administartivo Simple</t>
  </si>
  <si>
    <t>Validación de mensaje de error si el usuario no posee grupo de productos asignados</t>
  </si>
  <si>
    <r>
      <rPr>
        <rFont val="Fira Sans Extra Condensed"/>
        <b/>
        <color theme="1"/>
        <sz val="10.0"/>
      </rPr>
      <t xml:space="preserve">Botón “agregar”: </t>
    </r>
    <r>
      <rPr>
        <rFont val="Fira Sans Extra Condensed"/>
        <color theme="1"/>
        <sz val="10.0"/>
      </rPr>
      <t xml:space="preserve">Botón habilitado una vez el usuario de clic, actualizará la pantalla y el usuario tendrá la opción de seleccionar uno, varios o todos los grupos de productos creados, se presentarán los grupos de productos creados previamente.
En la parte superior de la consulta en los resultados se deben mostrar los grupos marcados como “destacados”, la información que permite visualizar es: 
</t>
    </r>
    <r>
      <rPr>
        <rFont val="Fira Sans Extra Condensed"/>
        <b/>
        <color theme="1"/>
        <sz val="10.0"/>
      </rPr>
      <t>Título del Header:</t>
    </r>
    <r>
      <rPr>
        <rFont val="Fira Sans Extra Condensed"/>
        <color theme="1"/>
        <sz val="10.0"/>
      </rPr>
      <t xml:space="preserve"> Elección de los grupos de productos 
</t>
    </r>
    <r>
      <rPr>
        <rFont val="Fira Sans Extra Condensed"/>
        <b/>
        <color theme="1"/>
        <sz val="10.0"/>
      </rPr>
      <t>Botón regresar:</t>
    </r>
    <r>
      <rPr>
        <rFont val="Fira Sans Extra Condensed"/>
        <color theme="1"/>
        <sz val="10.0"/>
      </rPr>
      <t xml:space="preserve"> Al dar clic regresa a la pantalla anterior. 
</t>
    </r>
    <r>
      <rPr>
        <rFont val="Fira Sans Extra Condensed"/>
        <b/>
        <color theme="1"/>
        <sz val="10.0"/>
      </rPr>
      <t>Texto:</t>
    </r>
    <r>
      <rPr>
        <rFont val="Fira Sans Extra Condensed"/>
        <color theme="1"/>
        <sz val="10.0"/>
      </rPr>
      <t xml:space="preserve"> Aquí puede agregar los grupos a los que tendrá acceso este usuario. Para facilitar su gestión, puede usar el buscador o los filtros presentados. </t>
    </r>
  </si>
  <si>
    <t>Selección de grupos de productos</t>
  </si>
  <si>
    <t>- Para continuar al siguiente paso, debe seleccionar al menos un grupo de productos.
- Cliente con esquema administartivo Simple</t>
  </si>
  <si>
    <t>Selección de 1 o todos los grupos de productos.</t>
  </si>
  <si>
    <t>Usuario a crear tenga seleccionado grupo de productos.</t>
  </si>
  <si>
    <r>
      <rPr>
        <rFont val="Fira Sans Extra Condensed"/>
        <b/>
        <color theme="1"/>
        <sz val="10.0"/>
      </rPr>
      <t xml:space="preserve">4.1 Resultado: 
Checkbox: </t>
    </r>
    <r>
      <rPr>
        <rFont val="Fira Sans Extra Condensed"/>
        <color theme="1"/>
        <sz val="10.0"/>
      </rPr>
      <t>Se mostrará al inicio de cada grupo de productos un checkbox, el cual permite seleccionar al usuario el grupo que desea agregar al usuario que se está habilitando.</t>
    </r>
  </si>
  <si>
    <t>Asignación de grupo de productos a usuario a crear</t>
  </si>
  <si>
    <t xml:space="preserve">- Cliente con esquema administartivo Simple
</t>
  </si>
  <si>
    <t>Seleccionar grupos de productos</t>
  </si>
  <si>
    <t>Grupo de productos debe estar previamente creado</t>
  </si>
  <si>
    <r>
      <rPr>
        <rFont val="Fira Sans Extra Condensed"/>
        <b/>
        <color theme="1"/>
        <sz val="10.0"/>
      </rPr>
      <t xml:space="preserve">Nombre grupo de productos: </t>
    </r>
    <r>
      <rPr>
        <rFont val="Fira Sans Extra Condensed"/>
        <color theme="1"/>
        <sz val="10.0"/>
      </rPr>
      <t xml:space="preserve">Se debe mostrar el nombre con el que se creó  grupo, ejemplo: “Tesorería Honduras” en caso que el grupo de productos haya sido marcado como “destacado” una estrella debe aparecer al lado del nombre.
</t>
    </r>
    <r>
      <rPr>
        <rFont val="Fira Sans Extra Condensed"/>
        <b/>
        <color theme="1"/>
        <sz val="10.0"/>
      </rPr>
      <t>País:</t>
    </r>
    <r>
      <rPr>
        <rFont val="Fira Sans Extra Condensed"/>
        <color theme="1"/>
        <sz val="10.0"/>
      </rPr>
      <t xml:space="preserve"> El canal debe mostrar las banderas de los productos que se encuentran incluidos en el grupo. 
</t>
    </r>
    <r>
      <rPr>
        <rFont val="Fira Sans Extra Condensed"/>
        <b/>
        <color theme="1"/>
        <sz val="10.0"/>
      </rPr>
      <t xml:space="preserve">Empresas: </t>
    </r>
    <r>
      <rPr>
        <rFont val="Fira Sans Extra Condensed"/>
        <color theme="1"/>
        <sz val="10.0"/>
      </rPr>
      <t>se deben visualizar el número de las empresas asociadas al grupo de productos.</t>
    </r>
  </si>
  <si>
    <t>Mostrar información de los grupos de productos</t>
  </si>
  <si>
    <t>- Campos en formato lectura.
- Cliente con esquema administartivo Simple</t>
  </si>
  <si>
    <t>Visualizar información de los grupos de productos creados previamente.</t>
  </si>
  <si>
    <r>
      <rPr>
        <rFont val="Fira Sans Extra Condensed"/>
        <b/>
        <color theme="1"/>
        <sz val="10.0"/>
      </rPr>
      <t xml:space="preserve">Quick action - Detallar: </t>
    </r>
    <r>
      <rPr>
        <rFont val="Fira Sans Extra Condensed"/>
        <color theme="1"/>
        <sz val="10.0"/>
      </rPr>
      <t xml:space="preserve">Al dar clic en esta opción se debe visualizar de manera detallada el resumen del grupo de producto seleccionado, mostrando en la parte superior el nombre del grupo, y en la parte inferior el detalle de los productos asignados al grupo por tipo de producto (Para el MVP únicamente se mostrará cuentas ahorros y corriente) con la siguiente información del producto: 
</t>
    </r>
    <r>
      <rPr>
        <rFont val="Fira Sans Extra Condensed"/>
        <b/>
        <color theme="1"/>
        <sz val="10.0"/>
      </rPr>
      <t>País</t>
    </r>
    <r>
      <rPr>
        <rFont val="Fira Sans Extra Condensed"/>
        <color theme="1"/>
        <sz val="10.0"/>
      </rPr>
      <t xml:space="preserve"> (con la bandera del país al que pertenece y las iniciales del mismo), 
</t>
    </r>
    <r>
      <rPr>
        <rFont val="Fira Sans Extra Condensed"/>
        <b/>
        <color theme="1"/>
        <sz val="10.0"/>
      </rPr>
      <t>Empresa</t>
    </r>
    <r>
      <rPr>
        <rFont val="Fira Sans Extra Condensed"/>
        <color theme="1"/>
        <sz val="10.0"/>
      </rPr>
      <t xml:space="preserve"> (Nombre de la empresa a la que pertenece el producto), 
</t>
    </r>
    <r>
      <rPr>
        <rFont val="Fira Sans Extra Condensed"/>
        <b/>
        <color theme="1"/>
        <sz val="10.0"/>
      </rPr>
      <t>Alias</t>
    </r>
    <r>
      <rPr>
        <rFont val="Fira Sans Extra Condensed"/>
        <color theme="1"/>
        <sz val="10.0"/>
      </rPr>
      <t xml:space="preserve"> (Nombre asignado a la cuenta) 
</t>
    </r>
    <r>
      <rPr>
        <rFont val="Fira Sans Extra Condensed"/>
        <b/>
        <color theme="1"/>
        <sz val="10.0"/>
      </rPr>
      <t xml:space="preserve">Número de producto </t>
    </r>
    <r>
      <rPr>
        <rFont val="Fira Sans Extra Condensed"/>
        <color theme="1"/>
        <sz val="10.0"/>
      </rPr>
      <t>(se mostrará de manera enmascarada el número del producto, visualizando únicamente los últimos 4 dígitos)</t>
    </r>
  </si>
  <si>
    <t>Ingresar al detalle del grupo de producto</t>
  </si>
  <si>
    <t>Visualizar el detalle completo del grupo de producto consultado.</t>
  </si>
  <si>
    <r>
      <rPr>
        <rFont val="Fira Sans Extra Condensed"/>
        <b/>
        <color theme="1"/>
        <sz val="10.0"/>
      </rPr>
      <t xml:space="preserve">En la parte inferior se deben habilitar los siguientes botones:
4.2 Elemento “Buscar”:
</t>
    </r>
    <r>
      <rPr>
        <rFont val="Fira Sans Extra Condensed"/>
        <color theme="1"/>
        <sz val="10.0"/>
      </rPr>
      <t xml:space="preserve">
Al dar clic se debe habilitar una barra de búsqueda que permite al usuario ingresar el nombre del Grupo de producto, el canal debe actualizar los resultados de búsqueda teniendo en cuenta el texto ingresado.
- Se debe habilitar un botón de “cancelar” en caso que el usuario quiera eliminar esta búsqueda.</t>
    </r>
  </si>
  <si>
    <t>Habilitar campo de búsqueda en donde se permita realizar búsqueda del grupo de productos</t>
  </si>
  <si>
    <t xml:space="preserve">Realizar búsqueda de grupo de producto  ingresando un texto que no encuentre coincidencia el canal debe mostrar “La búsqueda de (texto ingresado) no presenta resultados.”
</t>
  </si>
  <si>
    <t>Mostrar mensaje de error cuando no encuentre conincidencia con el texto ingresado para la bpusqueda o cuando el grupo de producto no existe.</t>
  </si>
  <si>
    <t>Validación de mensaje de error de acuerdo al catálogo de errores.</t>
  </si>
  <si>
    <r>
      <rPr>
        <rFont val="Fira Sans Extra Condensed"/>
        <b/>
        <color theme="1"/>
        <sz val="10.0"/>
      </rPr>
      <t>4.3 Elemento para “Filtrar”:</t>
    </r>
    <r>
      <rPr>
        <rFont val="Fira Sans Extra Condensed"/>
        <color theme="1"/>
        <sz val="10.0"/>
      </rPr>
      <t xml:space="preserve">
Debe contar con un elemento que permite  buscar grupos con filtros específicos, al dar clic sobre el texto se sobrepone en la pantalla  la información detallando los filtros que se podrán aplicar para la búsqueda de productos así:
</t>
    </r>
    <r>
      <rPr>
        <rFont val="Fira Sans Extra Condensed"/>
        <b/>
        <color theme="1"/>
        <sz val="10.0"/>
      </rPr>
      <t xml:space="preserve">Título: </t>
    </r>
    <r>
      <rPr>
        <rFont val="Fira Sans Extra Condensed"/>
        <color theme="1"/>
        <sz val="10.0"/>
      </rPr>
      <t xml:space="preserve">Filtrar
</t>
    </r>
    <r>
      <rPr>
        <rFont val="Fira Sans Extra Condensed"/>
        <b/>
        <color theme="1"/>
        <sz val="10.0"/>
      </rPr>
      <t xml:space="preserve">Botón “x”: </t>
    </r>
    <r>
      <rPr>
        <rFont val="Fira Sans Extra Condensed"/>
        <color theme="1"/>
        <sz val="10.0"/>
      </rPr>
      <t xml:space="preserve">Regresa a la pantalla anterior. </t>
    </r>
  </si>
  <si>
    <t>Realizar búsqueda de gruposde productos por medio de filtros</t>
  </si>
  <si>
    <t>-Campos en formato lectura
- Cliente con esquema administartivo Simple</t>
  </si>
  <si>
    <t>Visualizar elemento para realizar búsqueda de grupo de producto por medio de filtros</t>
  </si>
  <si>
    <r>
      <rPr>
        <rFont val="Fira Sans Extra Condensed"/>
        <b/>
        <color theme="1"/>
        <sz val="10.0"/>
      </rPr>
      <t xml:space="preserve">Texto: Aplique las opciones de filtrado que desea:
4.3.1  Países: </t>
    </r>
    <r>
      <rPr>
        <rFont val="Fira Sans Extra Condensed"/>
        <color theme="1"/>
        <sz val="10.0"/>
      </rPr>
      <t>permite seleccionar uno o todos los países, la opción que aquí se muestre dependerá de donde el grupo tenga presencia mostrando únicamente los países donde tiene productos.</t>
    </r>
  </si>
  <si>
    <t>Permitir realizar búsqueda por medio de campo país filtro</t>
  </si>
  <si>
    <t>Búsqueda por medio del filtro de campo país.</t>
  </si>
  <si>
    <r>
      <rPr>
        <rFont val="Fira Sans Extra Condensed"/>
        <b/>
        <color theme="1"/>
        <sz val="10.0"/>
      </rPr>
      <t>4.3.2 Empresa:</t>
    </r>
    <r>
      <rPr>
        <rFont val="Fira Sans Extra Condensed"/>
        <color theme="1"/>
        <sz val="10.0"/>
      </rPr>
      <t xml:space="preserve"> Permite seleccionar una o todas las empresas del grupo de acuerdo a la selección de empresas que conforman el grupo de productos. </t>
    </r>
  </si>
  <si>
    <t>Permitir realizar búsqueda por medio de campo filtro empresa</t>
  </si>
  <si>
    <t>Búsqueda por medio del filtro de campo empresa.</t>
  </si>
  <si>
    <t>Haber utilizado al menos un filtro de búsqueda</t>
  </si>
  <si>
    <r>
      <rPr>
        <rFont val="Fira Sans Extra Condensed"/>
        <b/>
        <color theme="1"/>
        <sz val="10.0"/>
      </rPr>
      <t xml:space="preserve">En la parte inferior deben estar las opciones: “Borrar” y “aplicar” 
</t>
    </r>
    <r>
      <rPr>
        <rFont val="Fira Sans Extra Condensed"/>
        <color theme="1"/>
        <sz val="10.0"/>
      </rPr>
      <t xml:space="preserve">
</t>
    </r>
    <r>
      <rPr>
        <rFont val="Fira Sans Extra Condensed"/>
        <b/>
        <color theme="1"/>
        <sz val="10.0"/>
      </rPr>
      <t xml:space="preserve">Botón “Borrar": </t>
    </r>
    <r>
      <rPr>
        <rFont val="Fira Sans Extra Condensed"/>
        <color theme="1"/>
        <sz val="10.0"/>
      </rPr>
      <t xml:space="preserve">al dar clic debe eliminar los filtros de búsqueda ingresados por el usuario. </t>
    </r>
  </si>
  <si>
    <t xml:space="preserve">Eliminar los datos ingresados en los campos de búsqueda </t>
  </si>
  <si>
    <t>Campos de filtros utilizados quedarán en blanco</t>
  </si>
  <si>
    <r>
      <rPr>
        <rFont val="Fira Sans Extra Condensed"/>
        <b/>
        <color theme="1"/>
        <sz val="10.0"/>
      </rPr>
      <t>Botón “Aplicar”:</t>
    </r>
    <r>
      <rPr>
        <rFont val="Fira Sans Extra Condensed"/>
        <color theme="1"/>
        <sz val="10.0"/>
      </rPr>
      <t xml:space="preserve"> Al dar clic el canal actualiza la pantalla donde muestra los grupos de productos, mostrando como resultado únicamente los grupos que cumplan con los criterios buscados. 
- En caso que el usuario requiera  seleccionar o eliminar alguna selección podrá aplicar la novedad de manera manual. 
- En la parte superior del resultado se debe mostrar el nombre del filtro aplicado y una opción en el mismo texto que permita “eliminar” el filtro.</t>
    </r>
  </si>
  <si>
    <t>Hacer clic en el botón aplicar y realizar búsqueda de acuerdo a los filtros utilizados.</t>
  </si>
  <si>
    <t>Visualizar los grupos de productos de acuerdo al filtro utilziado.</t>
  </si>
  <si>
    <t xml:space="preserve">Adicional se debe habilitar el elemento de “borrar filtros” al dar clic elimina todos los filtros aplicados. </t>
  </si>
  <si>
    <t>Al hacer clic en borrar filtros eliminará la información ingresada por el usuario.</t>
  </si>
  <si>
    <t>Eliminar la información ingresada por el usuario en los campos de filtros.</t>
  </si>
  <si>
    <t>Búsqueda de grupo de producto inexistente</t>
  </si>
  <si>
    <t>Mostrar mensaje de error de acuerdo al catálogo de errores y no mostrar resultados.</t>
  </si>
  <si>
    <r>
      <rPr>
        <rFont val="Fira Sans Extra Condensed"/>
        <b/>
        <color theme="1"/>
        <sz val="10.0"/>
      </rPr>
      <t xml:space="preserve">Botón “Agregar Grupos": </t>
    </r>
    <r>
      <rPr>
        <rFont val="Fira Sans Extra Condensed"/>
        <color theme="1"/>
        <sz val="10.0"/>
      </rPr>
      <t xml:space="preserve">
Al hacer clic en el botón 'Agregar Grupos' muestra lo siguiente:
La pantalla se actualizará mostrando los grupos de productos seleccionados manteniendo las mismas características de visualización de detalle general de la asignación del rol del usuario, en la parte superior la información personal del usuario, la secciones de roles y grupo de productos.
</t>
    </r>
    <r>
      <rPr>
        <rFont val="Fira Sans Extra Condensed"/>
        <b/>
        <color theme="1"/>
        <sz val="10.0"/>
      </rPr>
      <t xml:space="preserve">Una vez seleccionado(s) y confirmados los grupos de productos se actualiza la pantalla e informa:
</t>
    </r>
    <r>
      <rPr>
        <rFont val="Fira Sans Extra Condensed"/>
        <color theme="1"/>
        <sz val="10.0"/>
      </rPr>
      <t xml:space="preserve">
Número de grupos agregados
Número y países que fueron agregados, se muestra colapsado al dar clic permite ver el nombre de los países.
Número de empresas asignadas, se muestra colapsado al dar clic permite ver el nombre de las empresas
Número de total de productos asignados al usuario, </t>
    </r>
  </si>
  <si>
    <t>Visualizar los grupos de productos seleccionados, posterior al hacer clic en el botón agregar</t>
  </si>
  <si>
    <t>Este botón únicamente se habilita si el usuario selecciona al menos un grupo de productos.
- Cliente con esquema administartivo Simple</t>
  </si>
  <si>
    <t xml:space="preserve">El canal debe aplicar los grupos al usuario que se está habilitando. 
</t>
  </si>
  <si>
    <t xml:space="preserve">Criterio 5 - Selección de Rol
</t>
  </si>
  <si>
    <t>Haber agregado al menos un grupo de producto.</t>
  </si>
  <si>
    <r>
      <rPr>
        <rFont val="Fira Sans Extra Condensed"/>
        <color theme="1"/>
        <sz val="10.0"/>
      </rPr>
      <t xml:space="preserve">El usuario administrador deberá asignar el rol del usuario dentro del módulo regional por lo anterior el canal debe presentar el siguiente mensaje: </t>
    </r>
    <r>
      <rPr>
        <rFont val="Fira Sans Extra Condensed"/>
        <b/>
        <color theme="1"/>
        <sz val="10.0"/>
      </rPr>
      <t>“Asigne el tipo de rol y permisos que tendrá el usuario dentro del módulo regional”</t>
    </r>
    <r>
      <rPr>
        <rFont val="Fira Sans Extra Condensed"/>
        <color theme="1"/>
        <sz val="10.0"/>
      </rPr>
      <t xml:space="preserve"> en la parte inferior se deben habilitar lo siguiente:
</t>
    </r>
    <r>
      <rPr>
        <rFont val="Fira Sans Extra Condensed"/>
        <b/>
        <color theme="1"/>
        <sz val="10.0"/>
      </rPr>
      <t xml:space="preserve">Título: </t>
    </r>
    <r>
      <rPr>
        <rFont val="Fira Sans Extra Condensed"/>
        <color theme="1"/>
        <sz val="10.0"/>
      </rPr>
      <t xml:space="preserve">Asignación de rol.
</t>
    </r>
    <r>
      <rPr>
        <rFont val="Fira Sans Extra Condensed"/>
        <b/>
        <color theme="1"/>
        <sz val="10.0"/>
      </rPr>
      <t>Elemento para regresar:</t>
    </r>
    <r>
      <rPr>
        <rFont val="Fira Sans Extra Condensed"/>
        <color theme="1"/>
        <sz val="10.0"/>
      </rPr>
      <t xml:space="preserve"> Al dar clic lleva a la pantalla anterior. 
</t>
    </r>
    <r>
      <rPr>
        <rFont val="Fira Sans Extra Condensed"/>
        <b/>
        <color theme="1"/>
        <sz val="10.0"/>
      </rPr>
      <t xml:space="preserve">Descripción: </t>
    </r>
    <r>
      <rPr>
        <rFont val="Fira Sans Extra Condensed"/>
        <color theme="1"/>
        <sz val="10.0"/>
      </rPr>
      <t xml:space="preserve">Aquí decidirá los permisos que este usuario tendrá dentro del Módulo Regional.
</t>
    </r>
  </si>
  <si>
    <t>Indicar al usuario que debe asignar un rol al usuario que se está creando.</t>
  </si>
  <si>
    <t>Visualizar mensaje informativo de asignación de rol a usuario.</t>
  </si>
  <si>
    <r>
      <rPr>
        <rFont val="Fira Sans Extra Condensed"/>
        <color theme="1"/>
        <sz val="10.0"/>
      </rPr>
      <t xml:space="preserve">Se debe mostrar una lista desplegable con las siguientes opciones:
</t>
    </r>
    <r>
      <rPr>
        <rFont val="Fira Sans Extra Condensed"/>
        <b/>
        <color theme="1"/>
        <sz val="10.0"/>
      </rPr>
      <t xml:space="preserve">Texto: </t>
    </r>
    <r>
      <rPr>
        <rFont val="Fira Sans Extra Condensed"/>
        <color theme="1"/>
        <sz val="10.0"/>
      </rPr>
      <t xml:space="preserve">Seleccione un rol
</t>
    </r>
    <r>
      <rPr>
        <rFont val="Fira Sans Extra Condensed"/>
        <b/>
        <color theme="1"/>
        <sz val="10.0"/>
      </rPr>
      <t xml:space="preserve">Opciones de listas desplegables: </t>
    </r>
    <r>
      <rPr>
        <rFont val="Fira Sans Extra Condensed"/>
        <color theme="1"/>
        <sz val="10.0"/>
      </rPr>
      <t xml:space="preserve">
</t>
    </r>
    <r>
      <rPr>
        <rFont val="Fira Sans Extra Condensed"/>
        <b/>
        <color theme="1"/>
        <sz val="10.0"/>
      </rPr>
      <t>Administración:</t>
    </r>
    <r>
      <rPr>
        <rFont val="Fira Sans Extra Condensed"/>
        <color theme="1"/>
        <sz val="10.0"/>
      </rPr>
      <t xml:space="preserve">
Descripción:  Administrar el módulo regional, consultar productos y de acuerdo a los permisos asignados realizar transferencias y autorizaciones.
</t>
    </r>
    <r>
      <rPr>
        <rFont val="Fira Sans Extra Condensed"/>
        <b/>
        <color theme="1"/>
        <sz val="10.0"/>
      </rPr>
      <t xml:space="preserve">Consulta: </t>
    </r>
    <r>
      <rPr>
        <rFont val="Fira Sans Extra Condensed"/>
        <color theme="1"/>
        <sz val="10.0"/>
      </rPr>
      <t xml:space="preserve">
Descripción: Visualizar la información de los productos, destinos y transferencias de acuerdo a los permisos asignados. 
</t>
    </r>
    <r>
      <rPr>
        <rFont val="Fira Sans Extra Condensed"/>
        <b/>
        <color theme="1"/>
        <sz val="10.0"/>
      </rPr>
      <t xml:space="preserve">
Preparación:</t>
    </r>
    <r>
      <rPr>
        <rFont val="Fira Sans Extra Condensed"/>
        <color theme="1"/>
        <sz val="10.0"/>
      </rPr>
      <t xml:space="preserve">  
Descripción: Crea y consultar transacciones de acuerdo a los permisos asignados. 
</t>
    </r>
    <r>
      <rPr>
        <rFont val="Fira Sans Extra Condensed"/>
        <b/>
        <color theme="1"/>
        <sz val="10.0"/>
      </rPr>
      <t xml:space="preserve">Aprobación: 
</t>
    </r>
    <r>
      <rPr>
        <rFont val="Fira Sans Extra Condensed"/>
        <color theme="1"/>
        <sz val="10.0"/>
      </rPr>
      <t>Descripción: Aprobar transacciones de acuerdo a los permisos asignados.</t>
    </r>
  </si>
  <si>
    <t>Seleccionar opciones de rol para el usuario</t>
  </si>
  <si>
    <t>- Selección de al menos una opción
- Cliente con esquema administartivo Simple</t>
  </si>
  <si>
    <t>Selección de rol de forma exitosa.</t>
  </si>
  <si>
    <t>No seleccionar ninguna de las opciones de roles</t>
  </si>
  <si>
    <t>Mostrar mensaje de error indicando que debe seleccionar una opción de rol</t>
  </si>
  <si>
    <t>Mostrará mensaje de error indicando que debe seleccionar una opción y no continuar al siguiente paso.</t>
  </si>
  <si>
    <r>
      <rPr>
        <rFont val="Fira Sans Extra Condensed"/>
        <b/>
        <color theme="1"/>
        <sz val="10.0"/>
      </rPr>
      <t xml:space="preserve">Botón Regresar: </t>
    </r>
    <r>
      <rPr>
        <rFont val="Fira Sans Extra Condensed"/>
        <color theme="1"/>
        <sz val="10.0"/>
      </rPr>
      <t>Al dar clic sobre esta opción el canal debe llevar a la pantalla anterior:</t>
    </r>
  </si>
  <si>
    <t>Mostrar habilitado botón de 'Regresar'</t>
  </si>
  <si>
    <t>Acceso al botón de 'Regresar' y retornar al paso anterior.</t>
  </si>
  <si>
    <t xml:space="preserve">Criterio 6 - Transacciones permitidas de acuerdo al Rol </t>
  </si>
  <si>
    <t>Usuario a crear posea rol de consulta asignado previamente</t>
  </si>
  <si>
    <r>
      <rPr>
        <rFont val="Fira Sans Extra Condensed"/>
        <color theme="1"/>
        <sz val="10.0"/>
      </rPr>
      <t xml:space="preserve">Se debe incluir un checkbox que permita seleccionar las funcionalidades así:
</t>
    </r>
    <r>
      <rPr>
        <rFont val="Fira Sans Extra Condensed"/>
        <b/>
        <color theme="1"/>
        <sz val="10.0"/>
      </rPr>
      <t xml:space="preserve">Rol Consulta:
</t>
    </r>
    <r>
      <rPr>
        <rFont val="Fira Sans Extra Condensed"/>
        <color theme="1"/>
        <sz val="10.0"/>
      </rPr>
      <t xml:space="preserve">
</t>
    </r>
    <r>
      <rPr>
        <rFont val="Fira Sans Extra Condensed"/>
        <b/>
        <color theme="1"/>
        <sz val="10.0"/>
      </rPr>
      <t>Consulta de Productos:</t>
    </r>
    <r>
      <rPr>
        <rFont val="Fira Sans Extra Condensed"/>
        <color theme="1"/>
        <sz val="10.0"/>
      </rPr>
      <t xml:space="preserve"> Predeterminado
</t>
    </r>
    <r>
      <rPr>
        <rFont val="Fira Sans Extra Condensed"/>
        <b/>
        <color theme="1"/>
        <sz val="10.0"/>
      </rPr>
      <t>Descripción</t>
    </r>
    <r>
      <rPr>
        <rFont val="Fira Sans Extra Condensed"/>
        <color theme="1"/>
        <sz val="10.0"/>
      </rPr>
      <t>: Consulta la información consolidada y los detalles de los productos, visualiza movimientos y descarga estados de cuenta.</t>
    </r>
  </si>
  <si>
    <t xml:space="preserve">- Una vez seleccionado el rol, el canal actualizará y mostrará las funcionalidades que el usuario podrá realizar según el rol seleccionado. 
- El canal debe permitir seleccionar una, varias o todas las funcionales disponibles de acuerdo al rol, </t>
  </si>
  <si>
    <t>- Cliente con esquema administartivo Simple
- El usuario debe tener al menos una funcionalidad asignada.
- El Rol del usuario puede ser editado en cualquier momento. 
- Este rol únicamente debe permitir asignar las “funcionalidades” descritas anteriormente.</t>
  </si>
  <si>
    <t>- Selección de funcionalidades de forma exitosa.
- El usuario solo podrá consultar la información consolidada y los detalles de los productos, visualiza movimientos y descarga estados de cuenta.</t>
  </si>
  <si>
    <r>
      <rPr>
        <rFont val="Fira Sans Extra Condensed"/>
        <b/>
        <color theme="1"/>
        <sz val="10.0"/>
      </rPr>
      <t>Rol Consulta:</t>
    </r>
    <r>
      <rPr>
        <rFont val="Fira Sans Extra Condensed"/>
        <color theme="1"/>
        <sz val="10.0"/>
      </rPr>
      <t xml:space="preserve">
</t>
    </r>
    <r>
      <rPr>
        <rFont val="Fira Sans Extra Condensed"/>
        <b/>
        <color theme="1"/>
        <sz val="10.0"/>
      </rPr>
      <t>Destinos Autorizados Regionales</t>
    </r>
    <r>
      <rPr>
        <rFont val="Fira Sans Extra Condensed"/>
        <color theme="1"/>
        <sz val="10.0"/>
      </rPr>
      <t xml:space="preserve">: Opcional, permite al usuario Administrador seleccionar si requiere que el usuario tenga este tipo de consultas. 
</t>
    </r>
    <r>
      <rPr>
        <rFont val="Fira Sans Extra Condensed"/>
        <b/>
        <color theme="1"/>
        <sz val="10.0"/>
      </rPr>
      <t>Descripción</t>
    </r>
    <r>
      <rPr>
        <rFont val="Fira Sans Extra Condensed"/>
        <color theme="1"/>
        <sz val="10.0"/>
      </rPr>
      <t>: Consulta los diferentes destinos autorizados.</t>
    </r>
  </si>
  <si>
    <t>- Selección de funcionalidades de forma exitosa.
- El usuario podrá consultar la información consolidada, los detalles de los productos, visualizar movimientos, descarga estados de cuenta y consultar destinos autorizados</t>
  </si>
  <si>
    <r>
      <rPr>
        <rFont val="Fira Sans Extra Condensed"/>
        <b/>
        <color theme="1"/>
        <sz val="10.0"/>
      </rPr>
      <t xml:space="preserve">Rol Consulta:
</t>
    </r>
    <r>
      <rPr>
        <rFont val="Fira Sans Extra Condensed"/>
        <color theme="1"/>
        <sz val="10.0"/>
      </rPr>
      <t xml:space="preserve">
</t>
    </r>
    <r>
      <rPr>
        <rFont val="Fira Sans Extra Condensed"/>
        <b/>
        <color theme="1"/>
        <sz val="10.0"/>
      </rPr>
      <t xml:space="preserve">Transferencias Regionales: </t>
    </r>
    <r>
      <rPr>
        <rFont val="Fira Sans Extra Condensed"/>
        <color theme="1"/>
        <sz val="10.0"/>
      </rPr>
      <t xml:space="preserve">Opcional, permite al usuario Administrador seleccionar si requiere que el usuario tenga este tipo de consultas. 
</t>
    </r>
    <r>
      <rPr>
        <rFont val="Fira Sans Extra Condensed"/>
        <b/>
        <color theme="1"/>
        <sz val="10.0"/>
      </rPr>
      <t>Descripción</t>
    </r>
    <r>
      <rPr>
        <rFont val="Fira Sans Extra Condensed"/>
        <color theme="1"/>
        <sz val="10.0"/>
      </rPr>
      <t>: Visualiza las transferencias.</t>
    </r>
  </si>
  <si>
    <t>- Selección de funcionalidades de forma exitosa.
- El usuario podrá consultar la información consolidada, los detalles de los productos, visualizar movimientos, descarga estados de cuenta y visualizar transferencias.</t>
  </si>
  <si>
    <t>Cuando se seleccionen funcionalides de Rol Consulta, solo mostrará en pantalla al cliente las que se hayan seleccionado</t>
  </si>
  <si>
    <t>Mostrar funcionalidades de acuerdo a lo configurado</t>
  </si>
  <si>
    <t>No mostrar funcionalidades que no hayan sido configuradas previamente.</t>
  </si>
  <si>
    <t>Usuario a crear posea rol de Preparación asignado previamente</t>
  </si>
  <si>
    <r>
      <rPr>
        <rFont val="Fira Sans Extra Condensed"/>
        <b/>
        <color theme="1"/>
        <sz val="10.0"/>
      </rPr>
      <t>Selección de funcionalidades para rol 'Preparación'
Rol Preparación</t>
    </r>
    <r>
      <rPr>
        <rFont val="Fira Sans Extra Condensed"/>
        <color theme="1"/>
        <sz val="10.0"/>
      </rPr>
      <t xml:space="preserve">
</t>
    </r>
    <r>
      <rPr>
        <rFont val="Fira Sans Extra Condensed"/>
        <b/>
        <color theme="1"/>
        <sz val="10.0"/>
      </rPr>
      <t>Transferencias Regionales</t>
    </r>
    <r>
      <rPr>
        <rFont val="Fira Sans Extra Condensed"/>
        <color theme="1"/>
        <sz val="10.0"/>
      </rPr>
      <t xml:space="preserve">: Predeterminado
</t>
    </r>
    <r>
      <rPr>
        <rFont val="Fira Sans Extra Condensed"/>
        <b/>
        <color theme="1"/>
        <sz val="10.0"/>
      </rPr>
      <t>Descripción:</t>
    </r>
    <r>
      <rPr>
        <rFont val="Fira Sans Extra Condensed"/>
        <color theme="1"/>
        <sz val="10.0"/>
      </rPr>
      <t xml:space="preserve"> Crea y consulta transferencias de los grupos de productos agregados. </t>
    </r>
  </si>
  <si>
    <t xml:space="preserve">- Cliente con esquema administartivo Simple
- El usuario debe tener al menos una funcionalidad asignada.
- Este rol únicamente debe permitir asignar las “funcionalidades” descritas anteriormente.
- No debe permitir realizar aprobaciones de ninguna Operación.
- El MVP únicamente viene con la funcionalidad de Tx regionales en CAM La funcionalidad debe permitir a futuro asignar las nuevas funcionalidades desarrolladas en el módulo regional. </t>
  </si>
  <si>
    <t>- Selección de funcionalidades de forma exitosa.
- El usuario podrá consultar y crear tx.</t>
  </si>
  <si>
    <r>
      <rPr>
        <rFont val="Fira Sans Extra Condensed"/>
        <b/>
        <color theme="1"/>
        <sz val="10.0"/>
      </rPr>
      <t xml:space="preserve">Rol Preparación
Destinos Autorizados Regionales: </t>
    </r>
    <r>
      <rPr>
        <rFont val="Fira Sans Extra Condensed"/>
        <color theme="1"/>
        <sz val="10.0"/>
      </rPr>
      <t xml:space="preserve">Preseleccionada, (Aplica únicamente si desde el control center fue seleccionada la opción para el Grupo regional) 
</t>
    </r>
    <r>
      <rPr>
        <rFont val="Fira Sans Extra Condensed"/>
        <b/>
        <color theme="1"/>
        <sz val="10.0"/>
      </rPr>
      <t xml:space="preserve">Descripción: </t>
    </r>
    <r>
      <rPr>
        <rFont val="Fira Sans Extra Condensed"/>
        <color theme="1"/>
        <sz val="10.0"/>
      </rPr>
      <t>Consulta y registra cuentas de terceros para realizar transferencias.</t>
    </r>
  </si>
  <si>
    <t>- Selección de funcionalidades de forma exitosa.
- El usuario podrá consultar, crear tx, consulta y registro de destinos autorizados.</t>
  </si>
  <si>
    <r>
      <rPr>
        <rFont val="Fira Sans Extra Condensed"/>
        <b/>
        <color theme="1"/>
        <sz val="10.0"/>
      </rPr>
      <t xml:space="preserve">Rol Preparación
</t>
    </r>
    <r>
      <rPr>
        <rFont val="Fira Sans Extra Condensed"/>
        <color theme="1"/>
        <sz val="10.0"/>
      </rPr>
      <t xml:space="preserve">Al crear al cliente desde CC no se seleccionó la opción Destinos Autorizados Regionales para el Grupo regional) 
</t>
    </r>
  </si>
  <si>
    <t>Usuario no visualice la opción de destinos autorizados</t>
  </si>
  <si>
    <t>- En el rol Preparador No se visualiza la opción de destinos autorizados para adicionar al usuario.</t>
  </si>
  <si>
    <r>
      <rPr>
        <rFont val="Fira Sans Extra Condensed"/>
        <b/>
        <color theme="1"/>
        <sz val="10.0"/>
      </rPr>
      <t>Rol Preparación
Creación de Transferencias:</t>
    </r>
    <r>
      <rPr>
        <rFont val="Fira Sans Extra Condensed"/>
        <color theme="1"/>
        <sz val="10.0"/>
      </rPr>
      <t xml:space="preserve"> (Opcional)
Entre cuentas Davivienda propias
A Cuentas Davivienda de terceros</t>
    </r>
  </si>
  <si>
    <t xml:space="preserve">- Selección de funcionalidades de forma exitosa.
- El usuario podrá consultar, crear tx, consulta y registro de destinos autorizados, </t>
  </si>
  <si>
    <r>
      <rPr>
        <rFont val="Fira Sans Extra Condensed"/>
        <b/>
        <color theme="1"/>
        <sz val="10.0"/>
      </rPr>
      <t xml:space="preserve">Rol Preparación
Consulta de Productos: </t>
    </r>
    <r>
      <rPr>
        <rFont val="Fira Sans Extra Condensed"/>
        <color theme="1"/>
        <sz val="10.0"/>
      </rPr>
      <t xml:space="preserve">Opcional, permite al usuario Administrador seleccionar si requiere que el usuario tenga este tipo de consultas.
</t>
    </r>
    <r>
      <rPr>
        <rFont val="Fira Sans Extra Condensed"/>
        <b/>
        <color theme="1"/>
        <sz val="10.0"/>
      </rPr>
      <t xml:space="preserve">Descripción: </t>
    </r>
    <r>
      <rPr>
        <rFont val="Fira Sans Extra Condensed"/>
        <color theme="1"/>
        <sz val="10.0"/>
      </rPr>
      <t>Consulta la información consolidada y los detalles de los productos, visualiza movimientos y descarga estados de cuenta.</t>
    </r>
  </si>
  <si>
    <t>- Selección de funcionalidades de forma exitosa.
- El usuario podrá consultar la información consolidada, los detalles de los productos, visualizar movimientos, descarga estados de cuenta, visualizar transferencias, consultar y crear tx, consultar y crear destinos autorizados.</t>
  </si>
  <si>
    <t>Usuario a crear posea rol de Aprobador asignado previamente</t>
  </si>
  <si>
    <r>
      <rPr>
        <rFont val="Fira Sans Extra Condensed"/>
        <b/>
        <color theme="1"/>
        <sz val="10.0"/>
      </rPr>
      <t xml:space="preserve">Rol Aprobación:
</t>
    </r>
    <r>
      <rPr>
        <rFont val="Fira Sans Extra Condensed"/>
        <color theme="1"/>
        <sz val="10.0"/>
      </rPr>
      <t xml:space="preserve">
</t>
    </r>
    <r>
      <rPr>
        <rFont val="Fira Sans Extra Condensed"/>
        <b/>
        <color theme="1"/>
        <sz val="10.0"/>
      </rPr>
      <t xml:space="preserve">Consulta de Productos: </t>
    </r>
    <r>
      <rPr>
        <rFont val="Fira Sans Extra Condensed"/>
        <color theme="1"/>
        <sz val="10.0"/>
      </rPr>
      <t xml:space="preserve">Predeterminado
</t>
    </r>
    <r>
      <rPr>
        <rFont val="Fira Sans Extra Condensed"/>
        <b/>
        <color theme="1"/>
        <sz val="10.0"/>
      </rPr>
      <t>Descripción:</t>
    </r>
    <r>
      <rPr>
        <rFont val="Fira Sans Extra Condensed"/>
        <color theme="1"/>
        <sz val="10.0"/>
      </rPr>
      <t xml:space="preserve"> Consulta la información consolidada y los detalles de los productos, visualiza movimientos y descarga estados de cuenta.</t>
    </r>
  </si>
  <si>
    <t xml:space="preserve">- Cliente con esquema administartivo Simple
- El usuario debe tener al menos una funcionalidad asignada.
- Este rol únicamente debe permitir asignar las “funcionalidades” descritas anteriormente.
- Una vez sea asignado el rol de “aprobador” se debe desplegar en el sidebar la opción de “Autorizar”
- No debe permitir realizar “creación” de operaciones si no tiene seleccionado la opción para "creación der transferencias”
- Para realizar autorizaciones el usuario debe estar incluido en un esquema de firmas.
- El MVP únicamente viene la funcionalidad de Tx regionales en CAM, esta opción únicamente se puede habilitar si el Grupo de productos asociado tiene algún producto en CAM.
</t>
  </si>
  <si>
    <t>- Selección de funcionalidades de forma exitosa.
- El usuario podrá consultar la información consolidada, los detalles de los productos, visualizar movimientos, descarga estados de cuenta.</t>
  </si>
  <si>
    <r>
      <rPr>
        <rFont val="Fira Sans Extra Condensed"/>
        <b/>
        <color theme="1"/>
        <sz val="10.0"/>
      </rPr>
      <t>Rol Aprobación:</t>
    </r>
    <r>
      <rPr>
        <rFont val="Fira Sans Extra Condensed"/>
        <color theme="1"/>
        <sz val="10.0"/>
      </rPr>
      <t xml:space="preserve">
</t>
    </r>
    <r>
      <rPr>
        <rFont val="Fira Sans Extra Condensed"/>
        <b/>
        <color theme="1"/>
        <sz val="10.0"/>
      </rPr>
      <t xml:space="preserve">Destinos autorizados Regionales: </t>
    </r>
    <r>
      <rPr>
        <rFont val="Fira Sans Extra Condensed"/>
        <color theme="1"/>
        <sz val="10.0"/>
      </rPr>
      <t xml:space="preserve">Predeterminado
</t>
    </r>
    <r>
      <rPr>
        <rFont val="Fira Sans Extra Condensed"/>
        <b/>
        <color theme="1"/>
        <sz val="10.0"/>
      </rPr>
      <t xml:space="preserve">Descripción: </t>
    </r>
    <r>
      <rPr>
        <rFont val="Fira Sans Extra Condensed"/>
        <color theme="1"/>
        <sz val="10.0"/>
      </rPr>
      <t xml:space="preserve">Autoriza destinos según el esquema de firmas asignado.
</t>
    </r>
  </si>
  <si>
    <t>- Selección de funcionalidades de forma exitosa.
- El usuario podrá consultar la información consolidada, los detalles de los productos, visualizar movimientos, descarga estados de cuenta, consultar, crear y autorizar destinos autorizados.</t>
  </si>
  <si>
    <r>
      <rPr>
        <rFont val="Fira Sans Extra Condensed"/>
        <b/>
        <color theme="1"/>
        <sz val="10.0"/>
      </rPr>
      <t>Rol Aprobación:</t>
    </r>
    <r>
      <rPr>
        <rFont val="Fira Sans Extra Condensed"/>
        <color theme="1"/>
        <sz val="10.0"/>
      </rPr>
      <t xml:space="preserve">
</t>
    </r>
    <r>
      <rPr>
        <rFont val="Fira Sans Extra Condensed"/>
        <b/>
        <color theme="1"/>
        <sz val="10.0"/>
      </rPr>
      <t>Transferencias regionales:</t>
    </r>
    <r>
      <rPr>
        <rFont val="Fira Sans Extra Condensed"/>
        <color theme="1"/>
        <sz val="10.0"/>
      </rPr>
      <t xml:space="preserve"> Predeterminado
</t>
    </r>
    <r>
      <rPr>
        <rFont val="Fira Sans Extra Condensed"/>
        <b/>
        <color theme="1"/>
        <sz val="10.0"/>
      </rPr>
      <t>Descripción</t>
    </r>
    <r>
      <rPr>
        <rFont val="Fira Sans Extra Condensed"/>
        <color theme="1"/>
        <sz val="10.0"/>
      </rPr>
      <t>: Consulta y autoriza transferencias de los grupos de productos agregados si está en un esquema de firmas.</t>
    </r>
  </si>
  <si>
    <r>
      <rPr>
        <rFont val="Fira Sans Extra Condensed"/>
        <b/>
        <color theme="1"/>
        <sz val="10.0"/>
      </rPr>
      <t>Rol Aprobación:</t>
    </r>
    <r>
      <rPr>
        <rFont val="Fira Sans Extra Condensed"/>
        <color theme="1"/>
        <sz val="10.0"/>
      </rPr>
      <t xml:space="preserve">
</t>
    </r>
    <r>
      <rPr>
        <rFont val="Fira Sans Extra Condensed"/>
        <b/>
        <color theme="1"/>
        <sz val="10.0"/>
      </rPr>
      <t xml:space="preserve">Creación de transferencias (Opcional)
</t>
    </r>
    <r>
      <rPr>
        <rFont val="Fira Sans Extra Condensed"/>
        <color theme="1"/>
        <sz val="10.0"/>
      </rPr>
      <t xml:space="preserve">
checkbox / Entre cuentas Davivienda propias
checkbox / A cuentas Davivienda de terceros</t>
    </r>
  </si>
  <si>
    <r>
      <rPr>
        <rFont val="Fira Sans Extra Condensed"/>
        <b/>
        <color theme="1"/>
        <sz val="10.0"/>
      </rPr>
      <t>Rol Aprobación:</t>
    </r>
    <r>
      <rPr>
        <rFont val="Fira Sans Extra Condensed"/>
        <color theme="1"/>
        <sz val="10.0"/>
      </rPr>
      <t xml:space="preserve">
Creación de destinos autorizados (Opcional)  
Se muestra switch que permite habilitar o no</t>
    </r>
  </si>
  <si>
    <r>
      <rPr>
        <rFont val="Fira Sans Extra Condensed"/>
        <b/>
        <color theme="1"/>
      </rPr>
      <t xml:space="preserve">Rol aprobación
</t>
    </r>
    <r>
      <rPr>
        <rFont val="Fira Sans Extra Condensed"/>
        <color theme="1"/>
      </rPr>
      <t xml:space="preserve">Al crear al cliente desde CC no se seleccionó la opción Destinos Autorizados Regionales para el Grupo regional) </t>
    </r>
  </si>
  <si>
    <t>Usuario a crear posea rol de Administrador asignado previamente</t>
  </si>
  <si>
    <r>
      <rPr>
        <rFont val="Fira Sans Extra Condensed"/>
        <b/>
        <color theme="1"/>
        <sz val="10.0"/>
      </rPr>
      <t>Rol Administración:
Administración</t>
    </r>
    <r>
      <rPr>
        <rFont val="Fira Sans Extra Condensed"/>
        <color theme="1"/>
        <sz val="10.0"/>
      </rPr>
      <t xml:space="preserve">: Predeterminado una vez se seleccione este Rol y solo se puede eliminar si se elimina o cambia el rol, no podrá ser desmarcada esta funcionalidad de otra manera.
</t>
    </r>
    <r>
      <rPr>
        <rFont val="Fira Sans Extra Condensed"/>
        <b/>
        <color theme="1"/>
        <sz val="10.0"/>
      </rPr>
      <t>Descripción</t>
    </r>
    <r>
      <rPr>
        <rFont val="Fira Sans Extra Condensed"/>
        <color theme="1"/>
        <sz val="10.0"/>
      </rPr>
      <t xml:space="preserve">: Crea y administra los grupos de productos, roles y esquemas de firmas. </t>
    </r>
  </si>
  <si>
    <t>- Cliente con esquema administartivo Simple
- El usuario debe tener al menos una funcionalidad asignada.
- Este rol únicamente debe permitir asignar las “funcionalidades” descritas anteriormente.
La funcionalidad de Administrar no se puede desmarcar.
- Una vez el usuario tenga asignada la funcionalidad de “Tx Regionales”  se debe -habilitar la opción de “continuar”</t>
  </si>
  <si>
    <t>- Selección de funcionalidades de forma exitosa.
- El usuario podrá crear y administrar los grupos de productos, roles y esquemas de firmas.</t>
  </si>
  <si>
    <r>
      <rPr>
        <rFont val="Fira Sans Extra Condensed"/>
        <b/>
        <color theme="1"/>
        <sz val="10.0"/>
      </rPr>
      <t>Rol administrador
Consulta de Productos</t>
    </r>
    <r>
      <rPr>
        <rFont val="Fira Sans Extra Condensed"/>
        <color theme="1"/>
        <sz val="10.0"/>
      </rPr>
      <t xml:space="preserve">: Predeterminado
</t>
    </r>
    <r>
      <rPr>
        <rFont val="Fira Sans Extra Condensed"/>
        <b/>
        <color theme="1"/>
        <sz val="10.0"/>
      </rPr>
      <t>Descripción</t>
    </r>
    <r>
      <rPr>
        <rFont val="Fira Sans Extra Condensed"/>
        <color theme="1"/>
        <sz val="10.0"/>
      </rPr>
      <t xml:space="preserve">: Consulta la información consolidada y los detalles de los productos,visualiza movimientos y descarga estados de cuenta. </t>
    </r>
  </si>
  <si>
    <t>- Cliente con esquema administartivo Simple
- El MVP únicamente viene la funcionalidad de Tx regionales en CAM, esta opción únicamente se puede habilitar si el Grupo de productos asociado tiene algún producto en CAM.
- El usuario administrador al crear un usuario “administrador” hereda el mismo tipo de admon y  funcionalidades de la empresa.
- Dentro de la funcionalidad de “Administrar” el usuario podrá autogestionar novedades de  grupos de productos, usuarios y esquema de firmas.</t>
  </si>
  <si>
    <r>
      <rPr>
        <rFont val="Fira Sans Extra Condensed"/>
        <b/>
        <color theme="1"/>
        <sz val="10.0"/>
      </rPr>
      <t>Rol administrador
Asigne los permisos adicionales para este rol
Destinos Autorizados regionales:</t>
    </r>
    <r>
      <rPr>
        <rFont val="Fira Sans Extra Condensed"/>
        <color theme="1"/>
        <sz val="10.0"/>
      </rPr>
      <t xml:space="preserve"> Opcional para este Rol. (Aplica únicamente si desde el control center fue seleccionada la opción) 
</t>
    </r>
    <r>
      <rPr>
        <rFont val="Fira Sans Extra Condensed"/>
        <b/>
        <color theme="1"/>
        <sz val="10.0"/>
      </rPr>
      <t>Descripción</t>
    </r>
    <r>
      <rPr>
        <rFont val="Fira Sans Extra Condensed"/>
        <color theme="1"/>
        <sz val="10.0"/>
      </rPr>
      <t>: Autoriza destinos según el esquema de firmas asignado.
-  Creación de destinos autorizados (Opcional)  Switch: SI/NO</t>
    </r>
  </si>
  <si>
    <r>
      <rPr>
        <rFont val="Fira Sans Extra Condensed"/>
        <b/>
        <color theme="1"/>
      </rPr>
      <t xml:space="preserve">Rol administrador
</t>
    </r>
    <r>
      <rPr>
        <rFont val="Fira Sans Extra Condensed"/>
        <color theme="1"/>
      </rPr>
      <t xml:space="preserve">Al crear al cliente desde CC no se seleccionó la opción Destinos Autorizados Regionales para el Grupo regional) </t>
    </r>
  </si>
  <si>
    <r>
      <rPr>
        <rFont val="Fira Sans Extra Condensed"/>
        <b/>
        <color theme="1"/>
        <sz val="10.0"/>
      </rPr>
      <t>Rol administrador
Transferencias regionales:</t>
    </r>
    <r>
      <rPr>
        <rFont val="Fira Sans Extra Condensed"/>
        <color theme="1"/>
        <sz val="10.0"/>
      </rPr>
      <t xml:space="preserve"> Opcional, permite al usuario Administrador seleccionar si requiere tener acceso a esta funcionalidad.
</t>
    </r>
    <r>
      <rPr>
        <rFont val="Fira Sans Extra Condensed"/>
        <b/>
        <color theme="1"/>
        <sz val="10.0"/>
      </rPr>
      <t>Descripción</t>
    </r>
    <r>
      <rPr>
        <rFont val="Fira Sans Extra Condensed"/>
        <color theme="1"/>
        <sz val="10.0"/>
      </rPr>
      <t>: Consulta y autoriza transferencias de los grupo de productos agregados si está en un esquema de firmas.
- Creación de transferencias (Opcional) Por default no viene habilitado:
- Entre Cuentas Davivienda propias   
- A cuentas Davivienda de terceros</t>
    </r>
  </si>
  <si>
    <t xml:space="preserve">- Cliente con esquema administartivo Simple
- Una vez el usuario tenga asignada la funcionalidad de “Tx Regionales”  se debe -habilitar la opción de “continuar”
</t>
  </si>
  <si>
    <t>Desmarcar la funcionalidad de 'Administrar'</t>
  </si>
  <si>
    <t>Al intentar desmarcar la funcionalidad de 'Administrar' muestre alerta indicando que no es posible o que no permita al usuario ejecutar dicha acción</t>
  </si>
  <si>
    <t>No permita desmarcar la funcionalidad</t>
  </si>
  <si>
    <t>Usuario posea con un rol y funcionalidades previamente agregadas</t>
  </si>
  <si>
    <r>
      <rPr>
        <rFont val="Fira Sans Extra Condensed"/>
        <color theme="1"/>
        <sz val="10.0"/>
      </rPr>
      <t xml:space="preserve">En la parte inferior de la pantalla se deben tener los siguientes dos botones: 
</t>
    </r>
    <r>
      <rPr>
        <rFont val="Fira Sans Extra Condensed"/>
        <b/>
        <color theme="1"/>
        <sz val="10.0"/>
      </rPr>
      <t xml:space="preserve">Regresar: </t>
    </r>
    <r>
      <rPr>
        <rFont val="Fira Sans Extra Condensed"/>
        <color theme="1"/>
        <sz val="10.0"/>
      </rPr>
      <t xml:space="preserve">Una vez el usuario de clic en esta opción regresará a la pantalla anterior.
</t>
    </r>
    <r>
      <rPr>
        <rFont val="Fira Sans Extra Condensed"/>
        <b/>
        <color theme="1"/>
        <sz val="10.0"/>
      </rPr>
      <t>Confirmar</t>
    </r>
    <r>
      <rPr>
        <rFont val="Fira Sans Extra Condensed"/>
        <color theme="1"/>
        <sz val="10.0"/>
      </rPr>
      <t>: Una vez el usuario seleccione las funcionalidades y de clic sobre este botón se actualizará la pantalla y continuará al siguiente paso</t>
    </r>
  </si>
  <si>
    <t>Validación de botones 'Regresar' y 'Confirmar'</t>
  </si>
  <si>
    <t>Acceso a botones 'Regresar' y 'Confirmar'</t>
  </si>
  <si>
    <t xml:space="preserve">
Criterio 7 - Crear rol</t>
  </si>
  <si>
    <t xml:space="preserve">Usuario posea rol </t>
  </si>
  <si>
    <t xml:space="preserve">Debe existir un botón que se llame “Crear rol”, </t>
  </si>
  <si>
    <t>Debe existir un botón que se llame “Crear rol”, este se habilita únicamente cuando los criterios anteriores fueron completados una vez el usuario de clic, se debe actualizar la pantalla y sobre poner una opción en donde a el usuario le permite ingresar el código de confirmación de Soft Token en caso que el usuario esté en CAM o Hard token si está en Colombia, se debe aplicar las reglas definidas la esta funcionalidad transversal de acuerdo a lo planteado en la</t>
  </si>
  <si>
    <t>- Cliente con esquema administartivo Simple
- Se habilita únicamente cuando los criterios anteriores fueron completados.</t>
  </si>
  <si>
    <t>Acceso a botón 'Crear Rol'</t>
  </si>
  <si>
    <t>Hacer clic en el botón 'Crear Rol'</t>
  </si>
  <si>
    <t>Usuario con Soft Token deberá hacer clic al botón ´'Crear Rol'se debe actualizar la pantalla y sobre poner una opción en donde a el usuario le permite ingresar el código de confirmación</t>
  </si>
  <si>
    <t>Solicitud de método de autenticación 'Soft Token'</t>
  </si>
  <si>
    <t>- Cliente con esquema administartivo Simple
- Solicitará Soft token para los usuarios de CAM</t>
  </si>
  <si>
    <t>Ingreso de token exitoso</t>
  </si>
  <si>
    <t>Ingresar soft token incorrecto</t>
  </si>
  <si>
    <t>Vaidación de mensaje de error de acuerdo al catálogo de errores</t>
  </si>
  <si>
    <t>- Cliente con esquema administartivo Simple
- No permitir continuar al siguiente paso.</t>
  </si>
  <si>
    <t>Mostrará mensaje de error indicando que el token ingresado es erróneo.</t>
  </si>
  <si>
    <t>Usuario origen COL con Hard token deberá hacer clic al botón ´'Crear Rol' se debe actualizar la pantalla y sobre poner una opción en donde a el usuario le permite ingresar el código de confirmación</t>
  </si>
  <si>
    <t>Solicitud de método de autenticación 'Hard Token'</t>
  </si>
  <si>
    <t>- Cliente con esquema administartivo Simple
- Solicitará Hard token para los usuarios de COL</t>
  </si>
  <si>
    <t>Usuario origen COL ingrese hard token incorrecto</t>
  </si>
  <si>
    <t>Criterio 8 - Resultado</t>
  </si>
  <si>
    <t>Validación de token exitosa.</t>
  </si>
  <si>
    <r>
      <rPr>
        <rFont val="Fira Sans Extra Condensed"/>
        <color theme="1"/>
        <sz val="10.0"/>
      </rPr>
      <t xml:space="preserve">La información que aquí se muestra dependerá del tipo de administración que tenga parametrizada el grupo Regional así:
</t>
    </r>
    <r>
      <rPr>
        <rFont val="Fira Sans Extra Condensed"/>
        <b/>
        <color theme="1"/>
        <sz val="10.0"/>
      </rPr>
      <t xml:space="preserve">Administración Sencilla:  
</t>
    </r>
    <r>
      <rPr>
        <rFont val="Fira Sans Extra Condensed"/>
        <color theme="1"/>
        <sz val="10.0"/>
      </rPr>
      <t>Una vez aprobada la habilitación del nuevo usuario el canal en la parte superior  presentará el siguiente mensaje</t>
    </r>
    <r>
      <rPr>
        <rFont val="Fira Sans Extra Condensed"/>
        <b/>
        <color theme="1"/>
        <sz val="10.0"/>
      </rPr>
      <t>: “Creación de rol exitosa”</t>
    </r>
    <r>
      <rPr>
        <rFont val="Fira Sans Extra Condensed"/>
        <color theme="1"/>
        <sz val="10.0"/>
      </rPr>
      <t xml:space="preserve"> </t>
    </r>
  </si>
  <si>
    <t>Ejecutar proceso de creación de usuario con esquema administrativo 'Simple'</t>
  </si>
  <si>
    <t>- Mostrar mensaje de resultado de creación exitosa.</t>
  </si>
  <si>
    <t>En pantalla de resultado mostrará la información de la creación del usuario, visualizará un resumen de toda la información del usuario y perfil asignado con las opciones colapsadas, si requiere puede visualizar mayor detalle de las opciones colapsado. lo único que se agrega es el estado de usuario, que nacerán en estado “activo”.</t>
  </si>
  <si>
    <t>Mostrar resumen de la información de la creación del usuario
- Ejecutar proceso de creación de usuario con esquema administrativo 'Simple'</t>
  </si>
  <si>
    <t>Visualizar información del usuario y los campos en formato lectura</t>
  </si>
  <si>
    <r>
      <rPr>
        <rFont val="Fira Sans Extra Condensed"/>
        <color theme="1"/>
        <sz val="10.0"/>
      </rPr>
      <t xml:space="preserve">En la parte inferior tendrá las siguientes opciones: 
</t>
    </r>
    <r>
      <rPr>
        <rFont val="Fira Sans Extra Condensed"/>
        <b/>
        <color theme="1"/>
        <sz val="10.0"/>
      </rPr>
      <t xml:space="preserve">- Finalizar: </t>
    </r>
    <r>
      <rPr>
        <rFont val="Fira Sans Extra Condensed"/>
        <color theme="1"/>
        <sz val="10.0"/>
      </rPr>
      <t xml:space="preserve">Una vez el usuario de clic en esta opción regresará a la pantalla de Usuarios donde puede consultar o crear un nuevo usuario.
</t>
    </r>
    <r>
      <rPr>
        <rFont val="Fira Sans Extra Condensed"/>
        <b/>
        <color theme="1"/>
        <sz val="10.0"/>
      </rPr>
      <t xml:space="preserve">- Continuar: </t>
    </r>
    <r>
      <rPr>
        <rFont val="Fira Sans Extra Condensed"/>
        <color theme="1"/>
        <sz val="10.0"/>
      </rPr>
      <t xml:space="preserve">Esta opción posiciona al usuario en la primera pantalla del módulo de administración. donde visualiza las opciones de grupos, roles y esquemas. </t>
    </r>
  </si>
  <si>
    <t>Habilitar botones de finalizar y continuar 
- Ejecutar proceso de creación de usuario con esquema administrativo 'Simple'</t>
  </si>
  <si>
    <t>Acceso a botones FInalizar y OCntinuar</t>
  </si>
  <si>
    <t>Muestra error al momento de confirmar la creación del usuario</t>
  </si>
  <si>
    <t>Mostrar mensaje de error de acuerdo al catálogo de errores
- Ejecutar proceso de creación de usuario con esquema administrativo 'Simple'</t>
  </si>
  <si>
    <t>Validación de mensajes de acuerdo al catáogo de errores,</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</si>
  <si>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</si>
  <si>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Teniendo en cuenta que los usuarios que podrán acceder al módulo regional deben existir previamente en alguna de las bancas en línea de Colombia, Panamá, Costa Rica, Honduras y El Salvador; El usuario administrador una vez ingrese por primera vez o de clic a crear visualizará:
</t>
    </r>
    <r>
      <rPr>
        <rFont val="Fira Sans Extra Condensed"/>
        <b/>
        <color theme="1"/>
        <sz val="10.0"/>
      </rPr>
      <t>Título del Header</t>
    </r>
    <r>
      <rPr>
        <rFont val="Fira Sans Extra Condensed"/>
        <color theme="1"/>
        <sz val="10.0"/>
      </rPr>
      <t xml:space="preserve">: Elección del usuario
</t>
    </r>
    <r>
      <rPr>
        <rFont val="Fira Sans Extra Condensed"/>
        <b/>
        <color theme="1"/>
        <sz val="10.0"/>
      </rPr>
      <t>Botón regresar</t>
    </r>
    <r>
      <rPr>
        <rFont val="Fira Sans Extra Condensed"/>
        <color theme="1"/>
        <sz val="10.0"/>
      </rPr>
      <t xml:space="preserve">: Al dar clic regresa a la pantalla anterior. 
</t>
    </r>
    <r>
      <rPr>
        <rFont val="Fira Sans Extra Condensed"/>
        <b/>
        <color theme="1"/>
        <sz val="10.0"/>
      </rPr>
      <t>Texto:</t>
    </r>
    <r>
      <rPr>
        <rFont val="Fira Sans Extra Condensed"/>
        <color theme="1"/>
        <sz val="10.0"/>
      </rPr>
      <t xml:space="preserve"> El usuario debe estar creado en la banca en línea para poder agregarlo al módulo regional. </t>
    </r>
  </si>
  <si>
    <t>- Campos en formato lectura
- Cliente con esquema administartivo DUAL</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</si>
  <si>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</si>
  <si>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Habilitar los siguientes filtros para iniciar los criterios de búsqueda: 
</t>
    </r>
    <r>
      <rPr>
        <rFont val="Fira Sans Extra Condensed"/>
        <b/>
        <color theme="1"/>
        <sz val="10.0"/>
      </rPr>
      <t>Seleccione el país:</t>
    </r>
    <r>
      <rPr>
        <rFont val="Fira Sans Extra Condensed"/>
        <color theme="1"/>
        <sz val="10.0"/>
      </rPr>
      <t xml:space="preserve"> lista desplegable (Colombia, Panamá, Costa Rica, Honduras, El Salvador) los países que aquí se muestran deben corresponder a los países de las empresas asociadas al grupo regional,  únicamente debe permitir seleccionar un país de las opciones disponibles.</t>
    </r>
  </si>
  <si>
    <t>- Cliente con esquema administartivo DUAL</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</si>
  <si>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</si>
  <si>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</si>
  <si>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Una vez seleccionado el país origen se debe desplegar las siguientes opciones:
</t>
    </r>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Colombia</t>
    </r>
    <r>
      <rPr>
        <rFont val="Fira Sans Extra Condensed"/>
        <color theme="1"/>
        <sz val="10.0"/>
      </rPr>
      <t>:   Cédula de Ciudadania
                   Tarjeta de Identidad
                   Registro Civil de Nacimiento
                   Pasaporte
                   Cédula de Extranjería
                   Permiso Especial de Permanencia (PEP)</t>
    </r>
  </si>
  <si>
    <t>- El campo seleccione tipo de documento se habilitará unicamente si en el campo seleccione país se ha seleccionado previamente un país de la lista.
- Cliente con esquema administartivo DUAL</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</si>
  <si>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</si>
  <si>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 xml:space="preserve">Seleccione tipo de documento: </t>
    </r>
    <r>
      <rPr>
        <rFont val="Fira Sans Extra Condensed"/>
        <color theme="1"/>
        <sz val="10.0"/>
      </rPr>
      <t xml:space="preserve">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Panamá:  </t>
    </r>
    <r>
      <rPr>
        <rFont val="Fira Sans Extra Condensed"/>
        <color theme="1"/>
        <sz val="10.0"/>
      </rPr>
      <t xml:space="preserve">  Cédula de Identidad Personal
                   Cédula Juvenil
                   Pasaporte
                   Carné de Residente Permanente
                   Carné de Residente Temporal</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</si>
  <si>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</si>
  <si>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Costa Rica:</t>
    </r>
    <r>
      <rPr>
        <rFont val="Fira Sans Extra Condensed"/>
        <color theme="1"/>
        <sz val="10.0"/>
      </rPr>
      <t xml:space="preserve">  Cédula de Identidad
                     Tarjeta de Identidad de Menores (TIM)
                     Pasaporte
                     Cédula de Residencia
                     Cédula de Refugiado</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</si>
  <si>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</si>
  <si>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Honduras: </t>
    </r>
    <r>
      <rPr>
        <rFont val="Fira Sans Extra Condensed"/>
        <color theme="1"/>
        <sz val="10.0"/>
      </rPr>
      <t xml:space="preserve">   Tarjeta de Identidad Nacional
                     Tarjeta de Identidad de Menores
                     Pasaporte
                     Carné de Residencia
                     Otro (Permite ingresar caracteres alfanuméricos y caracteres especiales)</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</si>
  <si>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</si>
  <si>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Para Honduras</t>
    </r>
    <r>
      <rPr>
        <rFont val="Fira Sans Extra Condensed"/>
        <color theme="1"/>
        <sz val="10.0"/>
      </rPr>
      <t xml:space="preserve"> en caso que haya sido seleccionado el campo “otro” debe habilitar un espacio donde el usuario debe ingresar el nombre del usuario cómo fue creado en la Banca en línea de este país. 
</t>
    </r>
  </si>
  <si>
    <t>- sino ingresa el nombre del usuario no debe permitir continuar al siguiente paso y mostrar mensaje en pantalla indicando que el campo es obligatorio.
- Cliente con esquema administartivo DUAL</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</si>
  <si>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</si>
  <si>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El Salvador:  </t>
    </r>
    <r>
      <rPr>
        <rFont val="Fira Sans Extra Condensed"/>
        <color theme="1"/>
        <sz val="10.0"/>
      </rPr>
      <t>Documento Único de Identidad (DUI)
                      Pasaporte
                      Carné de Residente
                      Identificación Beneficiario</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</si>
  <si>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</si>
  <si>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Número identificación:</t>
    </r>
    <r>
      <rPr>
        <rFont val="Fira Sans Extra Condensed"/>
        <color theme="1"/>
        <sz val="10.0"/>
      </rPr>
      <t xml:space="preserve"> Campo alfanumérico.
</t>
    </r>
    <r>
      <rPr>
        <rFont val="Fira Sans Extra Condensed"/>
        <b/>
        <color theme="1"/>
        <sz val="10.0"/>
      </rPr>
      <t xml:space="preserve">Colombia: </t>
    </r>
    <r>
      <rPr>
        <rFont val="Fira Sans Extra Condensed"/>
        <color theme="1"/>
        <sz val="10.0"/>
      </rPr>
      <t xml:space="preserve">Longitud máxima de 10 dígitos.
</t>
    </r>
    <r>
      <rPr>
        <rFont val="Fira Sans Extra Condensed"/>
        <b/>
        <color theme="1"/>
        <sz val="10.0"/>
      </rPr>
      <t>Panamá:</t>
    </r>
    <r>
      <rPr>
        <rFont val="Fira Sans Extra Condensed"/>
        <color theme="1"/>
        <sz val="10.0"/>
      </rPr>
      <t xml:space="preserve"> Longitud máxima de 9 dígitos.
</t>
    </r>
    <r>
      <rPr>
        <rFont val="Fira Sans Extra Condensed"/>
        <b/>
        <color theme="1"/>
        <sz val="10.0"/>
      </rPr>
      <t>Costa Rica:</t>
    </r>
    <r>
      <rPr>
        <rFont val="Fira Sans Extra Condensed"/>
        <color theme="1"/>
        <sz val="10.0"/>
      </rPr>
      <t xml:space="preserve"> Longitud máxima de 12 dígitos.
</t>
    </r>
    <r>
      <rPr>
        <rFont val="Fira Sans Extra Condensed"/>
        <b/>
        <color theme="1"/>
        <sz val="10.0"/>
      </rPr>
      <t>Honduras:</t>
    </r>
    <r>
      <rPr>
        <rFont val="Fira Sans Extra Condensed"/>
        <color theme="1"/>
        <sz val="10.0"/>
      </rPr>
      <t xml:space="preserve"> Longitud máxima de 13 caraceres.
</t>
    </r>
    <r>
      <rPr>
        <rFont val="Fira Sans Extra Condensed"/>
        <b/>
        <color theme="1"/>
        <sz val="10.0"/>
      </rPr>
      <t xml:space="preserve">El Salvador: </t>
    </r>
    <r>
      <rPr>
        <rFont val="Fira Sans Extra Condensed"/>
        <color theme="1"/>
        <sz val="10.0"/>
      </rPr>
      <t>Longitud máxima de 9 dígitos.</t>
    </r>
  </si>
  <si>
    <t>- La longitud del campo dependerá del tipo de documento seleccionado
- Cliente con esquema administartivo DUAL</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</si>
  <si>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</si>
  <si>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Número identificación:</t>
    </r>
    <r>
      <rPr>
        <rFont val="Fira Sans Extra Condensed"/>
        <color theme="1"/>
        <sz val="10.0"/>
      </rPr>
      <t xml:space="preserve"> Campo alfanumérico.
Ingresar numero de identificación incorrecto</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</si>
  <si>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</si>
  <si>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</si>
  <si>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</si>
  <si>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</si>
  <si>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Cuando la información ingresada encuentra coincidencia actualizará la pantalla mostrando la  información no editable y completa con la información del usuario buscado:
</t>
    </r>
    <r>
      <rPr>
        <rFont val="Fira Sans Extra Condensed"/>
        <b/>
        <color theme="1"/>
        <sz val="10.0"/>
      </rPr>
      <t xml:space="preserve">Título del Header: </t>
    </r>
    <r>
      <rPr>
        <rFont val="Fira Sans Extra Condensed"/>
        <color theme="1"/>
        <sz val="10.0"/>
      </rPr>
      <t xml:space="preserve">Configuración del usuario.
</t>
    </r>
    <r>
      <rPr>
        <rFont val="Fira Sans Extra Condensed"/>
        <b/>
        <color theme="1"/>
        <sz val="10.0"/>
      </rPr>
      <t>Botón regresar: Regresa</t>
    </r>
    <r>
      <rPr>
        <rFont val="Fira Sans Extra Condensed"/>
        <color theme="1"/>
        <sz val="10.0"/>
      </rPr>
      <t xml:space="preserve"> a la pantalla anterior. 
</t>
    </r>
    <r>
      <rPr>
        <rFont val="Fira Sans Extra Condensed"/>
        <b/>
        <color theme="1"/>
        <sz val="10.0"/>
      </rPr>
      <t xml:space="preserve">Texto: </t>
    </r>
    <r>
      <rPr>
        <rFont val="Fira Sans Extra Condensed"/>
        <color theme="1"/>
        <sz val="10.0"/>
      </rPr>
      <t>Ahora debe incluir los grupos a los que tendrá acceso este usuario y asignarle un rol.</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</si>
  <si>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</si>
  <si>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 xml:space="preserve">Posterior el canal debe mostrar una opción con la información resumen del usuario así:
</t>
    </r>
    <r>
      <rPr>
        <rFont val="Fira Sans Extra Condensed"/>
        <color theme="1"/>
        <sz val="10.0"/>
      </rPr>
      <t xml:space="preserve">
</t>
    </r>
    <r>
      <rPr>
        <rFont val="Fira Sans Extra Condensed"/>
        <b/>
        <color theme="1"/>
        <sz val="10.0"/>
      </rPr>
      <t xml:space="preserve">Nombres y Apellidos: </t>
    </r>
    <r>
      <rPr>
        <rFont val="Fira Sans Extra Condensed"/>
        <color theme="1"/>
        <sz val="10.0"/>
      </rPr>
      <t xml:space="preserve">Se debe mostrar nombres y apellidos del usuario cómo fue creado en la Banca local.
</t>
    </r>
    <r>
      <rPr>
        <rFont val="Fira Sans Extra Condensed"/>
        <b/>
        <color theme="1"/>
        <sz val="10.0"/>
      </rPr>
      <t>País:</t>
    </r>
    <r>
      <rPr>
        <rFont val="Fira Sans Extra Condensed"/>
        <color theme="1"/>
        <sz val="10.0"/>
      </rPr>
      <t xml:space="preserve"> Se debe mostrar el nombre del país y la bandera del mismo seleccionado en el paso anterior.
</t>
    </r>
    <r>
      <rPr>
        <rFont val="Fira Sans Extra Condensed"/>
        <b/>
        <color theme="1"/>
        <sz val="10.0"/>
      </rPr>
      <t>Tipo de documento:</t>
    </r>
    <r>
      <rPr>
        <rFont val="Fira Sans Extra Condensed"/>
        <color theme="1"/>
        <sz val="10.0"/>
      </rPr>
      <t xml:space="preserve"> Se debe mostrar el tipo de identificación seleccionado en el paso anterior.
</t>
    </r>
    <r>
      <rPr>
        <rFont val="Fira Sans Extra Condensed"/>
        <b/>
        <color theme="1"/>
        <sz val="10.0"/>
      </rPr>
      <t>Número de documento:</t>
    </r>
    <r>
      <rPr>
        <rFont val="Fira Sans Extra Condensed"/>
        <color theme="1"/>
        <sz val="10.0"/>
      </rPr>
      <t xml:space="preserve"> Se debe mostrar el número de identificación seleccionado en el paso anterior.
</t>
    </r>
    <r>
      <rPr>
        <rFont val="Fira Sans Extra Condensed"/>
        <b/>
        <color theme="1"/>
        <sz val="10.0"/>
      </rPr>
      <t xml:space="preserve">Teléfono: </t>
    </r>
    <r>
      <rPr>
        <rFont val="Fira Sans Extra Condensed"/>
        <color theme="1"/>
        <sz val="10.0"/>
      </rPr>
      <t>Se debe mostrar cómo está registrado el número en el país origen, indicando al inicio el  Indicativo del país. El número podrá ser móvil o fijo.</t>
    </r>
  </si>
  <si>
    <t>- Cliente con esquema administartivo DUAL
- Campos en formato lectura.
- Las posibles opciones de código de área de acuerdo al país:
Colombia: Código 57 - Número de Celular 10 dígitos  / Teléfonos Fijos 7 dígitos
Panamá:  Código 507 - Número de Celular 8 Dígitos / Teléfonos Fijos 7 dígitos
Costa Rica: Código 506 - Número de Celular 8 Dígitos / Teléfonos Fijos 8 dígitos
Honduras: Código 504 - Número de Celular 8 Dígitos / Teléfonos Fijos 8 dígitos
El Salvador:  Código 503 - Número de Celular 8 Dígitos / Teléfonos Fijos 8 dígitos</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</si>
  <si>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</si>
  <si>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 xml:space="preserve">Sección “Grupo de productos”: </t>
    </r>
    <r>
      <rPr>
        <rFont val="Fira Sans Extra Condensed"/>
        <color theme="1"/>
        <sz val="10.0"/>
      </rPr>
      <t xml:space="preserve">Se debe mostrar una opción que le permita al usuario asignar los grupos de productos a los cuales el usuario tendrá acceso una vez habilitado. 
- El detalle de la asignación se encuentra en el criterio 4 de esta Historia de usuario. </t>
    </r>
  </si>
  <si>
    <t>formato lectura
- Cliente con esquema administartivo DUAL</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</si>
  <si>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</si>
  <si>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Sección “Roles”:</t>
    </r>
    <r>
      <rPr>
        <rFont val="Fira Sans Extra Condensed"/>
        <color theme="1"/>
        <sz val="10.0"/>
      </rPr>
      <t xml:space="preserve"> Se debe mostrar una opción que le permita al usuario asignar el rol que el usuario tendrá dentro del módulo regional los detalles de esta asignación se encuentran en el criterio 5 de esta historia de usuario.</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</si>
  <si>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</si>
  <si>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Elemento “Crear rol”</t>
    </r>
    <r>
      <rPr>
        <rFont val="Fira Sans Extra Condensed"/>
        <color theme="1"/>
        <sz val="10.0"/>
      </rPr>
      <t xml:space="preserve">: Este elemento únicamente se habilita una vez que el usuario haya seleccionado al menos un grupo de productos y haya asignado el rol confirmando las funcionalidades que requiere. </t>
    </r>
  </si>
  <si>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</si>
  <si>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Se debe mostrar un elemento que permita seleccionar un grupo de productos creado previamente. 
</t>
    </r>
    <r>
      <rPr>
        <rFont val="Fira Sans Extra Condensed"/>
        <b/>
        <color theme="1"/>
        <sz val="10.0"/>
      </rPr>
      <t>Subtítulo:</t>
    </r>
    <r>
      <rPr>
        <rFont val="Fira Sans Extra Condensed"/>
        <color theme="1"/>
        <sz val="10.0"/>
      </rPr>
      <t xml:space="preserve"> Grupo de Productos
</t>
    </r>
    <r>
      <rPr>
        <rFont val="Fira Sans Extra Condensed"/>
        <b/>
        <color theme="1"/>
        <sz val="10.0"/>
      </rPr>
      <t xml:space="preserve">Texto: </t>
    </r>
    <r>
      <rPr>
        <rFont val="Fira Sans Extra Condensed"/>
        <color theme="1"/>
        <sz val="10.0"/>
      </rPr>
      <t xml:space="preserve">El usuario podrá acceder a los grupos de productos en donde haya sido agregado. </t>
    </r>
  </si>
  <si>
    <r>
      <rPr>
        <rFont val="Fira Sans Extra Condensed"/>
        <color theme="1"/>
        <sz val="10.0"/>
      </rPr>
      <t xml:space="preserve">Si el usuario no posee ningun grupo de productos deberá mostrar el siguiente mensaje
</t>
    </r>
    <r>
      <rPr>
        <rFont val="Fira Sans Extra Condensed"/>
        <b/>
        <color theme="1"/>
        <sz val="10.0"/>
      </rPr>
      <t>Texto:</t>
    </r>
    <r>
      <rPr>
        <rFont val="Fira Sans Extra Condensed"/>
        <color theme="1"/>
        <sz val="10.0"/>
      </rPr>
      <t xml:space="preserve"> Este usuario no tiene grupos. Por favor, agréguelos. </t>
    </r>
  </si>
  <si>
    <t>- Usuario no posea grupos de productos asignados
- Cliente con esquema administartivo DUAL</t>
  </si>
  <si>
    <r>
      <rPr>
        <rFont val="Fira Sans Extra Condensed"/>
        <b/>
        <color theme="1"/>
        <sz val="10.0"/>
      </rPr>
      <t xml:space="preserve">Botón “agregar”: </t>
    </r>
    <r>
      <rPr>
        <rFont val="Fira Sans Extra Condensed"/>
        <color theme="1"/>
        <sz val="10.0"/>
      </rPr>
      <t xml:space="preserve">Botón habilitado una vez el usuario de clic, actualizará la pantalla y el usuario tendrá la opción de seleccionar uno, varios o todos los grupos de productos creados, se presentarán los grupos de productos creados previamente.
En la parte superior de la consulta en los resultados se deben mostrar los grupos marcados como “destacados”, la información que permite visualizar es: 
</t>
    </r>
    <r>
      <rPr>
        <rFont val="Fira Sans Extra Condensed"/>
        <b/>
        <color theme="1"/>
        <sz val="10.0"/>
      </rPr>
      <t>Título del Header:</t>
    </r>
    <r>
      <rPr>
        <rFont val="Fira Sans Extra Condensed"/>
        <color theme="1"/>
        <sz val="10.0"/>
      </rPr>
      <t xml:space="preserve"> Elección de los grupos de productos 
</t>
    </r>
    <r>
      <rPr>
        <rFont val="Fira Sans Extra Condensed"/>
        <b/>
        <color theme="1"/>
        <sz val="10.0"/>
      </rPr>
      <t>Botón regresar:</t>
    </r>
    <r>
      <rPr>
        <rFont val="Fira Sans Extra Condensed"/>
        <color theme="1"/>
        <sz val="10.0"/>
      </rPr>
      <t xml:space="preserve"> Al dar clic regresa a la pantalla anterior. 
</t>
    </r>
    <r>
      <rPr>
        <rFont val="Fira Sans Extra Condensed"/>
        <b/>
        <color theme="1"/>
        <sz val="10.0"/>
      </rPr>
      <t>Texto:</t>
    </r>
    <r>
      <rPr>
        <rFont val="Fira Sans Extra Condensed"/>
        <color theme="1"/>
        <sz val="10.0"/>
      </rPr>
      <t xml:space="preserve"> Aquí puede agregar los grupos a los que tendrá acceso este usuario. Para facilitar su gestión, puede usar el buscador o los filtros presentados. </t>
    </r>
  </si>
  <si>
    <t>- Para continuar al siguiente paso, debe seleccionar al menos un grupo de productos.
- Cliente con esquema administartivo DUAL</t>
  </si>
  <si>
    <r>
      <rPr>
        <rFont val="Fira Sans Extra Condensed"/>
        <b/>
        <color theme="1"/>
        <sz val="10.0"/>
      </rPr>
      <t xml:space="preserve">4.1 Resultado: 
Checkbox: </t>
    </r>
    <r>
      <rPr>
        <rFont val="Fira Sans Extra Condensed"/>
        <color theme="1"/>
        <sz val="10.0"/>
      </rPr>
      <t>Se mostrará al inicio de cada grupo de productos un checkbox, el cual permite seleccionar al usuario el grupo que desea agregar al usuario que se está habilitando.</t>
    </r>
  </si>
  <si>
    <t xml:space="preserve">- Cliente con esquema administartivo DUAL
</t>
  </si>
  <si>
    <r>
      <rPr>
        <rFont val="Fira Sans Extra Condensed"/>
        <b/>
        <color theme="1"/>
        <sz val="10.0"/>
      </rPr>
      <t xml:space="preserve">Nombre grupo de productos: </t>
    </r>
    <r>
      <rPr>
        <rFont val="Fira Sans Extra Condensed"/>
        <color theme="1"/>
        <sz val="10.0"/>
      </rPr>
      <t xml:space="preserve">Se debe mostrar el nombre con el que se creó  grupo, ejemplo: “Tesorería Honduras” en caso que el grupo de productos haya sido marcado como “destacado” una estrella debe aparecer al lado del nombre.
</t>
    </r>
    <r>
      <rPr>
        <rFont val="Fira Sans Extra Condensed"/>
        <b/>
        <color theme="1"/>
        <sz val="10.0"/>
      </rPr>
      <t>País:</t>
    </r>
    <r>
      <rPr>
        <rFont val="Fira Sans Extra Condensed"/>
        <color theme="1"/>
        <sz val="10.0"/>
      </rPr>
      <t xml:space="preserve"> El canal debe mostrar las banderas de los productos que se encuentran incluidos en el grupo. 
</t>
    </r>
    <r>
      <rPr>
        <rFont val="Fira Sans Extra Condensed"/>
        <b/>
        <color theme="1"/>
        <sz val="10.0"/>
      </rPr>
      <t xml:space="preserve">Empresas: </t>
    </r>
    <r>
      <rPr>
        <rFont val="Fira Sans Extra Condensed"/>
        <color theme="1"/>
        <sz val="10.0"/>
      </rPr>
      <t>se deben visualizar el número de las empresas asociadas al grupo de productos.</t>
    </r>
  </si>
  <si>
    <t>- Campos en formato lectura.
- Cliente con esquema administartivo DUAL</t>
  </si>
  <si>
    <r>
      <rPr>
        <rFont val="Fira Sans Extra Condensed"/>
        <b/>
        <color theme="1"/>
        <sz val="10.0"/>
      </rPr>
      <t xml:space="preserve">Quick action - Detallar: </t>
    </r>
    <r>
      <rPr>
        <rFont val="Fira Sans Extra Condensed"/>
        <color theme="1"/>
        <sz val="10.0"/>
      </rPr>
      <t xml:space="preserve">Al dar clic en esta opción se debe visualizar de manera detallada el resumen del grupo de producto seleccionado, mostrando en la parte superior el nombre del grupo, y en la parte inferior el detalle de los productos asignados al grupo por tipo de producto (Para el MVP únicamente se mostrará cuentas ahorros y corriente) con la siguiente información del producto: 
</t>
    </r>
    <r>
      <rPr>
        <rFont val="Fira Sans Extra Condensed"/>
        <b/>
        <color theme="1"/>
        <sz val="10.0"/>
      </rPr>
      <t>País</t>
    </r>
    <r>
      <rPr>
        <rFont val="Fira Sans Extra Condensed"/>
        <color theme="1"/>
        <sz val="10.0"/>
      </rPr>
      <t xml:space="preserve"> (con la bandera del país al que pertenece y las iniciales del mismo), 
</t>
    </r>
    <r>
      <rPr>
        <rFont val="Fira Sans Extra Condensed"/>
        <b/>
        <color theme="1"/>
        <sz val="10.0"/>
      </rPr>
      <t>Empresa</t>
    </r>
    <r>
      <rPr>
        <rFont val="Fira Sans Extra Condensed"/>
        <color theme="1"/>
        <sz val="10.0"/>
      </rPr>
      <t xml:space="preserve"> (Nombre de la empresa a la que pertenece el producto), 
</t>
    </r>
    <r>
      <rPr>
        <rFont val="Fira Sans Extra Condensed"/>
        <b/>
        <color theme="1"/>
        <sz val="10.0"/>
      </rPr>
      <t>Alias</t>
    </r>
    <r>
      <rPr>
        <rFont val="Fira Sans Extra Condensed"/>
        <color theme="1"/>
        <sz val="10.0"/>
      </rPr>
      <t xml:space="preserve"> (Nombre asignado a la cuenta) 
</t>
    </r>
    <r>
      <rPr>
        <rFont val="Fira Sans Extra Condensed"/>
        <b/>
        <color theme="1"/>
        <sz val="10.0"/>
      </rPr>
      <t xml:space="preserve">Número de producto </t>
    </r>
    <r>
      <rPr>
        <rFont val="Fira Sans Extra Condensed"/>
        <color theme="1"/>
        <sz val="10.0"/>
      </rPr>
      <t>(se mostrará de manera enmascarada el número del producto, visualizando únicamente los últimos 4 dígitos)</t>
    </r>
  </si>
  <si>
    <r>
      <rPr>
        <rFont val="Fira Sans Extra Condensed"/>
        <b/>
        <color theme="1"/>
        <sz val="10.0"/>
      </rPr>
      <t xml:space="preserve">En la parte inferior se deben habilitar los siguientes botones:
4.2 Elemento “Buscar”:
</t>
    </r>
    <r>
      <rPr>
        <rFont val="Fira Sans Extra Condensed"/>
        <color theme="1"/>
        <sz val="10.0"/>
      </rPr>
      <t xml:space="preserve">
Al dar clic se debe habilitar una barra de búsqueda que permite al usuario ingresar el nombre del Grupo de producto, el canal debe actualizar los resultados de búsqueda teniendo en cuenta el texto ingresado.
- Se debe habilitar un botón de “cancelar” en caso que el usuario quiera eliminar esta búsqueda.</t>
    </r>
  </si>
  <si>
    <r>
      <rPr>
        <rFont val="Fira Sans Extra Condensed"/>
        <b/>
        <color theme="1"/>
        <sz val="10.0"/>
      </rPr>
      <t>4.3 Elemento para “Filtrar”:</t>
    </r>
    <r>
      <rPr>
        <rFont val="Fira Sans Extra Condensed"/>
        <color theme="1"/>
        <sz val="10.0"/>
      </rPr>
      <t xml:space="preserve">
Debe contar con un elemento que permite  buscar grupos con filtros específicos, al dar clic sobre el texto se sobrepone en la pantalla  la información detallando los filtros que se podrán aplicar para la búsqueda de productos así:
</t>
    </r>
    <r>
      <rPr>
        <rFont val="Fira Sans Extra Condensed"/>
        <b/>
        <color theme="1"/>
        <sz val="10.0"/>
      </rPr>
      <t xml:space="preserve">Título: </t>
    </r>
    <r>
      <rPr>
        <rFont val="Fira Sans Extra Condensed"/>
        <color theme="1"/>
        <sz val="10.0"/>
      </rPr>
      <t xml:space="preserve">Filtrar
</t>
    </r>
    <r>
      <rPr>
        <rFont val="Fira Sans Extra Condensed"/>
        <b/>
        <color theme="1"/>
        <sz val="10.0"/>
      </rPr>
      <t xml:space="preserve">Botón “x”: </t>
    </r>
    <r>
      <rPr>
        <rFont val="Fira Sans Extra Condensed"/>
        <color theme="1"/>
        <sz val="10.0"/>
      </rPr>
      <t xml:space="preserve">Regresa a la pantalla anterior. </t>
    </r>
  </si>
  <si>
    <t>-Campos en formato lectura
- Cliente con esquema administartivo DUAL</t>
  </si>
  <si>
    <r>
      <rPr>
        <rFont val="Fira Sans Extra Condensed"/>
        <b/>
        <color theme="1"/>
        <sz val="10.0"/>
      </rPr>
      <t xml:space="preserve">Texto: Aplique las opciones de filtrado que desea:
4.3.1  Países: </t>
    </r>
    <r>
      <rPr>
        <rFont val="Fira Sans Extra Condensed"/>
        <color theme="1"/>
        <sz val="10.0"/>
      </rPr>
      <t>permite seleccionar uno o todos los países, la opción que aquí se muestre dependerá de donde el grupo tenga presencia mostrando únicamente los países donde tiene productos.</t>
    </r>
  </si>
  <si>
    <r>
      <rPr>
        <rFont val="Fira Sans Extra Condensed"/>
        <b/>
        <color theme="1"/>
        <sz val="10.0"/>
      </rPr>
      <t>4.3.2 Empresa:</t>
    </r>
    <r>
      <rPr>
        <rFont val="Fira Sans Extra Condensed"/>
        <color theme="1"/>
        <sz val="10.0"/>
      </rPr>
      <t xml:space="preserve"> Permite seleccionar una o todas las empresas del grupo de acuerdo a la selección de empresas que conforman el grupo de productos. </t>
    </r>
  </si>
  <si>
    <r>
      <rPr>
        <rFont val="Fira Sans Extra Condensed"/>
        <b/>
        <color theme="1"/>
        <sz val="10.0"/>
      </rPr>
      <t xml:space="preserve">En la parte inferior deben estar las opciones: “Borrar” y “aplicar” 
</t>
    </r>
    <r>
      <rPr>
        <rFont val="Fira Sans Extra Condensed"/>
        <color theme="1"/>
        <sz val="10.0"/>
      </rPr>
      <t xml:space="preserve">
</t>
    </r>
    <r>
      <rPr>
        <rFont val="Fira Sans Extra Condensed"/>
        <b/>
        <color theme="1"/>
        <sz val="10.0"/>
      </rPr>
      <t xml:space="preserve">Botón “Borrar": </t>
    </r>
    <r>
      <rPr>
        <rFont val="Fira Sans Extra Condensed"/>
        <color theme="1"/>
        <sz val="10.0"/>
      </rPr>
      <t xml:space="preserve">al dar clic debe eliminar los filtros de búsqueda ingresados por el usuario. </t>
    </r>
  </si>
  <si>
    <r>
      <rPr>
        <rFont val="Fira Sans Extra Condensed"/>
        <b/>
        <color theme="1"/>
        <sz val="10.0"/>
      </rPr>
      <t>Botón “Aplicar”:</t>
    </r>
    <r>
      <rPr>
        <rFont val="Fira Sans Extra Condensed"/>
        <color theme="1"/>
        <sz val="10.0"/>
      </rPr>
      <t xml:space="preserve"> Al dar clic el canal actualiza la pantalla donde muestra los grupos de productos, mostrando como resultado únicamente los grupos que cumplan con los criterios buscados. 
- En caso que el usuario requiera  seleccionar o eliminar alguna selección podrá aplicar la novedad de manera manual. 
- En la parte superior del resultado se debe mostrar el nombre del filtro aplicado y una opción en el mismo texto que permita “eliminar” el filtro.</t>
    </r>
  </si>
  <si>
    <r>
      <rPr>
        <rFont val="Fira Sans Extra Condensed"/>
        <b/>
        <color theme="1"/>
        <sz val="10.0"/>
      </rPr>
      <t xml:space="preserve">Botón “Agregar Grupos": </t>
    </r>
    <r>
      <rPr>
        <rFont val="Fira Sans Extra Condensed"/>
        <color theme="1"/>
        <sz val="10.0"/>
      </rPr>
      <t xml:space="preserve">
Al hacer clic en el botón 'Agregar Grupos' muestra lo siguiente:
La pantalla se actualizará mostrando los grupos de productos seleccionados manteniendo las mismas características de visualización de detalle general de la asignación del rol del usuario, en la parte superior la información personal del usuario, la secciones de roles y grupo de productos.
</t>
    </r>
    <r>
      <rPr>
        <rFont val="Fira Sans Extra Condensed"/>
        <b/>
        <color theme="1"/>
        <sz val="10.0"/>
      </rPr>
      <t xml:space="preserve">Una vez seleccionado(s) y confirmados los grupos de productos se actualiza la pantalla e informa:
</t>
    </r>
    <r>
      <rPr>
        <rFont val="Fira Sans Extra Condensed"/>
        <color theme="1"/>
        <sz val="10.0"/>
      </rPr>
      <t xml:space="preserve">
Número de grupos agregados
Número y países que fueron agregados, se muestra colapsado al dar clic permite ver el nombre de los países.
Número de empresas asignadas, se muestra colapsado al dar clic permite ver el nombre de las empresas
Número de total de productos asignados al usuario, </t>
    </r>
  </si>
  <si>
    <t>Este botón únicamente se habilita si el usuario selecciona al menos un grupo de productos.
- Cliente con esquema administartivo DUAL</t>
  </si>
  <si>
    <r>
      <rPr>
        <rFont val="Fira Sans Extra Condensed"/>
        <color theme="1"/>
        <sz val="10.0"/>
      </rPr>
      <t xml:space="preserve">El usuario administrador deberá asignar el rol del usuario dentro del módulo regional por lo anterior el canal debe presentar el siguiente mensaje: </t>
    </r>
    <r>
      <rPr>
        <rFont val="Fira Sans Extra Condensed"/>
        <b/>
        <color theme="1"/>
        <sz val="10.0"/>
      </rPr>
      <t>“Asigne el tipo de rol y permisos que tendrá el usuario dentro del módulo regional”</t>
    </r>
    <r>
      <rPr>
        <rFont val="Fira Sans Extra Condensed"/>
        <color theme="1"/>
        <sz val="10.0"/>
      </rPr>
      <t xml:space="preserve"> en la parte inferior se deben habilitar lo siguiente:
</t>
    </r>
    <r>
      <rPr>
        <rFont val="Fira Sans Extra Condensed"/>
        <b/>
        <color theme="1"/>
        <sz val="10.0"/>
      </rPr>
      <t xml:space="preserve">Título: </t>
    </r>
    <r>
      <rPr>
        <rFont val="Fira Sans Extra Condensed"/>
        <color theme="1"/>
        <sz val="10.0"/>
      </rPr>
      <t xml:space="preserve">Asignación de rol.
</t>
    </r>
    <r>
      <rPr>
        <rFont val="Fira Sans Extra Condensed"/>
        <b/>
        <color theme="1"/>
        <sz val="10.0"/>
      </rPr>
      <t>Elemento para regresar:</t>
    </r>
    <r>
      <rPr>
        <rFont val="Fira Sans Extra Condensed"/>
        <color theme="1"/>
        <sz val="10.0"/>
      </rPr>
      <t xml:space="preserve"> Al dar clic lleva a la pantalla anterior. 
</t>
    </r>
    <r>
      <rPr>
        <rFont val="Fira Sans Extra Condensed"/>
        <b/>
        <color theme="1"/>
        <sz val="10.0"/>
      </rPr>
      <t xml:space="preserve">Descripción: </t>
    </r>
    <r>
      <rPr>
        <rFont val="Fira Sans Extra Condensed"/>
        <color theme="1"/>
        <sz val="10.0"/>
      </rPr>
      <t xml:space="preserve">Aquí decidirá los permisos que este usuario tendrá dentro del Módulo Regional.
</t>
    </r>
  </si>
  <si>
    <r>
      <rPr>
        <rFont val="Fira Sans Extra Condensed"/>
        <color theme="1"/>
        <sz val="10.0"/>
      </rPr>
      <t xml:space="preserve">Se debe mostrar una lista desplegable con las siguientes opciones:
</t>
    </r>
    <r>
      <rPr>
        <rFont val="Fira Sans Extra Condensed"/>
        <b/>
        <color theme="1"/>
        <sz val="10.0"/>
      </rPr>
      <t xml:space="preserve">Texto: </t>
    </r>
    <r>
      <rPr>
        <rFont val="Fira Sans Extra Condensed"/>
        <color theme="1"/>
        <sz val="10.0"/>
      </rPr>
      <t xml:space="preserve">Seleccione un rol
</t>
    </r>
    <r>
      <rPr>
        <rFont val="Fira Sans Extra Condensed"/>
        <b/>
        <color theme="1"/>
        <sz val="10.0"/>
      </rPr>
      <t xml:space="preserve">Opciones de listas desplegables: </t>
    </r>
    <r>
      <rPr>
        <rFont val="Fira Sans Extra Condensed"/>
        <color theme="1"/>
        <sz val="10.0"/>
      </rPr>
      <t xml:space="preserve">
</t>
    </r>
    <r>
      <rPr>
        <rFont val="Fira Sans Extra Condensed"/>
        <b/>
        <color theme="1"/>
        <sz val="10.0"/>
      </rPr>
      <t>Administración:</t>
    </r>
    <r>
      <rPr>
        <rFont val="Fira Sans Extra Condensed"/>
        <color theme="1"/>
        <sz val="10.0"/>
      </rPr>
      <t xml:space="preserve">
Descripción:  Administrar el módulo regional, consultar productos y de acuerdo a los permisos asignados realizar transferencias y autorizaciones.
</t>
    </r>
    <r>
      <rPr>
        <rFont val="Fira Sans Extra Condensed"/>
        <b/>
        <color theme="1"/>
        <sz val="10.0"/>
      </rPr>
      <t xml:space="preserve">Consulta: </t>
    </r>
    <r>
      <rPr>
        <rFont val="Fira Sans Extra Condensed"/>
        <color theme="1"/>
        <sz val="10.0"/>
      </rPr>
      <t xml:space="preserve">
Descripción: Visualizar la información de los productos, destinos y transferencias de acuerdo a los permisos asignados. 
</t>
    </r>
    <r>
      <rPr>
        <rFont val="Fira Sans Extra Condensed"/>
        <b/>
        <color theme="1"/>
        <sz val="10.0"/>
      </rPr>
      <t xml:space="preserve">
Preparación:</t>
    </r>
    <r>
      <rPr>
        <rFont val="Fira Sans Extra Condensed"/>
        <color theme="1"/>
        <sz val="10.0"/>
      </rPr>
      <t xml:space="preserve">  
Descripción: Crea y consultar transacciones de acuerdo a los permisos asignados. 
</t>
    </r>
    <r>
      <rPr>
        <rFont val="Fira Sans Extra Condensed"/>
        <b/>
        <color theme="1"/>
        <sz val="10.0"/>
      </rPr>
      <t xml:space="preserve">Aprobación: 
</t>
    </r>
    <r>
      <rPr>
        <rFont val="Fira Sans Extra Condensed"/>
        <color theme="1"/>
        <sz val="10.0"/>
      </rPr>
      <t>Descripción: Aprobar transacciones de acuerdo a los permisos asignados.</t>
    </r>
  </si>
  <si>
    <t>- Selección de al menos una opción
- Cliente con esquema administartivo DUAL</t>
  </si>
  <si>
    <r>
      <rPr>
        <rFont val="Fira Sans Extra Condensed"/>
        <b/>
        <color theme="1"/>
        <sz val="10.0"/>
      </rPr>
      <t xml:space="preserve">Botón Regresar: </t>
    </r>
    <r>
      <rPr>
        <rFont val="Fira Sans Extra Condensed"/>
        <color theme="1"/>
        <sz val="10.0"/>
      </rPr>
      <t>Al dar clic sobre esta opción el canal debe llevar a la pantalla anterior:</t>
    </r>
  </si>
  <si>
    <r>
      <rPr>
        <rFont val="Fira Sans Extra Condensed"/>
        <color theme="1"/>
        <sz val="10.0"/>
      </rPr>
      <t xml:space="preserve">Se debe incluir un checkbox que permita seleccionar las funcionalidades así:
</t>
    </r>
    <r>
      <rPr>
        <rFont val="Fira Sans Extra Condensed"/>
        <b/>
        <color theme="1"/>
        <sz val="10.0"/>
      </rPr>
      <t xml:space="preserve">Rol Consulta:
</t>
    </r>
    <r>
      <rPr>
        <rFont val="Fira Sans Extra Condensed"/>
        <color theme="1"/>
        <sz val="10.0"/>
      </rPr>
      <t xml:space="preserve">
</t>
    </r>
    <r>
      <rPr>
        <rFont val="Fira Sans Extra Condensed"/>
        <b/>
        <color theme="1"/>
        <sz val="10.0"/>
      </rPr>
      <t>Consulta de Productos:</t>
    </r>
    <r>
      <rPr>
        <rFont val="Fira Sans Extra Condensed"/>
        <color theme="1"/>
        <sz val="10.0"/>
      </rPr>
      <t xml:space="preserve"> Predeterminado
</t>
    </r>
    <r>
      <rPr>
        <rFont val="Fira Sans Extra Condensed"/>
        <b/>
        <color theme="1"/>
        <sz val="10.0"/>
      </rPr>
      <t>Descripción</t>
    </r>
    <r>
      <rPr>
        <rFont val="Fira Sans Extra Condensed"/>
        <color theme="1"/>
        <sz val="10.0"/>
      </rPr>
      <t>: Consulta la información consolidada y los detalles de los productos, visualiza movimientos y descarga estados de cuenta.</t>
    </r>
  </si>
  <si>
    <t>- Cliente con esquema administartivo DUAL
- El usuario debe tener al menos una funcionalidad asignada.
- El Rol del usuario puede ser editado en cualquier momento. 
- Este rol únicamente debe permitir asignar las “funcionalidades” descritas anteriormente.</t>
  </si>
  <si>
    <r>
      <rPr>
        <rFont val="Fira Sans Extra Condensed"/>
        <b/>
        <color theme="1"/>
        <sz val="10.0"/>
      </rPr>
      <t>Rol Consulta:</t>
    </r>
    <r>
      <rPr>
        <rFont val="Fira Sans Extra Condensed"/>
        <color theme="1"/>
        <sz val="10.0"/>
      </rPr>
      <t xml:space="preserve">
</t>
    </r>
    <r>
      <rPr>
        <rFont val="Fira Sans Extra Condensed"/>
        <b/>
        <color theme="1"/>
        <sz val="10.0"/>
      </rPr>
      <t>Destinos Autorizados Regionales</t>
    </r>
    <r>
      <rPr>
        <rFont val="Fira Sans Extra Condensed"/>
        <color theme="1"/>
        <sz val="10.0"/>
      </rPr>
      <t xml:space="preserve">: Opcional, permite al usuario Administrador seleccionar si requiere que el usuario tenga este tipo de consultas. 
</t>
    </r>
    <r>
      <rPr>
        <rFont val="Fira Sans Extra Condensed"/>
        <b/>
        <color theme="1"/>
        <sz val="10.0"/>
      </rPr>
      <t>Descripción</t>
    </r>
    <r>
      <rPr>
        <rFont val="Fira Sans Extra Condensed"/>
        <color theme="1"/>
        <sz val="10.0"/>
      </rPr>
      <t>: Consulta los diferentes destinos autorizados.</t>
    </r>
  </si>
  <si>
    <r>
      <rPr>
        <rFont val="Fira Sans Extra Condensed"/>
        <b/>
        <color theme="1"/>
        <sz val="10.0"/>
      </rPr>
      <t xml:space="preserve">Rol Consulta:
</t>
    </r>
    <r>
      <rPr>
        <rFont val="Fira Sans Extra Condensed"/>
        <color theme="1"/>
        <sz val="10.0"/>
      </rPr>
      <t xml:space="preserve">
</t>
    </r>
    <r>
      <rPr>
        <rFont val="Fira Sans Extra Condensed"/>
        <b/>
        <color theme="1"/>
        <sz val="10.0"/>
      </rPr>
      <t xml:space="preserve">Transferencias Regionales: </t>
    </r>
    <r>
      <rPr>
        <rFont val="Fira Sans Extra Condensed"/>
        <color theme="1"/>
        <sz val="10.0"/>
      </rPr>
      <t xml:space="preserve">Opcional, permite al usuario Administrador seleccionar si requiere que el usuario tenga este tipo de consultas. 
</t>
    </r>
    <r>
      <rPr>
        <rFont val="Fira Sans Extra Condensed"/>
        <b/>
        <color theme="1"/>
        <sz val="10.0"/>
      </rPr>
      <t>Descripción</t>
    </r>
    <r>
      <rPr>
        <rFont val="Fira Sans Extra Condensed"/>
        <color theme="1"/>
        <sz val="10.0"/>
      </rPr>
      <t>: Visualiza las transferencias.</t>
    </r>
  </si>
  <si>
    <r>
      <rPr>
        <rFont val="Fira Sans Extra Condensed"/>
        <b/>
        <color theme="1"/>
        <sz val="10.0"/>
      </rPr>
      <t>Selección de funcionalidades para rol 'Preparación'
Rol Preparación</t>
    </r>
    <r>
      <rPr>
        <rFont val="Fira Sans Extra Condensed"/>
        <color theme="1"/>
        <sz val="10.0"/>
      </rPr>
      <t xml:space="preserve">
</t>
    </r>
    <r>
      <rPr>
        <rFont val="Fira Sans Extra Condensed"/>
        <b/>
        <color theme="1"/>
        <sz val="10.0"/>
      </rPr>
      <t>Transferencias Regionales</t>
    </r>
    <r>
      <rPr>
        <rFont val="Fira Sans Extra Condensed"/>
        <color theme="1"/>
        <sz val="10.0"/>
      </rPr>
      <t xml:space="preserve">: Predeterminado
</t>
    </r>
    <r>
      <rPr>
        <rFont val="Fira Sans Extra Condensed"/>
        <b/>
        <color theme="1"/>
        <sz val="10.0"/>
      </rPr>
      <t>Descripción:</t>
    </r>
    <r>
      <rPr>
        <rFont val="Fira Sans Extra Condensed"/>
        <color theme="1"/>
        <sz val="10.0"/>
      </rPr>
      <t xml:space="preserve"> Crea y consulta transferencias de los grupos de productos agregados. </t>
    </r>
  </si>
  <si>
    <t xml:space="preserve">- Cliente con esquema administartivo DUAL
- El usuario debe tener al menos una funcionalidad asignada.
- Este rol únicamente debe permitir asignar las “funcionalidades” descritas anteriormente.
- No debe permitir realizar aprobaciones de ninguna Operación.
- El MVP únicamente viene con la funcionalidad de Tx regionales en CAM La funcionalidad debe permitir a futuro asignar las nuevas funcionalidades desarrolladas en el módulo regional. </t>
  </si>
  <si>
    <r>
      <rPr>
        <rFont val="Fira Sans Extra Condensed"/>
        <b/>
        <color theme="1"/>
        <sz val="10.0"/>
      </rPr>
      <t xml:space="preserve">Rol Preparación
Destinos Autorizados Regionales: </t>
    </r>
    <r>
      <rPr>
        <rFont val="Fira Sans Extra Condensed"/>
        <color theme="1"/>
        <sz val="10.0"/>
      </rPr>
      <t xml:space="preserve">Preseleccionada, (Aplica únicamente si desde el control center fue seleccionada la opción para el Grupo regional) 
</t>
    </r>
    <r>
      <rPr>
        <rFont val="Fira Sans Extra Condensed"/>
        <b/>
        <color theme="1"/>
        <sz val="10.0"/>
      </rPr>
      <t xml:space="preserve">Descripción: </t>
    </r>
    <r>
      <rPr>
        <rFont val="Fira Sans Extra Condensed"/>
        <color theme="1"/>
        <sz val="10.0"/>
      </rPr>
      <t>Consulta y registra cuentas de terceros para realizar transferencias.</t>
    </r>
  </si>
  <si>
    <r>
      <rPr>
        <rFont val="Fira Sans Extra Condensed"/>
        <b/>
        <color theme="1"/>
        <sz val="10.0"/>
      </rPr>
      <t xml:space="preserve">Rol Preparación
</t>
    </r>
    <r>
      <rPr>
        <rFont val="Fira Sans Extra Condensed"/>
        <color theme="1"/>
        <sz val="10.0"/>
      </rPr>
      <t xml:space="preserve">Al crear al cliente desde CC no se seleccionó la opción Destinos Autorizados Regionales para el Grupo regional) 
</t>
    </r>
  </si>
  <si>
    <r>
      <rPr>
        <rFont val="Fira Sans Extra Condensed"/>
        <b/>
        <color theme="1"/>
        <sz val="10.0"/>
      </rPr>
      <t>Rol Preparación
Creación de Transferencias:</t>
    </r>
    <r>
      <rPr>
        <rFont val="Fira Sans Extra Condensed"/>
        <color theme="1"/>
        <sz val="10.0"/>
      </rPr>
      <t xml:space="preserve"> (Opcional)
Entre cuentas Davivienda propias
A Cuentas Davivienda de terceros</t>
    </r>
  </si>
  <si>
    <r>
      <rPr>
        <rFont val="Fira Sans Extra Condensed"/>
        <b/>
        <color theme="1"/>
        <sz val="10.0"/>
      </rPr>
      <t xml:space="preserve">Rol Preparación
Consulta de Productos: </t>
    </r>
    <r>
      <rPr>
        <rFont val="Fira Sans Extra Condensed"/>
        <color theme="1"/>
        <sz val="10.0"/>
      </rPr>
      <t xml:space="preserve">Opcional, permite al usuario Administrador seleccionar si requiere que el usuario tenga este tipo de consultas.
</t>
    </r>
    <r>
      <rPr>
        <rFont val="Fira Sans Extra Condensed"/>
        <b/>
        <color theme="1"/>
        <sz val="10.0"/>
      </rPr>
      <t xml:space="preserve">Descripción: </t>
    </r>
    <r>
      <rPr>
        <rFont val="Fira Sans Extra Condensed"/>
        <color theme="1"/>
        <sz val="10.0"/>
      </rPr>
      <t>Consulta la información consolidada y los detalles de los productos, visualiza movimientos y descarga estados de cuenta.</t>
    </r>
  </si>
  <si>
    <r>
      <rPr>
        <rFont val="Fira Sans Extra Condensed"/>
        <b/>
        <color theme="1"/>
        <sz val="10.0"/>
      </rPr>
      <t xml:space="preserve">Rol Aprobación:
</t>
    </r>
    <r>
      <rPr>
        <rFont val="Fira Sans Extra Condensed"/>
        <color theme="1"/>
        <sz val="10.0"/>
      </rPr>
      <t xml:space="preserve">
</t>
    </r>
    <r>
      <rPr>
        <rFont val="Fira Sans Extra Condensed"/>
        <b/>
        <color theme="1"/>
        <sz val="10.0"/>
      </rPr>
      <t xml:space="preserve">Consulta de Productos: </t>
    </r>
    <r>
      <rPr>
        <rFont val="Fira Sans Extra Condensed"/>
        <color theme="1"/>
        <sz val="10.0"/>
      </rPr>
      <t xml:space="preserve">Predeterminado
</t>
    </r>
    <r>
      <rPr>
        <rFont val="Fira Sans Extra Condensed"/>
        <b/>
        <color theme="1"/>
        <sz val="10.0"/>
      </rPr>
      <t>Descripción:</t>
    </r>
    <r>
      <rPr>
        <rFont val="Fira Sans Extra Condensed"/>
        <color theme="1"/>
        <sz val="10.0"/>
      </rPr>
      <t xml:space="preserve"> Consulta la información consolidada y los detalles de los productos, visualiza movimientos y descarga estados de cuenta.</t>
    </r>
  </si>
  <si>
    <t xml:space="preserve">- Cliente con esquema administartivo DUAL
- El usuario debe tener al menos una funcionalidad asignada.
- Este rol únicamente debe permitir asignar las “funcionalidades” descritas anteriormente.
- Una vez sea asignado el rol de “aprobador” se debe desplegar en el sidebar la opción de “Autorizar”
- No debe permitir realizar “creación” de operaciones si no tiene seleccionado la opción para "creación der transferencias”
- Para realizar autorizaciones el usuario debe estar incluido en un esquema de firmas.
- El MVP únicamente viene la funcionalidad de Tx regionales en CAM, esta opción únicamente se puede habilitar si el Grupo de productos asociado tiene algún producto en CAM.
</t>
  </si>
  <si>
    <r>
      <rPr>
        <rFont val="Fira Sans Extra Condensed"/>
        <b/>
        <color theme="1"/>
        <sz val="10.0"/>
      </rPr>
      <t>Rol Aprobación:</t>
    </r>
    <r>
      <rPr>
        <rFont val="Fira Sans Extra Condensed"/>
        <color theme="1"/>
        <sz val="10.0"/>
      </rPr>
      <t xml:space="preserve">
</t>
    </r>
    <r>
      <rPr>
        <rFont val="Fira Sans Extra Condensed"/>
        <b/>
        <color theme="1"/>
        <sz val="10.0"/>
      </rPr>
      <t xml:space="preserve">Destinos autorizados Regionales: </t>
    </r>
    <r>
      <rPr>
        <rFont val="Fira Sans Extra Condensed"/>
        <color theme="1"/>
        <sz val="10.0"/>
      </rPr>
      <t xml:space="preserve">Predeterminado
</t>
    </r>
    <r>
      <rPr>
        <rFont val="Fira Sans Extra Condensed"/>
        <b/>
        <color theme="1"/>
        <sz val="10.0"/>
      </rPr>
      <t xml:space="preserve">Descripción: </t>
    </r>
    <r>
      <rPr>
        <rFont val="Fira Sans Extra Condensed"/>
        <color theme="1"/>
        <sz val="10.0"/>
      </rPr>
      <t xml:space="preserve">Autoriza destinos según el esquema de firmas asignado.
</t>
    </r>
  </si>
  <si>
    <r>
      <rPr>
        <rFont val="Fira Sans Extra Condensed"/>
        <b/>
        <color theme="1"/>
        <sz val="10.0"/>
      </rPr>
      <t>Rol Aprobación:</t>
    </r>
    <r>
      <rPr>
        <rFont val="Fira Sans Extra Condensed"/>
        <color theme="1"/>
        <sz val="10.0"/>
      </rPr>
      <t xml:space="preserve">
</t>
    </r>
    <r>
      <rPr>
        <rFont val="Fira Sans Extra Condensed"/>
        <b/>
        <color theme="1"/>
        <sz val="10.0"/>
      </rPr>
      <t>Transferencias regionales:</t>
    </r>
    <r>
      <rPr>
        <rFont val="Fira Sans Extra Condensed"/>
        <color theme="1"/>
        <sz val="10.0"/>
      </rPr>
      <t xml:space="preserve"> Predeterminado
</t>
    </r>
    <r>
      <rPr>
        <rFont val="Fira Sans Extra Condensed"/>
        <b/>
        <color theme="1"/>
        <sz val="10.0"/>
      </rPr>
      <t>Descripción</t>
    </r>
    <r>
      <rPr>
        <rFont val="Fira Sans Extra Condensed"/>
        <color theme="1"/>
        <sz val="10.0"/>
      </rPr>
      <t>: Consulta y autoriza transferencias de los grupos de productos agregados si está en un esquema de firmas.</t>
    </r>
  </si>
  <si>
    <r>
      <rPr>
        <rFont val="Fira Sans Extra Condensed"/>
        <b/>
        <color theme="1"/>
        <sz val="10.0"/>
      </rPr>
      <t>Rol Aprobación:</t>
    </r>
    <r>
      <rPr>
        <rFont val="Fira Sans Extra Condensed"/>
        <color theme="1"/>
        <sz val="10.0"/>
      </rPr>
      <t xml:space="preserve">
</t>
    </r>
    <r>
      <rPr>
        <rFont val="Fira Sans Extra Condensed"/>
        <b/>
        <color theme="1"/>
        <sz val="10.0"/>
      </rPr>
      <t xml:space="preserve">Creación de transferencias (Opcional)
</t>
    </r>
    <r>
      <rPr>
        <rFont val="Fira Sans Extra Condensed"/>
        <color theme="1"/>
        <sz val="10.0"/>
      </rPr>
      <t xml:space="preserve">
checkbox / Entre cuentas Davivienda propias
checkbox / A cuentas Davivienda de terceros</t>
    </r>
  </si>
  <si>
    <r>
      <rPr>
        <rFont val="Fira Sans Extra Condensed"/>
        <b/>
        <color theme="1"/>
        <sz val="10.0"/>
      </rPr>
      <t>Rol Aprobación:</t>
    </r>
    <r>
      <rPr>
        <rFont val="Fira Sans Extra Condensed"/>
        <color theme="1"/>
        <sz val="10.0"/>
      </rPr>
      <t xml:space="preserve">
Creación de destinos autorizados (Opcional)  
Se muestra switch que permite habilitar o no</t>
    </r>
  </si>
  <si>
    <r>
      <rPr>
        <rFont val="Fira Sans Extra Condensed"/>
        <b/>
        <color theme="1"/>
      </rPr>
      <t xml:space="preserve">Rol aprobación
</t>
    </r>
    <r>
      <rPr>
        <rFont val="Fira Sans Extra Condensed"/>
        <color theme="1"/>
      </rPr>
      <t xml:space="preserve">Al crear al cliente desde CC no se seleccionó la opción Destinos Autorizados Regionales para el Grupo regional) </t>
    </r>
  </si>
  <si>
    <r>
      <rPr>
        <rFont val="Fira Sans Extra Condensed"/>
        <b/>
        <color theme="1"/>
        <sz val="10.0"/>
      </rPr>
      <t>Rol Administración:
Administración</t>
    </r>
    <r>
      <rPr>
        <rFont val="Fira Sans Extra Condensed"/>
        <color theme="1"/>
        <sz val="10.0"/>
      </rPr>
      <t xml:space="preserve">: Predeterminado una vez se seleccione este Rol y solo se puede eliminar si se elimina o cambia el rol, no podrá ser desmarcada esta funcionalidad de otra manera.
</t>
    </r>
    <r>
      <rPr>
        <rFont val="Fira Sans Extra Condensed"/>
        <b/>
        <color theme="1"/>
        <sz val="10.0"/>
      </rPr>
      <t>Descripción</t>
    </r>
    <r>
      <rPr>
        <rFont val="Fira Sans Extra Condensed"/>
        <color theme="1"/>
        <sz val="10.0"/>
      </rPr>
      <t xml:space="preserve">: Crea y administra los grupos de productos, roles y esquemas de firmas. </t>
    </r>
  </si>
  <si>
    <t>- Cliente con esquema administartivo DUAL
- El usuario debe tener al menos una funcionalidad asignada.
- Este rol únicamente debe permitir asignar las “funcionalidades” descritas anteriormente.
La funcionalidad de Administrar no se puede desmarcar.
- Una vez el usuario tenga asignada la funcionalidad de “Tx Regionales”  se debe -habilitar la opción de “continuar”</t>
  </si>
  <si>
    <r>
      <rPr>
        <rFont val="Fira Sans Extra Condensed"/>
        <b/>
        <color theme="1"/>
        <sz val="10.0"/>
      </rPr>
      <t>Rol administrador
Consulta de Productos</t>
    </r>
    <r>
      <rPr>
        <rFont val="Fira Sans Extra Condensed"/>
        <color theme="1"/>
        <sz val="10.0"/>
      </rPr>
      <t xml:space="preserve">: Predeterminado
</t>
    </r>
    <r>
      <rPr>
        <rFont val="Fira Sans Extra Condensed"/>
        <b/>
        <color theme="1"/>
        <sz val="10.0"/>
      </rPr>
      <t>Descripción</t>
    </r>
    <r>
      <rPr>
        <rFont val="Fira Sans Extra Condensed"/>
        <color theme="1"/>
        <sz val="10.0"/>
      </rPr>
      <t xml:space="preserve">: Consulta la información consolidada y los detalles de los productos,visualiza movimientos y descarga estados de cuenta. </t>
    </r>
  </si>
  <si>
    <t>- Cliente con esquema administartivo DUAL
- El MVP únicamente viene la funcionalidad de Tx regionales en CAM, esta opción únicamente se puede habilitar si el Grupo de productos asociado tiene algún producto en CAM.
- El usuario administrador al crear un usuario “administrador” hereda el mismo tipo de admon y  funcionalidades de la empresa.
- Dentro de la funcionalidad de “Administrar” el usuario podrá autogestionar novedades de  grupos de productos, usuarios y esquema de firmas.</t>
  </si>
  <si>
    <r>
      <rPr>
        <rFont val="Fira Sans Extra Condensed"/>
        <b/>
        <color theme="1"/>
        <sz val="10.0"/>
      </rPr>
      <t>Rol administrador
Asigne los permisos adicionales para este rol
Destinos Autorizados regionales:</t>
    </r>
    <r>
      <rPr>
        <rFont val="Fira Sans Extra Condensed"/>
        <color theme="1"/>
        <sz val="10.0"/>
      </rPr>
      <t xml:space="preserve"> Opcional para este Rol. (Aplica únicamente si desde el control center fue seleccionada la opción) 
</t>
    </r>
    <r>
      <rPr>
        <rFont val="Fira Sans Extra Condensed"/>
        <b/>
        <color theme="1"/>
        <sz val="10.0"/>
      </rPr>
      <t>Descripción</t>
    </r>
    <r>
      <rPr>
        <rFont val="Fira Sans Extra Condensed"/>
        <color theme="1"/>
        <sz val="10.0"/>
      </rPr>
      <t>: Autoriza destinos según el esquema de firmas asignado.
-  Creación de destinos autorizados (Opcional)  Switch: SI/NO</t>
    </r>
  </si>
  <si>
    <r>
      <rPr>
        <rFont val="Fira Sans Extra Condensed"/>
        <b/>
        <color theme="1"/>
      </rPr>
      <t xml:space="preserve">Rol administrador
</t>
    </r>
    <r>
      <rPr>
        <rFont val="Fira Sans Extra Condensed"/>
        <color theme="1"/>
      </rPr>
      <t xml:space="preserve">Al crear al cliente desde CC no se seleccionó la opción Destinos Autorizados Regionales para el Grupo regional) </t>
    </r>
  </si>
  <si>
    <r>
      <rPr>
        <rFont val="Fira Sans Extra Condensed"/>
        <b/>
        <color theme="1"/>
        <sz val="10.0"/>
      </rPr>
      <t>Rol administrador
Transferencias regionales:</t>
    </r>
    <r>
      <rPr>
        <rFont val="Fira Sans Extra Condensed"/>
        <color theme="1"/>
        <sz val="10.0"/>
      </rPr>
      <t xml:space="preserve"> Opcional, permite al usuario Administrador seleccionar si requiere tener acceso a esta funcionalidad.
</t>
    </r>
    <r>
      <rPr>
        <rFont val="Fira Sans Extra Condensed"/>
        <b/>
        <color theme="1"/>
        <sz val="10.0"/>
      </rPr>
      <t>Descripción</t>
    </r>
    <r>
      <rPr>
        <rFont val="Fira Sans Extra Condensed"/>
        <color theme="1"/>
        <sz val="10.0"/>
      </rPr>
      <t>: Consulta y autoriza transferencias de los grupo de productos agregados si está en un esquema de firmas.
- Creación de transferencias (Opcional) Por default no viene habilitado:
- Entre Cuentas Davivienda propias   
- A cuentas Davivienda de terceros</t>
    </r>
  </si>
  <si>
    <t xml:space="preserve">- Cliente con esquema administartivo DUAL
- Una vez el usuario tenga asignada la funcionalidad de “Tx Regionales”  se debe -habilitar la opción de “continuar”
</t>
  </si>
  <si>
    <r>
      <rPr>
        <rFont val="Fira Sans Extra Condensed"/>
        <color theme="1"/>
        <sz val="10.0"/>
      </rPr>
      <t xml:space="preserve">En la parte inferior de la pantalla se deben tener los siguientes dos botones: 
</t>
    </r>
    <r>
      <rPr>
        <rFont val="Fira Sans Extra Condensed"/>
        <b/>
        <color theme="1"/>
        <sz val="10.0"/>
      </rPr>
      <t xml:space="preserve">Regresar: </t>
    </r>
    <r>
      <rPr>
        <rFont val="Fira Sans Extra Condensed"/>
        <color theme="1"/>
        <sz val="10.0"/>
      </rPr>
      <t xml:space="preserve">Una vez el usuario de clic en esta opción regresará a la pantalla anterior.
</t>
    </r>
    <r>
      <rPr>
        <rFont val="Fira Sans Extra Condensed"/>
        <b/>
        <color theme="1"/>
        <sz val="10.0"/>
      </rPr>
      <t>Confirmar</t>
    </r>
    <r>
      <rPr>
        <rFont val="Fira Sans Extra Condensed"/>
        <color theme="1"/>
        <sz val="10.0"/>
      </rPr>
      <t>: Una vez el usuario seleccione las funcionalidades y de clic sobre este botón se actualizará la pantalla y continuará al siguiente paso</t>
    </r>
  </si>
  <si>
    <t>- Cliente con esquema administartivo DUAL
- Se habilita únicamente cuando los criterios anteriores fueron completados.</t>
  </si>
  <si>
    <t>- Cliente con esquema administartivo DUAL
- Solicitará Soft token para los usuarios de CAM</t>
  </si>
  <si>
    <t>- Cliente con esquema administartivo DUAL
- No permitir continuar al siguiente paso.</t>
  </si>
  <si>
    <t>- Cliente con esquema administartivo DUAL
- Solicitará Hard token para los usuarios de COL</t>
  </si>
  <si>
    <r>
      <rPr>
        <rFont val="Fira Sans Extra Condensed"/>
        <color theme="1"/>
        <sz val="10.0"/>
      </rPr>
      <t xml:space="preserve">La información que aquí se muestra dependerá del tipo de administración que tenga parametrizada el grupo Regional así:
</t>
    </r>
    <r>
      <rPr>
        <rFont val="Fira Sans Extra Condensed"/>
        <b/>
        <color theme="1"/>
        <sz val="10.0"/>
      </rPr>
      <t xml:space="preserve">Administración Sencilla:  
</t>
    </r>
    <r>
      <rPr>
        <rFont val="Fira Sans Extra Condensed"/>
        <color theme="1"/>
        <sz val="10.0"/>
      </rPr>
      <t>Una vez aprobada la habilitación del nuevo usuario el canal en la parte superior  presentará el siguiente mensaje</t>
    </r>
    <r>
      <rPr>
        <rFont val="Fira Sans Extra Condensed"/>
        <b/>
        <color theme="1"/>
        <sz val="10.0"/>
      </rPr>
      <t>: “Creación de rol exitosa”</t>
    </r>
    <r>
      <rPr>
        <rFont val="Fira Sans Extra Condensed"/>
        <color theme="1"/>
        <sz val="10.0"/>
      </rPr>
      <t xml:space="preserve"> </t>
    </r>
  </si>
  <si>
    <r>
      <rPr>
        <rFont val="Fira Sans Extra Condensed"/>
        <color theme="1"/>
        <sz val="10.0"/>
      </rPr>
      <t xml:space="preserve">En la parte inferior tendrá las siguientes opciones: 
</t>
    </r>
    <r>
      <rPr>
        <rFont val="Fira Sans Extra Condensed"/>
        <b/>
        <color theme="1"/>
        <sz val="10.0"/>
      </rPr>
      <t xml:space="preserve">- Finalizar: </t>
    </r>
    <r>
      <rPr>
        <rFont val="Fira Sans Extra Condensed"/>
        <color theme="1"/>
        <sz val="10.0"/>
      </rPr>
      <t xml:space="preserve">Una vez el usuario de clic en esta opción regresará a la pantalla de Usuarios donde puede consultar o crear un nuevo usuario.
</t>
    </r>
    <r>
      <rPr>
        <rFont val="Fira Sans Extra Condensed"/>
        <b/>
        <color theme="1"/>
        <sz val="10.0"/>
      </rPr>
      <t xml:space="preserve">- Continuar: </t>
    </r>
    <r>
      <rPr>
        <rFont val="Fira Sans Extra Condensed"/>
        <color theme="1"/>
        <sz val="10.0"/>
      </rPr>
      <t xml:space="preserve">Esta opción posiciona al usuario en la primera pantalla del módulo de administración. donde visualiza las opciones de grupos, roles y esquemas. </t>
    </r>
  </si>
  <si>
    <r>
      <rPr>
        <rFont val="Fira Sans Extra Condensed"/>
        <b/>
        <color theme="1"/>
        <sz val="10.0"/>
      </rPr>
      <t xml:space="preserve">Administración Dual: </t>
    </r>
    <r>
      <rPr>
        <rFont val="Fira Sans Extra Condensed"/>
        <color theme="1"/>
        <sz val="10.0"/>
      </rPr>
      <t xml:space="preserve">
Una vez aprobada la habilitación del nuevo usuario el canal en la parte superior  presentará el siguiente mensaje: “Pendiente de aprobación”
</t>
    </r>
    <r>
      <rPr>
        <rFont val="Fira Sans Extra Condensed"/>
        <b/>
        <color theme="1"/>
        <sz val="10.0"/>
      </rPr>
      <t xml:space="preserve">Descripción: </t>
    </r>
    <r>
      <rPr>
        <rFont val="Fira Sans Extra Condensed"/>
        <color theme="1"/>
        <sz val="10.0"/>
      </rPr>
      <t>La creación del rol se envió para su aprobación. Quedará en estado pendiente hasta que el esquema de firmas se complete.</t>
    </r>
  </si>
  <si>
    <t>Ejecutar proceso de creación de usuario con esquema administrativo 'DUAL'</t>
  </si>
  <si>
    <t>- Gestión usuario quedará con estado pendiente de autorización.</t>
  </si>
  <si>
    <t>Mostrar resumen de la información, tendrá la misma visual en el mismo orden de la pantalla anterior donde visualizará un resumen de toda  la información del usuario y perfil asignado.</t>
  </si>
  <si>
    <t>Mostrar información del usuario a crear
Ejecutar proceso de creación de usuario con esquema administrativo 'DUAL'</t>
  </si>
  <si>
    <t>- Esquema administrativo DUAL</t>
  </si>
  <si>
    <r>
      <rPr>
        <rFont val="Fira Sans Extra Condensed"/>
        <color theme="1"/>
        <sz val="10.0"/>
      </rPr>
      <t xml:space="preserve">En la parte inferior tendrá las siguientes opciones:
</t>
    </r>
    <r>
      <rPr>
        <rFont val="Fira Sans Extra Condensed"/>
        <b/>
        <color theme="1"/>
        <sz val="10.0"/>
      </rPr>
      <t>- Finalizar:</t>
    </r>
    <r>
      <rPr>
        <rFont val="Fira Sans Extra Condensed"/>
        <color theme="1"/>
        <sz val="10.0"/>
      </rPr>
      <t xml:space="preserve"> una vez el usuario de clic en esta opción regresará a la pantalla de usuarios donde puede consultar o crear un nuevo usuario. 
</t>
    </r>
    <r>
      <rPr>
        <rFont val="Fira Sans Extra Condensed"/>
        <b/>
        <color theme="1"/>
        <sz val="10.0"/>
      </rPr>
      <t xml:space="preserve">- Continuar: </t>
    </r>
    <r>
      <rPr>
        <rFont val="Fira Sans Extra Condensed"/>
        <color theme="1"/>
        <sz val="10.0"/>
      </rPr>
      <t xml:space="preserve">Esta opción posiciona al usuario en la primera pantalla del módulo de administración. donde visualiza las opciones de grupos, roles y esquemas. </t>
    </r>
  </si>
  <si>
    <t>Habilitar botones de finalizar y continuar 
-Ejecutar proceso de creación de usuario con esquema administrativo 'DUAL'</t>
  </si>
  <si>
    <t xml:space="preserve">Para finalizar el proceso de alta del usuario el otro administrador deberá revisar y aprobar la solicitud por el módulo de autorizaciones.  
</t>
  </si>
  <si>
    <t>Mostrar mensaje de error de acuerdo al catálogo de errores
. Ejecutar proceso de creación de usuario con esquema administrativo 'DUAL'</t>
  </si>
  <si>
    <t>Criterio 9 - Consulta de usuarios</t>
  </si>
  <si>
    <t>Usuario creado en el módulo regional previamente</t>
  </si>
  <si>
    <t xml:space="preserve">Se debe habilitar dentro del módulo de administración una opción que permita al usuario administrador visualizar, editar, copiar, o eliminar los usuarios habilitados en módulo regional.
Esta opción únicamente se habilita si el grupo ya tiene usuarios creados diferente al rol administrador,
- Para ingresar a esta opción debe ingresar por Administración/Usuarios/Consultar Usuarios.
</t>
  </si>
  <si>
    <t>Las opciones de editar, copiar y eliminar debe estar activa para los clientes que se encuentren con esquema SIMPLE o DUAL</t>
  </si>
  <si>
    <t>- Ejecutar gestión con usuario con rol Administrador</t>
  </si>
  <si>
    <t>Visualizar la opción de editar, copiar y eliminar a los usuarios administradores.</t>
  </si>
  <si>
    <r>
      <rPr>
        <rFont val="Fira Sans Extra Condensed"/>
        <color theme="1"/>
        <sz val="10.0"/>
      </rPr>
      <t xml:space="preserve">En esta pantalla el usuario tendrá la visual de todos los usuarios habilitados en el módulo regional  donde podrá aplicar filtros para encontrar un usuario de manera sencilla, visualizar un mayor detalle de un usuario, editar, eliminar, así:
</t>
    </r>
    <r>
      <rPr>
        <rFont val="Fira Sans Extra Condensed"/>
        <b/>
        <color theme="1"/>
        <sz val="10.0"/>
      </rPr>
      <t>Título: Roles</t>
    </r>
    <r>
      <rPr>
        <rFont val="Fira Sans Extra Condensed"/>
        <color theme="1"/>
        <sz val="10.0"/>
      </rPr>
      <t xml:space="preserve">
</t>
    </r>
    <r>
      <rPr>
        <rFont val="Fira Sans Extra Condensed"/>
        <b/>
        <color theme="1"/>
        <sz val="10.0"/>
      </rPr>
      <t>Descripción</t>
    </r>
    <r>
      <rPr>
        <rFont val="Fira Sans Extra Condensed"/>
        <color theme="1"/>
        <sz val="10.0"/>
      </rPr>
      <t xml:space="preserve">: Aquí puede crear, editar y eliminar los usuarios que tendrán acceso al Módulo Regional. 
- Para facilitar su gestión, puede usar el buscador o los filtros presentados. </t>
    </r>
  </si>
  <si>
    <t>Ejecutar consulta de usuarios</t>
  </si>
  <si>
    <t>Consulta de usuarios exitoso</t>
  </si>
  <si>
    <r>
      <rPr>
        <rFont val="Fira Sans Extra Condensed"/>
        <b/>
        <color theme="1"/>
        <sz val="10.0"/>
      </rPr>
      <t>Títulos por columnas del resultado de usuarios: 
País</t>
    </r>
    <r>
      <rPr>
        <rFont val="Fira Sans Extra Condensed"/>
        <color theme="1"/>
        <sz val="10.0"/>
      </rPr>
      <t xml:space="preserve">: El canal debe mostrar la bandera e iniciales del país origen por el cual accede desde la banca local al módulo regional.
</t>
    </r>
    <r>
      <rPr>
        <rFont val="Fira Sans Extra Condensed"/>
        <b/>
        <color theme="1"/>
        <sz val="10.0"/>
      </rPr>
      <t xml:space="preserve">Nombre del usuario: </t>
    </r>
    <r>
      <rPr>
        <rFont val="Fira Sans Extra Condensed"/>
        <color theme="1"/>
        <sz val="10.0"/>
      </rPr>
      <t xml:space="preserve">Se debe mostrar el nombre del usuario igual a cómo fue creado en la banca local.
</t>
    </r>
    <r>
      <rPr>
        <rFont val="Fira Sans Extra Condensed"/>
        <b/>
        <color theme="1"/>
        <sz val="10.0"/>
      </rPr>
      <t>Rol: S</t>
    </r>
    <r>
      <rPr>
        <rFont val="Fira Sans Extra Condensed"/>
        <color theme="1"/>
        <sz val="10.0"/>
      </rPr>
      <t xml:space="preserve">e debe mostrar el rol que el usuario tiene en el módulo regional.
</t>
    </r>
    <r>
      <rPr>
        <rFont val="Fira Sans Extra Condensed"/>
        <b/>
        <color theme="1"/>
        <sz val="10.0"/>
      </rPr>
      <t xml:space="preserve">Número de identificación: </t>
    </r>
    <r>
      <rPr>
        <rFont val="Fira Sans Extra Condensed"/>
        <color theme="1"/>
        <sz val="10.0"/>
      </rPr>
      <t xml:space="preserve">Se debe mostrar el número de identificación. 
</t>
    </r>
    <r>
      <rPr>
        <rFont val="Fira Sans Extra Condensed"/>
        <b/>
        <color theme="1"/>
        <sz val="10.0"/>
      </rPr>
      <t>Estado:</t>
    </r>
    <r>
      <rPr>
        <rFont val="Fira Sans Extra Condensed"/>
        <color theme="1"/>
        <sz val="10.0"/>
      </rPr>
      <t xml:space="preserve"> El canal debe mostrar el estado del usuario en el sistema:
Activo 
Inactivo
Inconsistencia ⚠️</t>
    </r>
  </si>
  <si>
    <t>Mostrar en columnas los campos de consulta</t>
  </si>
  <si>
    <t>Mostrar campos de consulta</t>
  </si>
  <si>
    <r>
      <rPr>
        <rFont val="Fira Sans Extra Condensed"/>
        <b/>
        <color theme="1"/>
        <sz val="10.0"/>
      </rPr>
      <t>Opciones:</t>
    </r>
    <r>
      <rPr>
        <rFont val="Fira Sans Extra Condensed"/>
        <color theme="1"/>
        <sz val="10.0"/>
      </rPr>
      <t xml:space="preserve"> El canal debe habilitar los siguientes accionables por registro  para que permita al usuario autogestionar novedades así:
</t>
    </r>
    <r>
      <rPr>
        <rFont val="Fira Sans Extra Condensed"/>
        <b/>
        <color theme="1"/>
        <sz val="10.0"/>
      </rPr>
      <t xml:space="preserve">
Descargar reporte
Duplicar usuario
Eliminar</t>
    </r>
  </si>
  <si>
    <t>Mostrar opciones para gestionar al usuario</t>
  </si>
  <si>
    <t>Acceder a las opciones de gestiones de usuariio</t>
  </si>
  <si>
    <t>Criterio 9.1 - Filtrar</t>
  </si>
  <si>
    <r>
      <rPr>
        <rFont val="Fira Sans Extra Condensed"/>
        <b/>
        <color theme="1"/>
        <sz val="10.0"/>
      </rPr>
      <t xml:space="preserve">Búsqueda avanzada de productos: </t>
    </r>
    <r>
      <rPr>
        <rFont val="Fira Sans Extra Condensed"/>
        <color theme="1"/>
        <sz val="10.0"/>
      </rPr>
      <t xml:space="preserve">El canal debe permitir al usuario buscar productos por por las siguientes opciones:
</t>
    </r>
    <r>
      <rPr>
        <rFont val="Fira Sans Extra Condensed"/>
        <b/>
        <color theme="1"/>
        <sz val="10.0"/>
      </rPr>
      <t>Elemento “Buscar":</t>
    </r>
    <r>
      <rPr>
        <rFont val="Fira Sans Extra Condensed"/>
        <color theme="1"/>
        <sz val="10.0"/>
      </rPr>
      <t xml:space="preserve"> Al dar clic se debe habilitar una barra de búsqueda que permite al usuario ingresar el nombre del usuario, el canal debe actualizar los resultados de búsqueda teniendo en cuenta el texto ingresado, se debe habilitar un botón de “cancelar” en caso que el usuario quiera eliminar esta búsqueda. 
</t>
    </r>
    <r>
      <rPr>
        <rFont val="Fira Sans Extra Condensed"/>
        <b/>
        <color theme="1"/>
        <sz val="10.0"/>
      </rPr>
      <t>Elemento “Filtrar”:</t>
    </r>
    <r>
      <rPr>
        <rFont val="Fira Sans Extra Condensed"/>
        <color theme="1"/>
        <sz val="10.0"/>
      </rPr>
      <t xml:space="preserve"> 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t>
    </r>
    <r>
      <rPr>
        <rFont val="Fira Sans Extra Condensed"/>
        <color theme="1"/>
        <sz val="10.0"/>
      </rPr>
      <t xml:space="preserve">: Filtrar
</t>
    </r>
    <r>
      <rPr>
        <rFont val="Fira Sans Extra Condensed"/>
        <b/>
        <color theme="1"/>
        <sz val="10.0"/>
      </rPr>
      <t>Botón “x”:</t>
    </r>
    <r>
      <rPr>
        <rFont val="Fira Sans Extra Condensed"/>
        <color theme="1"/>
        <sz val="10.0"/>
      </rPr>
      <t xml:space="preserve"> Regresa a la pantalla anterior. 
</t>
    </r>
    <r>
      <rPr>
        <rFont val="Fira Sans Extra Condensed"/>
        <b/>
        <color theme="1"/>
        <sz val="10.0"/>
      </rPr>
      <t xml:space="preserve">Texto: </t>
    </r>
    <r>
      <rPr>
        <rFont val="Fira Sans Extra Condensed"/>
        <color theme="1"/>
        <sz val="10.0"/>
      </rPr>
      <t>Aplique las opciones de filtrado que desea</t>
    </r>
  </si>
  <si>
    <t>Ejecutar búsqueda de usuarios por medio de los diferentes filtros</t>
  </si>
  <si>
    <t>Búsqueda exitosa de usuarios utilizando filtros</t>
  </si>
  <si>
    <t>En caso que el usuario ingrese un texto que no encuentre coincidencia el canal debe mostrar “La búsqueda de (texto ingresado) no presenta resultados.”</t>
  </si>
  <si>
    <t>Ejecutar búsqueda de usuario que no existe en el módulo regional</t>
  </si>
  <si>
    <t>Validación de error de acuerdo al catálogo de errores</t>
  </si>
  <si>
    <r>
      <rPr>
        <rFont val="Fira Sans Extra Condensed"/>
        <b/>
        <color theme="1"/>
        <sz val="10.0"/>
      </rPr>
      <t xml:space="preserve">9.1.1 Países: </t>
    </r>
    <r>
      <rPr>
        <rFont val="Fira Sans Extra Condensed"/>
        <color theme="1"/>
        <sz val="10.0"/>
      </rPr>
      <t>permite seleccionar uno o todos los países, la opción que aquí se muestre dependerá de donde el usuario tiene su casa matriz.</t>
    </r>
  </si>
  <si>
    <r>
      <rPr>
        <rFont val="Fira Sans Extra Condensed"/>
        <b/>
        <color theme="1"/>
        <sz val="10.0"/>
      </rPr>
      <t>9.1.2 Rol:</t>
    </r>
    <r>
      <rPr>
        <rFont val="Fira Sans Extra Condensed"/>
        <color theme="1"/>
        <sz val="10.0"/>
      </rPr>
      <t xml:space="preserve"> El canal debe permitir buscar usuarios teniendo en cuenta el rol asignado al usuario dentro del módulo regional. (Administrador/Aprobador/Consultor/Preparador)</t>
    </r>
  </si>
  <si>
    <r>
      <rPr>
        <rFont val="Fira Sans Extra Condensed"/>
        <b/>
        <color theme="1"/>
        <sz val="10.0"/>
      </rPr>
      <t>9.1.3 Número de identificación:</t>
    </r>
    <r>
      <rPr>
        <rFont val="Fira Sans Extra Condensed"/>
        <color theme="1"/>
        <sz val="10.0"/>
      </rPr>
      <t xml:space="preserve"> Espacio donde el usuario puede ingresar caracteres alfanuméricos</t>
    </r>
  </si>
  <si>
    <r>
      <rPr>
        <rFont val="Fira Sans Extra Condensed"/>
        <b/>
        <color theme="1"/>
        <sz val="10.0"/>
      </rPr>
      <t>9.1.4 Estado</t>
    </r>
    <r>
      <rPr>
        <rFont val="Fira Sans Extra Condensed"/>
        <color theme="1"/>
        <sz val="10.0"/>
      </rPr>
      <t>: Lista seleccionable con las opciones: Activo / Inactivo / Inconsistencia</t>
    </r>
  </si>
  <si>
    <r>
      <rPr>
        <rFont val="Fira Sans Extra Condensed"/>
        <b/>
        <color theme="1"/>
        <sz val="10.0"/>
      </rPr>
      <t>En la parte inferior deben estar las opciones:</t>
    </r>
    <r>
      <rPr>
        <rFont val="Fira Sans Extra Condensed"/>
        <color theme="1"/>
        <sz val="10.0"/>
      </rPr>
      <t xml:space="preserve">
Botón “</t>
    </r>
    <r>
      <rPr>
        <rFont val="Fira Sans Extra Condensed"/>
        <b/>
        <color theme="1"/>
        <sz val="10.0"/>
      </rPr>
      <t xml:space="preserve">Borrar": </t>
    </r>
    <r>
      <rPr>
        <rFont val="Fira Sans Extra Condensed"/>
        <color theme="1"/>
        <sz val="10.0"/>
      </rPr>
      <t xml:space="preserve">al dar clic debe eliminar los filtros de búsqueda ingresados por el usuario. 
</t>
    </r>
    <r>
      <rPr>
        <rFont val="Fira Sans Extra Condensed"/>
        <b/>
        <color theme="1"/>
        <sz val="10.0"/>
      </rPr>
      <t>Botón “Aplicar”</t>
    </r>
    <r>
      <rPr>
        <rFont val="Fira Sans Extra Condensed"/>
        <color theme="1"/>
        <sz val="10.0"/>
      </rPr>
      <t xml:space="preserve">: Al dar clic el canal actualiza la pantalla donde muestra los usuarios, mostrando como resultado únicamente los que cumplan con los criterios buscados,  en caso que el usuario requiera  seleccionar o eliminar alguna selección la podrá aplicar la novedad de manera manual. 
- En la parte superior del resultado se debe mostrar el nombre del filtro aplicado y una opción en el mismo texto que permita “eliminar” el filtro. 
- Adicional se debe habilitar el elemento de “borrar filtros” al dar clic elimina todos los filtros aplicados. </t>
    </r>
  </si>
  <si>
    <t>Mostrar botones 'Borrar' y 'Aplicar'</t>
  </si>
  <si>
    <t>Acceder a los botones de Borrar y Aplicar y devolver resultados segun lo seleccionado.</t>
  </si>
  <si>
    <t xml:space="preserve">En caso que el usuario aplique filtros y no encuentra coincidencia debe mostrar “La búsqueda no presenta resultados”
</t>
  </si>
  <si>
    <t>Criterio 
9.2 - Generación de Reportes</t>
  </si>
  <si>
    <t>Mostrar resultados de búsqueda</t>
  </si>
  <si>
    <r>
      <rPr>
        <rFont val="Fira Sans Extra Condensed"/>
        <color theme="1"/>
        <sz val="10.0"/>
      </rPr>
      <t xml:space="preserve">Debe existir un elemento que le permita al usuario realizar la descarga de todos los usuarios creados y activos en el canal, el usuario al dar clic actualiza la pantalla y el canal muestra:
</t>
    </r>
    <r>
      <rPr>
        <rFont val="Fira Sans Extra Condensed"/>
        <b/>
        <color theme="1"/>
        <sz val="10.0"/>
      </rPr>
      <t>Titulo:</t>
    </r>
    <r>
      <rPr>
        <rFont val="Fira Sans Extra Condensed"/>
        <color theme="1"/>
        <sz val="10.0"/>
      </rPr>
      <t xml:space="preserve"> Descargar Reporte
</t>
    </r>
    <r>
      <rPr>
        <rFont val="Fira Sans Extra Condensed"/>
        <b/>
        <color theme="1"/>
        <sz val="10.0"/>
      </rPr>
      <t>elemento de cerrar.</t>
    </r>
    <r>
      <rPr>
        <rFont val="Fira Sans Extra Condensed"/>
        <color theme="1"/>
        <sz val="10.0"/>
      </rPr>
      <t xml:space="preserve">
</t>
    </r>
    <r>
      <rPr>
        <rFont val="Fira Sans Extra Condensed"/>
        <b/>
        <color theme="1"/>
        <sz val="10.0"/>
      </rPr>
      <t xml:space="preserve">Descripción: </t>
    </r>
    <r>
      <rPr>
        <rFont val="Fira Sans Extra Condensed"/>
        <color theme="1"/>
        <sz val="10.0"/>
      </rPr>
      <t xml:space="preserve">Si la descarga no se da de inmediato le enviaremos el archivo al buzón.
</t>
    </r>
    <r>
      <rPr>
        <rFont val="Fira Sans Extra Condensed"/>
        <b/>
        <color theme="1"/>
        <sz val="10.0"/>
      </rPr>
      <t>Texto:</t>
    </r>
    <r>
      <rPr>
        <rFont val="Fira Sans Extra Condensed"/>
        <color theme="1"/>
        <sz val="10.0"/>
      </rPr>
      <t xml:space="preserve"> Elija el formato 
</t>
    </r>
    <r>
      <rPr>
        <rFont val="Fira Sans Extra Condensed"/>
        <b/>
        <color theme="1"/>
        <sz val="10.0"/>
      </rPr>
      <t>Excel  (.xlsx) 
PDF    (.pdf)</t>
    </r>
    <r>
      <rPr>
        <rFont val="Fira Sans Extra Condensed"/>
        <color theme="1"/>
        <sz val="10.0"/>
      </rPr>
      <t xml:space="preserve">
</t>
    </r>
  </si>
  <si>
    <t>Descargar reporte de usuarios en formatos Excel Y PDF</t>
  </si>
  <si>
    <t>Abrir archivo en el formato de descarga efectuado.</t>
  </si>
  <si>
    <r>
      <rPr>
        <rFont val="Fira Sans Extra Condensed"/>
        <color theme="1"/>
        <sz val="10.0"/>
      </rPr>
      <t>Una vez el cliente seleccione un formato se habilita el botón de “</t>
    </r>
    <r>
      <rPr>
        <rFont val="Fira Sans Extra Condensed"/>
        <b/>
        <color theme="1"/>
        <sz val="10.0"/>
      </rPr>
      <t>Descargar</t>
    </r>
    <r>
      <rPr>
        <rFont val="Fira Sans Extra Condensed"/>
        <color theme="1"/>
        <sz val="10.0"/>
      </rPr>
      <t xml:space="preserve">”.
La información descargada debe coincidir si fue aplicado un filtro.
</t>
    </r>
    <r>
      <rPr>
        <rFont val="Fira Sans Extra Condensed"/>
        <b/>
        <color theme="1"/>
        <sz val="10.0"/>
      </rPr>
      <t xml:space="preserve">En el formato en PDF en canal debe mostrar:
</t>
    </r>
    <r>
      <rPr>
        <rFont val="Fira Sans Extra Condensed"/>
        <color theme="1"/>
        <sz val="10.0"/>
      </rPr>
      <t xml:space="preserve">
</t>
    </r>
    <r>
      <rPr>
        <rFont val="Fira Sans Extra Condensed"/>
        <b/>
        <color theme="1"/>
        <sz val="10.0"/>
      </rPr>
      <t>Nombre del banco en la parte superior
Fecha y hora descarga</t>
    </r>
    <r>
      <rPr>
        <rFont val="Fira Sans Extra Condensed"/>
        <color theme="1"/>
        <sz val="10.0"/>
      </rPr>
      <t xml:space="preserve">, formato dd-mm-aaaa hh:mm am-pm
</t>
    </r>
    <r>
      <rPr>
        <rFont val="Fira Sans Extra Condensed"/>
        <b/>
        <color theme="1"/>
        <sz val="10.0"/>
      </rPr>
      <t>Titulo</t>
    </r>
    <r>
      <rPr>
        <rFont val="Fira Sans Extra Condensed"/>
        <color theme="1"/>
        <sz val="10.0"/>
      </rPr>
      <t xml:space="preserve">: Roles
</t>
    </r>
    <r>
      <rPr>
        <rFont val="Fira Sans Extra Condensed"/>
        <b/>
        <color theme="1"/>
        <sz val="10.0"/>
      </rPr>
      <t>Resultado:</t>
    </r>
    <r>
      <rPr>
        <rFont val="Fira Sans Extra Condensed"/>
        <color theme="1"/>
        <sz val="10.0"/>
      </rPr>
      <t xml:space="preserve"> Contenido de la consulta en la parte inferior de manera ordenada y clara mostrando detalle de cada registro información de: País, Nombre del usuario completo, Rol, Número de identificación y Estado.</t>
    </r>
  </si>
  <si>
    <t>Descargar de archivo de acuerdo al formato seleccionado</t>
  </si>
  <si>
    <t xml:space="preserve">El archivo descargado debe contener la información del total de resultados de todas las páginas que se muestran en el resultado. </t>
  </si>
  <si>
    <t>Descarga de reporte de usuarios</t>
  </si>
  <si>
    <r>
      <rPr>
        <rFont val="Fira Sans Extra Condensed"/>
        <b/>
        <color theme="1"/>
        <sz val="10.0"/>
      </rPr>
      <t>Mensajería:</t>
    </r>
    <r>
      <rPr>
        <rFont val="Fira Sans Extra Condensed"/>
        <color theme="1"/>
        <sz val="10.0"/>
      </rPr>
      <t xml:space="preserve">
- Si la descarga se realiza de manera satisfactoria actualiza la pantalla e informa en la parte superior “Descarga exitosa”
</t>
    </r>
  </si>
  <si>
    <t>Validación de mensajes de descarga de archivo de acuerdo al catálogo de errores.</t>
  </si>
  <si>
    <t>Mostrar mensaje de descarga exitosa.</t>
  </si>
  <si>
    <t>- Si la generación del reporte no se puede realizar en línea por el tamaño se debe mostrar el siguiente modal: “El reporte se enviará al buzón de notificaciones del módulo regional.”</t>
  </si>
  <si>
    <t>Mostrar mensaje de de descarga de reporte cuando el archivo sea muy grande indicando que se enviará al buzon de notificaciones</t>
  </si>
  <si>
    <t xml:space="preserve">- En caso que la descarga no se pueda generar por algún error se debe presentar mensaje: “Descarga fallida. Intente más tarde”  </t>
  </si>
  <si>
    <t>Mostrar mensaje indicando que la descarga falló.</t>
  </si>
  <si>
    <t>Si el usuario requiere realizar una descarga masiva debe seleccionar primero los checkbox y cuando tenga seleccionado al menos un registro el canal habilita la opción de “descargar selección”</t>
  </si>
  <si>
    <t>- Empty state</t>
  </si>
  <si>
    <t>Habilitar el bot+on de descarga cuando se haya selccionado al menos un registro.</t>
  </si>
  <si>
    <t>9.3 - Paginación</t>
  </si>
  <si>
    <t>Tener creados más de 50 usuarios creados</t>
  </si>
  <si>
    <t xml:space="preserve">La paginación se debe presentar en la parte superior del resultado, se presentará hasta 50 registros por página, de acuerdo la información obtenida del resultado de la consulta, para llegar a la parte inferior el usuario podrá usar el scroll y el teclado. </t>
  </si>
  <si>
    <t>En la pantalla se debe presentar la paginación mostrando el número de páginas totales que arroja el resultado.</t>
  </si>
  <si>
    <t>- Mostrar paginación cuando el cliente posea mas de 50 usuarios.</t>
  </si>
  <si>
    <t>Criterio 10 - Ver Detalle</t>
  </si>
  <si>
    <r>
      <rPr>
        <rFont val="Fira Sans Extra Condensed"/>
        <color theme="1"/>
        <sz val="10.0"/>
      </rPr>
      <t xml:space="preserve">- Debe existir una opción que le permita al usuario visualizar mayor detalle de un usuario registrado.
- Al dar clic desde la consulta general se debe actualizar la pantalla y el usuario podrá visualizar de manera detallada el resumen del usuario seleccionado, tal cual como se muestra el resultado una vez es habilitado en el módulo regional, tendrá la misma visual de toda la información asociada de la asignación del rol del usuario dentro del módulo así: 
</t>
    </r>
    <r>
      <rPr>
        <rFont val="Fira Sans Extra Condensed"/>
        <b/>
        <color theme="1"/>
        <sz val="10.0"/>
      </rPr>
      <t xml:space="preserve">Título: </t>
    </r>
    <r>
      <rPr>
        <rFont val="Fira Sans Extra Condensed"/>
        <color theme="1"/>
        <sz val="10.0"/>
      </rPr>
      <t xml:space="preserve">Detalle del rol
</t>
    </r>
    <r>
      <rPr>
        <rFont val="Fira Sans Extra Condensed"/>
        <b/>
        <color theme="1"/>
        <sz val="10.0"/>
      </rPr>
      <t xml:space="preserve">Regresar: </t>
    </r>
    <r>
      <rPr>
        <rFont val="Fira Sans Extra Condensed"/>
        <color theme="1"/>
        <sz val="10.0"/>
      </rPr>
      <t xml:space="preserve">Al dar clic lleva al usuario a la pantalla anterior.
</t>
    </r>
  </si>
  <si>
    <t>Consultar el detalle de un usuario previamente creado.</t>
  </si>
  <si>
    <t>Ingreso al detalle del usuario exitoso.</t>
  </si>
  <si>
    <r>
      <rPr>
        <rFont val="Fira Sans Extra Condensed"/>
        <b/>
        <color theme="1"/>
        <sz val="10.0"/>
      </rPr>
      <t>Se debe presentar la información personal así:</t>
    </r>
    <r>
      <rPr>
        <rFont val="Fira Sans Extra Condensed"/>
        <color theme="1"/>
        <sz val="10.0"/>
      </rPr>
      <t xml:space="preserve">
</t>
    </r>
    <r>
      <rPr>
        <rFont val="Fira Sans Extra Condensed"/>
        <b/>
        <color theme="1"/>
        <sz val="10.0"/>
      </rPr>
      <t xml:space="preserve">- Nombres y Apellidos: </t>
    </r>
    <r>
      <rPr>
        <rFont val="Fira Sans Extra Condensed"/>
        <color theme="1"/>
        <sz val="10.0"/>
      </rPr>
      <t xml:space="preserve">Se debe mostrar tal cómo fue habilitado.
</t>
    </r>
    <r>
      <rPr>
        <rFont val="Fira Sans Extra Condensed"/>
        <b/>
        <color theme="1"/>
        <sz val="10.0"/>
      </rPr>
      <t>- Estado:</t>
    </r>
    <r>
      <rPr>
        <rFont val="Fira Sans Extra Condensed"/>
        <color theme="1"/>
        <sz val="10.0"/>
      </rPr>
      <t xml:space="preserve"> El  administrador tendrá una opción que le permita visualizar el estado del usuario, por naturaleza todos los usuarios nacen en estado “activo” pero si requiere cambiar el estado del mismo podrá realizarlo en este punto de manera sencilla seleccionado el estado que requiera con un elemento como un “switch”. Se detalla esta funcionalidad en el criterio 11 de esta historia de usuario.
</t>
    </r>
    <r>
      <rPr>
        <rFont val="Fira Sans Extra Condensed"/>
        <b/>
        <color theme="1"/>
        <sz val="10.0"/>
      </rPr>
      <t xml:space="preserve">- País: </t>
    </r>
    <r>
      <rPr>
        <rFont val="Fira Sans Extra Condensed"/>
        <color theme="1"/>
        <sz val="10.0"/>
      </rPr>
      <t xml:space="preserve">Se debe mostrar tal cómo fue creado.
</t>
    </r>
    <r>
      <rPr>
        <rFont val="Fira Sans Extra Condensed"/>
        <b/>
        <color theme="1"/>
        <sz val="10.0"/>
      </rPr>
      <t xml:space="preserve">- Tipo de documento: </t>
    </r>
    <r>
      <rPr>
        <rFont val="Fira Sans Extra Condensed"/>
        <color theme="1"/>
        <sz val="10.0"/>
      </rPr>
      <t xml:space="preserve">Se debe mostrar tal cómo fue creado.
</t>
    </r>
    <r>
      <rPr>
        <rFont val="Fira Sans Extra Condensed"/>
        <b/>
        <color theme="1"/>
        <sz val="10.0"/>
      </rPr>
      <t>- Número de documento:</t>
    </r>
    <r>
      <rPr>
        <rFont val="Fira Sans Extra Condensed"/>
        <color theme="1"/>
        <sz val="10.0"/>
      </rPr>
      <t xml:space="preserve"> Se debe mostrar tal cómo fue creado.
</t>
    </r>
    <r>
      <rPr>
        <rFont val="Fira Sans Extra Condensed"/>
        <b/>
        <color theme="1"/>
        <sz val="10.0"/>
      </rPr>
      <t xml:space="preserve">
- Teléfono: </t>
    </r>
    <r>
      <rPr>
        <rFont val="Fira Sans Extra Condensed"/>
        <color theme="1"/>
        <sz val="10.0"/>
      </rPr>
      <t>Tal cómo fue habilitado,  indicando al inicio el indicativo del país. El número podrá ser móvil o fijo, dependiendo cómo esté registrado el número en el país origen.</t>
    </r>
  </si>
  <si>
    <t>Visualización del detalle del usuario.</t>
  </si>
  <si>
    <t>- Campos en formato lectura</t>
  </si>
  <si>
    <t>visualziación de la información del usuario de acuerdo a su creación.</t>
  </si>
  <si>
    <r>
      <rPr>
        <rFont val="Fira Sans Extra Condensed"/>
        <color theme="1"/>
        <sz val="10.0"/>
      </rPr>
      <t xml:space="preserve">Visualizar el detalle del Grupo de productos asignados al usuario.
</t>
    </r>
    <r>
      <rPr>
        <rFont val="Fira Sans Extra Condensed"/>
        <b/>
        <color theme="1"/>
        <sz val="10.0"/>
      </rPr>
      <t xml:space="preserve">Número de grupos agregados
Número y países que fueron agregados, </t>
    </r>
    <r>
      <rPr>
        <rFont val="Fira Sans Extra Condensed"/>
        <color theme="1"/>
        <sz val="10.0"/>
      </rPr>
      <t xml:space="preserve">se muestra colapsado al dar clic permite ver el nombre de los países.
</t>
    </r>
    <r>
      <rPr>
        <rFont val="Fira Sans Extra Condensed"/>
        <b/>
        <color theme="1"/>
        <sz val="10.0"/>
      </rPr>
      <t xml:space="preserve">Número de empresas asignadas, </t>
    </r>
    <r>
      <rPr>
        <rFont val="Fira Sans Extra Condensed"/>
        <color theme="1"/>
        <sz val="10.0"/>
      </rPr>
      <t xml:space="preserve">se muestra colapsado al dar clic permite ver el nombre de las empresas
</t>
    </r>
    <r>
      <rPr>
        <rFont val="Fira Sans Extra Condensed"/>
        <b/>
        <color theme="1"/>
        <sz val="10.0"/>
      </rPr>
      <t>Número de total de productos asignados al usuario</t>
    </r>
  </si>
  <si>
    <t xml:space="preserve">El usuario debe visualizar un resumen de la información de los Grupos seleccionados mostrará la información general del grupo(s) </t>
  </si>
  <si>
    <t>validar resumen del detalle de grupos de productos asignados al usuario.</t>
  </si>
  <si>
    <t>Haber ingresado al detalle del usuario.</t>
  </si>
  <si>
    <r>
      <rPr>
        <rFont val="Fira Sans Extra Condensed"/>
        <b/>
        <color theme="1"/>
        <sz val="10.0"/>
      </rPr>
      <t xml:space="preserve">Escenario Visual de Usuario con Inconsistencia de grupos de productos asociados al usuario:
</t>
    </r>
    <r>
      <rPr>
        <rFont val="Fira Sans Extra Condensed"/>
        <color theme="1"/>
        <sz val="10.0"/>
      </rPr>
      <t xml:space="preserve">
En caso que el administrador haya eliminado los grupos de productos y este se encontraba ligado a un usuario el canal debe presentar una imagen de alerta en este punto seguido del mensaje: “Grupo de productos eliminado, asigne uno nuevo para usar el Módulo regional".</t>
    </r>
  </si>
  <si>
    <t>Mostrar al usuario una alerta, indicando que el usuario no posee grupo de productos.</t>
  </si>
  <si>
    <r>
      <rPr>
        <rFont val="Fira Sans Extra Condensed"/>
        <b/>
        <color theme="1"/>
        <sz val="10.0"/>
      </rPr>
      <t xml:space="preserve">Roles:
</t>
    </r>
    <r>
      <rPr>
        <rFont val="Fira Sans Extra Condensed"/>
        <color theme="1"/>
        <sz val="10.0"/>
      </rPr>
      <t xml:space="preserve"> - Rol: Se debe mostrar el rol asignado ejemplo “ administrador”
 -  Permisos asignados: Se debe mostrar el nombre de las funcionalidades asignadas.</t>
    </r>
  </si>
  <si>
    <t>Mostrar roles y permisos asociados al usuario consultado</t>
  </si>
  <si>
    <t>Criterio 10.1 - Icono Editar</t>
  </si>
  <si>
    <t>Tooltip con texto “editar”, debe existir un elemento que le permita editar la información de un usuario, esta funcionalidad se detalla en el criterio 12 editar.</t>
  </si>
  <si>
    <t>Mostrar ícono de edición para modificación de usuario</t>
  </si>
  <si>
    <t>Criterio 10.2 - Descargar</t>
  </si>
  <si>
    <r>
      <rPr>
        <rFont val="Fira Sans Extra Condensed"/>
        <b/>
        <color theme="1"/>
        <sz val="10.0"/>
      </rPr>
      <t>Titulo:</t>
    </r>
    <r>
      <rPr>
        <rFont val="Fira Sans Extra Condensed"/>
        <color theme="1"/>
        <sz val="10.0"/>
      </rPr>
      <t xml:space="preserve"> Descargar Reporte
</t>
    </r>
    <r>
      <rPr>
        <rFont val="Fira Sans Extra Condensed"/>
        <b/>
        <color theme="1"/>
        <sz val="10.0"/>
      </rPr>
      <t>Elemento de cerrar.</t>
    </r>
    <r>
      <rPr>
        <rFont val="Fira Sans Extra Condensed"/>
        <color theme="1"/>
        <sz val="10.0"/>
      </rPr>
      <t xml:space="preserve">
</t>
    </r>
    <r>
      <rPr>
        <rFont val="Fira Sans Extra Condensed"/>
        <b/>
        <color theme="1"/>
        <sz val="10.0"/>
      </rPr>
      <t xml:space="preserve">Descripción: </t>
    </r>
    <r>
      <rPr>
        <rFont val="Fira Sans Extra Condensed"/>
        <color theme="1"/>
        <sz val="10.0"/>
      </rPr>
      <t xml:space="preserve">Si la descarga no se da de inmediato le enviaremos el archivo al buzón.
</t>
    </r>
    <r>
      <rPr>
        <rFont val="Fira Sans Extra Condensed"/>
        <b/>
        <color theme="1"/>
        <sz val="10.0"/>
      </rPr>
      <t xml:space="preserve">Texto: </t>
    </r>
    <r>
      <rPr>
        <rFont val="Fira Sans Extra Condensed"/>
        <color theme="1"/>
        <sz val="10.0"/>
      </rPr>
      <t xml:space="preserve">Formato de descarga
</t>
    </r>
    <r>
      <rPr>
        <rFont val="Fira Sans Extra Condensed"/>
        <b/>
        <color theme="1"/>
        <sz val="10.0"/>
      </rPr>
      <t>PDF    (.pdf)</t>
    </r>
  </si>
  <si>
    <t>Debe existir un elemento que le permita al usuario realizar la descarga al dar clic actualiza la pantalla y el canal debe mostrar la información del usuario</t>
  </si>
  <si>
    <t>Mostrar ícono de descarga al usuario administrador.</t>
  </si>
  <si>
    <r>
      <rPr>
        <rFont val="Fira Sans Extra Condensed"/>
        <color theme="1"/>
        <sz val="10.0"/>
      </rPr>
      <t xml:space="preserve">Una vez el cliente seleccione un formato se habilita el botón de “Descargar”.
En el formato en PDF en canal debe mostrar:
</t>
    </r>
    <r>
      <rPr>
        <rFont val="Fira Sans Extra Condensed"/>
        <b/>
        <color theme="1"/>
        <sz val="10.0"/>
      </rPr>
      <t>Nombre del banco en la parte superior</t>
    </r>
    <r>
      <rPr>
        <rFont val="Fira Sans Extra Condensed"/>
        <color theme="1"/>
        <sz val="10.0"/>
      </rPr>
      <t xml:space="preserve">
</t>
    </r>
    <r>
      <rPr>
        <rFont val="Fira Sans Extra Condensed"/>
        <b/>
        <color theme="1"/>
        <sz val="10.0"/>
      </rPr>
      <t>Fecha y hora descarga en formato dd-mm-aaaa hh:mm am-pm</t>
    </r>
    <r>
      <rPr>
        <rFont val="Fira Sans Extra Condensed"/>
        <color theme="1"/>
        <sz val="10.0"/>
      </rPr>
      <t xml:space="preserve">
</t>
    </r>
    <r>
      <rPr>
        <rFont val="Fira Sans Extra Condensed"/>
        <b/>
        <color theme="1"/>
        <sz val="10.0"/>
      </rPr>
      <t>Título:</t>
    </r>
    <r>
      <rPr>
        <rFont val="Fira Sans Extra Condensed"/>
        <color theme="1"/>
        <sz val="10.0"/>
      </rPr>
      <t xml:space="preserve"> 
</t>
    </r>
    <r>
      <rPr>
        <rFont val="Fira Sans Extra Condensed"/>
        <b/>
        <color theme="1"/>
        <sz val="10.0"/>
      </rPr>
      <t>Detalle del Rol:</t>
    </r>
    <r>
      <rPr>
        <rFont val="Fira Sans Extra Condensed"/>
        <color theme="1"/>
        <sz val="10.0"/>
      </rPr>
      <t xml:space="preserve">
</t>
    </r>
    <r>
      <rPr>
        <rFont val="Fira Sans Extra Condensed"/>
        <b/>
        <color theme="1"/>
        <sz val="10.0"/>
      </rPr>
      <t>Resultado:</t>
    </r>
    <r>
      <rPr>
        <rFont val="Fira Sans Extra Condensed"/>
        <color theme="1"/>
        <sz val="10.0"/>
      </rPr>
      <t xml:space="preserve"> Contenido de la consulta en la parte inferior de manera ordenada y clara. 
</t>
    </r>
    <r>
      <rPr>
        <rFont val="Fira Sans Extra Condensed"/>
        <b/>
        <color theme="1"/>
        <sz val="10.0"/>
      </rPr>
      <t>Información del usuario:</t>
    </r>
    <r>
      <rPr>
        <rFont val="Fira Sans Extra Condensed"/>
        <color theme="1"/>
        <sz val="10.0"/>
      </rPr>
      <t xml:space="preserve"> ( Nombre de usuario completo, Estado, tipo de documento, número de documento
teléfono)
</t>
    </r>
    <r>
      <rPr>
        <rFont val="Fira Sans Extra Condensed"/>
        <b/>
        <color theme="1"/>
        <sz val="10.0"/>
      </rPr>
      <t>Resumen de Grupos de productos:</t>
    </r>
    <r>
      <rPr>
        <rFont val="Fira Sans Extra Condensed"/>
        <color theme="1"/>
        <sz val="10.0"/>
      </rPr>
      <t xml:space="preserve"> (cantidad de grupos asociados, países, empresas y tipos de productos)
</t>
    </r>
    <r>
      <rPr>
        <rFont val="Fira Sans Extra Condensed"/>
        <b/>
        <color theme="1"/>
        <sz val="10.0"/>
      </rPr>
      <t>Roles</t>
    </r>
    <r>
      <rPr>
        <rFont val="Fira Sans Extra Condensed"/>
        <color theme="1"/>
        <sz val="10.0"/>
      </rPr>
      <t xml:space="preserve"> (Rol del usuario en el PER, descripción de funcionalidades asignadas)</t>
    </r>
  </si>
  <si>
    <t>Descargar información del detalle del usuario</t>
  </si>
  <si>
    <t>Descarga de usuario</t>
  </si>
  <si>
    <r>
      <rPr>
        <rFont val="Fira Sans Extra Condensed"/>
        <b/>
        <color theme="1"/>
        <sz val="10.0"/>
      </rPr>
      <t xml:space="preserve">Mensajería:
</t>
    </r>
    <r>
      <rPr>
        <rFont val="Fira Sans Extra Condensed"/>
        <color theme="1"/>
        <sz val="10.0"/>
      </rPr>
      <t>- Si la descarga se realiza de manera satisfactoria actualiza la pantalla e informa en la parte superior “Descarga exitosa”</t>
    </r>
  </si>
  <si>
    <t>Mostrar mensaje de descarga exitosa</t>
  </si>
  <si>
    <t>Mostrar mensaje en pantalla indicando que se enviaran a buzon de notificaciones la descarga del reporte de usuarios</t>
  </si>
  <si>
    <t>Mostrar mensaje en pantalla indicando que se enviaran a buzon de notificaciones la descarga del reporte de usuarios y validar que se reciba en el buzón.</t>
  </si>
  <si>
    <t>Validación de mensaje de error cuando no permita realizar la descarga</t>
  </si>
  <si>
    <t>Permitir realizar descarga de usuarios de forma masiva</t>
  </si>
  <si>
    <t>Mostrar habilitado la opción de descargar selección.</t>
  </si>
  <si>
    <t>Criterio 10.3 - Eliminar</t>
  </si>
  <si>
    <t xml:space="preserve">Tooltip con texto “eliminar”, debe existir un elemento que permita eliminar la información de un usuario, esta funcionalidad se detalla en el criterio 13 eliminación.
</t>
  </si>
  <si>
    <t>Mostrar ícono de eliminaación de usuario</t>
  </si>
  <si>
    <t>Mostrar ícono de eliminación de usuario</t>
  </si>
  <si>
    <t>Criterio 11 - Estado de Usuario</t>
  </si>
  <si>
    <t>Usuario debe tener estado activo</t>
  </si>
  <si>
    <t>Esta funcionalidad permite al “Administrador” editar el estado del usuario cuando lo requiera.</t>
  </si>
  <si>
    <t xml:space="preserve">El  administrador tendrá una opción que le permita visualizar y editar  el estado del usuario consultado, las opciones serán “Activo” o “inactivo” por naturaleza todos los usuarios nacen en estado “activo” pero si requiere cambiar el estado del mismo podrá realizarlo desde la consulta del detalle del usuario. </t>
  </si>
  <si>
    <t>Visualizar switch para modificar estado del usuario.</t>
  </si>
  <si>
    <t>Usuario debe tener estado inactivo</t>
  </si>
  <si>
    <t xml:space="preserve"> Si el usuario está con estado “Inactivo” no podrá acceder al módulo Regional ni a ninguna funcionalidad del PER.</t>
  </si>
  <si>
    <t xml:space="preserve">Cualquier intento de acceso por parte del usuario inactivo debe ser denegado con mensaje adecuado. </t>
  </si>
  <si>
    <t>No permitir acceso al módulo regional a usuarios con extado inactivo.</t>
  </si>
  <si>
    <t xml:space="preserve">El usuario administrador debe poder activar un usuario inactivo en caso de ser necesario siguiendo un proceso similar al de la inactivación. </t>
  </si>
  <si>
    <t>Cambiar de estatus al usuario</t>
  </si>
  <si>
    <t>Activación de usuario exitosamente.</t>
  </si>
  <si>
    <t xml:space="preserve">Haber gestionado usuario </t>
  </si>
  <si>
    <t>Al dar clic al elemento debe mostrar el mensaje “¿Quiere modificar el estado del usuario? Si el usuario tiene estado “inactivo” no podrá acceder al módulo regional ni a ninguna funcionalidad.” seguido de las opciones de cancelar / Aceptar</t>
  </si>
  <si>
    <t>Validación de los mensajes de respuesta en el canal</t>
  </si>
  <si>
    <t>Mostrar mensaje de acuerdo a la acción ejecutada por el cliente</t>
  </si>
  <si>
    <t>Si la modificación es exitosa presenta mensaje “Usuario inactivo”</t>
  </si>
  <si>
    <t>Mostrar mensaje al confirmar la modificación del usuario</t>
  </si>
  <si>
    <t>Mostrar mensaje  de acuerdo al catálogo de errores</t>
  </si>
  <si>
    <t>Si la modificación no se puede realizar presenta mensaje “Modificación fallida, intente más tarde”</t>
  </si>
  <si>
    <t>Mostrar mensaje si la modificación presenta algun inconveniente</t>
  </si>
  <si>
    <t>Si un usuario intenta ingresar al módulo regional y se encuentra en estado “inactivo” el Canal debe mostrar “ Usuario Inactivo, valide con el Administrador”</t>
  </si>
  <si>
    <t>Bloquear acceso al módulo regional cuando el usuario se encuentre inactivo</t>
  </si>
  <si>
    <t>validación del mensaje cuando el usuario inactivo intente ingresar al módulo regional.</t>
  </si>
  <si>
    <t>Si un usuario está dentro del canal y el usuario administrador lo inactiva mientras está en la sesión activa debe presentar el siguiente modal antes de cerrar la sesión del canal: “ Usuario inactivado, la sesión se cerrará, si requiere más información valide con el administrador”.</t>
  </si>
  <si>
    <t>Mostrar mensaje informativo cuando el usuario se haya inactivado mientras se encontraba en la sesión activa.</t>
  </si>
  <si>
    <t>Validación de mensaje de acuerdo al catálogo de errorres.</t>
  </si>
  <si>
    <t>Todas las acciones de inactivación y reactivación deben ser registradas en un log de auditoría, accesible solo para usuarios con permisos adecuados, el registro debe incluir detalles como el ID del usuario, la acción realizada, El id del usuario administrador, la fecha y la hora de la novedad.</t>
  </si>
  <si>
    <t>Las acciones de los usuario queden registrados en los logs en auditoría</t>
  </si>
  <si>
    <t>Registros en los logs de auditoría.</t>
  </si>
  <si>
    <t>Criterio 12 - Edición de Usuarios</t>
  </si>
  <si>
    <t>Usuario debe existir en el módulo regional</t>
  </si>
  <si>
    <r>
      <rPr>
        <rFont val="Fira Sans Extra Condensed"/>
        <color theme="1"/>
        <sz val="10.0"/>
      </rPr>
      <t xml:space="preserve">Dentro de la consultas del detalle de usuarios una de las opciones habilitadas al usuario esta el accionable de “Editar” al dar clic en esta opción se debe actualizar la pantalla con la información precargada donde el usuario podrá editar:
</t>
    </r>
    <r>
      <rPr>
        <rFont val="Fira Sans Extra Condensed"/>
        <b/>
        <color theme="1"/>
        <sz val="10.0"/>
      </rPr>
      <t xml:space="preserve">Grupos de productos: </t>
    </r>
    <r>
      <rPr>
        <rFont val="Fira Sans Extra Condensed"/>
        <color theme="1"/>
        <sz val="10.0"/>
      </rPr>
      <t xml:space="preserve">El usuario administrador podrá asignar los grupos de productos que requiera  teniendo en cuenta el criterio 4.
</t>
    </r>
    <r>
      <rPr>
        <rFont val="Fira Sans Extra Condensed"/>
        <b/>
        <color theme="1"/>
        <sz val="10.0"/>
      </rPr>
      <t xml:space="preserve">Rol del usuario: </t>
    </r>
    <r>
      <rPr>
        <rFont val="Fira Sans Extra Condensed"/>
        <color theme="1"/>
        <sz val="10.0"/>
      </rPr>
      <t xml:space="preserve">El usuario administrador podrá asignar el rol que requiera teniendo en cuenta el criterio 5.
</t>
    </r>
    <r>
      <rPr>
        <rFont val="Fira Sans Extra Condensed"/>
        <b/>
        <color theme="1"/>
        <sz val="10.0"/>
      </rPr>
      <t xml:space="preserve">Funcionalidades: </t>
    </r>
    <r>
      <rPr>
        <rFont val="Fira Sans Extra Condensed"/>
        <color theme="1"/>
        <sz val="10.0"/>
      </rPr>
      <t xml:space="preserve">El usuario administrador podrá asignar las funcionalidades que requiera  teniendo en cuenta el criterio  6.
Una vez realizada alguna novedad se habilita el botón de “continuar” donde el canal debe seguir la lógica del criterio 7 para realizar la aprobación del mismo seguido de actualizar el resultado teniendo en cuenta las mismas características del criterio 8 descrito en esta historia de usuario. </t>
    </r>
  </si>
  <si>
    <t>Modificación a un usuario del módulo regional</t>
  </si>
  <si>
    <t>Modificación de usuario dentro del módulo regional</t>
  </si>
  <si>
    <r>
      <rPr>
        <rFont val="Fira Sans Extra Condensed"/>
        <b/>
        <color theme="1"/>
        <sz val="10.0"/>
      </rPr>
      <t>Escenario Visual de Usuario en Front una vez le cambian el ROL:</t>
    </r>
    <r>
      <rPr>
        <rFont val="Fira Sans Extra Condensed"/>
        <color theme="1"/>
        <sz val="10.0"/>
      </rPr>
      <t xml:space="preserve">
En caso que exista un cambio del rol a un usuario ejemplo: pasa de rol “Preparador” a “Autorizador”,  la primera vez que el usuario accede al módulo regional se debe mostrar en la pantalla del Home el siguiente modal “ Nuevo Rol Asignado, revise las funcionalidades a las que puede acceder desde el menú lateral, para mayor información contacte a su administrador”</t>
    </r>
  </si>
  <si>
    <t>Mostrar mensaje informativo al usuario indicando que ha sido modificado en el módulo regional</t>
  </si>
  <si>
    <t>Validar mensaje informativo al usuario indicando el cambio que se le ha efectuado.</t>
  </si>
  <si>
    <t>Criterio 13 - Eliminar rol</t>
  </si>
  <si>
    <r>
      <rPr>
        <rFont val="Fira Sans Extra Condensed"/>
        <color theme="1"/>
        <sz val="10.0"/>
      </rPr>
      <t xml:space="preserve">El administrador tendrá la siguiente opción para realizar la eliminación de usuarios:
</t>
    </r>
    <r>
      <rPr>
        <rFont val="Fira Sans Extra Condensed"/>
        <b/>
        <color theme="1"/>
        <sz val="10.0"/>
      </rPr>
      <t xml:space="preserve">Eliminación individual: </t>
    </r>
    <r>
      <rPr>
        <rFont val="Fira Sans Extra Condensed"/>
        <color theme="1"/>
        <sz val="10.0"/>
      </rPr>
      <t>Una vez el usuario de clic al icono de eliminar se debe presentar el siguiente mensaje ”¿Quiere eliminar el rol? seguido de las opciones de volver y Eliminar.</t>
    </r>
  </si>
  <si>
    <r>
      <rPr>
        <rFont val="Fira Sans Extra Condensed"/>
        <b/>
        <color theme="1"/>
        <sz val="10.0"/>
      </rPr>
      <t>Modal advertencia eliminación:</t>
    </r>
    <r>
      <rPr>
        <rFont val="Fira Sans Extra Condensed"/>
        <color theme="1"/>
        <sz val="10.0"/>
      </rPr>
      <t xml:space="preserve">
Si el usuario administrador intenta eliminar un usuario y este se encuentra asociado a un esquema de firmas el canal deberá informar:  “Advertencia, este usuario se encuentra ligado al menos a un esquema de firmas, si lo elimina antes de editar el esquema de firmas podría afectar el flujo de autorizaciones en el canal. ¿Desea continuar con la eliminación? seguido de dos opciones “Cancelar / Confirmar”
¿Quiere eliminar el rol? Hay esquemas de firmas que se asocian exclusivamente a este rol. Si lo elimina, esos esquemas no funcionarán dentro del módulo regional. Para que puedan usar el módulo, debe crearles un nuevo rol.</t>
    </r>
  </si>
  <si>
    <t>Mostrar mensajes de alertas al momento de eliminar un usuario</t>
  </si>
  <si>
    <t>Validar alertas al momento  de eliminar usuarios.</t>
  </si>
  <si>
    <t>Si el usuario no está asociado a un esquema de firmas una vez el usuario de clic a “confirmar” se debe actualizar la pantalla y sobre poner una opción en donde al usuario le permite ingresar el código de confirmación se debe aplicar las reglas definidas esta funcionalidad transversal.</t>
  </si>
  <si>
    <r>
      <rPr>
        <rFont val="Fira Sans Extra Condensed"/>
        <b/>
        <color theme="1"/>
        <sz val="10.0"/>
      </rPr>
      <t xml:space="preserve">Escenario eliminación del único o todos los Usuarios:
</t>
    </r>
    <r>
      <rPr>
        <rFont val="Fira Sans Extra Condensed"/>
        <color theme="1"/>
        <sz val="10.0"/>
      </rPr>
      <t>En caso que el usuario desee realizar la eliminación del único o de todos los usuarios que acceden al módulo regional, el canal debe permitir realizar la eliminación.
- Si el usuario no se encuentra ligado a ningún esquema de firma debe mostrar el siguiente mensaje de alerta antes de la confirmación “ Advertencia, al realizar esta eliminación debe  volver a crear al menos un nuevo usuario para posterior asignación del esquema de firma” seguido de las opciones de:  “Aceptar” / “Cancelar”.</t>
    </r>
  </si>
  <si>
    <t>Permitir eliminar un usuario o todos los usuarios al mismo tiempo</t>
  </si>
  <si>
    <t>Eliminanción de usuarios de forma correcta.</t>
  </si>
  <si>
    <t xml:space="preserve">Cuando se eliminan todos los usuarios, el canal deshabilita la opción de consultas de usuarios y debe mostrar el flujo para la creación de un nuevo usuario de acuerdo al criterio 2 de esta historia de usuario. </t>
  </si>
  <si>
    <t>No mostrar la opción de consulta de usuarios posterior a la eliminación de todos los usuairos.</t>
  </si>
  <si>
    <t>Validar que no muestre la opción de consulta de usuarios posterior a la eliminación de todos los usuarios.</t>
  </si>
  <si>
    <t>Teniendo en cuenta que el Grupo regional puede tener habilitados esquemas de firmas las opciones del submódulo aparecerán disponibles pero con un elemento de “alerta”, una vez el usuario de clic tendrá la visual de consultar donde se actualizará y visualizará en la columna de estado “Inconsistencia” se muestra mensaje “Los roles fueron eliminados. Debe crear mínimo un rol para poder administrar el módulo regional”</t>
  </si>
  <si>
    <t>Mostrar alerta por inconsistencia en la opción de esquema de firmas que se haya visto afectado por la eliminación del usuario</t>
  </si>
  <si>
    <t>Validar  alerta por inconsistencia en la opción de esquema de firmas que se haya visto afectado por la eliminación del usuario</t>
  </si>
  <si>
    <r>
      <rPr>
        <rFont val="Fira Sans Extra Condensed"/>
        <b/>
        <color theme="1"/>
        <sz val="10.0"/>
      </rPr>
      <t>Resultado</t>
    </r>
    <r>
      <rPr>
        <rFont val="Fira Sans Extra Condensed"/>
        <color theme="1"/>
        <sz val="10.0"/>
      </rPr>
      <t xml:space="preserve">: La información que aquí se muestra dependerá del tipo de administración que tenga parametrizada el grupo Regional:
</t>
    </r>
    <r>
      <rPr>
        <rFont val="Fira Sans Extra Condensed"/>
        <b/>
        <color theme="1"/>
        <sz val="10.0"/>
      </rPr>
      <t xml:space="preserve">Administración Sencilla: </t>
    </r>
    <r>
      <rPr>
        <rFont val="Fira Sans Extra Condensed"/>
        <color theme="1"/>
        <sz val="10.0"/>
      </rPr>
      <t xml:space="preserve"> Una vez de clic a la novedad el canal en la parte superior  presentará el siguiente mensaje: “Eliminación exitosa” y desaparecerá el registro de la consulta. </t>
    </r>
  </si>
  <si>
    <t>Mostrar mensaje de resultado de eliminación exitosa cuando se elimine el usuario</t>
  </si>
  <si>
    <t>Eliminación de usuario con esquema administrativo Simple</t>
  </si>
  <si>
    <t>Validar mensaje de resultado cuando el usuario sea eliminado.</t>
  </si>
  <si>
    <r>
      <rPr>
        <rFont val="Fira Sans Extra Condensed"/>
        <b/>
        <color theme="1"/>
        <sz val="10.0"/>
      </rPr>
      <t>Administración Dual:</t>
    </r>
    <r>
      <rPr>
        <rFont val="Fira Sans Extra Condensed"/>
        <color theme="1"/>
        <sz val="10.0"/>
      </rPr>
      <t xml:space="preserve">  Una vez de clic a la novedad el canal en la parte superior  presentará el siguiente mensaje: “Pendiente aprobación” y mantendrá el registro de la consulta. </t>
    </r>
  </si>
  <si>
    <t>Ejecutar eliminación de usuario con cliente con esquema dual y validar que la gestión quede pendiente de autorización</t>
  </si>
  <si>
    <t>Eliminación de usuario con esquema administrativo DUAL</t>
  </si>
  <si>
    <t>Validar mensaje de resultado, con gestión pendiente de autorización.</t>
  </si>
  <si>
    <t>En caso que se presente error en el momento de la novedad se debe presentar el mensaje “Eliminación fallida. Intente más tarde” .</t>
  </si>
  <si>
    <t>Al momento de realizar la eliminación presente inconveniente y no permita ejecutar la eliminación correctamente.</t>
  </si>
  <si>
    <t>Mostrar mensaje de error en pantalla indicando que no se ha realizado la eliminación y no ejecutar la eliminación del usuario.</t>
  </si>
  <si>
    <t>Criterio 14 - Reglas de Negocio</t>
  </si>
  <si>
    <t xml:space="preserve">Teniendo en cuenta que los usuarios que acceden al PER deben estar creados en la banca en Línea o Portal, si un usuario intenta realizar la eliminación de un usuario desde la Banca Local y el usuario está habilitado en el PER, no debe permitir realizar la eliminación.
</t>
  </si>
  <si>
    <t>No permitir eliminar usuario desde BEL</t>
  </si>
  <si>
    <t xml:space="preserve">Mostrar mensaje de error cuando se elimine un usuario del módulo regional </t>
  </si>
  <si>
    <t>Eliminación de usuario desde BEL debe eliminar primero el usuario desde el PER y luego en la BEL</t>
  </si>
  <si>
    <t>Eliminación de usuario desde el módulo regional y desde bel</t>
  </si>
  <si>
    <t>Eliminación exitosa</t>
  </si>
  <si>
    <t>Criterio 15 - Duplicar Usuario</t>
  </si>
  <si>
    <t xml:space="preserve">Opción de “Duplicar usuario” Se debe mostrar al ingresar al detalle de la consulta del usuario.
Hacer clic a “Duplicar usuario” sobre el usuario existente, el cual hace referencia a que posterior solo debe consultar y seleccionar el usuario al que se le dará acceso. </t>
  </si>
  <si>
    <t>Permitir al usuario administrador crear un usuario nuevo con el mismo perfil de un usuario ya existente.</t>
  </si>
  <si>
    <t>El rol, las transacciones permitidas y grupos de productos será una copia del usuario seleccionado.
- Esta funcionalidad únicamente aplica para usuarios nuevos
- Usuario a crear deberá existir en banca en línea.</t>
  </si>
  <si>
    <t>Mostrar habilitado el botón de duplicar usuario.</t>
  </si>
  <si>
    <r>
      <rPr>
        <rFont val="Fira Sans Extra Condensed"/>
        <color theme="1"/>
        <sz val="10.0"/>
      </rPr>
      <t xml:space="preserve">Al dar clic  se debe presentar una pantalla igual al criterio 3 pero con el siguiente mensaje
</t>
    </r>
    <r>
      <rPr>
        <rFont val="Fira Sans Extra Condensed"/>
        <b/>
        <color theme="1"/>
        <sz val="10.0"/>
      </rPr>
      <t xml:space="preserve">1-  “ El usuario al que asignará los permisos duplicados, debe estar creado en la banca en línea y no tener un rol dentro del módulo regional”
</t>
    </r>
    <r>
      <rPr>
        <rFont val="Fira Sans Extra Condensed"/>
        <color theme="1"/>
        <sz val="10.0"/>
      </rPr>
      <t>2-  Posterior se habilita la selección de país donde realiza la consulta del usuario en la banca local y posterior muestra de manera no editable la información personal del usuario seguida del rol, de los grupos de productos asociados y de las funcionalidades permitidas del usuario duplicado, al final tendrá una opción de “crear rol” o regresar el cual debe seguir la misma lógica del punto 7 confirmación y 8 resultado.</t>
    </r>
  </si>
  <si>
    <t>- Esta funcionalidad únicamente aplica para usuarios nuevos
- Usuario a crear deberá existir en banca en línea</t>
  </si>
  <si>
    <t>visualización de información del usuario en formato lectura.</t>
  </si>
  <si>
    <t>Una vez finalizado el proceso de habilitar el usuario  podrá ser consultado, editado y/o eliminado según lo requiera el usuario administrador por la opción de consultas usuarios.</t>
  </si>
  <si>
    <t>Permitir gestionar al nuevo usuario como ingresar a la consulta, edita, eliminar.</t>
  </si>
  <si>
    <t>Esta funcionalidad únicamente aplica para usuarios nuevos
- Usuario a crear deberá existir en banca en línea</t>
  </si>
  <si>
    <t>Ingreso exitoso al detalle del usuario creado.</t>
  </si>
  <si>
    <t>CP212</t>
  </si>
  <si>
    <t>Criterio 16: Submódulo &amp;  Almacenamiento de Logs</t>
  </si>
  <si>
    <r>
      <rPr>
        <rFont val="Fira Sans Extra Condensed"/>
        <b/>
        <color theme="1"/>
        <sz val="10.0"/>
      </rPr>
      <t xml:space="preserve">Seguridad de los logs: </t>
    </r>
    <r>
      <rPr>
        <rFont val="Fira Sans Extra Condensed"/>
        <color theme="1"/>
        <sz val="10.0"/>
      </rPr>
      <t xml:space="preserve">Los logs deben ser almacenados de forma segura y protegida contra accesos no autorizados. 
</t>
    </r>
    <r>
      <rPr>
        <rFont val="Fira Sans Extra Condensed"/>
        <b/>
        <color theme="1"/>
        <sz val="10.0"/>
      </rPr>
      <t>Retención y disponibilidad de los logs:</t>
    </r>
    <r>
      <rPr>
        <rFont val="Fira Sans Extra Condensed"/>
        <color theme="1"/>
        <sz val="10.0"/>
      </rPr>
      <t xml:space="preserve"> Los logs generados deben ser retenidos durante el tiempo necesario para cumplir con las regulaciones locales y las políticas internas del banco. Además, los logs deben estar disponibles para su consulta y análisis por parte del personal autorizado en caso de necesidad, utilizando las herramientas y procedimientos adecuados.
</t>
    </r>
    <r>
      <rPr>
        <rFont val="Fira Sans Extra Condensed"/>
        <b/>
        <color theme="1"/>
        <sz val="10.0"/>
      </rPr>
      <t>Integridad y calidad de los logs:</t>
    </r>
    <r>
      <rPr>
        <rFont val="Fira Sans Extra Condensed"/>
        <color theme="1"/>
        <sz val="10.0"/>
      </rPr>
      <t xml:space="preserve"> Los logs generados deben ser precisos, completos y confiables, garantizando la integridad y calidad de la información registrada. Esto incluye la verificación de la correcta captura de datos, la validación de la consistencia de la información, y la corrección de cualquier error o inconsistencia detectada en los logs.
</t>
    </r>
    <r>
      <rPr>
        <rFont val="Fira Sans Extra Condensed"/>
        <b/>
        <color theme="1"/>
        <sz val="10.0"/>
      </rPr>
      <t>Registro de eventos relevantes:</t>
    </r>
    <r>
      <rPr>
        <rFont val="Fira Sans Extra Condensed"/>
        <color theme="1"/>
        <sz val="10.0"/>
      </rPr>
      <t xml:space="preserve"> Los logs deben registrar todos los eventos relevantes relacionados con novedades del módulo de administración, incluyendo la información del usuario que creó la novedad, usuario que la aprobó, horas, fechas, ip, datos de los usuarios que intervienen, país y tipo de novedad.</t>
    </r>
  </si>
  <si>
    <t>El sistema debe generar y registrar de forma completa y precisa toda la información relacionada con la novedad de Esquema de firmas, grupos de productos, novedades de Usuarios y servicios incluyendo toda la información detallada de los datos de entrada y salida, y cualquier error o excepción que se produzca durante el proceso.
- La herramienta debe permitir realizar la descarga de la información en formato pdf, excel y texto.</t>
  </si>
  <si>
    <t>Consulta de logs y descarga de información en formato PDF, Excel y texto.</t>
  </si>
  <si>
    <t>CP213</t>
  </si>
  <si>
    <t>Administración Usuarios/ Escala 7x24 Gestión usuarios desde Control Center</t>
  </si>
  <si>
    <t>Usuario BO ingrese a CC del módulo regional</t>
  </si>
  <si>
    <t>CP214</t>
  </si>
  <si>
    <t>CP215</t>
  </si>
  <si>
    <t>CP216</t>
  </si>
  <si>
    <t>CP217</t>
  </si>
  <si>
    <t>CP218</t>
  </si>
  <si>
    <t>CP219</t>
  </si>
  <si>
    <t>CP220</t>
  </si>
  <si>
    <t>CP221</t>
  </si>
  <si>
    <t>CP222</t>
  </si>
  <si>
    <t>CP223</t>
  </si>
  <si>
    <r>
      <rPr>
        <rFont val="Fira Sans Extra Condensed"/>
        <color theme="1"/>
        <sz val="10.0"/>
      </rPr>
      <t xml:space="preserve">Teniendo en cuenta que los usuarios que podrán acceder al módulo regional deben existir previamente en alguna de las bancas en línea de Colombia, Panamá, Costa Rica, Honduras y El Salvador; El usuario administrador una vez ingrese por primera vez o de clic a crear visualizará:
</t>
    </r>
    <r>
      <rPr>
        <rFont val="Fira Sans Extra Condensed"/>
        <b/>
        <color theme="1"/>
        <sz val="10.0"/>
      </rPr>
      <t>Título del Header</t>
    </r>
    <r>
      <rPr>
        <rFont val="Fira Sans Extra Condensed"/>
        <color theme="1"/>
        <sz val="10.0"/>
      </rPr>
      <t xml:space="preserve">: Elección del usuario
</t>
    </r>
    <r>
      <rPr>
        <rFont val="Fira Sans Extra Condensed"/>
        <b/>
        <color theme="1"/>
        <sz val="10.0"/>
      </rPr>
      <t>Botón regresar</t>
    </r>
    <r>
      <rPr>
        <rFont val="Fira Sans Extra Condensed"/>
        <color theme="1"/>
        <sz val="10.0"/>
      </rPr>
      <t xml:space="preserve">: Al dar clic regresa a la pantalla anterior. 
</t>
    </r>
    <r>
      <rPr>
        <rFont val="Fira Sans Extra Condensed"/>
        <b/>
        <color theme="1"/>
        <sz val="10.0"/>
      </rPr>
      <t>Texto:</t>
    </r>
    <r>
      <rPr>
        <rFont val="Fira Sans Extra Condensed"/>
        <color theme="1"/>
        <sz val="10.0"/>
      </rPr>
      <t xml:space="preserve"> El usuario debe estar creado en la banca en línea para poder agregarlo al módulo regional. </t>
    </r>
  </si>
  <si>
    <t>CP224</t>
  </si>
  <si>
    <t>Usuario BO operador o super usuario ingrese a CC del módulo regional</t>
  </si>
  <si>
    <r>
      <rPr>
        <rFont val="Fira Sans Extra Condensed"/>
        <color theme="1"/>
        <sz val="10.0"/>
      </rPr>
      <t xml:space="preserve">Habilitar los siguientes filtros para iniciar los criterios de búsqueda: 
</t>
    </r>
    <r>
      <rPr>
        <rFont val="Fira Sans Extra Condensed"/>
        <b/>
        <color theme="1"/>
        <sz val="10.0"/>
      </rPr>
      <t>Seleccione el país:</t>
    </r>
    <r>
      <rPr>
        <rFont val="Fira Sans Extra Condensed"/>
        <color theme="1"/>
        <sz val="10.0"/>
      </rPr>
      <t xml:space="preserve"> lista desplegable (Colombia, Panamá, Costa Rica, Honduras, El Salvador) los países que aquí se muestran deben corresponder a los países de las empresas asociadas al grupo regional,  únicamente debe permitir seleccionar un país de las opciones disponibles.</t>
    </r>
  </si>
  <si>
    <t>CP225</t>
  </si>
  <si>
    <t>CP226</t>
  </si>
  <si>
    <r>
      <rPr>
        <rFont val="Fira Sans Extra Condensed"/>
        <color theme="1"/>
        <sz val="10.0"/>
      </rPr>
      <t xml:space="preserve">Una vez seleccionado el país origen se debe desplegar las siguientes opciones:
</t>
    </r>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Colombia</t>
    </r>
    <r>
      <rPr>
        <rFont val="Fira Sans Extra Condensed"/>
        <color theme="1"/>
        <sz val="10.0"/>
      </rPr>
      <t>:   Cédula de Ciudadania
                   Tarjeta de Identidad
                   Registro Civil de Nacimiento
                   Pasaporte
                   Cédula de Extranjería
                   Permiso Especial de Permanencia (PEP)</t>
    </r>
  </si>
  <si>
    <t>CP227</t>
  </si>
  <si>
    <r>
      <rPr>
        <rFont val="Fira Sans Extra Condensed"/>
        <b/>
        <color theme="1"/>
        <sz val="10.0"/>
      </rPr>
      <t xml:space="preserve">Seleccione tipo de documento: </t>
    </r>
    <r>
      <rPr>
        <rFont val="Fira Sans Extra Condensed"/>
        <color theme="1"/>
        <sz val="10.0"/>
      </rPr>
      <t xml:space="preserve">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Panamá:  </t>
    </r>
    <r>
      <rPr>
        <rFont val="Fira Sans Extra Condensed"/>
        <color theme="1"/>
        <sz val="10.0"/>
      </rPr>
      <t xml:space="preserve">  Cédula de Identidad Personal
                   Cédula Juvenil
                   Pasaporte
                   Carné de Residente Permanente
                   Carné de Residente Temporal</t>
    </r>
  </si>
  <si>
    <t>CP228</t>
  </si>
  <si>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Costa Rica:</t>
    </r>
    <r>
      <rPr>
        <rFont val="Fira Sans Extra Condensed"/>
        <color theme="1"/>
        <sz val="10.0"/>
      </rPr>
      <t xml:space="preserve">  Cédula de Identidad
                     Tarjeta de Identidad de Menores (TIM)
                     Pasaporte
                     Cédula de Residencia
                     Cédula de Refugiado</t>
    </r>
  </si>
  <si>
    <t>CP229</t>
  </si>
  <si>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Honduras: </t>
    </r>
    <r>
      <rPr>
        <rFont val="Fira Sans Extra Condensed"/>
        <color theme="1"/>
        <sz val="10.0"/>
      </rPr>
      <t xml:space="preserve">   Tarjeta de Identidad Nacional
                     Tarjeta de Identidad de Menores
                     Pasaporte
                     Carné de Residencia
                     Otro (Permite ingresar caracteres alfanuméricos y caracteres especiales)</t>
    </r>
  </si>
  <si>
    <t>CP230</t>
  </si>
  <si>
    <r>
      <rPr>
        <rFont val="Fira Sans Extra Condensed"/>
        <b/>
        <color theme="1"/>
        <sz val="10.0"/>
      </rPr>
      <t>Para Honduras</t>
    </r>
    <r>
      <rPr>
        <rFont val="Fira Sans Extra Condensed"/>
        <color theme="1"/>
        <sz val="10.0"/>
      </rPr>
      <t xml:space="preserve"> en caso que haya sido seleccionado el campo “otro” debe habilitar un espacio donde el usuario debe ingresar el nombre del usuario cómo fue creado en la Banca en línea de este país. 
</t>
    </r>
  </si>
  <si>
    <t>CP231</t>
  </si>
  <si>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El Salvador:  </t>
    </r>
    <r>
      <rPr>
        <rFont val="Fira Sans Extra Condensed"/>
        <color theme="1"/>
        <sz val="10.0"/>
      </rPr>
      <t>Documento Único de Identidad (DUI)
                      Pasaporte
                      Carné de Residente
                      Identificación Beneficiario</t>
    </r>
  </si>
  <si>
    <t>CP232</t>
  </si>
  <si>
    <r>
      <rPr>
        <rFont val="Fira Sans Extra Condensed"/>
        <b/>
        <color theme="1"/>
        <sz val="10.0"/>
      </rPr>
      <t>Número identificación:</t>
    </r>
    <r>
      <rPr>
        <rFont val="Fira Sans Extra Condensed"/>
        <color theme="1"/>
        <sz val="10.0"/>
      </rPr>
      <t xml:space="preserve"> Campo alfanumérico.
</t>
    </r>
    <r>
      <rPr>
        <rFont val="Fira Sans Extra Condensed"/>
        <b/>
        <color theme="1"/>
        <sz val="10.0"/>
      </rPr>
      <t xml:space="preserve">Colombia: </t>
    </r>
    <r>
      <rPr>
        <rFont val="Fira Sans Extra Condensed"/>
        <color theme="1"/>
        <sz val="10.0"/>
      </rPr>
      <t xml:space="preserve">Longitud máxima de 10 dígitos.
</t>
    </r>
    <r>
      <rPr>
        <rFont val="Fira Sans Extra Condensed"/>
        <b/>
        <color theme="1"/>
        <sz val="10.0"/>
      </rPr>
      <t>Panamá:</t>
    </r>
    <r>
      <rPr>
        <rFont val="Fira Sans Extra Condensed"/>
        <color theme="1"/>
        <sz val="10.0"/>
      </rPr>
      <t xml:space="preserve"> Longitud máxima de 9 dígitos.
</t>
    </r>
    <r>
      <rPr>
        <rFont val="Fira Sans Extra Condensed"/>
        <b/>
        <color theme="1"/>
        <sz val="10.0"/>
      </rPr>
      <t>Costa Rica:</t>
    </r>
    <r>
      <rPr>
        <rFont val="Fira Sans Extra Condensed"/>
        <color theme="1"/>
        <sz val="10.0"/>
      </rPr>
      <t xml:space="preserve"> Longitud máxima de 12 dígitos.
</t>
    </r>
    <r>
      <rPr>
        <rFont val="Fira Sans Extra Condensed"/>
        <b/>
        <color theme="1"/>
        <sz val="10.0"/>
      </rPr>
      <t>Honduras:</t>
    </r>
    <r>
      <rPr>
        <rFont val="Fira Sans Extra Condensed"/>
        <color theme="1"/>
        <sz val="10.0"/>
      </rPr>
      <t xml:space="preserve"> Longitud máxima de 13 caraceres.
</t>
    </r>
    <r>
      <rPr>
        <rFont val="Fira Sans Extra Condensed"/>
        <b/>
        <color theme="1"/>
        <sz val="10.0"/>
      </rPr>
      <t xml:space="preserve">El Salvador: </t>
    </r>
    <r>
      <rPr>
        <rFont val="Fira Sans Extra Condensed"/>
        <color theme="1"/>
        <sz val="10.0"/>
      </rPr>
      <t>Longitud máxima de 9 dígitos.</t>
    </r>
  </si>
  <si>
    <t>CP233</t>
  </si>
  <si>
    <r>
      <rPr>
        <rFont val="Fira Sans Extra Condensed"/>
        <b/>
        <color theme="1"/>
        <sz val="10.0"/>
      </rPr>
      <t>Número identificación:</t>
    </r>
    <r>
      <rPr>
        <rFont val="Fira Sans Extra Condensed"/>
        <color theme="1"/>
        <sz val="10.0"/>
      </rPr>
      <t xml:space="preserve"> Campo alfanumérico.
Ingresar numero de identificación incorrecto</t>
    </r>
  </si>
  <si>
    <t>CP234</t>
  </si>
  <si>
    <t>CP235</t>
  </si>
  <si>
    <t>CP236</t>
  </si>
  <si>
    <t>CP237</t>
  </si>
  <si>
    <r>
      <rPr>
        <rFont val="Fira Sans Extra Condensed"/>
        <color theme="1"/>
        <sz val="10.0"/>
      </rPr>
      <t xml:space="preserve">Cuando la información ingresada encuentra coincidencia actualizará la pantalla mostrando la  información no editable y completa con la información del usuario buscado:
</t>
    </r>
    <r>
      <rPr>
        <rFont val="Fira Sans Extra Condensed"/>
        <b/>
        <color theme="1"/>
        <sz val="10.0"/>
      </rPr>
      <t xml:space="preserve">Título del Header: </t>
    </r>
    <r>
      <rPr>
        <rFont val="Fira Sans Extra Condensed"/>
        <color theme="1"/>
        <sz val="10.0"/>
      </rPr>
      <t xml:space="preserve">Configuración del usuario.
</t>
    </r>
    <r>
      <rPr>
        <rFont val="Fira Sans Extra Condensed"/>
        <b/>
        <color theme="1"/>
        <sz val="10.0"/>
      </rPr>
      <t>Botón regresar: Regresa</t>
    </r>
    <r>
      <rPr>
        <rFont val="Fira Sans Extra Condensed"/>
        <color theme="1"/>
        <sz val="10.0"/>
      </rPr>
      <t xml:space="preserve"> a la pantalla anterior. 
</t>
    </r>
    <r>
      <rPr>
        <rFont val="Fira Sans Extra Condensed"/>
        <b/>
        <color theme="1"/>
        <sz val="10.0"/>
      </rPr>
      <t xml:space="preserve">Texto: </t>
    </r>
    <r>
      <rPr>
        <rFont val="Fira Sans Extra Condensed"/>
        <color theme="1"/>
        <sz val="10.0"/>
      </rPr>
      <t>Ahora debe incluir los grupos a los que tendrá acceso este usuario y asignarle un rol.</t>
    </r>
  </si>
  <si>
    <t>CP238</t>
  </si>
  <si>
    <r>
      <rPr>
        <rFont val="Fira Sans Extra Condensed"/>
        <b/>
        <color theme="1"/>
        <sz val="10.0"/>
      </rPr>
      <t xml:space="preserve">Posterior el canal debe mostrar una opción con la información resumen del usuario así:
</t>
    </r>
    <r>
      <rPr>
        <rFont val="Fira Sans Extra Condensed"/>
        <color theme="1"/>
        <sz val="10.0"/>
      </rPr>
      <t xml:space="preserve">
</t>
    </r>
    <r>
      <rPr>
        <rFont val="Fira Sans Extra Condensed"/>
        <b/>
        <color theme="1"/>
        <sz val="10.0"/>
      </rPr>
      <t xml:space="preserve">Nombres y Apellidos: </t>
    </r>
    <r>
      <rPr>
        <rFont val="Fira Sans Extra Condensed"/>
        <color theme="1"/>
        <sz val="10.0"/>
      </rPr>
      <t xml:space="preserve">Se debe mostrar nombres y apellidos del usuario cómo fue creado en la Banca local.
</t>
    </r>
    <r>
      <rPr>
        <rFont val="Fira Sans Extra Condensed"/>
        <b/>
        <color theme="1"/>
        <sz val="10.0"/>
      </rPr>
      <t>País:</t>
    </r>
    <r>
      <rPr>
        <rFont val="Fira Sans Extra Condensed"/>
        <color theme="1"/>
        <sz val="10.0"/>
      </rPr>
      <t xml:space="preserve"> Se debe mostrar el nombre del país y la bandera del mismo seleccionado en el paso anterior.
</t>
    </r>
    <r>
      <rPr>
        <rFont val="Fira Sans Extra Condensed"/>
        <b/>
        <color theme="1"/>
        <sz val="10.0"/>
      </rPr>
      <t>Tipo de documento:</t>
    </r>
    <r>
      <rPr>
        <rFont val="Fira Sans Extra Condensed"/>
        <color theme="1"/>
        <sz val="10.0"/>
      </rPr>
      <t xml:space="preserve"> Se debe mostrar el tipo de identificación seleccionado en el paso anterior.
</t>
    </r>
    <r>
      <rPr>
        <rFont val="Fira Sans Extra Condensed"/>
        <b/>
        <color theme="1"/>
        <sz val="10.0"/>
      </rPr>
      <t>Número de documento:</t>
    </r>
    <r>
      <rPr>
        <rFont val="Fira Sans Extra Condensed"/>
        <color theme="1"/>
        <sz val="10.0"/>
      </rPr>
      <t xml:space="preserve"> Se debe mostrar el número de identificación seleccionado en el paso anterior.
</t>
    </r>
    <r>
      <rPr>
        <rFont val="Fira Sans Extra Condensed"/>
        <b/>
        <color theme="1"/>
        <sz val="10.0"/>
      </rPr>
      <t xml:space="preserve">Teléfono: </t>
    </r>
    <r>
      <rPr>
        <rFont val="Fira Sans Extra Condensed"/>
        <color theme="1"/>
        <sz val="10.0"/>
      </rPr>
      <t>Se debe mostrar cómo está registrado el número en el país origen, indicando al inicio el  Indicativo del país. El número podrá ser móvil o fijo.</t>
    </r>
  </si>
  <si>
    <t>CP239</t>
  </si>
  <si>
    <r>
      <rPr>
        <rFont val="Fira Sans Extra Condensed"/>
        <b/>
        <color theme="1"/>
        <sz val="10.0"/>
      </rPr>
      <t xml:space="preserve">Sección “Grupo de productos”: </t>
    </r>
    <r>
      <rPr>
        <rFont val="Fira Sans Extra Condensed"/>
        <color theme="1"/>
        <sz val="10.0"/>
      </rPr>
      <t xml:space="preserve">Se debe mostrar una opción que le permita al usuario asignar los grupos de productos a los cuales el usuario tendrá acceso una vez habilitado. 
- El detalle de la asignación se encuentra en el criterio 4 de esta Historia de usuario. </t>
    </r>
  </si>
  <si>
    <t>CP240</t>
  </si>
  <si>
    <r>
      <rPr>
        <rFont val="Fira Sans Extra Condensed"/>
        <b/>
        <color theme="1"/>
        <sz val="10.0"/>
      </rPr>
      <t>Sección “Roles”:</t>
    </r>
    <r>
      <rPr>
        <rFont val="Fira Sans Extra Condensed"/>
        <color theme="1"/>
        <sz val="10.0"/>
      </rPr>
      <t xml:space="preserve"> Se debe mostrar una opción que le permita al usuario asignar el rol que el usuario tendrá dentro del módulo regional los detalles de esta asignación se encuentran en el criterio 5 de esta historia de usuario.</t>
    </r>
  </si>
  <si>
    <t>CP241</t>
  </si>
  <si>
    <r>
      <rPr>
        <rFont val="Fira Sans Extra Condensed"/>
        <b/>
        <color theme="1"/>
        <sz val="10.0"/>
      </rPr>
      <t>Elemento “Crear rol”</t>
    </r>
    <r>
      <rPr>
        <rFont val="Fira Sans Extra Condensed"/>
        <color theme="1"/>
        <sz val="10.0"/>
      </rPr>
      <t xml:space="preserve">: Este elemento únicamente se habilita una vez que el usuario haya seleccionado al menos un grupo de productos y haya asignado el rol confirmando las funcionalidades que requiere. </t>
    </r>
  </si>
  <si>
    <t>CP242</t>
  </si>
  <si>
    <r>
      <rPr>
        <rFont val="Fira Sans Extra Condensed"/>
        <color theme="1"/>
        <sz val="10.0"/>
      </rPr>
      <t xml:space="preserve">Se debe mostrar un elemento que permita seleccionar un grupo de productos creado previamente. 
</t>
    </r>
    <r>
      <rPr>
        <rFont val="Fira Sans Extra Condensed"/>
        <b/>
        <color theme="1"/>
        <sz val="10.0"/>
      </rPr>
      <t>Subtítulo:</t>
    </r>
    <r>
      <rPr>
        <rFont val="Fira Sans Extra Condensed"/>
        <color theme="1"/>
        <sz val="10.0"/>
      </rPr>
      <t xml:space="preserve"> Grupo de Productos
</t>
    </r>
    <r>
      <rPr>
        <rFont val="Fira Sans Extra Condensed"/>
        <b/>
        <color theme="1"/>
        <sz val="10.0"/>
      </rPr>
      <t xml:space="preserve">Texto: </t>
    </r>
    <r>
      <rPr>
        <rFont val="Fira Sans Extra Condensed"/>
        <color theme="1"/>
        <sz val="10.0"/>
      </rPr>
      <t xml:space="preserve">El usuario podrá acceder a los grupos de productos en donde haya sido agregado. </t>
    </r>
  </si>
  <si>
    <t>CP243</t>
  </si>
  <si>
    <r>
      <rPr>
        <rFont val="Fira Sans Extra Condensed"/>
        <color theme="1"/>
        <sz val="10.0"/>
      </rPr>
      <t xml:space="preserve">Si el usuario no posee ningun grupo de productos deberá mostrar el siguiente mensaje
</t>
    </r>
    <r>
      <rPr>
        <rFont val="Fira Sans Extra Condensed"/>
        <b/>
        <color theme="1"/>
        <sz val="10.0"/>
      </rPr>
      <t>Texto:</t>
    </r>
    <r>
      <rPr>
        <rFont val="Fira Sans Extra Condensed"/>
        <color theme="1"/>
        <sz val="10.0"/>
      </rPr>
      <t xml:space="preserve"> Este usuario no tiene grupos. Por favor, agréguelos. </t>
    </r>
  </si>
  <si>
    <t>CP244</t>
  </si>
  <si>
    <r>
      <rPr>
        <rFont val="Fira Sans Extra Condensed"/>
        <b/>
        <color theme="1"/>
        <sz val="10.0"/>
      </rPr>
      <t xml:space="preserve">Botón “agregar”: </t>
    </r>
    <r>
      <rPr>
        <rFont val="Fira Sans Extra Condensed"/>
        <color theme="1"/>
        <sz val="10.0"/>
      </rPr>
      <t xml:space="preserve">Botón habilitado una vez el usuario de clic, actualizará la pantalla y el usuario tendrá la opción de seleccionar uno, varios o todos los grupos de productos creados, se presentarán los grupos de productos creados previamente.
En la parte superior de la consulta en los resultados se deben mostrar los grupos marcados como “destacados”, la información que permite visualizar es: 
</t>
    </r>
    <r>
      <rPr>
        <rFont val="Fira Sans Extra Condensed"/>
        <b/>
        <color theme="1"/>
        <sz val="10.0"/>
      </rPr>
      <t>Título del Header:</t>
    </r>
    <r>
      <rPr>
        <rFont val="Fira Sans Extra Condensed"/>
        <color theme="1"/>
        <sz val="10.0"/>
      </rPr>
      <t xml:space="preserve"> Elección de los grupos de productos 
</t>
    </r>
    <r>
      <rPr>
        <rFont val="Fira Sans Extra Condensed"/>
        <b/>
        <color theme="1"/>
        <sz val="10.0"/>
      </rPr>
      <t>Botón regresar:</t>
    </r>
    <r>
      <rPr>
        <rFont val="Fira Sans Extra Condensed"/>
        <color theme="1"/>
        <sz val="10.0"/>
      </rPr>
      <t xml:space="preserve"> Al dar clic regresa a la pantalla anterior. 
</t>
    </r>
    <r>
      <rPr>
        <rFont val="Fira Sans Extra Condensed"/>
        <b/>
        <color theme="1"/>
        <sz val="10.0"/>
      </rPr>
      <t>Texto:</t>
    </r>
    <r>
      <rPr>
        <rFont val="Fira Sans Extra Condensed"/>
        <color theme="1"/>
        <sz val="10.0"/>
      </rPr>
      <t xml:space="preserve"> Aquí puede agregar los grupos a los que tendrá acceso este usuario. Para facilitar su gestión, puede usar el buscador o los filtros presentados. </t>
    </r>
  </si>
  <si>
    <t>CP245</t>
  </si>
  <si>
    <r>
      <rPr>
        <rFont val="Fira Sans Extra Condensed"/>
        <b/>
        <color theme="1"/>
        <sz val="10.0"/>
      </rPr>
      <t xml:space="preserve">4.1 Resultado: 
Checkbox: </t>
    </r>
    <r>
      <rPr>
        <rFont val="Fira Sans Extra Condensed"/>
        <color theme="1"/>
        <sz val="10.0"/>
      </rPr>
      <t>Se mostrará al inicio de cada grupo de productos un checkbox, el cual permite seleccionar al usuario el grupo que desea agregar al usuario que se está habilitando.</t>
    </r>
  </si>
  <si>
    <t>CP246</t>
  </si>
  <si>
    <r>
      <rPr>
        <rFont val="Fira Sans Extra Condensed"/>
        <b/>
        <color theme="1"/>
        <sz val="10.0"/>
      </rPr>
      <t xml:space="preserve">Nombre grupo de productos: </t>
    </r>
    <r>
      <rPr>
        <rFont val="Fira Sans Extra Condensed"/>
        <color theme="1"/>
        <sz val="10.0"/>
      </rPr>
      <t xml:space="preserve">Se debe mostrar el nombre con el que se creó  grupo, ejemplo: “Tesorería Honduras” en caso que el grupo de productos haya sido marcado como “destacado” una estrella debe aparecer al lado del nombre.
</t>
    </r>
    <r>
      <rPr>
        <rFont val="Fira Sans Extra Condensed"/>
        <b/>
        <color theme="1"/>
        <sz val="10.0"/>
      </rPr>
      <t>País:</t>
    </r>
    <r>
      <rPr>
        <rFont val="Fira Sans Extra Condensed"/>
        <color theme="1"/>
        <sz val="10.0"/>
      </rPr>
      <t xml:space="preserve"> El canal debe mostrar las banderas de los productos que se encuentran incluidos en el grupo. 
</t>
    </r>
    <r>
      <rPr>
        <rFont val="Fira Sans Extra Condensed"/>
        <b/>
        <color theme="1"/>
        <sz val="10.0"/>
      </rPr>
      <t xml:space="preserve">Empresas: </t>
    </r>
    <r>
      <rPr>
        <rFont val="Fira Sans Extra Condensed"/>
        <color theme="1"/>
        <sz val="10.0"/>
      </rPr>
      <t>se deben visualizar el número de las empresas asociadas al grupo de productos.</t>
    </r>
  </si>
  <si>
    <t>CP247</t>
  </si>
  <si>
    <r>
      <rPr>
        <rFont val="Fira Sans Extra Condensed"/>
        <b/>
        <color theme="1"/>
        <sz val="10.0"/>
      </rPr>
      <t xml:space="preserve">Quick action - Detallar: </t>
    </r>
    <r>
      <rPr>
        <rFont val="Fira Sans Extra Condensed"/>
        <color theme="1"/>
        <sz val="10.0"/>
      </rPr>
      <t xml:space="preserve">Al dar clic en esta opción se debe visualizar de manera detallada el resumen del grupo de producto seleccionado, mostrando en la parte superior el nombre del grupo, y en la parte inferior el detalle de los productos asignados al grupo por tipo de producto (Para el MVP únicamente se mostrará cuentas ahorros y corriente) con la siguiente información del producto: 
</t>
    </r>
    <r>
      <rPr>
        <rFont val="Fira Sans Extra Condensed"/>
        <b/>
        <color theme="1"/>
        <sz val="10.0"/>
      </rPr>
      <t>País</t>
    </r>
    <r>
      <rPr>
        <rFont val="Fira Sans Extra Condensed"/>
        <color theme="1"/>
        <sz val="10.0"/>
      </rPr>
      <t xml:space="preserve"> (con la bandera del país al que pertenece y las iniciales del mismo), 
</t>
    </r>
    <r>
      <rPr>
        <rFont val="Fira Sans Extra Condensed"/>
        <b/>
        <color theme="1"/>
        <sz val="10.0"/>
      </rPr>
      <t>Empresa</t>
    </r>
    <r>
      <rPr>
        <rFont val="Fira Sans Extra Condensed"/>
        <color theme="1"/>
        <sz val="10.0"/>
      </rPr>
      <t xml:space="preserve"> (Nombre de la empresa a la que pertenece el producto), 
</t>
    </r>
    <r>
      <rPr>
        <rFont val="Fira Sans Extra Condensed"/>
        <b/>
        <color theme="1"/>
        <sz val="10.0"/>
      </rPr>
      <t>Alias</t>
    </r>
    <r>
      <rPr>
        <rFont val="Fira Sans Extra Condensed"/>
        <color theme="1"/>
        <sz val="10.0"/>
      </rPr>
      <t xml:space="preserve"> (Nombre asignado a la cuenta) 
</t>
    </r>
    <r>
      <rPr>
        <rFont val="Fira Sans Extra Condensed"/>
        <b/>
        <color theme="1"/>
        <sz val="10.0"/>
      </rPr>
      <t xml:space="preserve">Número de producto </t>
    </r>
    <r>
      <rPr>
        <rFont val="Fira Sans Extra Condensed"/>
        <color theme="1"/>
        <sz val="10.0"/>
      </rPr>
      <t>(se mostrará de manera enmascarada el número del producto, visualizando únicamente los últimos 4 dígitos)</t>
    </r>
  </si>
  <si>
    <t>CP248</t>
  </si>
  <si>
    <r>
      <rPr>
        <rFont val="Fira Sans Extra Condensed"/>
        <b/>
        <color theme="1"/>
        <sz val="10.0"/>
      </rPr>
      <t xml:space="preserve">En la parte inferior se deben habilitar los siguientes botones:
4.2 Elemento “Buscar”:
</t>
    </r>
    <r>
      <rPr>
        <rFont val="Fira Sans Extra Condensed"/>
        <color theme="1"/>
        <sz val="10.0"/>
      </rPr>
      <t xml:space="preserve">
Al dar clic se debe habilitar una barra de búsqueda que permite al usuario ingresar el nombre del Grupo de producto, el canal debe actualizar los resultados de búsqueda teniendo en cuenta el texto ingresado.
- Se debe habilitar un botón de “cancelar” en caso que el usuario quiera eliminar esta búsqueda.</t>
    </r>
  </si>
  <si>
    <t>CP249</t>
  </si>
  <si>
    <t>CP250</t>
  </si>
  <si>
    <r>
      <rPr>
        <rFont val="Fira Sans Extra Condensed"/>
        <b/>
        <color theme="1"/>
        <sz val="10.0"/>
      </rPr>
      <t>4.3 Elemento para “Filtrar”:</t>
    </r>
    <r>
      <rPr>
        <rFont val="Fira Sans Extra Condensed"/>
        <color theme="1"/>
        <sz val="10.0"/>
      </rPr>
      <t xml:space="preserve">
Debe contar con un elemento que permite  buscar grupos con filtros específicos, al dar clic sobre el texto se sobrepone en la pantalla  la información detallando los filtros que se podrán aplicar para la búsqueda de productos así:
</t>
    </r>
    <r>
      <rPr>
        <rFont val="Fira Sans Extra Condensed"/>
        <b/>
        <color theme="1"/>
        <sz val="10.0"/>
      </rPr>
      <t xml:space="preserve">Título: </t>
    </r>
    <r>
      <rPr>
        <rFont val="Fira Sans Extra Condensed"/>
        <color theme="1"/>
        <sz val="10.0"/>
      </rPr>
      <t xml:space="preserve">Filtrar
</t>
    </r>
    <r>
      <rPr>
        <rFont val="Fira Sans Extra Condensed"/>
        <b/>
        <color theme="1"/>
        <sz val="10.0"/>
      </rPr>
      <t xml:space="preserve">Botón “x”: </t>
    </r>
    <r>
      <rPr>
        <rFont val="Fira Sans Extra Condensed"/>
        <color theme="1"/>
        <sz val="10.0"/>
      </rPr>
      <t xml:space="preserve">Regresa a la pantalla anterior. </t>
    </r>
  </si>
  <si>
    <t>CP251</t>
  </si>
  <si>
    <r>
      <rPr>
        <rFont val="Fira Sans Extra Condensed"/>
        <b/>
        <color theme="1"/>
        <sz val="10.0"/>
      </rPr>
      <t xml:space="preserve">Texto: Aplique las opciones de filtrado que desea:
4.3.1  Países: </t>
    </r>
    <r>
      <rPr>
        <rFont val="Fira Sans Extra Condensed"/>
        <color theme="1"/>
        <sz val="10.0"/>
      </rPr>
      <t>permite seleccionar uno o todos los países, la opción que aquí se muestre dependerá de donde el grupo tenga presencia mostrando únicamente los países donde tiene productos.</t>
    </r>
  </si>
  <si>
    <t>CP252</t>
  </si>
  <si>
    <r>
      <rPr>
        <rFont val="Fira Sans Extra Condensed"/>
        <b/>
        <color theme="1"/>
        <sz val="10.0"/>
      </rPr>
      <t>4.3.2 Empresa:</t>
    </r>
    <r>
      <rPr>
        <rFont val="Fira Sans Extra Condensed"/>
        <color theme="1"/>
        <sz val="10.0"/>
      </rPr>
      <t xml:space="preserve"> Permite seleccionar una o todas las empresas del grupo de acuerdo a la selección de empresas que conforman el grupo de productos. </t>
    </r>
  </si>
  <si>
    <t>CP253</t>
  </si>
  <si>
    <r>
      <rPr>
        <rFont val="Fira Sans Extra Condensed"/>
        <b/>
        <color theme="1"/>
        <sz val="10.0"/>
      </rPr>
      <t xml:space="preserve">En la parte inferior deben estar las opciones: “Borrar” y “aplicar” 
</t>
    </r>
    <r>
      <rPr>
        <rFont val="Fira Sans Extra Condensed"/>
        <color theme="1"/>
        <sz val="10.0"/>
      </rPr>
      <t xml:space="preserve">
</t>
    </r>
    <r>
      <rPr>
        <rFont val="Fira Sans Extra Condensed"/>
        <b/>
        <color theme="1"/>
        <sz val="10.0"/>
      </rPr>
      <t xml:space="preserve">Botón “Borrar": </t>
    </r>
    <r>
      <rPr>
        <rFont val="Fira Sans Extra Condensed"/>
        <color theme="1"/>
        <sz val="10.0"/>
      </rPr>
      <t xml:space="preserve">al dar clic debe eliminar los filtros de búsqueda ingresados por el usuario. </t>
    </r>
  </si>
  <si>
    <t>CP254</t>
  </si>
  <si>
    <r>
      <rPr>
        <rFont val="Fira Sans Extra Condensed"/>
        <b/>
        <color theme="1"/>
        <sz val="10.0"/>
      </rPr>
      <t>Botón “Aplicar”:</t>
    </r>
    <r>
      <rPr>
        <rFont val="Fira Sans Extra Condensed"/>
        <color theme="1"/>
        <sz val="10.0"/>
      </rPr>
      <t xml:space="preserve"> Al dar clic el canal actualiza la pantalla donde muestra los grupos de productos, mostrando como resultado únicamente los grupos que cumplan con los criterios buscados. 
- En caso que el usuario requiera  seleccionar o eliminar alguna selección podrá aplicar la novedad de manera manual. 
- En la parte superior del resultado se debe mostrar el nombre del filtro aplicado y una opción en el mismo texto que permita “eliminar” el filtro.</t>
    </r>
  </si>
  <si>
    <t>CP255</t>
  </si>
  <si>
    <t>CP256</t>
  </si>
  <si>
    <t>CP257</t>
  </si>
  <si>
    <r>
      <rPr>
        <rFont val="Fira Sans Extra Condensed"/>
        <b/>
        <color theme="1"/>
        <sz val="10.0"/>
      </rPr>
      <t xml:space="preserve">Botón “Agregar Grupos": </t>
    </r>
    <r>
      <rPr>
        <rFont val="Fira Sans Extra Condensed"/>
        <color theme="1"/>
        <sz val="10.0"/>
      </rPr>
      <t xml:space="preserve">
Al hacer clic en el botón 'Agregar Grupos' muestra lo siguiente:
La pantalla se actualizará mostrando los grupos de productos seleccionados manteniendo las mismas características de visualización de detalle general de la asignación del rol del usuario, en la parte superior la información personal del usuario, la secciones de roles y grupo de productos.
</t>
    </r>
    <r>
      <rPr>
        <rFont val="Fira Sans Extra Condensed"/>
        <b/>
        <color theme="1"/>
        <sz val="10.0"/>
      </rPr>
      <t xml:space="preserve">Una vez seleccionado(s) y confirmados los grupos de productos se actualiza la pantalla e informa:
</t>
    </r>
    <r>
      <rPr>
        <rFont val="Fira Sans Extra Condensed"/>
        <color theme="1"/>
        <sz val="10.0"/>
      </rPr>
      <t xml:space="preserve">
Número de grupos agregados
Número y países que fueron agregados, se muestra colapsado al dar clic permite ver el nombre de los países.
Número de empresas asignadas, se muestra colapsado al dar clic permite ver el nombre de las empresas
Número de total de productos asignados al usuario, </t>
    </r>
  </si>
  <si>
    <t>CP258</t>
  </si>
  <si>
    <r>
      <rPr>
        <rFont val="Fira Sans Extra Condensed"/>
        <color theme="1"/>
        <sz val="10.0"/>
      </rPr>
      <t xml:space="preserve">El usuario administrador deberá asignar el rol del usuario dentro del módulo regional por lo anterior el canal debe presentar el siguiente mensaje: </t>
    </r>
    <r>
      <rPr>
        <rFont val="Fira Sans Extra Condensed"/>
        <b/>
        <color theme="1"/>
        <sz val="10.0"/>
      </rPr>
      <t>“Asigne el tipo de rol y permisos que tendrá el usuario dentro del módulo regional”</t>
    </r>
    <r>
      <rPr>
        <rFont val="Fira Sans Extra Condensed"/>
        <color theme="1"/>
        <sz val="10.0"/>
      </rPr>
      <t xml:space="preserve"> en la parte inferior se deben habilitar lo siguiente:
</t>
    </r>
    <r>
      <rPr>
        <rFont val="Fira Sans Extra Condensed"/>
        <b/>
        <color theme="1"/>
        <sz val="10.0"/>
      </rPr>
      <t xml:space="preserve">Título: </t>
    </r>
    <r>
      <rPr>
        <rFont val="Fira Sans Extra Condensed"/>
        <color theme="1"/>
        <sz val="10.0"/>
      </rPr>
      <t xml:space="preserve">Asignación de rol.
</t>
    </r>
    <r>
      <rPr>
        <rFont val="Fira Sans Extra Condensed"/>
        <b/>
        <color theme="1"/>
        <sz val="10.0"/>
      </rPr>
      <t>Elemento para regresar:</t>
    </r>
    <r>
      <rPr>
        <rFont val="Fira Sans Extra Condensed"/>
        <color theme="1"/>
        <sz val="10.0"/>
      </rPr>
      <t xml:space="preserve"> Al dar clic lleva a la pantalla anterior. 
</t>
    </r>
    <r>
      <rPr>
        <rFont val="Fira Sans Extra Condensed"/>
        <b/>
        <color theme="1"/>
        <sz val="10.0"/>
      </rPr>
      <t xml:space="preserve">Descripción: </t>
    </r>
    <r>
      <rPr>
        <rFont val="Fira Sans Extra Condensed"/>
        <color theme="1"/>
        <sz val="10.0"/>
      </rPr>
      <t xml:space="preserve">Aquí decidirá los permisos que este usuario tendrá dentro del Módulo Regional.
</t>
    </r>
  </si>
  <si>
    <t>CP259</t>
  </si>
  <si>
    <r>
      <rPr>
        <rFont val="Fira Sans Extra Condensed"/>
        <color theme="1"/>
        <sz val="10.0"/>
      </rPr>
      <t xml:space="preserve">Se debe mostrar una lista desplegable con las siguientes opciones:
</t>
    </r>
    <r>
      <rPr>
        <rFont val="Fira Sans Extra Condensed"/>
        <b/>
        <color theme="1"/>
        <sz val="10.0"/>
      </rPr>
      <t xml:space="preserve">Texto: </t>
    </r>
    <r>
      <rPr>
        <rFont val="Fira Sans Extra Condensed"/>
        <color theme="1"/>
        <sz val="10.0"/>
      </rPr>
      <t xml:space="preserve">Seleccione un rol
</t>
    </r>
    <r>
      <rPr>
        <rFont val="Fira Sans Extra Condensed"/>
        <b/>
        <color theme="1"/>
        <sz val="10.0"/>
      </rPr>
      <t xml:space="preserve">Opciones de listas desplegables: </t>
    </r>
    <r>
      <rPr>
        <rFont val="Fira Sans Extra Condensed"/>
        <color theme="1"/>
        <sz val="10.0"/>
      </rPr>
      <t xml:space="preserve">
</t>
    </r>
    <r>
      <rPr>
        <rFont val="Fira Sans Extra Condensed"/>
        <b/>
        <color theme="1"/>
        <sz val="10.0"/>
      </rPr>
      <t>Administración:</t>
    </r>
    <r>
      <rPr>
        <rFont val="Fira Sans Extra Condensed"/>
        <color theme="1"/>
        <sz val="10.0"/>
      </rPr>
      <t xml:space="preserve">
Descripción:  Administrar el módulo regional, consultar productos y de acuerdo a los permisos asignados realizar transferencias y autorizaciones.
</t>
    </r>
    <r>
      <rPr>
        <rFont val="Fira Sans Extra Condensed"/>
        <b/>
        <color theme="1"/>
        <sz val="10.0"/>
      </rPr>
      <t xml:space="preserve">Consulta: </t>
    </r>
    <r>
      <rPr>
        <rFont val="Fira Sans Extra Condensed"/>
        <color theme="1"/>
        <sz val="10.0"/>
      </rPr>
      <t xml:space="preserve">
Descripción: Visualizar la información de los productos, destinos y transferencias de acuerdo a los permisos asignados. 
</t>
    </r>
    <r>
      <rPr>
        <rFont val="Fira Sans Extra Condensed"/>
        <b/>
        <color theme="1"/>
        <sz val="10.0"/>
      </rPr>
      <t xml:space="preserve">
Preparación:</t>
    </r>
    <r>
      <rPr>
        <rFont val="Fira Sans Extra Condensed"/>
        <color theme="1"/>
        <sz val="10.0"/>
      </rPr>
      <t xml:space="preserve">  
Descripción: Crea y consultar transacciones de acuerdo a los permisos asignados. 
</t>
    </r>
    <r>
      <rPr>
        <rFont val="Fira Sans Extra Condensed"/>
        <b/>
        <color theme="1"/>
        <sz val="10.0"/>
      </rPr>
      <t xml:space="preserve">Aprobación: 
</t>
    </r>
    <r>
      <rPr>
        <rFont val="Fira Sans Extra Condensed"/>
        <color theme="1"/>
        <sz val="10.0"/>
      </rPr>
      <t>Descripción: Aprobar transacciones de acuerdo a los permisos asignados.</t>
    </r>
  </si>
  <si>
    <t>CP260</t>
  </si>
  <si>
    <t>CP261</t>
  </si>
  <si>
    <r>
      <rPr>
        <rFont val="Fira Sans Extra Condensed"/>
        <b/>
        <color theme="1"/>
        <sz val="10.0"/>
      </rPr>
      <t xml:space="preserve">Botón Regresar: </t>
    </r>
    <r>
      <rPr>
        <rFont val="Fira Sans Extra Condensed"/>
        <color theme="1"/>
        <sz val="10.0"/>
      </rPr>
      <t>Al dar clic sobre esta opción el canal debe llevar a la pantalla anterior:</t>
    </r>
  </si>
  <si>
    <t>CP262</t>
  </si>
  <si>
    <r>
      <rPr>
        <rFont val="Fira Sans Extra Condensed"/>
        <color theme="1"/>
        <sz val="10.0"/>
      </rPr>
      <t xml:space="preserve">Se debe incluir un checkbox que permita seleccionar las funcionalidades así:
</t>
    </r>
    <r>
      <rPr>
        <rFont val="Fira Sans Extra Condensed"/>
        <b/>
        <color theme="1"/>
        <sz val="10.0"/>
      </rPr>
      <t xml:space="preserve">Rol Consulta:
</t>
    </r>
    <r>
      <rPr>
        <rFont val="Fira Sans Extra Condensed"/>
        <color theme="1"/>
        <sz val="10.0"/>
      </rPr>
      <t xml:space="preserve">
</t>
    </r>
    <r>
      <rPr>
        <rFont val="Fira Sans Extra Condensed"/>
        <b/>
        <color theme="1"/>
        <sz val="10.0"/>
      </rPr>
      <t>Consulta de Productos:</t>
    </r>
    <r>
      <rPr>
        <rFont val="Fira Sans Extra Condensed"/>
        <color theme="1"/>
        <sz val="10.0"/>
      </rPr>
      <t xml:space="preserve"> Predeterminado
</t>
    </r>
    <r>
      <rPr>
        <rFont val="Fira Sans Extra Condensed"/>
        <b/>
        <color theme="1"/>
        <sz val="10.0"/>
      </rPr>
      <t>Descripción</t>
    </r>
    <r>
      <rPr>
        <rFont val="Fira Sans Extra Condensed"/>
        <color theme="1"/>
        <sz val="10.0"/>
      </rPr>
      <t>: Consulta la información consolidada y los detalles de los productos, visualiza movimientos y descarga estados de cuenta.</t>
    </r>
  </si>
  <si>
    <t>CP263</t>
  </si>
  <si>
    <r>
      <rPr>
        <rFont val="Fira Sans Extra Condensed"/>
        <b/>
        <color theme="1"/>
        <sz val="10.0"/>
      </rPr>
      <t>Rol Consulta:</t>
    </r>
    <r>
      <rPr>
        <rFont val="Fira Sans Extra Condensed"/>
        <color theme="1"/>
        <sz val="10.0"/>
      </rPr>
      <t xml:space="preserve">
</t>
    </r>
    <r>
      <rPr>
        <rFont val="Fira Sans Extra Condensed"/>
        <b/>
        <color theme="1"/>
        <sz val="10.0"/>
      </rPr>
      <t>Destinos Autorizados Regionales</t>
    </r>
    <r>
      <rPr>
        <rFont val="Fira Sans Extra Condensed"/>
        <color theme="1"/>
        <sz val="10.0"/>
      </rPr>
      <t xml:space="preserve">: Opcional, permite al usuario Administrador seleccionar si requiere que el usuario tenga este tipo de consultas. 
</t>
    </r>
    <r>
      <rPr>
        <rFont val="Fira Sans Extra Condensed"/>
        <b/>
        <color theme="1"/>
        <sz val="10.0"/>
      </rPr>
      <t>Descripción</t>
    </r>
    <r>
      <rPr>
        <rFont val="Fira Sans Extra Condensed"/>
        <color theme="1"/>
        <sz val="10.0"/>
      </rPr>
      <t>: Consulta los diferentes destinos autorizados.</t>
    </r>
  </si>
  <si>
    <t>CP264</t>
  </si>
  <si>
    <r>
      <rPr>
        <rFont val="Fira Sans Extra Condensed"/>
        <b/>
        <color theme="1"/>
        <sz val="10.0"/>
      </rPr>
      <t xml:space="preserve">Rol Consulta:
</t>
    </r>
    <r>
      <rPr>
        <rFont val="Fira Sans Extra Condensed"/>
        <color theme="1"/>
        <sz val="10.0"/>
      </rPr>
      <t xml:space="preserve">
</t>
    </r>
    <r>
      <rPr>
        <rFont val="Fira Sans Extra Condensed"/>
        <b/>
        <color theme="1"/>
        <sz val="10.0"/>
      </rPr>
      <t xml:space="preserve">Transferencias Regionales: </t>
    </r>
    <r>
      <rPr>
        <rFont val="Fira Sans Extra Condensed"/>
        <color theme="1"/>
        <sz val="10.0"/>
      </rPr>
      <t xml:space="preserve">Opcional, permite al usuario Administrador seleccionar si requiere que el usuario tenga este tipo de consultas. 
</t>
    </r>
    <r>
      <rPr>
        <rFont val="Fira Sans Extra Condensed"/>
        <b/>
        <color theme="1"/>
        <sz val="10.0"/>
      </rPr>
      <t>Descripción</t>
    </r>
    <r>
      <rPr>
        <rFont val="Fira Sans Extra Condensed"/>
        <color theme="1"/>
        <sz val="10.0"/>
      </rPr>
      <t>: Visualiza las transferencias.</t>
    </r>
  </si>
  <si>
    <t>CP265</t>
  </si>
  <si>
    <t>CP266</t>
  </si>
  <si>
    <r>
      <rPr>
        <rFont val="Fira Sans Extra Condensed"/>
        <b/>
        <color theme="1"/>
        <sz val="10.0"/>
      </rPr>
      <t>Selección de funcionalidades para rol 'Preparación'
Rol Preparación</t>
    </r>
    <r>
      <rPr>
        <rFont val="Fira Sans Extra Condensed"/>
        <color theme="1"/>
        <sz val="10.0"/>
      </rPr>
      <t xml:space="preserve">
</t>
    </r>
    <r>
      <rPr>
        <rFont val="Fira Sans Extra Condensed"/>
        <b/>
        <color theme="1"/>
        <sz val="10.0"/>
      </rPr>
      <t>Transferencias Regionales</t>
    </r>
    <r>
      <rPr>
        <rFont val="Fira Sans Extra Condensed"/>
        <color theme="1"/>
        <sz val="10.0"/>
      </rPr>
      <t xml:space="preserve">: Predeterminado
</t>
    </r>
    <r>
      <rPr>
        <rFont val="Fira Sans Extra Condensed"/>
        <b/>
        <color theme="1"/>
        <sz val="10.0"/>
      </rPr>
      <t>Descripción:</t>
    </r>
    <r>
      <rPr>
        <rFont val="Fira Sans Extra Condensed"/>
        <color theme="1"/>
        <sz val="10.0"/>
      </rPr>
      <t xml:space="preserve"> Crea y consulta transferencias de los grupos de productos agregados. </t>
    </r>
  </si>
  <si>
    <t>CP267</t>
  </si>
  <si>
    <r>
      <rPr>
        <rFont val="Fira Sans Extra Condensed"/>
        <b/>
        <color theme="1"/>
        <sz val="10.0"/>
      </rPr>
      <t xml:space="preserve">Rol Preparación
Destinos Autorizados Regionales: </t>
    </r>
    <r>
      <rPr>
        <rFont val="Fira Sans Extra Condensed"/>
        <color theme="1"/>
        <sz val="10.0"/>
      </rPr>
      <t xml:space="preserve">Preseleccionada, (Aplica únicamente si desde el control center fue seleccionada la opción para el Grupo regional) 
</t>
    </r>
    <r>
      <rPr>
        <rFont val="Fira Sans Extra Condensed"/>
        <b/>
        <color theme="1"/>
        <sz val="10.0"/>
      </rPr>
      <t xml:space="preserve">Descripción: </t>
    </r>
    <r>
      <rPr>
        <rFont val="Fira Sans Extra Condensed"/>
        <color theme="1"/>
        <sz val="10.0"/>
      </rPr>
      <t>Consulta y registra cuentas de terceros para realizar transferencias.</t>
    </r>
  </si>
  <si>
    <t>CP268</t>
  </si>
  <si>
    <r>
      <rPr>
        <rFont val="Fira Sans Extra Condensed"/>
        <b/>
        <color theme="1"/>
        <sz val="10.0"/>
      </rPr>
      <t xml:space="preserve">Rol Preparación
</t>
    </r>
    <r>
      <rPr>
        <rFont val="Fira Sans Extra Condensed"/>
        <color theme="1"/>
        <sz val="10.0"/>
      </rPr>
      <t xml:space="preserve">Al crear al cliente desde CC no se seleccionó la opción Destinos Autorizados Regionales para el Grupo regional) 
</t>
    </r>
  </si>
  <si>
    <t>CP269</t>
  </si>
  <si>
    <r>
      <rPr>
        <rFont val="Fira Sans Extra Condensed"/>
        <b/>
        <color theme="1"/>
        <sz val="10.0"/>
      </rPr>
      <t>Rol Preparación
Creación de Transferencias:</t>
    </r>
    <r>
      <rPr>
        <rFont val="Fira Sans Extra Condensed"/>
        <color theme="1"/>
        <sz val="10.0"/>
      </rPr>
      <t xml:space="preserve"> (Opcional)
Entre cuentas Davivienda propias
A Cuentas Davivienda de terceros</t>
    </r>
  </si>
  <si>
    <t>CP270</t>
  </si>
  <si>
    <r>
      <rPr>
        <rFont val="Fira Sans Extra Condensed"/>
        <b/>
        <color theme="1"/>
        <sz val="10.0"/>
      </rPr>
      <t xml:space="preserve">Rol Preparación
Consulta de Productos: </t>
    </r>
    <r>
      <rPr>
        <rFont val="Fira Sans Extra Condensed"/>
        <color theme="1"/>
        <sz val="10.0"/>
      </rPr>
      <t xml:space="preserve">Opcional, permite al usuario Administrador seleccionar si requiere que el usuario tenga este tipo de consultas.
</t>
    </r>
    <r>
      <rPr>
        <rFont val="Fira Sans Extra Condensed"/>
        <b/>
        <color theme="1"/>
        <sz val="10.0"/>
      </rPr>
      <t xml:space="preserve">Descripción: </t>
    </r>
    <r>
      <rPr>
        <rFont val="Fira Sans Extra Condensed"/>
        <color theme="1"/>
        <sz val="10.0"/>
      </rPr>
      <t>Consulta la información consolidada y los detalles de los productos, visualiza movimientos y descarga estados de cuenta.</t>
    </r>
  </si>
  <si>
    <t>CP271</t>
  </si>
  <si>
    <r>
      <rPr>
        <rFont val="Fira Sans Extra Condensed"/>
        <b/>
        <color theme="1"/>
        <sz val="10.0"/>
      </rPr>
      <t xml:space="preserve">Rol Aprobación:
</t>
    </r>
    <r>
      <rPr>
        <rFont val="Fira Sans Extra Condensed"/>
        <color theme="1"/>
        <sz val="10.0"/>
      </rPr>
      <t xml:space="preserve">
</t>
    </r>
    <r>
      <rPr>
        <rFont val="Fira Sans Extra Condensed"/>
        <b/>
        <color theme="1"/>
        <sz val="10.0"/>
      </rPr>
      <t xml:space="preserve">Consulta de Productos: </t>
    </r>
    <r>
      <rPr>
        <rFont val="Fira Sans Extra Condensed"/>
        <color theme="1"/>
        <sz val="10.0"/>
      </rPr>
      <t xml:space="preserve">Predeterminado
</t>
    </r>
    <r>
      <rPr>
        <rFont val="Fira Sans Extra Condensed"/>
        <b/>
        <color theme="1"/>
        <sz val="10.0"/>
      </rPr>
      <t>Descripción:</t>
    </r>
    <r>
      <rPr>
        <rFont val="Fira Sans Extra Condensed"/>
        <color theme="1"/>
        <sz val="10.0"/>
      </rPr>
      <t xml:space="preserve"> Consulta la información consolidada y los detalles de los productos, visualiza movimientos y descarga estados de cuenta.</t>
    </r>
  </si>
  <si>
    <t>CP272</t>
  </si>
  <si>
    <r>
      <rPr>
        <rFont val="Fira Sans Extra Condensed"/>
        <b/>
        <color theme="1"/>
        <sz val="10.0"/>
      </rPr>
      <t>Rol Aprobación:</t>
    </r>
    <r>
      <rPr>
        <rFont val="Fira Sans Extra Condensed"/>
        <color theme="1"/>
        <sz val="10.0"/>
      </rPr>
      <t xml:space="preserve">
</t>
    </r>
    <r>
      <rPr>
        <rFont val="Fira Sans Extra Condensed"/>
        <b/>
        <color theme="1"/>
        <sz val="10.0"/>
      </rPr>
      <t xml:space="preserve">Destinos autorizados Regionales: </t>
    </r>
    <r>
      <rPr>
        <rFont val="Fira Sans Extra Condensed"/>
        <color theme="1"/>
        <sz val="10.0"/>
      </rPr>
      <t xml:space="preserve">Predeterminado
</t>
    </r>
    <r>
      <rPr>
        <rFont val="Fira Sans Extra Condensed"/>
        <b/>
        <color theme="1"/>
        <sz val="10.0"/>
      </rPr>
      <t xml:space="preserve">Descripción: </t>
    </r>
    <r>
      <rPr>
        <rFont val="Fira Sans Extra Condensed"/>
        <color theme="1"/>
        <sz val="10.0"/>
      </rPr>
      <t xml:space="preserve">Autoriza destinos según el esquema de firmas asignado.
</t>
    </r>
  </si>
  <si>
    <t>CP273</t>
  </si>
  <si>
    <r>
      <rPr>
        <rFont val="Fira Sans Extra Condensed"/>
        <b/>
        <color theme="1"/>
        <sz val="10.0"/>
      </rPr>
      <t>Rol Aprobación:</t>
    </r>
    <r>
      <rPr>
        <rFont val="Fira Sans Extra Condensed"/>
        <color theme="1"/>
        <sz val="10.0"/>
      </rPr>
      <t xml:space="preserve">
</t>
    </r>
    <r>
      <rPr>
        <rFont val="Fira Sans Extra Condensed"/>
        <b/>
        <color theme="1"/>
        <sz val="10.0"/>
      </rPr>
      <t>Transferencias regionales:</t>
    </r>
    <r>
      <rPr>
        <rFont val="Fira Sans Extra Condensed"/>
        <color theme="1"/>
        <sz val="10.0"/>
      </rPr>
      <t xml:space="preserve"> Predeterminado
</t>
    </r>
    <r>
      <rPr>
        <rFont val="Fira Sans Extra Condensed"/>
        <b/>
        <color theme="1"/>
        <sz val="10.0"/>
      </rPr>
      <t>Descripción</t>
    </r>
    <r>
      <rPr>
        <rFont val="Fira Sans Extra Condensed"/>
        <color theme="1"/>
        <sz val="10.0"/>
      </rPr>
      <t>: Consulta y autoriza transferencias de los grupos de productos agregados si está en un esquema de firmas.</t>
    </r>
  </si>
  <si>
    <t>CP274</t>
  </si>
  <si>
    <r>
      <rPr>
        <rFont val="Fira Sans Extra Condensed"/>
        <b/>
        <color theme="1"/>
        <sz val="10.0"/>
      </rPr>
      <t>Rol Aprobación:</t>
    </r>
    <r>
      <rPr>
        <rFont val="Fira Sans Extra Condensed"/>
        <color theme="1"/>
        <sz val="10.0"/>
      </rPr>
      <t xml:space="preserve">
</t>
    </r>
    <r>
      <rPr>
        <rFont val="Fira Sans Extra Condensed"/>
        <b/>
        <color theme="1"/>
        <sz val="10.0"/>
      </rPr>
      <t xml:space="preserve">Creación de transferencias (Opcional)
</t>
    </r>
    <r>
      <rPr>
        <rFont val="Fira Sans Extra Condensed"/>
        <color theme="1"/>
        <sz val="10.0"/>
      </rPr>
      <t xml:space="preserve">
checkbox / Entre cuentas Davivienda propias
checkbox / A cuentas Davivienda de terceros</t>
    </r>
  </si>
  <si>
    <t>CP275</t>
  </si>
  <si>
    <r>
      <rPr>
        <rFont val="Fira Sans Extra Condensed"/>
        <b/>
        <color theme="1"/>
        <sz val="10.0"/>
      </rPr>
      <t>Rol Aprobación:</t>
    </r>
    <r>
      <rPr>
        <rFont val="Fira Sans Extra Condensed"/>
        <color theme="1"/>
        <sz val="10.0"/>
      </rPr>
      <t xml:space="preserve">
Creación de destinos autorizados (Opcional)  
Se muestra switch que permite habilitar o no</t>
    </r>
  </si>
  <si>
    <t>CP276</t>
  </si>
  <si>
    <r>
      <rPr>
        <rFont val="Fira Sans Extra Condensed"/>
        <b/>
        <color theme="1"/>
      </rPr>
      <t xml:space="preserve">Rol aprobación
</t>
    </r>
    <r>
      <rPr>
        <rFont val="Fira Sans Extra Condensed"/>
        <color theme="1"/>
      </rPr>
      <t xml:space="preserve">Al crear al cliente desde CC no se seleccionó la opción Destinos Autorizados Regionales para el Grupo regional) </t>
    </r>
  </si>
  <si>
    <t>CP277</t>
  </si>
  <si>
    <r>
      <rPr>
        <rFont val="Fira Sans Extra Condensed"/>
        <b/>
        <color theme="1"/>
        <sz val="10.0"/>
      </rPr>
      <t>Rol Administración:
Administración</t>
    </r>
    <r>
      <rPr>
        <rFont val="Fira Sans Extra Condensed"/>
        <color theme="1"/>
        <sz val="10.0"/>
      </rPr>
      <t xml:space="preserve">: Predeterminado una vez se seleccione este Rol y solo se puede eliminar si se elimina o cambia el rol, no podrá ser desmarcada esta funcionalidad de otra manera.
</t>
    </r>
    <r>
      <rPr>
        <rFont val="Fira Sans Extra Condensed"/>
        <b/>
        <color theme="1"/>
        <sz val="10.0"/>
      </rPr>
      <t>Descripción</t>
    </r>
    <r>
      <rPr>
        <rFont val="Fira Sans Extra Condensed"/>
        <color theme="1"/>
        <sz val="10.0"/>
      </rPr>
      <t xml:space="preserve">: Crea y administra los grupos de productos, roles y esquemas de firmas. </t>
    </r>
  </si>
  <si>
    <t>CP278</t>
  </si>
  <si>
    <r>
      <rPr>
        <rFont val="Fira Sans Extra Condensed"/>
        <b/>
        <color theme="1"/>
        <sz val="10.0"/>
      </rPr>
      <t>Rol administrador
Consulta de Productos</t>
    </r>
    <r>
      <rPr>
        <rFont val="Fira Sans Extra Condensed"/>
        <color theme="1"/>
        <sz val="10.0"/>
      </rPr>
      <t xml:space="preserve">: Predeterminado
</t>
    </r>
    <r>
      <rPr>
        <rFont val="Fira Sans Extra Condensed"/>
        <b/>
        <color theme="1"/>
        <sz val="10.0"/>
      </rPr>
      <t>Descripción</t>
    </r>
    <r>
      <rPr>
        <rFont val="Fira Sans Extra Condensed"/>
        <color theme="1"/>
        <sz val="10.0"/>
      </rPr>
      <t xml:space="preserve">: Consulta la información consolidada y los detalles de los productos,visualiza movimientos y descarga estados de cuenta. </t>
    </r>
  </si>
  <si>
    <t>CP279</t>
  </si>
  <si>
    <r>
      <rPr>
        <rFont val="Fira Sans Extra Condensed"/>
        <b/>
        <color theme="1"/>
        <sz val="10.0"/>
      </rPr>
      <t>Rol administrador
Asigne los permisos adicionales para este rol
Destinos Autorizados regionales:</t>
    </r>
    <r>
      <rPr>
        <rFont val="Fira Sans Extra Condensed"/>
        <color theme="1"/>
        <sz val="10.0"/>
      </rPr>
      <t xml:space="preserve"> Opcional para este Rol. (Aplica únicamente si desde el control center fue seleccionada la opción) 
</t>
    </r>
    <r>
      <rPr>
        <rFont val="Fira Sans Extra Condensed"/>
        <b/>
        <color theme="1"/>
        <sz val="10.0"/>
      </rPr>
      <t>Descripción</t>
    </r>
    <r>
      <rPr>
        <rFont val="Fira Sans Extra Condensed"/>
        <color theme="1"/>
        <sz val="10.0"/>
      </rPr>
      <t>: Autoriza destinos según el esquema de firmas asignado.
-  Creación de destinos autorizados (Opcional)  Switch: SI/NO</t>
    </r>
  </si>
  <si>
    <t>CP280</t>
  </si>
  <si>
    <r>
      <rPr>
        <rFont val="Fira Sans Extra Condensed"/>
        <b/>
        <color theme="1"/>
      </rPr>
      <t xml:space="preserve">Rol administrador
</t>
    </r>
    <r>
      <rPr>
        <rFont val="Fira Sans Extra Condensed"/>
        <color theme="1"/>
      </rPr>
      <t xml:space="preserve">Al crear al cliente desde CC no se seleccionó la opción Destinos Autorizados Regionales para el Grupo regional) </t>
    </r>
  </si>
  <si>
    <t>CP281</t>
  </si>
  <si>
    <r>
      <rPr>
        <rFont val="Fira Sans Extra Condensed"/>
        <b/>
        <color theme="1"/>
        <sz val="10.0"/>
      </rPr>
      <t>Rol administrador
Transferencias regionales:</t>
    </r>
    <r>
      <rPr>
        <rFont val="Fira Sans Extra Condensed"/>
        <color theme="1"/>
        <sz val="10.0"/>
      </rPr>
      <t xml:space="preserve"> Opcional, permite al usuario Administrador seleccionar si requiere tener acceso a esta funcionalidad.
</t>
    </r>
    <r>
      <rPr>
        <rFont val="Fira Sans Extra Condensed"/>
        <b/>
        <color theme="1"/>
        <sz val="10.0"/>
      </rPr>
      <t>Descripción</t>
    </r>
    <r>
      <rPr>
        <rFont val="Fira Sans Extra Condensed"/>
        <color theme="1"/>
        <sz val="10.0"/>
      </rPr>
      <t>: Consulta y autoriza transferencias de los grupo de productos agregados si está en un esquema de firmas.
- Creación de transferencias (Opcional) Por default no viene habilitado:
- Entre Cuentas Davivienda propias   
- A cuentas Davivienda de terceros</t>
    </r>
  </si>
  <si>
    <t>CP282</t>
  </si>
  <si>
    <t>CP283</t>
  </si>
  <si>
    <r>
      <rPr>
        <rFont val="Fira Sans Extra Condensed"/>
        <color theme="1"/>
        <sz val="10.0"/>
      </rPr>
      <t xml:space="preserve">En la parte inferior de la pantalla se deben tener los siguientes dos botones: 
</t>
    </r>
    <r>
      <rPr>
        <rFont val="Fira Sans Extra Condensed"/>
        <b/>
        <color theme="1"/>
        <sz val="10.0"/>
      </rPr>
      <t xml:space="preserve">Regresar: </t>
    </r>
    <r>
      <rPr>
        <rFont val="Fira Sans Extra Condensed"/>
        <color theme="1"/>
        <sz val="10.0"/>
      </rPr>
      <t xml:space="preserve">Una vez el usuario de clic en esta opción regresará a la pantalla anterior.
</t>
    </r>
    <r>
      <rPr>
        <rFont val="Fira Sans Extra Condensed"/>
        <b/>
        <color theme="1"/>
        <sz val="10.0"/>
      </rPr>
      <t>Confirmar</t>
    </r>
    <r>
      <rPr>
        <rFont val="Fira Sans Extra Condensed"/>
        <color theme="1"/>
        <sz val="10.0"/>
      </rPr>
      <t>: Una vez el usuario seleccione las funcionalidades y de clic sobre este botón se actualizará la pantalla y continuará al siguiente paso</t>
    </r>
  </si>
  <si>
    <t>CP284</t>
  </si>
  <si>
    <t>CP285</t>
  </si>
  <si>
    <t>CP286</t>
  </si>
  <si>
    <t>CP287</t>
  </si>
  <si>
    <t>CP288</t>
  </si>
  <si>
    <t>CP289</t>
  </si>
  <si>
    <r>
      <rPr>
        <rFont val="Fira Sans Extra Condensed"/>
        <color theme="1"/>
        <sz val="10.0"/>
      </rPr>
      <t xml:space="preserve">La información que aquí se muestra dependerá del tipo de administración que tenga parametrizada el grupo Regional así:
</t>
    </r>
    <r>
      <rPr>
        <rFont val="Fira Sans Extra Condensed"/>
        <b/>
        <color theme="1"/>
        <sz val="10.0"/>
      </rPr>
      <t xml:space="preserve">Administración Sencilla:  
</t>
    </r>
    <r>
      <rPr>
        <rFont val="Fira Sans Extra Condensed"/>
        <color theme="1"/>
        <sz val="10.0"/>
      </rPr>
      <t>Una vez aprobada la habilitación del nuevo usuario el canal en la parte superior  presentará el siguiente mensaje</t>
    </r>
    <r>
      <rPr>
        <rFont val="Fira Sans Extra Condensed"/>
        <b/>
        <color theme="1"/>
        <sz val="10.0"/>
      </rPr>
      <t>: “Creación de rol exitosa”</t>
    </r>
    <r>
      <rPr>
        <rFont val="Fira Sans Extra Condensed"/>
        <color theme="1"/>
        <sz val="10.0"/>
      </rPr>
      <t xml:space="preserve"> </t>
    </r>
  </si>
  <si>
    <t>CP290</t>
  </si>
  <si>
    <t>CP291</t>
  </si>
  <si>
    <r>
      <rPr>
        <rFont val="Fira Sans Extra Condensed"/>
        <color theme="1"/>
        <sz val="10.0"/>
      </rPr>
      <t xml:space="preserve">En la parte inferior tendrá las siguientes opciones: 
</t>
    </r>
    <r>
      <rPr>
        <rFont val="Fira Sans Extra Condensed"/>
        <b/>
        <color theme="1"/>
        <sz val="10.0"/>
      </rPr>
      <t xml:space="preserve">- Finalizar: </t>
    </r>
    <r>
      <rPr>
        <rFont val="Fira Sans Extra Condensed"/>
        <color theme="1"/>
        <sz val="10.0"/>
      </rPr>
      <t xml:space="preserve">Una vez el usuario de clic en esta opción regresará a la pantalla de Usuarios donde puede consultar o crear un nuevo usuario.
</t>
    </r>
    <r>
      <rPr>
        <rFont val="Fira Sans Extra Condensed"/>
        <b/>
        <color theme="1"/>
        <sz val="10.0"/>
      </rPr>
      <t xml:space="preserve">- Continuar: </t>
    </r>
    <r>
      <rPr>
        <rFont val="Fira Sans Extra Condensed"/>
        <color theme="1"/>
        <sz val="10.0"/>
      </rPr>
      <t xml:space="preserve">Esta opción posiciona al usuario en la primera pantalla del módulo de administración. donde visualiza las opciones de grupos, roles y esquemas. </t>
    </r>
  </si>
  <si>
    <t>CP292</t>
  </si>
  <si>
    <t>CP293</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</si>
  <si>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</si>
  <si>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Teniendo en cuenta que los usuarios que podrán acceder al módulo regional deben existir previamente en alguna de las bancas en línea de Colombia, Panamá, Costa Rica, Honduras y El Salvador; El usuario administrador una vez ingrese por primera vez o de clic a crear visualizará:
</t>
    </r>
    <r>
      <rPr>
        <rFont val="Fira Sans Extra Condensed"/>
        <b/>
        <color theme="1"/>
        <sz val="10.0"/>
      </rPr>
      <t>Título del Header</t>
    </r>
    <r>
      <rPr>
        <rFont val="Fira Sans Extra Condensed"/>
        <color theme="1"/>
        <sz val="10.0"/>
      </rPr>
      <t xml:space="preserve">: Elección del usuario
</t>
    </r>
    <r>
      <rPr>
        <rFont val="Fira Sans Extra Condensed"/>
        <b/>
        <color theme="1"/>
        <sz val="10.0"/>
      </rPr>
      <t>Botón regresar</t>
    </r>
    <r>
      <rPr>
        <rFont val="Fira Sans Extra Condensed"/>
        <color theme="1"/>
        <sz val="10.0"/>
      </rPr>
      <t xml:space="preserve">: Al dar clic regresa a la pantalla anterior. 
</t>
    </r>
    <r>
      <rPr>
        <rFont val="Fira Sans Extra Condensed"/>
        <b/>
        <color theme="1"/>
        <sz val="10.0"/>
      </rPr>
      <t>Texto:</t>
    </r>
    <r>
      <rPr>
        <rFont val="Fira Sans Extra Condensed"/>
        <color theme="1"/>
        <sz val="10.0"/>
      </rPr>
      <t xml:space="preserve"> El usuario debe estar creado en la banca en línea para poder agregarlo al módulo regional. </t>
    </r>
  </si>
  <si>
    <t>CP294</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</si>
  <si>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</si>
  <si>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Habilitar los siguientes filtros para iniciar los criterios de búsqueda: 
</t>
    </r>
    <r>
      <rPr>
        <rFont val="Fira Sans Extra Condensed"/>
        <b/>
        <color theme="1"/>
        <sz val="10.0"/>
      </rPr>
      <t>Seleccione el país:</t>
    </r>
    <r>
      <rPr>
        <rFont val="Fira Sans Extra Condensed"/>
        <color theme="1"/>
        <sz val="10.0"/>
      </rPr>
      <t xml:space="preserve"> lista desplegable (Colombia, Panamá, Costa Rica, Honduras, El Salvador) los países que aquí se muestran deben corresponder a los países de las empresas asociadas al grupo regional,  únicamente debe permitir seleccionar un país de las opciones disponibles.</t>
    </r>
  </si>
  <si>
    <t>CP295</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</si>
  <si>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</si>
  <si>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t>CP296</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</si>
  <si>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</si>
  <si>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Una vez seleccionado el país origen se debe desplegar las siguientes opciones:
</t>
    </r>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Colombia</t>
    </r>
    <r>
      <rPr>
        <rFont val="Fira Sans Extra Condensed"/>
        <color theme="1"/>
        <sz val="10.0"/>
      </rPr>
      <t>:   Cédula de Ciudadania
                   Tarjeta de Identidad
                   Registro Civil de Nacimiento
                   Pasaporte
                   Cédula de Extranjería
                   Permiso Especial de Permanencia (PEP)</t>
    </r>
  </si>
  <si>
    <t>CP297</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</si>
  <si>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</si>
  <si>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 xml:space="preserve">Seleccione tipo de documento: </t>
    </r>
    <r>
      <rPr>
        <rFont val="Fira Sans Extra Condensed"/>
        <color theme="1"/>
        <sz val="10.0"/>
      </rPr>
      <t xml:space="preserve">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Panamá:  </t>
    </r>
    <r>
      <rPr>
        <rFont val="Fira Sans Extra Condensed"/>
        <color theme="1"/>
        <sz val="10.0"/>
      </rPr>
      <t xml:space="preserve">  Cédula de Identidad Personal
                   Cédula Juvenil
                   Pasaporte
                   Carné de Residente Permanente
                   Carné de Residente Temporal</t>
    </r>
  </si>
  <si>
    <t>CP298</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</si>
  <si>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</si>
  <si>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Costa Rica:</t>
    </r>
    <r>
      <rPr>
        <rFont val="Fira Sans Extra Condensed"/>
        <color theme="1"/>
        <sz val="10.0"/>
      </rPr>
      <t xml:space="preserve">  Cédula de Identidad
                     Tarjeta de Identidad de Menores (TIM)
                     Pasaporte
                     Cédula de Residencia
                     Cédula de Refugiado</t>
    </r>
  </si>
  <si>
    <t>CP299</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</si>
  <si>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</si>
  <si>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Honduras: </t>
    </r>
    <r>
      <rPr>
        <rFont val="Fira Sans Extra Condensed"/>
        <color theme="1"/>
        <sz val="10.0"/>
      </rPr>
      <t xml:space="preserve">   Tarjeta de Identidad Nacional
                     Tarjeta de Identidad de Menores
                     Pasaporte
                     Carné de Residencia
                     Otro (Permite ingresar caracteres alfanuméricos y caracteres especiales)</t>
    </r>
  </si>
  <si>
    <t>CP300</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</si>
  <si>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</si>
  <si>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Para Honduras</t>
    </r>
    <r>
      <rPr>
        <rFont val="Fira Sans Extra Condensed"/>
        <color theme="1"/>
        <sz val="10.0"/>
      </rPr>
      <t xml:space="preserve"> en caso que haya sido seleccionado el campo “otro” debe habilitar un espacio donde el usuario debe ingresar el nombre del usuario cómo fue creado en la Banca en línea de este país. 
</t>
    </r>
  </si>
  <si>
    <t>CP301</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</si>
  <si>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</si>
  <si>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Seleccione tipo de documento</t>
    </r>
    <r>
      <rPr>
        <rFont val="Fira Sans Extra Condensed"/>
        <color theme="1"/>
        <sz val="10.0"/>
      </rPr>
      <t xml:space="preserve">: lista desplegable, en el cual se debe incluir todos los tipo de identificación que existan en las bancas locales de los países donde banco Davivienda tiene presencia y coincida con la selección anterior (país).
</t>
    </r>
    <r>
      <rPr>
        <rFont val="Fira Sans Extra Condensed"/>
        <b/>
        <color theme="1"/>
        <sz val="10.0"/>
      </rPr>
      <t xml:space="preserve">El Salvador:  </t>
    </r>
    <r>
      <rPr>
        <rFont val="Fira Sans Extra Condensed"/>
        <color theme="1"/>
        <sz val="10.0"/>
      </rPr>
      <t>Documento Único de Identidad (DUI)
                      Pasaporte
                      Carné de Residente
                      Identificación Beneficiario</t>
    </r>
  </si>
  <si>
    <t>CP302</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</si>
  <si>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</si>
  <si>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Número identificación:</t>
    </r>
    <r>
      <rPr>
        <rFont val="Fira Sans Extra Condensed"/>
        <color theme="1"/>
        <sz val="10.0"/>
      </rPr>
      <t xml:space="preserve"> Campo alfanumérico.
</t>
    </r>
    <r>
      <rPr>
        <rFont val="Fira Sans Extra Condensed"/>
        <b/>
        <color theme="1"/>
        <sz val="10.0"/>
      </rPr>
      <t xml:space="preserve">Colombia: </t>
    </r>
    <r>
      <rPr>
        <rFont val="Fira Sans Extra Condensed"/>
        <color theme="1"/>
        <sz val="10.0"/>
      </rPr>
      <t xml:space="preserve">Longitud máxima de 10 dígitos.
</t>
    </r>
    <r>
      <rPr>
        <rFont val="Fira Sans Extra Condensed"/>
        <b/>
        <color theme="1"/>
        <sz val="10.0"/>
      </rPr>
      <t>Panamá:</t>
    </r>
    <r>
      <rPr>
        <rFont val="Fira Sans Extra Condensed"/>
        <color theme="1"/>
        <sz val="10.0"/>
      </rPr>
      <t xml:space="preserve"> Longitud máxima de 9 dígitos.
</t>
    </r>
    <r>
      <rPr>
        <rFont val="Fira Sans Extra Condensed"/>
        <b/>
        <color theme="1"/>
        <sz val="10.0"/>
      </rPr>
      <t>Costa Rica:</t>
    </r>
    <r>
      <rPr>
        <rFont val="Fira Sans Extra Condensed"/>
        <color theme="1"/>
        <sz val="10.0"/>
      </rPr>
      <t xml:space="preserve"> Longitud máxima de 12 dígitos.
</t>
    </r>
    <r>
      <rPr>
        <rFont val="Fira Sans Extra Condensed"/>
        <b/>
        <color theme="1"/>
        <sz val="10.0"/>
      </rPr>
      <t>Honduras:</t>
    </r>
    <r>
      <rPr>
        <rFont val="Fira Sans Extra Condensed"/>
        <color theme="1"/>
        <sz val="10.0"/>
      </rPr>
      <t xml:space="preserve"> Longitud máxima de 13 caraceres.
</t>
    </r>
    <r>
      <rPr>
        <rFont val="Fira Sans Extra Condensed"/>
        <b/>
        <color theme="1"/>
        <sz val="10.0"/>
      </rPr>
      <t xml:space="preserve">El Salvador: </t>
    </r>
    <r>
      <rPr>
        <rFont val="Fira Sans Extra Condensed"/>
        <color theme="1"/>
        <sz val="10.0"/>
      </rPr>
      <t>Longitud máxima de 9 dígitos.</t>
    </r>
  </si>
  <si>
    <t>CP303</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</si>
  <si>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</si>
  <si>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Número identificación:</t>
    </r>
    <r>
      <rPr>
        <rFont val="Fira Sans Extra Condensed"/>
        <color theme="1"/>
        <sz val="10.0"/>
      </rPr>
      <t xml:space="preserve"> Campo alfanumérico.
Ingresar numero de identificación incorrecto</t>
    </r>
  </si>
  <si>
    <t>CP304</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</si>
  <si>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</si>
  <si>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t>CP305</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</si>
  <si>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</si>
  <si>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t>CP306</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</si>
  <si>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</si>
  <si>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t>CP307</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</si>
  <si>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</si>
  <si>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Cuando la información ingresada encuentra coincidencia actualizará la pantalla mostrando la  información no editable y completa con la información del usuario buscado:
</t>
    </r>
    <r>
      <rPr>
        <rFont val="Fira Sans Extra Condensed"/>
        <b/>
        <color theme="1"/>
        <sz val="10.0"/>
      </rPr>
      <t xml:space="preserve">Título del Header: </t>
    </r>
    <r>
      <rPr>
        <rFont val="Fira Sans Extra Condensed"/>
        <color theme="1"/>
        <sz val="10.0"/>
      </rPr>
      <t xml:space="preserve">Configuración del usuario.
</t>
    </r>
    <r>
      <rPr>
        <rFont val="Fira Sans Extra Condensed"/>
        <b/>
        <color theme="1"/>
        <sz val="10.0"/>
      </rPr>
      <t>Botón regresar: Regresa</t>
    </r>
    <r>
      <rPr>
        <rFont val="Fira Sans Extra Condensed"/>
        <color theme="1"/>
        <sz val="10.0"/>
      </rPr>
      <t xml:space="preserve"> a la pantalla anterior. 
</t>
    </r>
    <r>
      <rPr>
        <rFont val="Fira Sans Extra Condensed"/>
        <b/>
        <color theme="1"/>
        <sz val="10.0"/>
      </rPr>
      <t xml:space="preserve">Texto: </t>
    </r>
    <r>
      <rPr>
        <rFont val="Fira Sans Extra Condensed"/>
        <color theme="1"/>
        <sz val="10.0"/>
      </rPr>
      <t>Ahora debe incluir los grupos a los que tendrá acceso este usuario y asignarle un rol.</t>
    </r>
  </si>
  <si>
    <t>CP308</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</si>
  <si>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</si>
  <si>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 xml:space="preserve">Posterior el canal debe mostrar una opción con la información resumen del usuario así:
</t>
    </r>
    <r>
      <rPr>
        <rFont val="Fira Sans Extra Condensed"/>
        <color theme="1"/>
        <sz val="10.0"/>
      </rPr>
      <t xml:space="preserve">
</t>
    </r>
    <r>
      <rPr>
        <rFont val="Fira Sans Extra Condensed"/>
        <b/>
        <color theme="1"/>
        <sz val="10.0"/>
      </rPr>
      <t xml:space="preserve">Nombres y Apellidos: </t>
    </r>
    <r>
      <rPr>
        <rFont val="Fira Sans Extra Condensed"/>
        <color theme="1"/>
        <sz val="10.0"/>
      </rPr>
      <t xml:space="preserve">Se debe mostrar nombres y apellidos del usuario cómo fue creado en la Banca local.
</t>
    </r>
    <r>
      <rPr>
        <rFont val="Fira Sans Extra Condensed"/>
        <b/>
        <color theme="1"/>
        <sz val="10.0"/>
      </rPr>
      <t>País:</t>
    </r>
    <r>
      <rPr>
        <rFont val="Fira Sans Extra Condensed"/>
        <color theme="1"/>
        <sz val="10.0"/>
      </rPr>
      <t xml:space="preserve"> Se debe mostrar el nombre del país y la bandera del mismo seleccionado en el paso anterior.
</t>
    </r>
    <r>
      <rPr>
        <rFont val="Fira Sans Extra Condensed"/>
        <b/>
        <color theme="1"/>
        <sz val="10.0"/>
      </rPr>
      <t>Tipo de documento:</t>
    </r>
    <r>
      <rPr>
        <rFont val="Fira Sans Extra Condensed"/>
        <color theme="1"/>
        <sz val="10.0"/>
      </rPr>
      <t xml:space="preserve"> Se debe mostrar el tipo de identificación seleccionado en el paso anterior.
</t>
    </r>
    <r>
      <rPr>
        <rFont val="Fira Sans Extra Condensed"/>
        <b/>
        <color theme="1"/>
        <sz val="10.0"/>
      </rPr>
      <t>Número de documento:</t>
    </r>
    <r>
      <rPr>
        <rFont val="Fira Sans Extra Condensed"/>
        <color theme="1"/>
        <sz val="10.0"/>
      </rPr>
      <t xml:space="preserve"> Se debe mostrar el número de identificación seleccionado en el paso anterior.
</t>
    </r>
    <r>
      <rPr>
        <rFont val="Fira Sans Extra Condensed"/>
        <b/>
        <color theme="1"/>
        <sz val="10.0"/>
      </rPr>
      <t xml:space="preserve">Teléfono: </t>
    </r>
    <r>
      <rPr>
        <rFont val="Fira Sans Extra Condensed"/>
        <color theme="1"/>
        <sz val="10.0"/>
      </rPr>
      <t>Se debe mostrar cómo está registrado el número en el país origen, indicando al inicio el  Indicativo del país. El número podrá ser móvil o fijo.</t>
    </r>
  </si>
  <si>
    <t>CP309</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</si>
  <si>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</si>
  <si>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 xml:space="preserve">Sección “Grupo de productos”: </t>
    </r>
    <r>
      <rPr>
        <rFont val="Fira Sans Extra Condensed"/>
        <color theme="1"/>
        <sz val="10.0"/>
      </rPr>
      <t xml:space="preserve">Se debe mostrar una opción que le permita al usuario asignar los grupos de productos a los cuales el usuario tendrá acceso una vez habilitado. 
- El detalle de la asignación se encuentra en el criterio 4 de esta Historia de usuario. </t>
    </r>
  </si>
  <si>
    <t>CP310</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</si>
  <si>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</si>
  <si>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Sección “Roles”:</t>
    </r>
    <r>
      <rPr>
        <rFont val="Fira Sans Extra Condensed"/>
        <color theme="1"/>
        <sz val="10.0"/>
      </rPr>
      <t xml:space="preserve"> Se debe mostrar una opción que le permita al usuario asignar el rol que el usuario tendrá dentro del módulo regional los detalles de esta asignación se encuentran en el criterio 5 de esta historia de usuario.</t>
    </r>
  </si>
  <si>
    <t>CP311</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</si>
  <si>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</si>
  <si>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b/>
        <color theme="1"/>
        <sz val="10.0"/>
      </rPr>
      <t>Elemento “Crear rol”</t>
    </r>
    <r>
      <rPr>
        <rFont val="Fira Sans Extra Condensed"/>
        <color theme="1"/>
        <sz val="10.0"/>
      </rPr>
      <t xml:space="preserve">: Este elemento únicamente se habilita una vez que el usuario haya seleccionado al menos un grupo de productos y haya asignado el rol confirmando las funcionalidades que requiere. </t>
    </r>
  </si>
  <si>
    <t>CP312</t>
  </si>
  <si>
    <r>
      <rPr>
        <rFont val="Fira Sans Extra Condensed"/>
        <color theme="1"/>
        <sz val="10.0"/>
      </rPr>
      <t>Usuario con</t>
    </r>
    <r>
      <rPr>
        <rFont val="Fira Sans Extra Condensed"/>
        <b/>
        <color theme="1"/>
        <sz val="10.0"/>
      </rPr>
      <t xml:space="preserve"> perfil de administración usuario</t>
    </r>
    <r>
      <rPr>
        <rFont val="Fira Sans Extra Condensed"/>
        <color theme="1"/>
        <sz val="10.0"/>
      </rPr>
      <t xml:space="preserve"> debe estar marcado previamente como multilatino en CC de la banca local.</t>
    </r>
  </si>
  <si>
    <r>
      <rPr>
        <rFont val="Fira Sans Extra Condensed"/>
        <color theme="1"/>
        <sz val="10.0"/>
      </rPr>
      <t xml:space="preserve">Se debe mostrar un elemento que permita seleccionar un grupo de productos creado previamente. 
</t>
    </r>
    <r>
      <rPr>
        <rFont val="Fira Sans Extra Condensed"/>
        <b/>
        <color theme="1"/>
        <sz val="10.0"/>
      </rPr>
      <t>Subtítulo:</t>
    </r>
    <r>
      <rPr>
        <rFont val="Fira Sans Extra Condensed"/>
        <color theme="1"/>
        <sz val="10.0"/>
      </rPr>
      <t xml:space="preserve"> Grupo de Productos
</t>
    </r>
    <r>
      <rPr>
        <rFont val="Fira Sans Extra Condensed"/>
        <b/>
        <color theme="1"/>
        <sz val="10.0"/>
      </rPr>
      <t xml:space="preserve">Texto: </t>
    </r>
    <r>
      <rPr>
        <rFont val="Fira Sans Extra Condensed"/>
        <color theme="1"/>
        <sz val="10.0"/>
      </rPr>
      <t xml:space="preserve">El usuario podrá acceder a los grupos de productos en donde haya sido agregado. </t>
    </r>
  </si>
  <si>
    <t>CP313</t>
  </si>
  <si>
    <r>
      <rPr>
        <rFont val="Fira Sans Extra Condensed"/>
        <color theme="1"/>
        <sz val="10.0"/>
      </rPr>
      <t xml:space="preserve">Si el usuario no posee ningun grupo de productos deberá mostrar el siguiente mensaje
</t>
    </r>
    <r>
      <rPr>
        <rFont val="Fira Sans Extra Condensed"/>
        <b/>
        <color theme="1"/>
        <sz val="10.0"/>
      </rPr>
      <t>Texto:</t>
    </r>
    <r>
      <rPr>
        <rFont val="Fira Sans Extra Condensed"/>
        <color theme="1"/>
        <sz val="10.0"/>
      </rPr>
      <t xml:space="preserve"> Este usuario no tiene grupos. Por favor, agréguelos. </t>
    </r>
  </si>
  <si>
    <t>CP314</t>
  </si>
  <si>
    <r>
      <rPr>
        <rFont val="Fira Sans Extra Condensed"/>
        <b/>
        <color theme="1"/>
        <sz val="10.0"/>
      </rPr>
      <t xml:space="preserve">Botón “agregar”: </t>
    </r>
    <r>
      <rPr>
        <rFont val="Fira Sans Extra Condensed"/>
        <color theme="1"/>
        <sz val="10.0"/>
      </rPr>
      <t xml:space="preserve">Botón habilitado una vez el usuario de clic, actualizará la pantalla y el usuario tendrá la opción de seleccionar uno, varios o todos los grupos de productos creados, se presentarán los grupos de productos creados previamente.
En la parte superior de la consulta en los resultados se deben mostrar los grupos marcados como “destacados”, la información que permite visualizar es: 
</t>
    </r>
    <r>
      <rPr>
        <rFont val="Fira Sans Extra Condensed"/>
        <b/>
        <color theme="1"/>
        <sz val="10.0"/>
      </rPr>
      <t>Título del Header:</t>
    </r>
    <r>
      <rPr>
        <rFont val="Fira Sans Extra Condensed"/>
        <color theme="1"/>
        <sz val="10.0"/>
      </rPr>
      <t xml:space="preserve"> Elección de los grupos de productos 
</t>
    </r>
    <r>
      <rPr>
        <rFont val="Fira Sans Extra Condensed"/>
        <b/>
        <color theme="1"/>
        <sz val="10.0"/>
      </rPr>
      <t>Botón regresar:</t>
    </r>
    <r>
      <rPr>
        <rFont val="Fira Sans Extra Condensed"/>
        <color theme="1"/>
        <sz val="10.0"/>
      </rPr>
      <t xml:space="preserve"> Al dar clic regresa a la pantalla anterior. 
</t>
    </r>
    <r>
      <rPr>
        <rFont val="Fira Sans Extra Condensed"/>
        <b/>
        <color theme="1"/>
        <sz val="10.0"/>
      </rPr>
      <t>Texto:</t>
    </r>
    <r>
      <rPr>
        <rFont val="Fira Sans Extra Condensed"/>
        <color theme="1"/>
        <sz val="10.0"/>
      </rPr>
      <t xml:space="preserve"> Aquí puede agregar los grupos a los que tendrá acceso este usuario. Para facilitar su gestión, puede usar el buscador o los filtros presentados. </t>
    </r>
  </si>
  <si>
    <t>CP315</t>
  </si>
  <si>
    <r>
      <rPr>
        <rFont val="Fira Sans Extra Condensed"/>
        <b/>
        <color theme="1"/>
        <sz val="10.0"/>
      </rPr>
      <t xml:space="preserve">4.1 Resultado: 
Checkbox: </t>
    </r>
    <r>
      <rPr>
        <rFont val="Fira Sans Extra Condensed"/>
        <color theme="1"/>
        <sz val="10.0"/>
      </rPr>
      <t>Se mostrará al inicio de cada grupo de productos un checkbox, el cual permite seleccionar al usuario el grupo que desea agregar al usuario que se está habilitando.</t>
    </r>
  </si>
  <si>
    <t>CP316</t>
  </si>
  <si>
    <r>
      <rPr>
        <rFont val="Fira Sans Extra Condensed"/>
        <b/>
        <color theme="1"/>
        <sz val="10.0"/>
      </rPr>
      <t xml:space="preserve">Nombre grupo de productos: </t>
    </r>
    <r>
      <rPr>
        <rFont val="Fira Sans Extra Condensed"/>
        <color theme="1"/>
        <sz val="10.0"/>
      </rPr>
      <t xml:space="preserve">Se debe mostrar el nombre con el que se creó  grupo, ejemplo: “Tesorería Honduras” en caso que el grupo de productos haya sido marcado como “destacado” una estrella debe aparecer al lado del nombre.
</t>
    </r>
    <r>
      <rPr>
        <rFont val="Fira Sans Extra Condensed"/>
        <b/>
        <color theme="1"/>
        <sz val="10.0"/>
      </rPr>
      <t>País:</t>
    </r>
    <r>
      <rPr>
        <rFont val="Fira Sans Extra Condensed"/>
        <color theme="1"/>
        <sz val="10.0"/>
      </rPr>
      <t xml:space="preserve"> El canal debe mostrar las banderas de los productos que se encuentran incluidos en el grupo. 
</t>
    </r>
    <r>
      <rPr>
        <rFont val="Fira Sans Extra Condensed"/>
        <b/>
        <color theme="1"/>
        <sz val="10.0"/>
      </rPr>
      <t xml:space="preserve">Empresas: </t>
    </r>
    <r>
      <rPr>
        <rFont val="Fira Sans Extra Condensed"/>
        <color theme="1"/>
        <sz val="10.0"/>
      </rPr>
      <t>se deben visualizar el número de las empresas asociadas al grupo de productos.</t>
    </r>
  </si>
  <si>
    <t>CP317</t>
  </si>
  <si>
    <r>
      <rPr>
        <rFont val="Fira Sans Extra Condensed"/>
        <b/>
        <color theme="1"/>
        <sz val="10.0"/>
      </rPr>
      <t xml:space="preserve">Quick action - Detallar: </t>
    </r>
    <r>
      <rPr>
        <rFont val="Fira Sans Extra Condensed"/>
        <color theme="1"/>
        <sz val="10.0"/>
      </rPr>
      <t xml:space="preserve">Al dar clic en esta opción se debe visualizar de manera detallada el resumen del grupo de producto seleccionado, mostrando en la parte superior el nombre del grupo, y en la parte inferior el detalle de los productos asignados al grupo por tipo de producto (Para el MVP únicamente se mostrará cuentas ahorros y corriente) con la siguiente información del producto: 
</t>
    </r>
    <r>
      <rPr>
        <rFont val="Fira Sans Extra Condensed"/>
        <b/>
        <color theme="1"/>
        <sz val="10.0"/>
      </rPr>
      <t>País</t>
    </r>
    <r>
      <rPr>
        <rFont val="Fira Sans Extra Condensed"/>
        <color theme="1"/>
        <sz val="10.0"/>
      </rPr>
      <t xml:space="preserve"> (con la bandera del país al que pertenece y las iniciales del mismo), 
</t>
    </r>
    <r>
      <rPr>
        <rFont val="Fira Sans Extra Condensed"/>
        <b/>
        <color theme="1"/>
        <sz val="10.0"/>
      </rPr>
      <t>Empresa</t>
    </r>
    <r>
      <rPr>
        <rFont val="Fira Sans Extra Condensed"/>
        <color theme="1"/>
        <sz val="10.0"/>
      </rPr>
      <t xml:space="preserve"> (Nombre de la empresa a la que pertenece el producto), 
</t>
    </r>
    <r>
      <rPr>
        <rFont val="Fira Sans Extra Condensed"/>
        <b/>
        <color theme="1"/>
        <sz val="10.0"/>
      </rPr>
      <t>Alias</t>
    </r>
    <r>
      <rPr>
        <rFont val="Fira Sans Extra Condensed"/>
        <color theme="1"/>
        <sz val="10.0"/>
      </rPr>
      <t xml:space="preserve"> (Nombre asignado a la cuenta) 
</t>
    </r>
    <r>
      <rPr>
        <rFont val="Fira Sans Extra Condensed"/>
        <b/>
        <color theme="1"/>
        <sz val="10.0"/>
      </rPr>
      <t xml:space="preserve">Número de producto </t>
    </r>
    <r>
      <rPr>
        <rFont val="Fira Sans Extra Condensed"/>
        <color theme="1"/>
        <sz val="10.0"/>
      </rPr>
      <t>(se mostrará de manera enmascarada el número del producto, visualizando únicamente los últimos 4 dígitos)</t>
    </r>
  </si>
  <si>
    <t>CP318</t>
  </si>
  <si>
    <r>
      <rPr>
        <rFont val="Fira Sans Extra Condensed"/>
        <b/>
        <color theme="1"/>
        <sz val="10.0"/>
      </rPr>
      <t xml:space="preserve">En la parte inferior se deben habilitar los siguientes botones:
4.2 Elemento “Buscar”:
</t>
    </r>
    <r>
      <rPr>
        <rFont val="Fira Sans Extra Condensed"/>
        <color theme="1"/>
        <sz val="10.0"/>
      </rPr>
      <t xml:space="preserve">
Al dar clic se debe habilitar una barra de búsqueda que permite al usuario ingresar el nombre del Grupo de producto, el canal debe actualizar los resultados de búsqueda teniendo en cuenta el texto ingresado.
- Se debe habilitar un botón de “cancelar” en caso que el usuario quiera eliminar esta búsqueda.</t>
    </r>
  </si>
  <si>
    <t>CP319</t>
  </si>
  <si>
    <t>CP320</t>
  </si>
  <si>
    <r>
      <rPr>
        <rFont val="Fira Sans Extra Condensed"/>
        <b/>
        <color theme="1"/>
        <sz val="10.0"/>
      </rPr>
      <t>4.3 Elemento para “Filtrar”:</t>
    </r>
    <r>
      <rPr>
        <rFont val="Fira Sans Extra Condensed"/>
        <color theme="1"/>
        <sz val="10.0"/>
      </rPr>
      <t xml:space="preserve">
Debe contar con un elemento que permite  buscar grupos con filtros específicos, al dar clic sobre el texto se sobrepone en la pantalla  la información detallando los filtros que se podrán aplicar para la búsqueda de productos así:
</t>
    </r>
    <r>
      <rPr>
        <rFont val="Fira Sans Extra Condensed"/>
        <b/>
        <color theme="1"/>
        <sz val="10.0"/>
      </rPr>
      <t xml:space="preserve">Título: </t>
    </r>
    <r>
      <rPr>
        <rFont val="Fira Sans Extra Condensed"/>
        <color theme="1"/>
        <sz val="10.0"/>
      </rPr>
      <t xml:space="preserve">Filtrar
</t>
    </r>
    <r>
      <rPr>
        <rFont val="Fira Sans Extra Condensed"/>
        <b/>
        <color theme="1"/>
        <sz val="10.0"/>
      </rPr>
      <t xml:space="preserve">Botón “x”: </t>
    </r>
    <r>
      <rPr>
        <rFont val="Fira Sans Extra Condensed"/>
        <color theme="1"/>
        <sz val="10.0"/>
      </rPr>
      <t xml:space="preserve">Regresa a la pantalla anterior. </t>
    </r>
  </si>
  <si>
    <t>CP321</t>
  </si>
  <si>
    <r>
      <rPr>
        <rFont val="Fira Sans Extra Condensed"/>
        <b/>
        <color theme="1"/>
        <sz val="10.0"/>
      </rPr>
      <t xml:space="preserve">Texto: Aplique las opciones de filtrado que desea:
4.3.1  Países: </t>
    </r>
    <r>
      <rPr>
        <rFont val="Fira Sans Extra Condensed"/>
        <color theme="1"/>
        <sz val="10.0"/>
      </rPr>
      <t>permite seleccionar uno o todos los países, la opción que aquí se muestre dependerá de donde el grupo tenga presencia mostrando únicamente los países donde tiene productos.</t>
    </r>
  </si>
  <si>
    <t>CP322</t>
  </si>
  <si>
    <r>
      <rPr>
        <rFont val="Fira Sans Extra Condensed"/>
        <b/>
        <color theme="1"/>
        <sz val="10.0"/>
      </rPr>
      <t>4.3.2 Empresa:</t>
    </r>
    <r>
      <rPr>
        <rFont val="Fira Sans Extra Condensed"/>
        <color theme="1"/>
        <sz val="10.0"/>
      </rPr>
      <t xml:space="preserve"> Permite seleccionar una o todas las empresas del grupo de acuerdo a la selección de empresas que conforman el grupo de productos. </t>
    </r>
  </si>
  <si>
    <t>CP323</t>
  </si>
  <si>
    <r>
      <rPr>
        <rFont val="Fira Sans Extra Condensed"/>
        <b/>
        <color theme="1"/>
        <sz val="10.0"/>
      </rPr>
      <t xml:space="preserve">En la parte inferior deben estar las opciones: “Borrar” y “aplicar” 
</t>
    </r>
    <r>
      <rPr>
        <rFont val="Fira Sans Extra Condensed"/>
        <color theme="1"/>
        <sz val="10.0"/>
      </rPr>
      <t xml:space="preserve">
</t>
    </r>
    <r>
      <rPr>
        <rFont val="Fira Sans Extra Condensed"/>
        <b/>
        <color theme="1"/>
        <sz val="10.0"/>
      </rPr>
      <t xml:space="preserve">Botón “Borrar": </t>
    </r>
    <r>
      <rPr>
        <rFont val="Fira Sans Extra Condensed"/>
        <color theme="1"/>
        <sz val="10.0"/>
      </rPr>
      <t xml:space="preserve">al dar clic debe eliminar los filtros de búsqueda ingresados por el usuario. </t>
    </r>
  </si>
  <si>
    <t>CP324</t>
  </si>
  <si>
    <r>
      <rPr>
        <rFont val="Fira Sans Extra Condensed"/>
        <b/>
        <color theme="1"/>
        <sz val="10.0"/>
      </rPr>
      <t>Botón “Aplicar”:</t>
    </r>
    <r>
      <rPr>
        <rFont val="Fira Sans Extra Condensed"/>
        <color theme="1"/>
        <sz val="10.0"/>
      </rPr>
      <t xml:space="preserve"> Al dar clic el canal actualiza la pantalla donde muestra los grupos de productos, mostrando como resultado únicamente los grupos que cumplan con los criterios buscados. 
- En caso que el usuario requiera  seleccionar o eliminar alguna selección podrá aplicar la novedad de manera manual. 
- En la parte superior del resultado se debe mostrar el nombre del filtro aplicado y una opción en el mismo texto que permita “eliminar” el filtro.</t>
    </r>
  </si>
  <si>
    <t>CP325</t>
  </si>
  <si>
    <t>CP326</t>
  </si>
  <si>
    <t>CP327</t>
  </si>
  <si>
    <r>
      <rPr>
        <rFont val="Fira Sans Extra Condensed"/>
        <b/>
        <color theme="1"/>
        <sz val="10.0"/>
      </rPr>
      <t xml:space="preserve">Botón “Agregar Grupos": </t>
    </r>
    <r>
      <rPr>
        <rFont val="Fira Sans Extra Condensed"/>
        <color theme="1"/>
        <sz val="10.0"/>
      </rPr>
      <t xml:space="preserve">
Al hacer clic en el botón 'Agregar Grupos' muestra lo siguiente:
La pantalla se actualizará mostrando los grupos de productos seleccionados manteniendo las mismas características de visualización de detalle general de la asignación del rol del usuario, en la parte superior la información personal del usuario, la secciones de roles y grupo de productos.
</t>
    </r>
    <r>
      <rPr>
        <rFont val="Fira Sans Extra Condensed"/>
        <b/>
        <color theme="1"/>
        <sz val="10.0"/>
      </rPr>
      <t xml:space="preserve">Una vez seleccionado(s) y confirmados los grupos de productos se actualiza la pantalla e informa:
</t>
    </r>
    <r>
      <rPr>
        <rFont val="Fira Sans Extra Condensed"/>
        <color theme="1"/>
        <sz val="10.0"/>
      </rPr>
      <t xml:space="preserve">
Número de grupos agregados
Número y países que fueron agregados, se muestra colapsado al dar clic permite ver el nombre de los países.
Número de empresas asignadas, se muestra colapsado al dar clic permite ver el nombre de las empresas
Número de total de productos asignados al usuario, </t>
    </r>
  </si>
  <si>
    <t>CP328</t>
  </si>
  <si>
    <r>
      <rPr>
        <rFont val="Fira Sans Extra Condensed"/>
        <color theme="1"/>
        <sz val="10.0"/>
      </rPr>
      <t xml:space="preserve">El usuario administrador deberá asignar el rol del usuario dentro del módulo regional por lo anterior el canal debe presentar el siguiente mensaje: </t>
    </r>
    <r>
      <rPr>
        <rFont val="Fira Sans Extra Condensed"/>
        <b/>
        <color theme="1"/>
        <sz val="10.0"/>
      </rPr>
      <t>“Asigne el tipo de rol y permisos que tendrá el usuario dentro del módulo regional”</t>
    </r>
    <r>
      <rPr>
        <rFont val="Fira Sans Extra Condensed"/>
        <color theme="1"/>
        <sz val="10.0"/>
      </rPr>
      <t xml:space="preserve"> en la parte inferior se deben habilitar lo siguiente:
</t>
    </r>
    <r>
      <rPr>
        <rFont val="Fira Sans Extra Condensed"/>
        <b/>
        <color theme="1"/>
        <sz val="10.0"/>
      </rPr>
      <t xml:space="preserve">Título: </t>
    </r>
    <r>
      <rPr>
        <rFont val="Fira Sans Extra Condensed"/>
        <color theme="1"/>
        <sz val="10.0"/>
      </rPr>
      <t xml:space="preserve">Asignación de rol.
</t>
    </r>
    <r>
      <rPr>
        <rFont val="Fira Sans Extra Condensed"/>
        <b/>
        <color theme="1"/>
        <sz val="10.0"/>
      </rPr>
      <t>Elemento para regresar:</t>
    </r>
    <r>
      <rPr>
        <rFont val="Fira Sans Extra Condensed"/>
        <color theme="1"/>
        <sz val="10.0"/>
      </rPr>
      <t xml:space="preserve"> Al dar clic lleva a la pantalla anterior. 
</t>
    </r>
    <r>
      <rPr>
        <rFont val="Fira Sans Extra Condensed"/>
        <b/>
        <color theme="1"/>
        <sz val="10.0"/>
      </rPr>
      <t xml:space="preserve">Descripción: </t>
    </r>
    <r>
      <rPr>
        <rFont val="Fira Sans Extra Condensed"/>
        <color theme="1"/>
        <sz val="10.0"/>
      </rPr>
      <t xml:space="preserve">Aquí decidirá los permisos que este usuario tendrá dentro del Módulo Regional.
</t>
    </r>
  </si>
  <si>
    <t>CP329</t>
  </si>
  <si>
    <r>
      <rPr>
        <rFont val="Fira Sans Extra Condensed"/>
        <color theme="1"/>
        <sz val="10.0"/>
      </rPr>
      <t xml:space="preserve">Se debe mostrar una lista desplegable con las siguientes opciones:
</t>
    </r>
    <r>
      <rPr>
        <rFont val="Fira Sans Extra Condensed"/>
        <b/>
        <color theme="1"/>
        <sz val="10.0"/>
      </rPr>
      <t xml:space="preserve">Texto: </t>
    </r>
    <r>
      <rPr>
        <rFont val="Fira Sans Extra Condensed"/>
        <color theme="1"/>
        <sz val="10.0"/>
      </rPr>
      <t xml:space="preserve">Seleccione un rol
</t>
    </r>
    <r>
      <rPr>
        <rFont val="Fira Sans Extra Condensed"/>
        <b/>
        <color theme="1"/>
        <sz val="10.0"/>
      </rPr>
      <t xml:space="preserve">Opciones de listas desplegables: </t>
    </r>
    <r>
      <rPr>
        <rFont val="Fira Sans Extra Condensed"/>
        <color theme="1"/>
        <sz val="10.0"/>
      </rPr>
      <t xml:space="preserve">
</t>
    </r>
    <r>
      <rPr>
        <rFont val="Fira Sans Extra Condensed"/>
        <b/>
        <color theme="1"/>
        <sz val="10.0"/>
      </rPr>
      <t>Administración:</t>
    </r>
    <r>
      <rPr>
        <rFont val="Fira Sans Extra Condensed"/>
        <color theme="1"/>
        <sz val="10.0"/>
      </rPr>
      <t xml:space="preserve">
Descripción:  Administrar el módulo regional, consultar productos y de acuerdo a los permisos asignados realizar transferencias y autorizaciones.
</t>
    </r>
    <r>
      <rPr>
        <rFont val="Fira Sans Extra Condensed"/>
        <b/>
        <color theme="1"/>
        <sz val="10.0"/>
      </rPr>
      <t xml:space="preserve">Consulta: </t>
    </r>
    <r>
      <rPr>
        <rFont val="Fira Sans Extra Condensed"/>
        <color theme="1"/>
        <sz val="10.0"/>
      </rPr>
      <t xml:space="preserve">
Descripción: Visualizar la información de los productos, destinos y transferencias de acuerdo a los permisos asignados. 
</t>
    </r>
    <r>
      <rPr>
        <rFont val="Fira Sans Extra Condensed"/>
        <b/>
        <color theme="1"/>
        <sz val="10.0"/>
      </rPr>
      <t xml:space="preserve">
Preparación:</t>
    </r>
    <r>
      <rPr>
        <rFont val="Fira Sans Extra Condensed"/>
        <color theme="1"/>
        <sz val="10.0"/>
      </rPr>
      <t xml:space="preserve">  
Descripción: Crea y consultar transacciones de acuerdo a los permisos asignados. 
</t>
    </r>
    <r>
      <rPr>
        <rFont val="Fira Sans Extra Condensed"/>
        <b/>
        <color theme="1"/>
        <sz val="10.0"/>
      </rPr>
      <t xml:space="preserve">Aprobación: 
</t>
    </r>
    <r>
      <rPr>
        <rFont val="Fira Sans Extra Condensed"/>
        <color theme="1"/>
        <sz val="10.0"/>
      </rPr>
      <t>Descripción: Aprobar transacciones de acuerdo a los permisos asignados.</t>
    </r>
  </si>
  <si>
    <t>CP330</t>
  </si>
  <si>
    <t>CP331</t>
  </si>
  <si>
    <r>
      <rPr>
        <rFont val="Fira Sans Extra Condensed"/>
        <b/>
        <color theme="1"/>
        <sz val="10.0"/>
      </rPr>
      <t xml:space="preserve">Botón Regresar: </t>
    </r>
    <r>
      <rPr>
        <rFont val="Fira Sans Extra Condensed"/>
        <color theme="1"/>
        <sz val="10.0"/>
      </rPr>
      <t>Al dar clic sobre esta opción el canal debe llevar a la pantalla anterior:</t>
    </r>
  </si>
  <si>
    <t>CP332</t>
  </si>
  <si>
    <r>
      <rPr>
        <rFont val="Fira Sans Extra Condensed"/>
        <color theme="1"/>
        <sz val="10.0"/>
      </rPr>
      <t xml:space="preserve">Se debe incluir un checkbox que permita seleccionar las funcionalidades así:
</t>
    </r>
    <r>
      <rPr>
        <rFont val="Fira Sans Extra Condensed"/>
        <b/>
        <color theme="1"/>
        <sz val="10.0"/>
      </rPr>
      <t xml:space="preserve">Rol Consulta:
</t>
    </r>
    <r>
      <rPr>
        <rFont val="Fira Sans Extra Condensed"/>
        <color theme="1"/>
        <sz val="10.0"/>
      </rPr>
      <t xml:space="preserve">
</t>
    </r>
    <r>
      <rPr>
        <rFont val="Fira Sans Extra Condensed"/>
        <b/>
        <color theme="1"/>
        <sz val="10.0"/>
      </rPr>
      <t>Consulta de Productos:</t>
    </r>
    <r>
      <rPr>
        <rFont val="Fira Sans Extra Condensed"/>
        <color theme="1"/>
        <sz val="10.0"/>
      </rPr>
      <t xml:space="preserve"> Predeterminado
</t>
    </r>
    <r>
      <rPr>
        <rFont val="Fira Sans Extra Condensed"/>
        <b/>
        <color theme="1"/>
        <sz val="10.0"/>
      </rPr>
      <t>Descripción</t>
    </r>
    <r>
      <rPr>
        <rFont val="Fira Sans Extra Condensed"/>
        <color theme="1"/>
        <sz val="10.0"/>
      </rPr>
      <t>: Consulta la información consolidada y los detalles de los productos, visualiza movimientos y descarga estados de cuenta.</t>
    </r>
  </si>
  <si>
    <t>CP333</t>
  </si>
  <si>
    <r>
      <rPr>
        <rFont val="Fira Sans Extra Condensed"/>
        <b/>
        <color theme="1"/>
        <sz val="10.0"/>
      </rPr>
      <t>Rol Consulta:</t>
    </r>
    <r>
      <rPr>
        <rFont val="Fira Sans Extra Condensed"/>
        <color theme="1"/>
        <sz val="10.0"/>
      </rPr>
      <t xml:space="preserve">
</t>
    </r>
    <r>
      <rPr>
        <rFont val="Fira Sans Extra Condensed"/>
        <b/>
        <color theme="1"/>
        <sz val="10.0"/>
      </rPr>
      <t>Destinos Autorizados Regionales</t>
    </r>
    <r>
      <rPr>
        <rFont val="Fira Sans Extra Condensed"/>
        <color theme="1"/>
        <sz val="10.0"/>
      </rPr>
      <t xml:space="preserve">: Opcional, permite al usuario Administrador seleccionar si requiere que el usuario tenga este tipo de consultas. 
</t>
    </r>
    <r>
      <rPr>
        <rFont val="Fira Sans Extra Condensed"/>
        <b/>
        <color theme="1"/>
        <sz val="10.0"/>
      </rPr>
      <t>Descripción</t>
    </r>
    <r>
      <rPr>
        <rFont val="Fira Sans Extra Condensed"/>
        <color theme="1"/>
        <sz val="10.0"/>
      </rPr>
      <t>: Consulta los diferentes destinos autorizados.</t>
    </r>
  </si>
  <si>
    <t>CP334</t>
  </si>
  <si>
    <r>
      <rPr>
        <rFont val="Fira Sans Extra Condensed"/>
        <b/>
        <color theme="1"/>
        <sz val="10.0"/>
      </rPr>
      <t xml:space="preserve">Rol Consulta:
</t>
    </r>
    <r>
      <rPr>
        <rFont val="Fira Sans Extra Condensed"/>
        <color theme="1"/>
        <sz val="10.0"/>
      </rPr>
      <t xml:space="preserve">
</t>
    </r>
    <r>
      <rPr>
        <rFont val="Fira Sans Extra Condensed"/>
        <b/>
        <color theme="1"/>
        <sz val="10.0"/>
      </rPr>
      <t xml:space="preserve">Transferencias Regionales: </t>
    </r>
    <r>
      <rPr>
        <rFont val="Fira Sans Extra Condensed"/>
        <color theme="1"/>
        <sz val="10.0"/>
      </rPr>
      <t xml:space="preserve">Opcional, permite al usuario Administrador seleccionar si requiere que el usuario tenga este tipo de consultas. 
</t>
    </r>
    <r>
      <rPr>
        <rFont val="Fira Sans Extra Condensed"/>
        <b/>
        <color theme="1"/>
        <sz val="10.0"/>
      </rPr>
      <t>Descripción</t>
    </r>
    <r>
      <rPr>
        <rFont val="Fira Sans Extra Condensed"/>
        <color theme="1"/>
        <sz val="10.0"/>
      </rPr>
      <t>: Visualiza las transferencias.</t>
    </r>
  </si>
  <si>
    <t>CP335</t>
  </si>
  <si>
    <t>CP336</t>
  </si>
  <si>
    <r>
      <rPr>
        <rFont val="Fira Sans Extra Condensed"/>
        <b/>
        <color theme="1"/>
        <sz val="10.0"/>
      </rPr>
      <t>Selección de funcionalidades para rol 'Preparación'
Rol Preparación</t>
    </r>
    <r>
      <rPr>
        <rFont val="Fira Sans Extra Condensed"/>
        <color theme="1"/>
        <sz val="10.0"/>
      </rPr>
      <t xml:space="preserve">
</t>
    </r>
    <r>
      <rPr>
        <rFont val="Fira Sans Extra Condensed"/>
        <b/>
        <color theme="1"/>
        <sz val="10.0"/>
      </rPr>
      <t>Transferencias Regionales</t>
    </r>
    <r>
      <rPr>
        <rFont val="Fira Sans Extra Condensed"/>
        <color theme="1"/>
        <sz val="10.0"/>
      </rPr>
      <t xml:space="preserve">: Predeterminado
</t>
    </r>
    <r>
      <rPr>
        <rFont val="Fira Sans Extra Condensed"/>
        <b/>
        <color theme="1"/>
        <sz val="10.0"/>
      </rPr>
      <t>Descripción:</t>
    </r>
    <r>
      <rPr>
        <rFont val="Fira Sans Extra Condensed"/>
        <color theme="1"/>
        <sz val="10.0"/>
      </rPr>
      <t xml:space="preserve"> Crea y consulta transferencias de los grupos de productos agregados. </t>
    </r>
  </si>
  <si>
    <t>CP337</t>
  </si>
  <si>
    <r>
      <rPr>
        <rFont val="Fira Sans Extra Condensed"/>
        <b/>
        <color theme="1"/>
        <sz val="10.0"/>
      </rPr>
      <t xml:space="preserve">Rol Preparación
Destinos Autorizados Regionales: </t>
    </r>
    <r>
      <rPr>
        <rFont val="Fira Sans Extra Condensed"/>
        <color theme="1"/>
        <sz val="10.0"/>
      </rPr>
      <t xml:space="preserve">Preseleccionada, (Aplica únicamente si desde el control center fue seleccionada la opción para el Grupo regional) 
</t>
    </r>
    <r>
      <rPr>
        <rFont val="Fira Sans Extra Condensed"/>
        <b/>
        <color theme="1"/>
        <sz val="10.0"/>
      </rPr>
      <t xml:space="preserve">Descripción: </t>
    </r>
    <r>
      <rPr>
        <rFont val="Fira Sans Extra Condensed"/>
        <color theme="1"/>
        <sz val="10.0"/>
      </rPr>
      <t>Consulta y registra cuentas de terceros para realizar transferencias.</t>
    </r>
  </si>
  <si>
    <t>CP338</t>
  </si>
  <si>
    <r>
      <rPr>
        <rFont val="Fira Sans Extra Condensed"/>
        <b/>
        <color theme="1"/>
        <sz val="10.0"/>
      </rPr>
      <t xml:space="preserve">Rol Preparación
</t>
    </r>
    <r>
      <rPr>
        <rFont val="Fira Sans Extra Condensed"/>
        <color theme="1"/>
        <sz val="10.0"/>
      </rPr>
      <t xml:space="preserve">Al crear al cliente desde CC no se seleccionó la opción Destinos Autorizados Regionales para el Grupo regional) 
</t>
    </r>
  </si>
  <si>
    <t>CP339</t>
  </si>
  <si>
    <r>
      <rPr>
        <rFont val="Fira Sans Extra Condensed"/>
        <b/>
        <color theme="1"/>
        <sz val="10.0"/>
      </rPr>
      <t>Rol Preparación
Creación de Transferencias:</t>
    </r>
    <r>
      <rPr>
        <rFont val="Fira Sans Extra Condensed"/>
        <color theme="1"/>
        <sz val="10.0"/>
      </rPr>
      <t xml:space="preserve"> (Opcional)
Entre cuentas Davivienda propias
A Cuentas Davivienda de terceros</t>
    </r>
  </si>
  <si>
    <t>CP340</t>
  </si>
  <si>
    <r>
      <rPr>
        <rFont val="Fira Sans Extra Condensed"/>
        <b/>
        <color theme="1"/>
        <sz val="10.0"/>
      </rPr>
      <t xml:space="preserve">Rol Preparación
Consulta de Productos: </t>
    </r>
    <r>
      <rPr>
        <rFont val="Fira Sans Extra Condensed"/>
        <color theme="1"/>
        <sz val="10.0"/>
      </rPr>
      <t xml:space="preserve">Opcional, permite al usuario Administrador seleccionar si requiere que el usuario tenga este tipo de consultas.
</t>
    </r>
    <r>
      <rPr>
        <rFont val="Fira Sans Extra Condensed"/>
        <b/>
        <color theme="1"/>
        <sz val="10.0"/>
      </rPr>
      <t xml:space="preserve">Descripción: </t>
    </r>
    <r>
      <rPr>
        <rFont val="Fira Sans Extra Condensed"/>
        <color theme="1"/>
        <sz val="10.0"/>
      </rPr>
      <t>Consulta la información consolidada y los detalles de los productos, visualiza movimientos y descarga estados de cuenta.</t>
    </r>
  </si>
  <si>
    <t>CP341</t>
  </si>
  <si>
    <r>
      <rPr>
        <rFont val="Fira Sans Extra Condensed"/>
        <b/>
        <color theme="1"/>
        <sz val="10.0"/>
      </rPr>
      <t xml:space="preserve">Rol Aprobación:
</t>
    </r>
    <r>
      <rPr>
        <rFont val="Fira Sans Extra Condensed"/>
        <color theme="1"/>
        <sz val="10.0"/>
      </rPr>
      <t xml:space="preserve">
</t>
    </r>
    <r>
      <rPr>
        <rFont val="Fira Sans Extra Condensed"/>
        <b/>
        <color theme="1"/>
        <sz val="10.0"/>
      </rPr>
      <t xml:space="preserve">Consulta de Productos: </t>
    </r>
    <r>
      <rPr>
        <rFont val="Fira Sans Extra Condensed"/>
        <color theme="1"/>
        <sz val="10.0"/>
      </rPr>
      <t xml:space="preserve">Predeterminado
</t>
    </r>
    <r>
      <rPr>
        <rFont val="Fira Sans Extra Condensed"/>
        <b/>
        <color theme="1"/>
        <sz val="10.0"/>
      </rPr>
      <t>Descripción:</t>
    </r>
    <r>
      <rPr>
        <rFont val="Fira Sans Extra Condensed"/>
        <color theme="1"/>
        <sz val="10.0"/>
      </rPr>
      <t xml:space="preserve"> Consulta la información consolidada y los detalles de los productos, visualiza movimientos y descarga estados de cuenta.</t>
    </r>
  </si>
  <si>
    <t>CP342</t>
  </si>
  <si>
    <r>
      <rPr>
        <rFont val="Fira Sans Extra Condensed"/>
        <b/>
        <color theme="1"/>
        <sz val="10.0"/>
      </rPr>
      <t>Rol Aprobación:</t>
    </r>
    <r>
      <rPr>
        <rFont val="Fira Sans Extra Condensed"/>
        <color theme="1"/>
        <sz val="10.0"/>
      </rPr>
      <t xml:space="preserve">
</t>
    </r>
    <r>
      <rPr>
        <rFont val="Fira Sans Extra Condensed"/>
        <b/>
        <color theme="1"/>
        <sz val="10.0"/>
      </rPr>
      <t xml:space="preserve">Destinos autorizados Regionales: </t>
    </r>
    <r>
      <rPr>
        <rFont val="Fira Sans Extra Condensed"/>
        <color theme="1"/>
        <sz val="10.0"/>
      </rPr>
      <t xml:space="preserve">Predeterminado
</t>
    </r>
    <r>
      <rPr>
        <rFont val="Fira Sans Extra Condensed"/>
        <b/>
        <color theme="1"/>
        <sz val="10.0"/>
      </rPr>
      <t xml:space="preserve">Descripción: </t>
    </r>
    <r>
      <rPr>
        <rFont val="Fira Sans Extra Condensed"/>
        <color theme="1"/>
        <sz val="10.0"/>
      </rPr>
      <t xml:space="preserve">Autoriza destinos según el esquema de firmas asignado.
</t>
    </r>
  </si>
  <si>
    <t>CP343</t>
  </si>
  <si>
    <r>
      <rPr>
        <rFont val="Fira Sans Extra Condensed"/>
        <b/>
        <color theme="1"/>
        <sz val="10.0"/>
      </rPr>
      <t>Rol Aprobación:</t>
    </r>
    <r>
      <rPr>
        <rFont val="Fira Sans Extra Condensed"/>
        <color theme="1"/>
        <sz val="10.0"/>
      </rPr>
      <t xml:space="preserve">
</t>
    </r>
    <r>
      <rPr>
        <rFont val="Fira Sans Extra Condensed"/>
        <b/>
        <color theme="1"/>
        <sz val="10.0"/>
      </rPr>
      <t>Transferencias regionales:</t>
    </r>
    <r>
      <rPr>
        <rFont val="Fira Sans Extra Condensed"/>
        <color theme="1"/>
        <sz val="10.0"/>
      </rPr>
      <t xml:space="preserve"> Predeterminado
</t>
    </r>
    <r>
      <rPr>
        <rFont val="Fira Sans Extra Condensed"/>
        <b/>
        <color theme="1"/>
        <sz val="10.0"/>
      </rPr>
      <t>Descripción</t>
    </r>
    <r>
      <rPr>
        <rFont val="Fira Sans Extra Condensed"/>
        <color theme="1"/>
        <sz val="10.0"/>
      </rPr>
      <t>: Consulta y autoriza transferencias de los grupos de productos agregados si está en un esquema de firmas.</t>
    </r>
  </si>
  <si>
    <t>CP344</t>
  </si>
  <si>
    <r>
      <rPr>
        <rFont val="Fira Sans Extra Condensed"/>
        <b/>
        <color theme="1"/>
        <sz val="10.0"/>
      </rPr>
      <t>Rol Aprobación:</t>
    </r>
    <r>
      <rPr>
        <rFont val="Fira Sans Extra Condensed"/>
        <color theme="1"/>
        <sz val="10.0"/>
      </rPr>
      <t xml:space="preserve">
</t>
    </r>
    <r>
      <rPr>
        <rFont val="Fira Sans Extra Condensed"/>
        <b/>
        <color theme="1"/>
        <sz val="10.0"/>
      </rPr>
      <t xml:space="preserve">Creación de transferencias (Opcional)
</t>
    </r>
    <r>
      <rPr>
        <rFont val="Fira Sans Extra Condensed"/>
        <color theme="1"/>
        <sz val="10.0"/>
      </rPr>
      <t xml:space="preserve">
checkbox / Entre cuentas Davivienda propias
checkbox / A cuentas Davivienda de terceros</t>
    </r>
  </si>
  <si>
    <t>CP345</t>
  </si>
  <si>
    <r>
      <rPr>
        <rFont val="Fira Sans Extra Condensed"/>
        <b/>
        <color theme="1"/>
        <sz val="10.0"/>
      </rPr>
      <t>Rol Aprobación:</t>
    </r>
    <r>
      <rPr>
        <rFont val="Fira Sans Extra Condensed"/>
        <color theme="1"/>
        <sz val="10.0"/>
      </rPr>
      <t xml:space="preserve">
Creación de destinos autorizados (Opcional)  
Se muestra switch que permite habilitar o no</t>
    </r>
  </si>
  <si>
    <t>CP346</t>
  </si>
  <si>
    <r>
      <rPr>
        <rFont val="Fira Sans Extra Condensed"/>
        <b/>
        <color theme="1"/>
      </rPr>
      <t xml:space="preserve">Rol aprobación
</t>
    </r>
    <r>
      <rPr>
        <rFont val="Fira Sans Extra Condensed"/>
        <color theme="1"/>
      </rPr>
      <t xml:space="preserve">Al crear al cliente desde CC no se seleccionó la opción Destinos Autorizados Regionales para el Grupo regional) </t>
    </r>
  </si>
  <si>
    <t>CP347</t>
  </si>
  <si>
    <r>
      <rPr>
        <rFont val="Fira Sans Extra Condensed"/>
        <b/>
        <color theme="1"/>
        <sz val="10.0"/>
      </rPr>
      <t>Rol Administración:
Administración</t>
    </r>
    <r>
      <rPr>
        <rFont val="Fira Sans Extra Condensed"/>
        <color theme="1"/>
        <sz val="10.0"/>
      </rPr>
      <t xml:space="preserve">: Predeterminado una vez se seleccione este Rol y solo se puede eliminar si se elimina o cambia el rol, no podrá ser desmarcada esta funcionalidad de otra manera.
</t>
    </r>
    <r>
      <rPr>
        <rFont val="Fira Sans Extra Condensed"/>
        <b/>
        <color theme="1"/>
        <sz val="10.0"/>
      </rPr>
      <t>Descripción</t>
    </r>
    <r>
      <rPr>
        <rFont val="Fira Sans Extra Condensed"/>
        <color theme="1"/>
        <sz val="10.0"/>
      </rPr>
      <t xml:space="preserve">: Crea y administra los grupos de productos, roles y esquemas de firmas. </t>
    </r>
  </si>
  <si>
    <t>CP348</t>
  </si>
  <si>
    <r>
      <rPr>
        <rFont val="Fira Sans Extra Condensed"/>
        <b/>
        <color theme="1"/>
        <sz val="10.0"/>
      </rPr>
      <t>Rol administrador
Consulta de Productos</t>
    </r>
    <r>
      <rPr>
        <rFont val="Fira Sans Extra Condensed"/>
        <color theme="1"/>
        <sz val="10.0"/>
      </rPr>
      <t xml:space="preserve">: Predeterminado
</t>
    </r>
    <r>
      <rPr>
        <rFont val="Fira Sans Extra Condensed"/>
        <b/>
        <color theme="1"/>
        <sz val="10.0"/>
      </rPr>
      <t>Descripción</t>
    </r>
    <r>
      <rPr>
        <rFont val="Fira Sans Extra Condensed"/>
        <color theme="1"/>
        <sz val="10.0"/>
      </rPr>
      <t xml:space="preserve">: Consulta la información consolidada y los detalles de los productos,visualiza movimientos y descarga estados de cuenta. </t>
    </r>
  </si>
  <si>
    <t>CP349</t>
  </si>
  <si>
    <r>
      <rPr>
        <rFont val="Fira Sans Extra Condensed"/>
        <b/>
        <color theme="1"/>
        <sz val="10.0"/>
      </rPr>
      <t>Rol administrador
Asigne los permisos adicionales para este rol
Destinos Autorizados regionales:</t>
    </r>
    <r>
      <rPr>
        <rFont val="Fira Sans Extra Condensed"/>
        <color theme="1"/>
        <sz val="10.0"/>
      </rPr>
      <t xml:space="preserve"> Opcional para este Rol. (Aplica únicamente si desde el control center fue seleccionada la opción) 
</t>
    </r>
    <r>
      <rPr>
        <rFont val="Fira Sans Extra Condensed"/>
        <b/>
        <color theme="1"/>
        <sz val="10.0"/>
      </rPr>
      <t>Descripción</t>
    </r>
    <r>
      <rPr>
        <rFont val="Fira Sans Extra Condensed"/>
        <color theme="1"/>
        <sz val="10.0"/>
      </rPr>
      <t>: Autoriza destinos según el esquema de firmas asignado.
-  Creación de destinos autorizados (Opcional)  Switch: SI/NO</t>
    </r>
  </si>
  <si>
    <t>CP350</t>
  </si>
  <si>
    <r>
      <rPr>
        <rFont val="Fira Sans Extra Condensed"/>
        <b/>
        <color theme="1"/>
      </rPr>
      <t xml:space="preserve">Rol administrador
</t>
    </r>
    <r>
      <rPr>
        <rFont val="Fira Sans Extra Condensed"/>
        <color theme="1"/>
      </rPr>
      <t xml:space="preserve">Al crear al cliente desde CC no se seleccionó la opción Destinos Autorizados Regionales para el Grupo regional) </t>
    </r>
  </si>
  <si>
    <t>CP351</t>
  </si>
  <si>
    <r>
      <rPr>
        <rFont val="Fira Sans Extra Condensed"/>
        <b/>
        <color theme="1"/>
        <sz val="10.0"/>
      </rPr>
      <t>Rol administrador
Transferencias regionales:</t>
    </r>
    <r>
      <rPr>
        <rFont val="Fira Sans Extra Condensed"/>
        <color theme="1"/>
        <sz val="10.0"/>
      </rPr>
      <t xml:space="preserve"> Opcional, permite al usuario Administrador seleccionar si requiere tener acceso a esta funcionalidad.
</t>
    </r>
    <r>
      <rPr>
        <rFont val="Fira Sans Extra Condensed"/>
        <b/>
        <color theme="1"/>
        <sz val="10.0"/>
      </rPr>
      <t>Descripción</t>
    </r>
    <r>
      <rPr>
        <rFont val="Fira Sans Extra Condensed"/>
        <color theme="1"/>
        <sz val="10.0"/>
      </rPr>
      <t>: Consulta y autoriza transferencias de los grupo de productos agregados si está en un esquema de firmas.
- Creación de transferencias (Opcional) Por default no viene habilitado:
- Entre Cuentas Davivienda propias   
- A cuentas Davivienda de terceros</t>
    </r>
  </si>
  <si>
    <t>CP352</t>
  </si>
  <si>
    <t>CP353</t>
  </si>
  <si>
    <r>
      <rPr>
        <rFont val="Fira Sans Extra Condensed"/>
        <color theme="1"/>
        <sz val="10.0"/>
      </rPr>
      <t xml:space="preserve">En la parte inferior de la pantalla se deben tener los siguientes dos botones: 
</t>
    </r>
    <r>
      <rPr>
        <rFont val="Fira Sans Extra Condensed"/>
        <b/>
        <color theme="1"/>
        <sz val="10.0"/>
      </rPr>
      <t xml:space="preserve">Regresar: </t>
    </r>
    <r>
      <rPr>
        <rFont val="Fira Sans Extra Condensed"/>
        <color theme="1"/>
        <sz val="10.0"/>
      </rPr>
      <t xml:space="preserve">Una vez el usuario de clic en esta opción regresará a la pantalla anterior.
</t>
    </r>
    <r>
      <rPr>
        <rFont val="Fira Sans Extra Condensed"/>
        <b/>
        <color theme="1"/>
        <sz val="10.0"/>
      </rPr>
      <t>Confirmar</t>
    </r>
    <r>
      <rPr>
        <rFont val="Fira Sans Extra Condensed"/>
        <color theme="1"/>
        <sz val="10.0"/>
      </rPr>
      <t>: Una vez el usuario seleccione las funcionalidades y de clic sobre este botón se actualizará la pantalla y continuará al siguiente paso</t>
    </r>
  </si>
  <si>
    <t>CP354</t>
  </si>
  <si>
    <t>CP355</t>
  </si>
  <si>
    <t>CP356</t>
  </si>
  <si>
    <t>CP357</t>
  </si>
  <si>
    <t>CP358</t>
  </si>
  <si>
    <t>CP359</t>
  </si>
  <si>
    <r>
      <rPr>
        <rFont val="Fira Sans Extra Condensed"/>
        <color theme="1"/>
        <sz val="10.0"/>
      </rPr>
      <t xml:space="preserve">La información que aquí se muestra dependerá del tipo de administración que tenga parametrizada el grupo Regional así:
</t>
    </r>
    <r>
      <rPr>
        <rFont val="Fira Sans Extra Condensed"/>
        <b/>
        <color theme="1"/>
        <sz val="10.0"/>
      </rPr>
      <t xml:space="preserve">Administración Sencilla:  
</t>
    </r>
    <r>
      <rPr>
        <rFont val="Fira Sans Extra Condensed"/>
        <color theme="1"/>
        <sz val="10.0"/>
      </rPr>
      <t>Una vez aprobada la habilitación del nuevo usuario el canal en la parte superior  presentará el siguiente mensaje</t>
    </r>
    <r>
      <rPr>
        <rFont val="Fira Sans Extra Condensed"/>
        <b/>
        <color theme="1"/>
        <sz val="10.0"/>
      </rPr>
      <t>: “Creación de rol exitosa”</t>
    </r>
    <r>
      <rPr>
        <rFont val="Fira Sans Extra Condensed"/>
        <color theme="1"/>
        <sz val="10.0"/>
      </rPr>
      <t xml:space="preserve"> </t>
    </r>
  </si>
  <si>
    <t>CP360</t>
  </si>
  <si>
    <t>CP361</t>
  </si>
  <si>
    <r>
      <rPr>
        <rFont val="Fira Sans Extra Condensed"/>
        <color theme="1"/>
        <sz val="10.0"/>
      </rPr>
      <t xml:space="preserve">En la parte inferior tendrá las siguientes opciones: 
</t>
    </r>
    <r>
      <rPr>
        <rFont val="Fira Sans Extra Condensed"/>
        <b/>
        <color theme="1"/>
        <sz val="10.0"/>
      </rPr>
      <t xml:space="preserve">- Finalizar: </t>
    </r>
    <r>
      <rPr>
        <rFont val="Fira Sans Extra Condensed"/>
        <color theme="1"/>
        <sz val="10.0"/>
      </rPr>
      <t xml:space="preserve">Una vez el usuario de clic en esta opción regresará a la pantalla de Usuarios donde puede consultar o crear un nuevo usuario.
</t>
    </r>
    <r>
      <rPr>
        <rFont val="Fira Sans Extra Condensed"/>
        <b/>
        <color theme="1"/>
        <sz val="10.0"/>
      </rPr>
      <t xml:space="preserve">- Continuar: </t>
    </r>
    <r>
      <rPr>
        <rFont val="Fira Sans Extra Condensed"/>
        <color theme="1"/>
        <sz val="10.0"/>
      </rPr>
      <t xml:space="preserve">Esta opción posiciona al usuario en la primera pantalla del módulo de administración. donde visualiza las opciones de grupos, roles y esquemas. </t>
    </r>
  </si>
  <si>
    <t>CP362</t>
  </si>
  <si>
    <t>CP363</t>
  </si>
  <si>
    <r>
      <rPr>
        <rFont val="Fira Sans Extra Condensed"/>
        <b/>
        <color theme="1"/>
        <sz val="10.0"/>
      </rPr>
      <t xml:space="preserve">Administración Dual: </t>
    </r>
    <r>
      <rPr>
        <rFont val="Fira Sans Extra Condensed"/>
        <color theme="1"/>
        <sz val="10.0"/>
      </rPr>
      <t xml:space="preserve">
Una vez aprobada la habilitación del nuevo usuario el canal en la parte superior  presentará el siguiente mensaje: “Pendiente de aprobación”
</t>
    </r>
    <r>
      <rPr>
        <rFont val="Fira Sans Extra Condensed"/>
        <b/>
        <color theme="1"/>
        <sz val="10.0"/>
      </rPr>
      <t xml:space="preserve">Descripción: </t>
    </r>
    <r>
      <rPr>
        <rFont val="Fira Sans Extra Condensed"/>
        <color theme="1"/>
        <sz val="10.0"/>
      </rPr>
      <t>La creación del rol se envió para su aprobación. Quedará en estado pendiente hasta que el esquema de firmas se complete.</t>
    </r>
  </si>
  <si>
    <t>CP364</t>
  </si>
  <si>
    <t>CP365</t>
  </si>
  <si>
    <r>
      <rPr>
        <rFont val="Fira Sans Extra Condensed"/>
        <color theme="1"/>
        <sz val="10.0"/>
      </rPr>
      <t xml:space="preserve">En la parte inferior tendrá las siguientes opciones:
</t>
    </r>
    <r>
      <rPr>
        <rFont val="Fira Sans Extra Condensed"/>
        <b/>
        <color theme="1"/>
        <sz val="10.0"/>
      </rPr>
      <t>- Finalizar:</t>
    </r>
    <r>
      <rPr>
        <rFont val="Fira Sans Extra Condensed"/>
        <color theme="1"/>
        <sz val="10.0"/>
      </rPr>
      <t xml:space="preserve"> una vez el usuario de clic en esta opción regresará a la pantalla de usuarios donde puede consultar o crear un nuevo usuario. 
</t>
    </r>
    <r>
      <rPr>
        <rFont val="Fira Sans Extra Condensed"/>
        <b/>
        <color theme="1"/>
        <sz val="10.0"/>
      </rPr>
      <t xml:space="preserve">- Continuar: </t>
    </r>
    <r>
      <rPr>
        <rFont val="Fira Sans Extra Condensed"/>
        <color theme="1"/>
        <sz val="10.0"/>
      </rPr>
      <t xml:space="preserve">Esta opción posiciona al usuario en la primera pantalla del módulo de administración. donde visualiza las opciones de grupos, roles y esquemas. </t>
    </r>
  </si>
  <si>
    <t>CP366</t>
  </si>
  <si>
    <t>CP367</t>
  </si>
  <si>
    <t>CP368</t>
  </si>
  <si>
    <r>
      <rPr>
        <rFont val="Fira Sans Extra Condensed"/>
        <color theme="1"/>
        <sz val="10.0"/>
      </rPr>
      <t xml:space="preserve">En esta pantalla el usuario tendrá la visual de todos los usuarios habilitados en el módulo regional  donde podrá aplicar filtros para encontrar un usuario de manera sencilla, visualizar un mayor detalle de un usuario, editar, eliminar, así:
</t>
    </r>
    <r>
      <rPr>
        <rFont val="Fira Sans Extra Condensed"/>
        <b/>
        <color theme="1"/>
        <sz val="10.0"/>
      </rPr>
      <t>Título: Roles</t>
    </r>
    <r>
      <rPr>
        <rFont val="Fira Sans Extra Condensed"/>
        <color theme="1"/>
        <sz val="10.0"/>
      </rPr>
      <t xml:space="preserve">
</t>
    </r>
    <r>
      <rPr>
        <rFont val="Fira Sans Extra Condensed"/>
        <b/>
        <color theme="1"/>
        <sz val="10.0"/>
      </rPr>
      <t>Descripción</t>
    </r>
    <r>
      <rPr>
        <rFont val="Fira Sans Extra Condensed"/>
        <color theme="1"/>
        <sz val="10.0"/>
      </rPr>
      <t xml:space="preserve">: Aquí puede crear, editar y eliminar los usuarios que tendrán acceso al Módulo Regional. 
- Para facilitar su gestión, puede usar el buscador o los filtros presentados. </t>
    </r>
  </si>
  <si>
    <t>CP369</t>
  </si>
  <si>
    <r>
      <rPr>
        <rFont val="Fira Sans Extra Condensed"/>
        <b/>
        <color theme="1"/>
        <sz val="10.0"/>
      </rPr>
      <t>Títulos por columnas del resultado de usuarios: 
País</t>
    </r>
    <r>
      <rPr>
        <rFont val="Fira Sans Extra Condensed"/>
        <color theme="1"/>
        <sz val="10.0"/>
      </rPr>
      <t xml:space="preserve">: El canal debe mostrar la bandera e iniciales del país origen por el cual accede desde la banca local al módulo regional.
</t>
    </r>
    <r>
      <rPr>
        <rFont val="Fira Sans Extra Condensed"/>
        <b/>
        <color theme="1"/>
        <sz val="10.0"/>
      </rPr>
      <t xml:space="preserve">Nombre del usuario: </t>
    </r>
    <r>
      <rPr>
        <rFont val="Fira Sans Extra Condensed"/>
        <color theme="1"/>
        <sz val="10.0"/>
      </rPr>
      <t xml:space="preserve">Se debe mostrar el nombre del usuario igual a cómo fue creado en la banca local.
</t>
    </r>
    <r>
      <rPr>
        <rFont val="Fira Sans Extra Condensed"/>
        <b/>
        <color theme="1"/>
        <sz val="10.0"/>
      </rPr>
      <t>Rol: S</t>
    </r>
    <r>
      <rPr>
        <rFont val="Fira Sans Extra Condensed"/>
        <color theme="1"/>
        <sz val="10.0"/>
      </rPr>
      <t xml:space="preserve">e debe mostrar el rol que el usuario tiene en el módulo regional.
</t>
    </r>
    <r>
      <rPr>
        <rFont val="Fira Sans Extra Condensed"/>
        <b/>
        <color theme="1"/>
        <sz val="10.0"/>
      </rPr>
      <t xml:space="preserve">Número de identificación: </t>
    </r>
    <r>
      <rPr>
        <rFont val="Fira Sans Extra Condensed"/>
        <color theme="1"/>
        <sz val="10.0"/>
      </rPr>
      <t xml:space="preserve">Se debe mostrar el número de identificación. 
</t>
    </r>
    <r>
      <rPr>
        <rFont val="Fira Sans Extra Condensed"/>
        <b/>
        <color theme="1"/>
        <sz val="10.0"/>
      </rPr>
      <t>Estado:</t>
    </r>
    <r>
      <rPr>
        <rFont val="Fira Sans Extra Condensed"/>
        <color theme="1"/>
        <sz val="10.0"/>
      </rPr>
      <t xml:space="preserve"> El canal debe mostrar el estado del usuario en el sistema:
Activo 
Inactivo
Inconsistencia ⚠️</t>
    </r>
  </si>
  <si>
    <t>CP370</t>
  </si>
  <si>
    <r>
      <rPr>
        <rFont val="Fira Sans Extra Condensed"/>
        <b/>
        <color theme="1"/>
        <sz val="10.0"/>
      </rPr>
      <t>Opciones:</t>
    </r>
    <r>
      <rPr>
        <rFont val="Fira Sans Extra Condensed"/>
        <color theme="1"/>
        <sz val="10.0"/>
      </rPr>
      <t xml:space="preserve"> El canal debe habilitar los siguientes accionables por registro  para que permita al usuario autogestionar novedades así:
</t>
    </r>
    <r>
      <rPr>
        <rFont val="Fira Sans Extra Condensed"/>
        <b/>
        <color theme="1"/>
        <sz val="10.0"/>
      </rPr>
      <t xml:space="preserve">
Descargar reporte
Duplicar usuario
Eliminar</t>
    </r>
  </si>
  <si>
    <t>CP371</t>
  </si>
  <si>
    <r>
      <rPr>
        <rFont val="Fira Sans Extra Condensed"/>
        <b/>
        <color theme="1"/>
        <sz val="10.0"/>
      </rPr>
      <t xml:space="preserve">Búsqueda avanzada de productos: </t>
    </r>
    <r>
      <rPr>
        <rFont val="Fira Sans Extra Condensed"/>
        <color theme="1"/>
        <sz val="10.0"/>
      </rPr>
      <t xml:space="preserve">El canal debe permitir al usuario buscar productos por por las siguientes opciones:
</t>
    </r>
    <r>
      <rPr>
        <rFont val="Fira Sans Extra Condensed"/>
        <b/>
        <color theme="1"/>
        <sz val="10.0"/>
      </rPr>
      <t>Elemento “Buscar":</t>
    </r>
    <r>
      <rPr>
        <rFont val="Fira Sans Extra Condensed"/>
        <color theme="1"/>
        <sz val="10.0"/>
      </rPr>
      <t xml:space="preserve"> Al dar clic se debe habilitar una barra de búsqueda que permite al usuario ingresar el nombre del usuario, el canal debe actualizar los resultados de búsqueda teniendo en cuenta el texto ingresado, se debe habilitar un botón de “cancelar” en caso que el usuario quiera eliminar esta búsqueda. 
</t>
    </r>
    <r>
      <rPr>
        <rFont val="Fira Sans Extra Condensed"/>
        <b/>
        <color theme="1"/>
        <sz val="10.0"/>
      </rPr>
      <t>Elemento “Filtrar”:</t>
    </r>
    <r>
      <rPr>
        <rFont val="Fira Sans Extra Condensed"/>
        <color theme="1"/>
        <sz val="10.0"/>
      </rPr>
      <t xml:space="preserve"> 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t>
    </r>
    <r>
      <rPr>
        <rFont val="Fira Sans Extra Condensed"/>
        <color theme="1"/>
        <sz val="10.0"/>
      </rPr>
      <t xml:space="preserve">: Filtrar
</t>
    </r>
    <r>
      <rPr>
        <rFont val="Fira Sans Extra Condensed"/>
        <b/>
        <color theme="1"/>
        <sz val="10.0"/>
      </rPr>
      <t>Botón “x”:</t>
    </r>
    <r>
      <rPr>
        <rFont val="Fira Sans Extra Condensed"/>
        <color theme="1"/>
        <sz val="10.0"/>
      </rPr>
      <t xml:space="preserve"> Regresa a la pantalla anterior. 
</t>
    </r>
    <r>
      <rPr>
        <rFont val="Fira Sans Extra Condensed"/>
        <b/>
        <color theme="1"/>
        <sz val="10.0"/>
      </rPr>
      <t xml:space="preserve">Texto: </t>
    </r>
    <r>
      <rPr>
        <rFont val="Fira Sans Extra Condensed"/>
        <color theme="1"/>
        <sz val="10.0"/>
      </rPr>
      <t>Aplique las opciones de filtrado que desea</t>
    </r>
  </si>
  <si>
    <t>CP372</t>
  </si>
  <si>
    <t>CP373</t>
  </si>
  <si>
    <r>
      <rPr>
        <rFont val="Fira Sans Extra Condensed"/>
        <b/>
        <color theme="1"/>
        <sz val="10.0"/>
      </rPr>
      <t xml:space="preserve">9.1.1 Países: </t>
    </r>
    <r>
      <rPr>
        <rFont val="Fira Sans Extra Condensed"/>
        <color theme="1"/>
        <sz val="10.0"/>
      </rPr>
      <t>permite seleccionar uno o todos los países, la opción que aquí se muestre dependerá de donde el usuario tiene su casa matriz.</t>
    </r>
  </si>
  <si>
    <t>CP374</t>
  </si>
  <si>
    <r>
      <rPr>
        <rFont val="Fira Sans Extra Condensed"/>
        <b/>
        <color theme="1"/>
        <sz val="10.0"/>
      </rPr>
      <t>9.1.2 Rol:</t>
    </r>
    <r>
      <rPr>
        <rFont val="Fira Sans Extra Condensed"/>
        <color theme="1"/>
        <sz val="10.0"/>
      </rPr>
      <t xml:space="preserve"> El canal debe permitir buscar usuarios teniendo en cuenta el rol asignado al usuario dentro del módulo regional. (Administrador/Aprobador/Consultor/Preparador)</t>
    </r>
  </si>
  <si>
    <t>CP375</t>
  </si>
  <si>
    <r>
      <rPr>
        <rFont val="Fira Sans Extra Condensed"/>
        <b/>
        <color theme="1"/>
        <sz val="10.0"/>
      </rPr>
      <t>9.1.3 Número de identificación:</t>
    </r>
    <r>
      <rPr>
        <rFont val="Fira Sans Extra Condensed"/>
        <color theme="1"/>
        <sz val="10.0"/>
      </rPr>
      <t xml:space="preserve"> Espacio donde el usuario puede ingresar caracteres alfanuméricos</t>
    </r>
  </si>
  <si>
    <t>CP376</t>
  </si>
  <si>
    <r>
      <rPr>
        <rFont val="Fira Sans Extra Condensed"/>
        <b/>
        <color theme="1"/>
        <sz val="10.0"/>
      </rPr>
      <t>9.1.4 Estado</t>
    </r>
    <r>
      <rPr>
        <rFont val="Fira Sans Extra Condensed"/>
        <color theme="1"/>
        <sz val="10.0"/>
      </rPr>
      <t>: Lista seleccionable con las opciones: Activo / Inactivo / Inconsistencia</t>
    </r>
  </si>
  <si>
    <t>CP377</t>
  </si>
  <si>
    <r>
      <rPr>
        <rFont val="Fira Sans Extra Condensed"/>
        <b/>
        <color theme="1"/>
        <sz val="10.0"/>
      </rPr>
      <t>En la parte inferior deben estar las opciones:</t>
    </r>
    <r>
      <rPr>
        <rFont val="Fira Sans Extra Condensed"/>
        <color theme="1"/>
        <sz val="10.0"/>
      </rPr>
      <t xml:space="preserve">
Botón “</t>
    </r>
    <r>
      <rPr>
        <rFont val="Fira Sans Extra Condensed"/>
        <b/>
        <color theme="1"/>
        <sz val="10.0"/>
      </rPr>
      <t xml:space="preserve">Borrar": </t>
    </r>
    <r>
      <rPr>
        <rFont val="Fira Sans Extra Condensed"/>
        <color theme="1"/>
        <sz val="10.0"/>
      </rPr>
      <t xml:space="preserve">al dar clic debe eliminar los filtros de búsqueda ingresados por el usuario. 
</t>
    </r>
    <r>
      <rPr>
        <rFont val="Fira Sans Extra Condensed"/>
        <b/>
        <color theme="1"/>
        <sz val="10.0"/>
      </rPr>
      <t>Botón “Aplicar”</t>
    </r>
    <r>
      <rPr>
        <rFont val="Fira Sans Extra Condensed"/>
        <color theme="1"/>
        <sz val="10.0"/>
      </rPr>
      <t xml:space="preserve">: Al dar clic el canal actualiza la pantalla donde muestra los usuarios, mostrando como resultado únicamente los que cumplan con los criterios buscados,  en caso que el usuario requiera  seleccionar o eliminar alguna selección la podrá aplicar la novedad de manera manual. 
- En la parte superior del resultado se debe mostrar el nombre del filtro aplicado y una opción en el mismo texto que permita “eliminar” el filtro. 
- Adicional se debe habilitar el elemento de “borrar filtros” al dar clic elimina todos los filtros aplicados. </t>
    </r>
  </si>
  <si>
    <t>CP378</t>
  </si>
  <si>
    <t>CP379</t>
  </si>
  <si>
    <r>
      <rPr>
        <rFont val="Fira Sans Extra Condensed"/>
        <color theme="1"/>
        <sz val="10.0"/>
      </rPr>
      <t xml:space="preserve">Debe existir un elemento que le permita al usuario realizar la descarga de todos los usuarios creados y activos en el canal, el usuario al dar clic actualiza la pantalla y el canal muestra:
</t>
    </r>
    <r>
      <rPr>
        <rFont val="Fira Sans Extra Condensed"/>
        <b/>
        <color theme="1"/>
        <sz val="10.0"/>
      </rPr>
      <t>Titulo:</t>
    </r>
    <r>
      <rPr>
        <rFont val="Fira Sans Extra Condensed"/>
        <color theme="1"/>
        <sz val="10.0"/>
      </rPr>
      <t xml:space="preserve"> Descargar Reporte
</t>
    </r>
    <r>
      <rPr>
        <rFont val="Fira Sans Extra Condensed"/>
        <b/>
        <color theme="1"/>
        <sz val="10.0"/>
      </rPr>
      <t>elemento de cerrar.</t>
    </r>
    <r>
      <rPr>
        <rFont val="Fira Sans Extra Condensed"/>
        <color theme="1"/>
        <sz val="10.0"/>
      </rPr>
      <t xml:space="preserve">
</t>
    </r>
    <r>
      <rPr>
        <rFont val="Fira Sans Extra Condensed"/>
        <b/>
        <color theme="1"/>
        <sz val="10.0"/>
      </rPr>
      <t xml:space="preserve">Descripción: </t>
    </r>
    <r>
      <rPr>
        <rFont val="Fira Sans Extra Condensed"/>
        <color theme="1"/>
        <sz val="10.0"/>
      </rPr>
      <t xml:space="preserve">Si la descarga no se da de inmediato le enviaremos el archivo al buzón.
</t>
    </r>
    <r>
      <rPr>
        <rFont val="Fira Sans Extra Condensed"/>
        <b/>
        <color theme="1"/>
        <sz val="10.0"/>
      </rPr>
      <t>Texto:</t>
    </r>
    <r>
      <rPr>
        <rFont val="Fira Sans Extra Condensed"/>
        <color theme="1"/>
        <sz val="10.0"/>
      </rPr>
      <t xml:space="preserve"> Elija el formato 
</t>
    </r>
    <r>
      <rPr>
        <rFont val="Fira Sans Extra Condensed"/>
        <b/>
        <color theme="1"/>
        <sz val="10.0"/>
      </rPr>
      <t>Excel  (.xlsx) 
PDF    (.pdf)</t>
    </r>
    <r>
      <rPr>
        <rFont val="Fira Sans Extra Condensed"/>
        <color theme="1"/>
        <sz val="10.0"/>
      </rPr>
      <t xml:space="preserve">
</t>
    </r>
  </si>
  <si>
    <t>CP380</t>
  </si>
  <si>
    <r>
      <rPr>
        <rFont val="Fira Sans Extra Condensed"/>
        <color theme="1"/>
        <sz val="10.0"/>
      </rPr>
      <t>Una vez el cliente seleccione un formato se habilita el botón de “</t>
    </r>
    <r>
      <rPr>
        <rFont val="Fira Sans Extra Condensed"/>
        <b/>
        <color theme="1"/>
        <sz val="10.0"/>
      </rPr>
      <t>Descargar</t>
    </r>
    <r>
      <rPr>
        <rFont val="Fira Sans Extra Condensed"/>
        <color theme="1"/>
        <sz val="10.0"/>
      </rPr>
      <t xml:space="preserve">”.
La información descargada debe coincidir si fue aplicado un filtro.
</t>
    </r>
    <r>
      <rPr>
        <rFont val="Fira Sans Extra Condensed"/>
        <b/>
        <color theme="1"/>
        <sz val="10.0"/>
      </rPr>
      <t xml:space="preserve">En el formato en PDF en canal debe mostrar:
</t>
    </r>
    <r>
      <rPr>
        <rFont val="Fira Sans Extra Condensed"/>
        <color theme="1"/>
        <sz val="10.0"/>
      </rPr>
      <t xml:space="preserve">
</t>
    </r>
    <r>
      <rPr>
        <rFont val="Fira Sans Extra Condensed"/>
        <b/>
        <color theme="1"/>
        <sz val="10.0"/>
      </rPr>
      <t>Nombre del banco en la parte superior
Fecha y hora descarga</t>
    </r>
    <r>
      <rPr>
        <rFont val="Fira Sans Extra Condensed"/>
        <color theme="1"/>
        <sz val="10.0"/>
      </rPr>
      <t xml:space="preserve">, formato dd-mm-aaaa hh:mm am-pm
</t>
    </r>
    <r>
      <rPr>
        <rFont val="Fira Sans Extra Condensed"/>
        <b/>
        <color theme="1"/>
        <sz val="10.0"/>
      </rPr>
      <t>Titulo</t>
    </r>
    <r>
      <rPr>
        <rFont val="Fira Sans Extra Condensed"/>
        <color theme="1"/>
        <sz val="10.0"/>
      </rPr>
      <t xml:space="preserve">: Roles
</t>
    </r>
    <r>
      <rPr>
        <rFont val="Fira Sans Extra Condensed"/>
        <b/>
        <color theme="1"/>
        <sz val="10.0"/>
      </rPr>
      <t>Resultado:</t>
    </r>
    <r>
      <rPr>
        <rFont val="Fira Sans Extra Condensed"/>
        <color theme="1"/>
        <sz val="10.0"/>
      </rPr>
      <t xml:space="preserve"> Contenido de la consulta en la parte inferior de manera ordenada y clara mostrando detalle de cada registro información de: País, Nombre del usuario completo, Rol, Número de identificación y Estado.</t>
    </r>
  </si>
  <si>
    <t>CP381</t>
  </si>
  <si>
    <r>
      <rPr>
        <rFont val="Fira Sans Extra Condensed"/>
        <b/>
        <color theme="1"/>
        <sz val="10.0"/>
      </rPr>
      <t>Mensajería:</t>
    </r>
    <r>
      <rPr>
        <rFont val="Fira Sans Extra Condensed"/>
        <color theme="1"/>
        <sz val="10.0"/>
      </rPr>
      <t xml:space="preserve">
- Si la descarga se realiza de manera satisfactoria actualiza la pantalla e informa en la parte superior “Descarga exitosa”
</t>
    </r>
  </si>
  <si>
    <t>CP382</t>
  </si>
  <si>
    <t>CP383</t>
  </si>
  <si>
    <t>CP384</t>
  </si>
  <si>
    <t>CP385</t>
  </si>
  <si>
    <t>CP386</t>
  </si>
  <si>
    <r>
      <rPr>
        <rFont val="Fira Sans Extra Condensed"/>
        <color theme="1"/>
        <sz val="10.0"/>
      </rPr>
      <t xml:space="preserve">- Debe existir una opción que le permita al usuario visualizar mayor detalle de un usuario registrado.
- Al dar clic desde la consulta general se debe actualizar la pantalla y el usuario podrá visualizar de manera detallada el resumen del usuario seleccionado, tal cual como se muestra el resultado una vez es habilitado en el módulo regional, tendrá la misma visual de toda la información asociada de la asignación del rol del usuario dentro del módulo así: 
</t>
    </r>
    <r>
      <rPr>
        <rFont val="Fira Sans Extra Condensed"/>
        <b/>
        <color theme="1"/>
        <sz val="10.0"/>
      </rPr>
      <t xml:space="preserve">Título: </t>
    </r>
    <r>
      <rPr>
        <rFont val="Fira Sans Extra Condensed"/>
        <color theme="1"/>
        <sz val="10.0"/>
      </rPr>
      <t xml:space="preserve">Detalle del rol
</t>
    </r>
    <r>
      <rPr>
        <rFont val="Fira Sans Extra Condensed"/>
        <b/>
        <color theme="1"/>
        <sz val="10.0"/>
      </rPr>
      <t xml:space="preserve">Regresar: </t>
    </r>
    <r>
      <rPr>
        <rFont val="Fira Sans Extra Condensed"/>
        <color theme="1"/>
        <sz val="10.0"/>
      </rPr>
      <t xml:space="preserve">Al dar clic lleva al usuario a la pantalla anterior.
</t>
    </r>
  </si>
  <si>
    <t>CP387</t>
  </si>
  <si>
    <r>
      <rPr>
        <rFont val="Fira Sans Extra Condensed"/>
        <b/>
        <color theme="1"/>
        <sz val="10.0"/>
      </rPr>
      <t>Se debe presentar la información personal así:</t>
    </r>
    <r>
      <rPr>
        <rFont val="Fira Sans Extra Condensed"/>
        <color theme="1"/>
        <sz val="10.0"/>
      </rPr>
      <t xml:space="preserve">
</t>
    </r>
    <r>
      <rPr>
        <rFont val="Fira Sans Extra Condensed"/>
        <b/>
        <color theme="1"/>
        <sz val="10.0"/>
      </rPr>
      <t xml:space="preserve">- Nombres y Apellidos: </t>
    </r>
    <r>
      <rPr>
        <rFont val="Fira Sans Extra Condensed"/>
        <color theme="1"/>
        <sz val="10.0"/>
      </rPr>
      <t xml:space="preserve">Se debe mostrar tal cómo fue habilitado.
</t>
    </r>
    <r>
      <rPr>
        <rFont val="Fira Sans Extra Condensed"/>
        <b/>
        <color theme="1"/>
        <sz val="10.0"/>
      </rPr>
      <t>- Estado:</t>
    </r>
    <r>
      <rPr>
        <rFont val="Fira Sans Extra Condensed"/>
        <color theme="1"/>
        <sz val="10.0"/>
      </rPr>
      <t xml:space="preserve"> El  administrador tendrá una opción que le permita visualizar el estado del usuario, por naturaleza todos los usuarios nacen en estado “activo” pero si requiere cambiar el estado del mismo podrá realizarlo en este punto de manera sencilla seleccionado el estado que requiera con un elemento como un “switch”. Se detalla esta funcionalidad en el criterio 11 de esta historia de usuario.
</t>
    </r>
    <r>
      <rPr>
        <rFont val="Fira Sans Extra Condensed"/>
        <b/>
        <color theme="1"/>
        <sz val="10.0"/>
      </rPr>
      <t xml:space="preserve">- País: </t>
    </r>
    <r>
      <rPr>
        <rFont val="Fira Sans Extra Condensed"/>
        <color theme="1"/>
        <sz val="10.0"/>
      </rPr>
      <t xml:space="preserve">Se debe mostrar tal cómo fue creado.
</t>
    </r>
    <r>
      <rPr>
        <rFont val="Fira Sans Extra Condensed"/>
        <b/>
        <color theme="1"/>
        <sz val="10.0"/>
      </rPr>
      <t xml:space="preserve">- Tipo de documento: </t>
    </r>
    <r>
      <rPr>
        <rFont val="Fira Sans Extra Condensed"/>
        <color theme="1"/>
        <sz val="10.0"/>
      </rPr>
      <t xml:space="preserve">Se debe mostrar tal cómo fue creado.
</t>
    </r>
    <r>
      <rPr>
        <rFont val="Fira Sans Extra Condensed"/>
        <b/>
        <color theme="1"/>
        <sz val="10.0"/>
      </rPr>
      <t>- Número de documento:</t>
    </r>
    <r>
      <rPr>
        <rFont val="Fira Sans Extra Condensed"/>
        <color theme="1"/>
        <sz val="10.0"/>
      </rPr>
      <t xml:space="preserve"> Se debe mostrar tal cómo fue creado.
</t>
    </r>
    <r>
      <rPr>
        <rFont val="Fira Sans Extra Condensed"/>
        <b/>
        <color theme="1"/>
        <sz val="10.0"/>
      </rPr>
      <t xml:space="preserve">
- Teléfono: </t>
    </r>
    <r>
      <rPr>
        <rFont val="Fira Sans Extra Condensed"/>
        <color theme="1"/>
        <sz val="10.0"/>
      </rPr>
      <t>Tal cómo fue habilitado,  indicando al inicio el indicativo del país. El número podrá ser móvil o fijo, dependiendo cómo esté registrado el número en el país origen.</t>
    </r>
  </si>
  <si>
    <t>CP388</t>
  </si>
  <si>
    <r>
      <rPr>
        <rFont val="Fira Sans Extra Condensed"/>
        <color theme="1"/>
        <sz val="10.0"/>
      </rPr>
      <t xml:space="preserve">Visualizar el detalle del Grupo de productos asignados al usuario.
</t>
    </r>
    <r>
      <rPr>
        <rFont val="Fira Sans Extra Condensed"/>
        <b/>
        <color theme="1"/>
        <sz val="10.0"/>
      </rPr>
      <t xml:space="preserve">Número de grupos agregados
Número y países que fueron agregados, </t>
    </r>
    <r>
      <rPr>
        <rFont val="Fira Sans Extra Condensed"/>
        <color theme="1"/>
        <sz val="10.0"/>
      </rPr>
      <t xml:space="preserve">se muestra colapsado al dar clic permite ver el nombre de los países.
</t>
    </r>
    <r>
      <rPr>
        <rFont val="Fira Sans Extra Condensed"/>
        <b/>
        <color theme="1"/>
        <sz val="10.0"/>
      </rPr>
      <t xml:space="preserve">Número de empresas asignadas, </t>
    </r>
    <r>
      <rPr>
        <rFont val="Fira Sans Extra Condensed"/>
        <color theme="1"/>
        <sz val="10.0"/>
      </rPr>
      <t xml:space="preserve">se muestra colapsado al dar clic permite ver el nombre de las empresas
</t>
    </r>
    <r>
      <rPr>
        <rFont val="Fira Sans Extra Condensed"/>
        <b/>
        <color theme="1"/>
        <sz val="10.0"/>
      </rPr>
      <t>Número de total de productos asignados al usuario</t>
    </r>
  </si>
  <si>
    <t>CP389</t>
  </si>
  <si>
    <r>
      <rPr>
        <rFont val="Fira Sans Extra Condensed"/>
        <b/>
        <color theme="1"/>
        <sz val="10.0"/>
      </rPr>
      <t xml:space="preserve">Escenario Visual de Usuario con Inconsistencia de grupos de productos asociados al usuario:
</t>
    </r>
    <r>
      <rPr>
        <rFont val="Fira Sans Extra Condensed"/>
        <color theme="1"/>
        <sz val="10.0"/>
      </rPr>
      <t xml:space="preserve">
En caso que el administrador haya eliminado los grupos de productos y este se encontraba ligado a un usuario el canal debe presentar una imagen de alerta en este punto seguido del mensaje: “Grupo de productos eliminado, asigne uno nuevo para usar el Módulo regional".</t>
    </r>
  </si>
  <si>
    <t>CP390</t>
  </si>
  <si>
    <r>
      <rPr>
        <rFont val="Fira Sans Extra Condensed"/>
        <b/>
        <color theme="1"/>
        <sz val="10.0"/>
      </rPr>
      <t xml:space="preserve">Roles:
</t>
    </r>
    <r>
      <rPr>
        <rFont val="Fira Sans Extra Condensed"/>
        <color theme="1"/>
        <sz val="10.0"/>
      </rPr>
      <t xml:space="preserve"> - Rol: Se debe mostrar el rol asignado ejemplo “ administrador”
 -  Permisos asignados: Se debe mostrar el nombre de las funcionalidades asignadas.</t>
    </r>
  </si>
  <si>
    <t>CP391</t>
  </si>
  <si>
    <t>CP392</t>
  </si>
  <si>
    <r>
      <rPr>
        <rFont val="Fira Sans Extra Condensed"/>
        <b/>
        <color theme="1"/>
        <sz val="10.0"/>
      </rPr>
      <t>Titulo:</t>
    </r>
    <r>
      <rPr>
        <rFont val="Fira Sans Extra Condensed"/>
        <color theme="1"/>
        <sz val="10.0"/>
      </rPr>
      <t xml:space="preserve"> Descargar Reporte
</t>
    </r>
    <r>
      <rPr>
        <rFont val="Fira Sans Extra Condensed"/>
        <b/>
        <color theme="1"/>
        <sz val="10.0"/>
      </rPr>
      <t>Elemento de cerrar.</t>
    </r>
    <r>
      <rPr>
        <rFont val="Fira Sans Extra Condensed"/>
        <color theme="1"/>
        <sz val="10.0"/>
      </rPr>
      <t xml:space="preserve">
</t>
    </r>
    <r>
      <rPr>
        <rFont val="Fira Sans Extra Condensed"/>
        <b/>
        <color theme="1"/>
        <sz val="10.0"/>
      </rPr>
      <t xml:space="preserve">Descripción: </t>
    </r>
    <r>
      <rPr>
        <rFont val="Fira Sans Extra Condensed"/>
        <color theme="1"/>
        <sz val="10.0"/>
      </rPr>
      <t xml:space="preserve">Si la descarga no se da de inmediato le enviaremos el archivo al buzón.
</t>
    </r>
    <r>
      <rPr>
        <rFont val="Fira Sans Extra Condensed"/>
        <b/>
        <color theme="1"/>
        <sz val="10.0"/>
      </rPr>
      <t xml:space="preserve">Texto: </t>
    </r>
    <r>
      <rPr>
        <rFont val="Fira Sans Extra Condensed"/>
        <color theme="1"/>
        <sz val="10.0"/>
      </rPr>
      <t xml:space="preserve">Formato de descarga
</t>
    </r>
    <r>
      <rPr>
        <rFont val="Fira Sans Extra Condensed"/>
        <b/>
        <color theme="1"/>
        <sz val="10.0"/>
      </rPr>
      <t>PDF    (.pdf)</t>
    </r>
  </si>
  <si>
    <t>CP393</t>
  </si>
  <si>
    <r>
      <rPr>
        <rFont val="Fira Sans Extra Condensed"/>
        <color theme="1"/>
        <sz val="10.0"/>
      </rPr>
      <t xml:space="preserve">Una vez el cliente seleccione un formato se habilita el botón de “Descargar”.
En el formato en PDF en canal debe mostrar:
</t>
    </r>
    <r>
      <rPr>
        <rFont val="Fira Sans Extra Condensed"/>
        <b/>
        <color theme="1"/>
        <sz val="10.0"/>
      </rPr>
      <t>Nombre del banco en la parte superior</t>
    </r>
    <r>
      <rPr>
        <rFont val="Fira Sans Extra Condensed"/>
        <color theme="1"/>
        <sz val="10.0"/>
      </rPr>
      <t xml:space="preserve">
</t>
    </r>
    <r>
      <rPr>
        <rFont val="Fira Sans Extra Condensed"/>
        <b/>
        <color theme="1"/>
        <sz val="10.0"/>
      </rPr>
      <t>Fecha y hora descarga en formato dd-mm-aaaa hh:mm am-pm</t>
    </r>
    <r>
      <rPr>
        <rFont val="Fira Sans Extra Condensed"/>
        <color theme="1"/>
        <sz val="10.0"/>
      </rPr>
      <t xml:space="preserve">
</t>
    </r>
    <r>
      <rPr>
        <rFont val="Fira Sans Extra Condensed"/>
        <b/>
        <color theme="1"/>
        <sz val="10.0"/>
      </rPr>
      <t>Título:</t>
    </r>
    <r>
      <rPr>
        <rFont val="Fira Sans Extra Condensed"/>
        <color theme="1"/>
        <sz val="10.0"/>
      </rPr>
      <t xml:space="preserve"> 
</t>
    </r>
    <r>
      <rPr>
        <rFont val="Fira Sans Extra Condensed"/>
        <b/>
        <color theme="1"/>
        <sz val="10.0"/>
      </rPr>
      <t>Detalle del Rol:</t>
    </r>
    <r>
      <rPr>
        <rFont val="Fira Sans Extra Condensed"/>
        <color theme="1"/>
        <sz val="10.0"/>
      </rPr>
      <t xml:space="preserve">
</t>
    </r>
    <r>
      <rPr>
        <rFont val="Fira Sans Extra Condensed"/>
        <b/>
        <color theme="1"/>
        <sz val="10.0"/>
      </rPr>
      <t>Resultado:</t>
    </r>
    <r>
      <rPr>
        <rFont val="Fira Sans Extra Condensed"/>
        <color theme="1"/>
        <sz val="10.0"/>
      </rPr>
      <t xml:space="preserve"> Contenido de la consulta en la parte inferior de manera ordenada y clara. 
</t>
    </r>
    <r>
      <rPr>
        <rFont val="Fira Sans Extra Condensed"/>
        <b/>
        <color theme="1"/>
        <sz val="10.0"/>
      </rPr>
      <t>Información del usuario:</t>
    </r>
    <r>
      <rPr>
        <rFont val="Fira Sans Extra Condensed"/>
        <color theme="1"/>
        <sz val="10.0"/>
      </rPr>
      <t xml:space="preserve"> ( Nombre de usuario completo, Estado, tipo de documento, número de documento
teléfono)
</t>
    </r>
    <r>
      <rPr>
        <rFont val="Fira Sans Extra Condensed"/>
        <b/>
        <color theme="1"/>
        <sz val="10.0"/>
      </rPr>
      <t>Resumen de Grupos de productos:</t>
    </r>
    <r>
      <rPr>
        <rFont val="Fira Sans Extra Condensed"/>
        <color theme="1"/>
        <sz val="10.0"/>
      </rPr>
      <t xml:space="preserve"> (cantidad de grupos asociados, países, empresas y tipos de productos)
</t>
    </r>
    <r>
      <rPr>
        <rFont val="Fira Sans Extra Condensed"/>
        <b/>
        <color theme="1"/>
        <sz val="10.0"/>
      </rPr>
      <t>Roles</t>
    </r>
    <r>
      <rPr>
        <rFont val="Fira Sans Extra Condensed"/>
        <color theme="1"/>
        <sz val="10.0"/>
      </rPr>
      <t xml:space="preserve"> (Rol del usuario en el PER, descripción de funcionalidades asignadas)</t>
    </r>
  </si>
  <si>
    <t>CP394</t>
  </si>
  <si>
    <r>
      <rPr>
        <rFont val="Fira Sans Extra Condensed"/>
        <b/>
        <color theme="1"/>
        <sz val="10.0"/>
      </rPr>
      <t xml:space="preserve">Mensajería:
</t>
    </r>
    <r>
      <rPr>
        <rFont val="Fira Sans Extra Condensed"/>
        <color theme="1"/>
        <sz val="10.0"/>
      </rPr>
      <t>- Si la descarga se realiza de manera satisfactoria actualiza la pantalla e informa en la parte superior “Descarga exitosa”</t>
    </r>
  </si>
  <si>
    <t>CP395</t>
  </si>
  <si>
    <t>CP396</t>
  </si>
  <si>
    <t>CP397</t>
  </si>
  <si>
    <t>CP398</t>
  </si>
  <si>
    <t>CP399</t>
  </si>
  <si>
    <t>CP400</t>
  </si>
  <si>
    <t>CP401</t>
  </si>
  <si>
    <t>CP402</t>
  </si>
  <si>
    <t>CP403</t>
  </si>
  <si>
    <t>CP404</t>
  </si>
  <si>
    <t>CP405</t>
  </si>
  <si>
    <t>CP406</t>
  </si>
  <si>
    <t>CP407</t>
  </si>
  <si>
    <t>CP408</t>
  </si>
  <si>
    <r>
      <rPr>
        <rFont val="Fira Sans Extra Condensed"/>
        <color theme="1"/>
        <sz val="10.0"/>
      </rPr>
      <t xml:space="preserve">Dentro de la consultas del detalle de usuarios una de las opciones habilitadas al usuario esta el accionable de “Editar” al dar clic en esta opción se debe actualizar la pantalla con la información precargada donde el usuario podrá editar:
</t>
    </r>
    <r>
      <rPr>
        <rFont val="Fira Sans Extra Condensed"/>
        <b/>
        <color theme="1"/>
        <sz val="10.0"/>
      </rPr>
      <t xml:space="preserve">Grupos de productos: </t>
    </r>
    <r>
      <rPr>
        <rFont val="Fira Sans Extra Condensed"/>
        <color theme="1"/>
        <sz val="10.0"/>
      </rPr>
      <t xml:space="preserve">El usuario administrador podrá asignar los grupos de productos que requiera  teniendo en cuenta el criterio 4.
</t>
    </r>
    <r>
      <rPr>
        <rFont val="Fira Sans Extra Condensed"/>
        <b/>
        <color theme="1"/>
        <sz val="10.0"/>
      </rPr>
      <t xml:space="preserve">Rol del usuario: </t>
    </r>
    <r>
      <rPr>
        <rFont val="Fira Sans Extra Condensed"/>
        <color theme="1"/>
        <sz val="10.0"/>
      </rPr>
      <t xml:space="preserve">El usuario administrador podrá asignar el rol que requiera teniendo en cuenta el criterio 5.
</t>
    </r>
    <r>
      <rPr>
        <rFont val="Fira Sans Extra Condensed"/>
        <b/>
        <color theme="1"/>
        <sz val="10.0"/>
      </rPr>
      <t xml:space="preserve">Funcionalidades: </t>
    </r>
    <r>
      <rPr>
        <rFont val="Fira Sans Extra Condensed"/>
        <color theme="1"/>
        <sz val="10.0"/>
      </rPr>
      <t xml:space="preserve">El usuario administrador podrá asignar las funcionalidades que requiera  teniendo en cuenta el criterio  6.
Una vez realizada alguna novedad se habilita el botón de “continuar” donde el canal debe seguir la lógica del criterio 7 para realizar la aprobación del mismo seguido de actualizar el resultado teniendo en cuenta las mismas características del criterio 8 descrito en esta historia de usuario. </t>
    </r>
  </si>
  <si>
    <t>CP409</t>
  </si>
  <si>
    <r>
      <rPr>
        <rFont val="Fira Sans Extra Condensed"/>
        <b/>
        <color theme="1"/>
        <sz val="10.0"/>
      </rPr>
      <t>Escenario Visual de Usuario en Front una vez le cambian el ROL:</t>
    </r>
    <r>
      <rPr>
        <rFont val="Fira Sans Extra Condensed"/>
        <color theme="1"/>
        <sz val="10.0"/>
      </rPr>
      <t xml:space="preserve">
En caso que exista un cambio del rol a un usuario ejemplo: pasa de rol “Preparador” a “Autorizador”,  la primera vez que el usuario accede al módulo regional se debe mostrar en la pantalla del Home el siguiente modal “ Nuevo Rol Asignado, revise las funcionalidades a las que puede acceder desde el menú lateral, para mayor información contacte a su administrador”</t>
    </r>
  </si>
  <si>
    <t>CP410</t>
  </si>
  <si>
    <r>
      <rPr>
        <rFont val="Fira Sans Extra Condensed"/>
        <color theme="1"/>
        <sz val="10.0"/>
      </rPr>
      <t xml:space="preserve">El administrador tendrá la siguiente opción para realizar la eliminación de usuarios:
</t>
    </r>
    <r>
      <rPr>
        <rFont val="Fira Sans Extra Condensed"/>
        <b/>
        <color theme="1"/>
        <sz val="10.0"/>
      </rPr>
      <t xml:space="preserve">Eliminación individual: </t>
    </r>
    <r>
      <rPr>
        <rFont val="Fira Sans Extra Condensed"/>
        <color theme="1"/>
        <sz val="10.0"/>
      </rPr>
      <t>Una vez el usuario de clic al icono de eliminar se debe presentar el siguiente mensaje ”¿Quiere eliminar el rol? seguido de las opciones de volver y Eliminar.</t>
    </r>
  </si>
  <si>
    <t>CP411</t>
  </si>
  <si>
    <r>
      <rPr>
        <rFont val="Fira Sans Extra Condensed"/>
        <b/>
        <color theme="1"/>
        <sz val="10.0"/>
      </rPr>
      <t>Modal advertencia eliminación:</t>
    </r>
    <r>
      <rPr>
        <rFont val="Fira Sans Extra Condensed"/>
        <color theme="1"/>
        <sz val="10.0"/>
      </rPr>
      <t xml:space="preserve">
Si el usuario administrador intenta eliminar un usuario y este se encuentra asociado a un esquema de firmas el canal deberá informar:  “Advertencia, este usuario se encuentra ligado al menos a un esquema de firmas, si lo elimina antes de editar el esquema de firmas podría afectar el flujo de autorizaciones en el canal. ¿Desea continuar con la eliminación? seguido de dos opciones “Cancelar / Confirmar”
¿Quiere eliminar el rol? Hay esquemas de firmas que se asocian exclusivamente a este rol. Si lo elimina, esos esquemas no funcionarán dentro del módulo regional. Para que puedan usar el módulo, debe crearles un nuevo rol.</t>
    </r>
  </si>
  <si>
    <t>CP412</t>
  </si>
  <si>
    <t>CP413</t>
  </si>
  <si>
    <r>
      <rPr>
        <rFont val="Fira Sans Extra Condensed"/>
        <b/>
        <color theme="1"/>
        <sz val="10.0"/>
      </rPr>
      <t xml:space="preserve">Escenario eliminación del único o todos los Usuarios:
</t>
    </r>
    <r>
      <rPr>
        <rFont val="Fira Sans Extra Condensed"/>
        <color theme="1"/>
        <sz val="10.0"/>
      </rPr>
      <t>En caso que el usuario desee realizar la eliminación del único o de todos los usuarios que acceden al módulo regional, el canal debe permitir realizar la eliminación.
- Si el usuario no se encuentra ligado a ningún esquema de firma debe mostrar el siguiente mensaje de alerta antes de la confirmación “ Advertencia, al realizar esta eliminación debe  volver a crear al menos un nuevo usuario para posterior asignación del esquema de firma” seguido de las opciones de:  “Aceptar” / “Cancelar”.</t>
    </r>
  </si>
  <si>
    <t>CP414</t>
  </si>
  <si>
    <t>CP415</t>
  </si>
  <si>
    <t>CP416</t>
  </si>
  <si>
    <r>
      <rPr>
        <rFont val="Fira Sans Extra Condensed"/>
        <b/>
        <color theme="1"/>
        <sz val="10.0"/>
      </rPr>
      <t>Resultado</t>
    </r>
    <r>
      <rPr>
        <rFont val="Fira Sans Extra Condensed"/>
        <color theme="1"/>
        <sz val="10.0"/>
      </rPr>
      <t xml:space="preserve">: La información que aquí se muestra dependerá del tipo de administración que tenga parametrizada el grupo Regional:
</t>
    </r>
    <r>
      <rPr>
        <rFont val="Fira Sans Extra Condensed"/>
        <b/>
        <color theme="1"/>
        <sz val="10.0"/>
      </rPr>
      <t xml:space="preserve">Administración Sencilla: </t>
    </r>
    <r>
      <rPr>
        <rFont val="Fira Sans Extra Condensed"/>
        <color theme="1"/>
        <sz val="10.0"/>
      </rPr>
      <t xml:space="preserve"> Una vez de clic a la novedad el canal en la parte superior  presentará el siguiente mensaje: “Eliminación exitosa” y desaparecerá el registro de la consulta. </t>
    </r>
  </si>
  <si>
    <t>CP417</t>
  </si>
  <si>
    <r>
      <rPr>
        <rFont val="Fira Sans Extra Condensed"/>
        <b/>
        <color theme="1"/>
        <sz val="10.0"/>
      </rPr>
      <t>Administración Dual:</t>
    </r>
    <r>
      <rPr>
        <rFont val="Fira Sans Extra Condensed"/>
        <color theme="1"/>
        <sz val="10.0"/>
      </rPr>
      <t xml:space="preserve">  Una vez de clic a la novedad el canal en la parte superior  presentará el siguiente mensaje: “Pendiente aprobación” y mantendrá el registro de la consulta. </t>
    </r>
  </si>
  <si>
    <t>CP418</t>
  </si>
  <si>
    <t>CP419</t>
  </si>
  <si>
    <t>CP420</t>
  </si>
  <si>
    <t>CP421</t>
  </si>
  <si>
    <t>CP422</t>
  </si>
  <si>
    <r>
      <rPr>
        <rFont val="Fira Sans Extra Condensed"/>
        <color theme="1"/>
        <sz val="10.0"/>
      </rPr>
      <t xml:space="preserve">Al dar clic  se debe presentar una pantalla igual al criterio 3 pero con el siguiente mensaje
</t>
    </r>
    <r>
      <rPr>
        <rFont val="Fira Sans Extra Condensed"/>
        <b/>
        <color theme="1"/>
        <sz val="10.0"/>
      </rPr>
      <t xml:space="preserve">1-  “ El usuario al que asignará los permisos duplicados, debe estar creado en la banca en línea y no tener un rol dentro del módulo regional”
</t>
    </r>
    <r>
      <rPr>
        <rFont val="Fira Sans Extra Condensed"/>
        <color theme="1"/>
        <sz val="10.0"/>
      </rPr>
      <t>2-  Posterior se habilita la selección de país donde realiza la consulta del usuario en la banca local y posterior muestra de manera no editable la información personal del usuario seguida del rol, de los grupos de productos asociados y de las funcionalidades permitidas del usuario duplicado, al final tendrá una opción de “crear rol” o regresar el cual debe seguir la misma lógica del punto 7 confirmación y 8 resultado.</t>
    </r>
  </si>
  <si>
    <t>CP423</t>
  </si>
  <si>
    <t>CP424</t>
  </si>
  <si>
    <r>
      <rPr>
        <rFont val="Fira Sans Extra Condensed"/>
        <b/>
        <color theme="1"/>
        <sz val="10.0"/>
      </rPr>
      <t xml:space="preserve">Seguridad de los logs: </t>
    </r>
    <r>
      <rPr>
        <rFont val="Fira Sans Extra Condensed"/>
        <color theme="1"/>
        <sz val="10.0"/>
      </rPr>
      <t xml:space="preserve">Los logs deben ser almacenados de forma segura y protegida contra accesos no autorizados. 
</t>
    </r>
    <r>
      <rPr>
        <rFont val="Fira Sans Extra Condensed"/>
        <b/>
        <color theme="1"/>
        <sz val="10.0"/>
      </rPr>
      <t>Retención y disponibilidad de los logs:</t>
    </r>
    <r>
      <rPr>
        <rFont val="Fira Sans Extra Condensed"/>
        <color theme="1"/>
        <sz val="10.0"/>
      </rPr>
      <t xml:space="preserve"> Los logs generados deben ser retenidos durante el tiempo necesario para cumplir con las regulaciones locales y las políticas internas del banco. Además, los logs deben estar disponibles para su consulta y análisis por parte del personal autorizado en caso de necesidad, utilizando las herramientas y procedimientos adecuados.
</t>
    </r>
    <r>
      <rPr>
        <rFont val="Fira Sans Extra Condensed"/>
        <b/>
        <color theme="1"/>
        <sz val="10.0"/>
      </rPr>
      <t>Integridad y calidad de los logs:</t>
    </r>
    <r>
      <rPr>
        <rFont val="Fira Sans Extra Condensed"/>
        <color theme="1"/>
        <sz val="10.0"/>
      </rPr>
      <t xml:space="preserve"> Los logs generados deben ser precisos, completos y confiables, garantizando la integridad y calidad de la información registrada. Esto incluye la verificación de la correcta captura de datos, la validación de la consistencia de la información, y la corrección de cualquier error o inconsistencia detectada en los logs.
</t>
    </r>
    <r>
      <rPr>
        <rFont val="Fira Sans Extra Condensed"/>
        <b/>
        <color theme="1"/>
        <sz val="10.0"/>
      </rPr>
      <t>Registro de eventos relevantes:</t>
    </r>
    <r>
      <rPr>
        <rFont val="Fira Sans Extra Condensed"/>
        <color theme="1"/>
        <sz val="10.0"/>
      </rPr>
      <t xml:space="preserve"> Los logs deben registrar todos los eventos relevantes relacionados con novedades del módulo de administración, incluyendo la información del usuario que creó la novedad, usuario que la aprobó, horas, fechas, ip, datos de los usuarios que intervienen, país y tipo de novedad.</t>
    </r>
  </si>
  <si>
    <t>Esquema de firmas / Escala 7x24 Control Center</t>
  </si>
  <si>
    <t>Creación de esquema de firmas desde Control Center</t>
  </si>
  <si>
    <t>Acceso al Módulo de administración / Esquema de firmas con Usuario BO Preparador</t>
  </si>
  <si>
    <t>Mostrar el botón a todos los usuarios BO Preparador, Autorizador y Super Usuario.</t>
  </si>
  <si>
    <r>
      <rPr>
        <rFont val="Fira Sans Extra Condensed"/>
        <color theme="1"/>
        <sz val="10.0"/>
      </rPr>
      <t xml:space="preserve">Pantalla creación de esquema de firma
</t>
    </r>
    <r>
      <rPr>
        <rFont val="Fira Sans Extra Condensed"/>
        <b/>
        <color theme="1"/>
        <sz val="10.0"/>
      </rPr>
      <t>Título header:</t>
    </r>
    <r>
      <rPr>
        <rFont val="Fira Sans Extra Condensed"/>
        <color theme="1"/>
        <sz val="10.0"/>
      </rPr>
      <t xml:space="preserve"> Nombre del esquema de firmas
</t>
    </r>
    <r>
      <rPr>
        <rFont val="Fira Sans Extra Condensed"/>
        <b/>
        <color theme="1"/>
        <sz val="10.0"/>
      </rPr>
      <t>Elemento para regresar</t>
    </r>
    <r>
      <rPr>
        <rFont val="Fira Sans Extra Condensed"/>
        <color theme="1"/>
        <sz val="10.0"/>
      </rPr>
      <t xml:space="preserve">: Botón
</t>
    </r>
    <r>
      <rPr>
        <rFont val="Fira Sans Extra Condensed"/>
        <b/>
        <color theme="1"/>
        <sz val="10.0"/>
      </rPr>
      <t xml:space="preserve">Descripción: </t>
    </r>
    <r>
      <rPr>
        <rFont val="Fira Sans Extra Condensed"/>
        <color theme="1"/>
        <sz val="10.0"/>
      </rPr>
      <t xml:space="preserve">Aquí puede definir cuántos aprobadores necesita para autorizar las diferentes transacciones mediante la creación de un esquema.
</t>
    </r>
    <r>
      <rPr>
        <rFont val="Fira Sans Extra Condensed"/>
        <b/>
        <color theme="1"/>
        <sz val="10.0"/>
      </rPr>
      <t xml:space="preserve">Asignar nombre que tenga entre 5 y 50 caracteres: </t>
    </r>
    <r>
      <rPr>
        <rFont val="Fira Sans Extra Condensed"/>
        <color theme="1"/>
        <sz val="10.0"/>
      </rPr>
      <t>(Obligatorio) Espacio alfanumérico de hasta 50 caracteres que permite ingresar el nombre del esquema de firmas o flujo de aprobación que se está creando, los caracteres mínimos que debe tener este nombre serán de 5 caracteres, debe tener un elemento que le permita al usuario visualizar en la pantalla los caracteres usados. Una vez diligenciada la información del nombre que cumpla con lo descrito anteriormente se habilita el botón de “Continuar”</t>
    </r>
  </si>
  <si>
    <t>Asignación de nombre al esquema de firmas</t>
  </si>
  <si>
    <t>Asignación de nombre de esquema correctamente</t>
  </si>
  <si>
    <t>Si el usuario está intentando crear un esquema de firmas con un nombre ya asignado debe presentar el mensaje “Este nombre ya se usó en otro esquema. Asigne uno nuevo.”</t>
  </si>
  <si>
    <t>Mensaje de error de acuerdo al catálogo de errores</t>
  </si>
  <si>
    <t>Mostrar mensaje de error indicando que ya existe un esquema con el mismo nombre</t>
  </si>
  <si>
    <t>- Acceso al Módulo de administración / Módulo de autorizaciones
- Acceso para usuarios Aprobadores y Super Usuarios</t>
  </si>
  <si>
    <t>Módulo visible únicamente para usuarios con rol “Aprobador” o “Super Usuario” permite filtrar, visualizar, aprobar o eliminar las novedades enviadas por los usuarios con perfil preparador del mismo dominio, (El super usuario podrá visualizar y aplicar novedades de cualquier país) una vez el usuario da clic, debe actualizar la pantalla y mostrar los resultados</t>
  </si>
  <si>
    <t>Autorización de gestiones</t>
  </si>
  <si>
    <t>Los usuarios únicamente deben visualizar gestiones pendientes del mismo país de dominio, el super usuario podrá visualizar todas las novedades.</t>
  </si>
  <si>
    <t>Visualización de módulo de autorizaciones a usuarios autorizantes y super usuarios</t>
  </si>
  <si>
    <r>
      <rPr>
        <rFont val="Fira Sans Extra Condensed"/>
        <b/>
        <color theme="1"/>
        <sz val="10.0"/>
      </rPr>
      <t>Resultado Consulta:</t>
    </r>
    <r>
      <rPr>
        <rFont val="Fira Sans Extra Condensed"/>
        <color theme="1"/>
        <sz val="10.0"/>
      </rPr>
      <t xml:space="preserve">
</t>
    </r>
    <r>
      <rPr>
        <rFont val="Fira Sans Extra Condensed"/>
        <b/>
        <color theme="1"/>
        <sz val="10.0"/>
      </rPr>
      <t xml:space="preserve">Fecha Solicitud: </t>
    </r>
    <r>
      <rPr>
        <rFont val="Fira Sans Extra Condensed"/>
        <color theme="1"/>
        <sz val="10.0"/>
      </rPr>
      <t xml:space="preserve">se debe presentar la fecha en la que el usuario preparador envió la novedad.
</t>
    </r>
    <r>
      <rPr>
        <rFont val="Fira Sans Extra Condensed"/>
        <b/>
        <color theme="1"/>
        <sz val="10.0"/>
      </rPr>
      <t xml:space="preserve">Casa Matriz: </t>
    </r>
    <r>
      <rPr>
        <rFont val="Fira Sans Extra Condensed"/>
        <color theme="1"/>
        <sz val="10.0"/>
      </rPr>
      <t xml:space="preserve">se debe mostrar el nombre del país del grupo regional al que pertenece la novedad.
</t>
    </r>
    <r>
      <rPr>
        <rFont val="Fira Sans Extra Condensed"/>
        <b/>
        <color theme="1"/>
        <sz val="10.0"/>
      </rPr>
      <t>Nombre Grupo Regional:</t>
    </r>
    <r>
      <rPr>
        <rFont val="Fira Sans Extra Condensed"/>
        <color theme="1"/>
        <sz val="10.0"/>
      </rPr>
      <t xml:space="preserve"> Se debe mostrar el nombre con el que fue creado el grupo.
</t>
    </r>
    <r>
      <rPr>
        <rFont val="Fira Sans Extra Condensed"/>
        <b/>
        <color theme="1"/>
        <sz val="10.0"/>
      </rPr>
      <t>Acción:</t>
    </r>
    <r>
      <rPr>
        <rFont val="Fira Sans Extra Condensed"/>
        <color theme="1"/>
        <sz val="10.0"/>
      </rPr>
      <t xml:space="preserve"> se debe mostrar el tipo de novedad (Creación/Eliminación/ Edición)
</t>
    </r>
    <r>
      <rPr>
        <rFont val="Fira Sans Extra Condensed"/>
        <b/>
        <color theme="1"/>
        <sz val="10.0"/>
      </rPr>
      <t>Tipo de Gestión:</t>
    </r>
    <r>
      <rPr>
        <rFont val="Fira Sans Extra Condensed"/>
        <color theme="1"/>
        <sz val="10.0"/>
      </rPr>
      <t xml:space="preserve"> Se debe presentar la novedad a la que pertenece (Grupo Regional, Asociación Empresa, Usuario, Destino Autorizado, Grupo de Producto)
</t>
    </r>
    <r>
      <rPr>
        <rFont val="Fira Sans Extra Condensed"/>
        <b/>
        <color theme="1"/>
        <sz val="10.0"/>
      </rPr>
      <t>Usuario:</t>
    </r>
    <r>
      <rPr>
        <rFont val="Fira Sans Extra Condensed"/>
        <color theme="1"/>
        <sz val="10.0"/>
      </rPr>
      <t xml:space="preserve"> Se debe mostrar el número del ID del usuario preparador
</t>
    </r>
    <r>
      <rPr>
        <rFont val="Fira Sans Extra Condensed"/>
        <b/>
        <color theme="1"/>
        <sz val="10.0"/>
      </rPr>
      <t>Quickaction:</t>
    </r>
    <r>
      <rPr>
        <rFont val="Fira Sans Extra Condensed"/>
        <color theme="1"/>
        <sz val="10.0"/>
      </rPr>
      <t xml:space="preserve"> Debe tener un elemento que permita ver mayor detalle una novedad. </t>
    </r>
  </si>
  <si>
    <t>Visualización de módulo de autorizaciones a usuarios autorizantes y super usuarios y validación de los campos de consultas</t>
  </si>
  <si>
    <t>Elección de esquema de firmas desde Control Center
Pantalla 1</t>
  </si>
  <si>
    <t>Usuario BO Preparador gestione esquema de firmas</t>
  </si>
  <si>
    <r>
      <rPr>
        <rFont val="Fira Sans Extra Condensed"/>
        <b/>
        <color theme="1"/>
        <sz val="10.0"/>
      </rPr>
      <t xml:space="preserve">Título de pantalla 1: </t>
    </r>
    <r>
      <rPr>
        <rFont val="Fira Sans Extra Condensed"/>
        <color theme="1"/>
        <sz val="10.0"/>
      </rPr>
      <t xml:space="preserve">Elección de esquema de firmas
</t>
    </r>
    <r>
      <rPr>
        <rFont val="Fira Sans Extra Condensed"/>
        <b/>
        <color theme="1"/>
        <sz val="10.0"/>
      </rPr>
      <t>Botón Regresar</t>
    </r>
    <r>
      <rPr>
        <rFont val="Fira Sans Extra Condensed"/>
        <color theme="1"/>
        <sz val="10.0"/>
      </rPr>
      <t xml:space="preserve">: Al hacer clic deberá retonar al paso anterior
</t>
    </r>
    <r>
      <rPr>
        <rFont val="Fira Sans Extra Condensed"/>
        <b/>
        <color theme="1"/>
        <sz val="10.0"/>
      </rPr>
      <t xml:space="preserve">Descripción: </t>
    </r>
    <r>
      <rPr>
        <rFont val="Fira Sans Extra Condensed"/>
        <color theme="1"/>
        <sz val="10.0"/>
      </rPr>
      <t>Estos son los diferentes niveles de control que le ofrecemos para sus operaciones. Por favor, elija la más pertinente según sus necesidades.</t>
    </r>
  </si>
  <si>
    <t>Gestionar esquemas de firmas</t>
  </si>
  <si>
    <t>Campo título de pantalla y descripción en formato lectura</t>
  </si>
  <si>
    <t>Mostrar campos en formato lectura.</t>
  </si>
  <si>
    <r>
      <rPr>
        <rFont val="Fira Sans Extra Condensed"/>
        <color theme="1"/>
        <sz val="10.0"/>
      </rPr>
      <t xml:space="preserve">Tipos de administración que tendrá el canal y Control Center y sobre la cual debe seleccionar una:
</t>
    </r>
    <r>
      <rPr>
        <rFont val="Fira Sans Extra Condensed"/>
        <b/>
        <color theme="1"/>
        <sz val="10.0"/>
      </rPr>
      <t>Ligero:</t>
    </r>
    <r>
      <rPr>
        <rFont val="Fira Sans Extra Condensed"/>
        <color theme="1"/>
        <sz val="10.0"/>
      </rPr>
      <t xml:space="preserve">
-  1 Nivel de aprobación.
-  Cada nivel permite asignar hasta 9 usuarios.
-  Incluye aprobación directa.</t>
    </r>
  </si>
  <si>
    <t>Selección de tipo de esquema  de firma</t>
  </si>
  <si>
    <t xml:space="preserve">Este tipo de esquema aplica para clientes que posean un unico usuario operador </t>
  </si>
  <si>
    <t>Visualizar el detalle del tipo de esquema de firma</t>
  </si>
  <si>
    <r>
      <rPr>
        <rFont val="Fira Sans Extra Condensed"/>
        <b/>
        <color theme="1"/>
        <sz val="10.0"/>
      </rPr>
      <t xml:space="preserve">Tipo de administración Moderado:
</t>
    </r>
    <r>
      <rPr>
        <rFont val="Fira Sans Extra Condensed"/>
        <color theme="1"/>
        <sz val="10.0"/>
      </rPr>
      <t xml:space="preserve">
-  2 Nivel de aprobación.
-  Cada nivel permite asignar hasta 9 usuarios.
-  Incluye aprobación directa.</t>
    </r>
  </si>
  <si>
    <t>-  La aprobación debe seguir el orden de los niveles establecidos
-  Cada nivel debe tener usuarios diferentes</t>
  </si>
  <si>
    <r>
      <rPr>
        <rFont val="Fira Sans Extra Condensed"/>
        <b/>
        <color theme="1"/>
        <sz val="10.0"/>
      </rPr>
      <t>Tipo de administración Fuerte:</t>
    </r>
    <r>
      <rPr>
        <rFont val="Fira Sans Extra Condensed"/>
        <color theme="1"/>
        <sz val="10.0"/>
      </rPr>
      <t xml:space="preserve">
-  3 Nivel de aprobación.
-  Cada nivel permite asignar hasta 9 usuarios.
-  Incluye aprobación directa.
-  La aprobación debe seguir el orden de los niveles establecidos
-  Cada nivel debe tener usuarios diferentes</t>
    </r>
  </si>
  <si>
    <r>
      <rPr>
        <rFont val="Fira Sans Extra Condensed"/>
        <b/>
        <color theme="1"/>
        <sz val="10.0"/>
      </rPr>
      <t xml:space="preserve">Tipo de adiministración Robusto:
</t>
    </r>
    <r>
      <rPr>
        <rFont val="Fira Sans Extra Condensed"/>
        <color theme="1"/>
        <sz val="10.0"/>
      </rPr>
      <t xml:space="preserve">
-  4 Nivel de aprobación.
-  Cada nivel permite asignar hasta 9 usuarios.
-  Incluye aprobación directa.
-  La aprobación debe seguir el orden de los niveles establecidos
-  Cada nivel debe tener usuarios diferentes</t>
    </r>
  </si>
  <si>
    <t>Elección de esquema de firmas desde Control Center
Pantalla 2</t>
  </si>
  <si>
    <t>Usuario BO Preparador haya completado los datos de la pantalla 1</t>
  </si>
  <si>
    <r>
      <rPr>
        <rFont val="Fira Sans Extra Condensed"/>
        <b/>
        <color theme="1"/>
        <sz val="10.0"/>
      </rPr>
      <t xml:space="preserve">Título de pantalla 2: </t>
    </r>
    <r>
      <rPr>
        <rFont val="Fira Sans Extra Condensed"/>
        <color theme="1"/>
        <sz val="10.0"/>
      </rPr>
      <t xml:space="preserve">Configuración de esquema de firmas
</t>
    </r>
    <r>
      <rPr>
        <rFont val="Fira Sans Extra Condensed"/>
        <b/>
        <color theme="1"/>
        <sz val="10.0"/>
      </rPr>
      <t>Botón Regresar</t>
    </r>
    <r>
      <rPr>
        <rFont val="Fira Sans Extra Condensed"/>
        <color theme="1"/>
        <sz val="10.0"/>
      </rPr>
      <t xml:space="preserve">: Al hacer clic deberá retonar al paso anterior
</t>
    </r>
    <r>
      <rPr>
        <rFont val="Fira Sans Extra Condensed"/>
        <b/>
        <color theme="1"/>
        <sz val="10.0"/>
      </rPr>
      <t xml:space="preserve">Descripción: </t>
    </r>
    <r>
      <rPr>
        <rFont val="Fira Sans Extra Condensed"/>
        <color theme="1"/>
        <sz val="10.0"/>
      </rPr>
      <t>Agregue los usuarios administradores o autorizadores de cada nivel</t>
    </r>
  </si>
  <si>
    <r>
      <rPr>
        <rFont val="Fira Sans Extra Condensed"/>
        <b/>
        <color theme="1"/>
        <sz val="10.0"/>
      </rPr>
      <t>Información del esquema:
Nombre del esquema:</t>
    </r>
    <r>
      <rPr>
        <rFont val="Fira Sans Extra Condensed"/>
        <color theme="1"/>
        <sz val="10.0"/>
      </rPr>
      <t xml:space="preserve"> Se debe presentar el nombre ingresado por el usuario en el criterio 3 
</t>
    </r>
    <r>
      <rPr>
        <rFont val="Fira Sans Extra Condensed"/>
        <b/>
        <color theme="1"/>
        <sz val="10.0"/>
      </rPr>
      <t>Tipo de esquema:</t>
    </r>
    <r>
      <rPr>
        <rFont val="Fira Sans Extra Condensed"/>
        <color theme="1"/>
        <sz val="10.0"/>
      </rPr>
      <t xml:space="preserve"> Se debe mostrar el nombre del esquema seleccionado, ejemplo “Robusto”
</t>
    </r>
    <r>
      <rPr>
        <rFont val="Fira Sans Extra Condensed"/>
        <b/>
        <color theme="1"/>
        <sz val="10.0"/>
      </rPr>
      <t xml:space="preserve">Texto informativo: </t>
    </r>
    <r>
      <rPr>
        <rFont val="Fira Sans Extra Condensed"/>
        <color theme="1"/>
        <sz val="10.0"/>
      </rPr>
      <t>“En cada nivel puede seleccionar hasta 9 usuarios y definir mínimo cuantas firmas se necesitan para que se complete. Tenga en cuenta que los usuarios no pueden repetirse entre niveles y que solo puede agregar roles de autorizadores o administradores”   
Posterior de debe habilitar una opción que de acuerdo al tipo de esquema le permita ingresar los usuarios por nivel:
Subtitulo: Nivel 1 / Nivel 2 / Nivel 3 / Nivel 4
Texto: “Este nivel debe tener usuarios agregados para habilitar el siguiente”
Botón “</t>
    </r>
    <r>
      <rPr>
        <rFont val="Fira Sans Extra Condensed"/>
        <b/>
        <color theme="1"/>
        <sz val="10.0"/>
      </rPr>
      <t>Agregar</t>
    </r>
    <r>
      <rPr>
        <rFont val="Fira Sans Extra Condensed"/>
        <color theme="1"/>
        <sz val="10.0"/>
      </rPr>
      <t>” una vez el usuario de clic a este botón actualiza la pantalla.</t>
    </r>
  </si>
  <si>
    <t>- Mostrar campos en modo lectura
- Visuallización del botón agregar</t>
  </si>
  <si>
    <t>Visualizar campos en modo lectura y la información previamente seleccionada</t>
  </si>
  <si>
    <t>Elección de esquema de firmas desde Control Center
Pantalla 3</t>
  </si>
  <si>
    <t>Usuario BO Preparador haya completado los datos de la pantalla 2</t>
  </si>
  <si>
    <r>
      <rPr>
        <rFont val="Fira Sans Extra Condensed"/>
        <b/>
        <color theme="1"/>
        <sz val="10.0"/>
      </rPr>
      <t xml:space="preserve">Título Pantalla 3: </t>
    </r>
    <r>
      <rPr>
        <rFont val="Fira Sans Extra Condensed"/>
        <color theme="1"/>
        <sz val="10.0"/>
      </rPr>
      <t xml:space="preserve">Primer nivel / Segundo nivel / Tercer nivel / Cuarto nivel / Usuario con rol aprobador directo.
</t>
    </r>
    <r>
      <rPr>
        <rFont val="Fira Sans Extra Condensed"/>
        <b/>
        <color theme="1"/>
        <sz val="10.0"/>
      </rPr>
      <t xml:space="preserve">Botón Regresar: </t>
    </r>
    <r>
      <rPr>
        <rFont val="Fira Sans Extra Condensed"/>
        <color theme="1"/>
        <sz val="10.0"/>
      </rPr>
      <t xml:space="preserve">Al hacer clic deberá retornar al paso anterior
</t>
    </r>
    <r>
      <rPr>
        <rFont val="Fira Sans Extra Condensed"/>
        <b/>
        <color theme="1"/>
        <sz val="10.0"/>
      </rPr>
      <t xml:space="preserve">Descripción: </t>
    </r>
    <r>
      <rPr>
        <rFont val="Fira Sans Extra Condensed"/>
        <color theme="1"/>
        <sz val="10.0"/>
      </rPr>
      <t xml:space="preserve">“Los usuarios de este nivel podrán visualizar, autorizar o denegar las operaciones creadas”
</t>
    </r>
    <r>
      <rPr>
        <rFont val="Fira Sans Extra Condensed"/>
        <b/>
        <color theme="1"/>
        <sz val="10.0"/>
      </rPr>
      <t xml:space="preserve">Resultado: </t>
    </r>
    <r>
      <rPr>
        <rFont val="Fira Sans Extra Condensed"/>
        <color theme="1"/>
        <sz val="10.0"/>
      </rPr>
      <t>El usuario visualizará el listado de usuarios habilitados en el Módulo regional con rol “Aprobador” y “Administrador”</t>
    </r>
  </si>
  <si>
    <t>Permitir seleccionar un esquema de firmas</t>
  </si>
  <si>
    <t>Visualizar titulo de la pantalla y texto informativo</t>
  </si>
  <si>
    <r>
      <rPr>
        <rFont val="Fira Sans Extra Condensed"/>
        <color theme="1"/>
        <sz val="10.0"/>
      </rPr>
      <t xml:space="preserve">Mostrará el resultado de los usuarios en columnas de la siguiente manera:
</t>
    </r>
    <r>
      <rPr>
        <rFont val="Fira Sans Extra Condensed"/>
        <b/>
        <color theme="1"/>
        <sz val="10.0"/>
      </rPr>
      <t>País</t>
    </r>
    <r>
      <rPr>
        <rFont val="Fira Sans Extra Condensed"/>
        <color theme="1"/>
        <sz val="10.0"/>
      </rPr>
      <t xml:space="preserve">: Se debe mostrar el país desde el cual el usuario accede a la banca local
</t>
    </r>
    <r>
      <rPr>
        <rFont val="Fira Sans Extra Condensed"/>
        <b/>
        <color theme="1"/>
        <sz val="10.0"/>
      </rPr>
      <t xml:space="preserve">Nombre: </t>
    </r>
    <r>
      <rPr>
        <rFont val="Fira Sans Extra Condensed"/>
        <color theme="1"/>
        <sz val="10.0"/>
      </rPr>
      <t xml:space="preserve">Se debe mostrar el nombre del usuario
</t>
    </r>
    <r>
      <rPr>
        <rFont val="Fira Sans Extra Condensed"/>
        <b/>
        <color theme="1"/>
        <sz val="10.0"/>
      </rPr>
      <t>Rol: S</t>
    </r>
    <r>
      <rPr>
        <rFont val="Fira Sans Extra Condensed"/>
        <color theme="1"/>
        <sz val="10.0"/>
      </rPr>
      <t xml:space="preserve">e debe presentar el nombre del rol del usuario en el módulo regional. 
</t>
    </r>
    <r>
      <rPr>
        <rFont val="Fira Sans Extra Condensed"/>
        <b/>
        <color theme="1"/>
        <sz val="10.0"/>
      </rPr>
      <t>Checkbox</t>
    </r>
    <r>
      <rPr>
        <rFont val="Fira Sans Extra Condensed"/>
        <color theme="1"/>
        <sz val="10.0"/>
      </rPr>
      <t xml:space="preserve">: Debe estar habilitada y desde esta opción el usuario administrador selecciona los usuarios que requiere dentro del nivel, cuando aplique la selección se mostrará en pantalla un resumen de los registros “marcados” o seleccionados
</t>
    </r>
  </si>
  <si>
    <t>Mostrar la información de los usuarios de acuerdo a cada banca en línea local.</t>
  </si>
  <si>
    <r>
      <rPr>
        <rFont val="Fira Sans Extra Condensed"/>
        <color theme="1"/>
        <sz val="10.0"/>
      </rPr>
      <t xml:space="preserve">En la pantalla 3 también se deben visualizar las siguientes opciones:
</t>
    </r>
    <r>
      <rPr>
        <rFont val="Fira Sans Extra Condensed"/>
        <b/>
        <color theme="1"/>
        <sz val="10.0"/>
      </rPr>
      <t xml:space="preserve">Elemento “Buscar”:
</t>
    </r>
    <r>
      <rPr>
        <rFont val="Fira Sans Extra Condensed"/>
        <color theme="1"/>
        <sz val="10.0"/>
      </rPr>
      <t>- Al dar clic se debe habilitar una barra de búsqueda que permite al usuario ingresar el nombre del usuario.
- Se debe habilitar un botón de “cancelar” en caso que el usuario quiera eliminar esta búsqueda. 
En caso que el usuario ingrese un texto que no encuentre coincidencia el canal debe mostrar “La búsqueda de (texto ingresado) no presenta resultados.”</t>
    </r>
  </si>
  <si>
    <t>- El canal debe actualizar los resultados de búsqueda teniendo en cuenta el texto ingresado.</t>
  </si>
  <si>
    <t>- Mostrar resultado de acuerdo a la búsqueda realizada</t>
  </si>
  <si>
    <r>
      <rPr>
        <rFont val="Fira Sans Extra Condensed"/>
        <color theme="1"/>
        <sz val="10.0"/>
      </rPr>
      <t xml:space="preserve">En pantalla 3 debe mostrar el siguiente campo, seguido del campo buscar:
</t>
    </r>
    <r>
      <rPr>
        <rFont val="Fira Sans Extra Condensed"/>
        <b/>
        <color theme="1"/>
        <sz val="10.0"/>
      </rPr>
      <t>Elemento para “Filtrar”:</t>
    </r>
    <r>
      <rPr>
        <rFont val="Fira Sans Extra Condensed"/>
        <color theme="1"/>
        <sz val="10.0"/>
      </rPr>
      <t xml:space="preserve">
Debe contar con un elemento que permite  buscar grupos con filtros específicos, al dar clic sobre el texto se sobrepone en la pantalla  la información detallando los filtros que se podrán aplicar para la búsqueda de productos así:
</t>
    </r>
    <r>
      <rPr>
        <rFont val="Fira Sans Extra Condensed"/>
        <b/>
        <color theme="1"/>
        <sz val="10.0"/>
      </rPr>
      <t xml:space="preserve">Título: </t>
    </r>
    <r>
      <rPr>
        <rFont val="Fira Sans Extra Condensed"/>
        <color theme="1"/>
        <sz val="10.0"/>
      </rPr>
      <t xml:space="preserve">Filtrar
</t>
    </r>
    <r>
      <rPr>
        <rFont val="Fira Sans Extra Condensed"/>
        <b/>
        <color theme="1"/>
        <sz val="10.0"/>
      </rPr>
      <t xml:space="preserve">Botón “X”: </t>
    </r>
    <r>
      <rPr>
        <rFont val="Fira Sans Extra Condensed"/>
        <color theme="1"/>
        <sz val="10.0"/>
      </rPr>
      <t xml:space="preserve">Regresa a la pantalla anterior. 
</t>
    </r>
    <r>
      <rPr>
        <rFont val="Fira Sans Extra Condensed"/>
        <b/>
        <color theme="1"/>
        <sz val="10.0"/>
      </rPr>
      <t>Texto:</t>
    </r>
    <r>
      <rPr>
        <rFont val="Fira Sans Extra Condensed"/>
        <color theme="1"/>
        <sz val="10.0"/>
      </rPr>
      <t xml:space="preserve"> Aplique las opciones de filtrado que desea:
</t>
    </r>
    <r>
      <rPr>
        <rFont val="Fira Sans Extra Condensed"/>
        <b/>
        <color theme="1"/>
        <sz val="10.0"/>
      </rPr>
      <t>Países:</t>
    </r>
    <r>
      <rPr>
        <rFont val="Fira Sans Extra Condensed"/>
        <color theme="1"/>
        <sz val="10.0"/>
      </rPr>
      <t xml:space="preserve"> permite seleccionar uno o todos los países, la opción que aquí se muestre dependerá de donde el grupo tenga presencia mostrando únicamente los países donde tiene productos.
</t>
    </r>
    <r>
      <rPr>
        <rFont val="Fira Sans Extra Condensed"/>
        <b/>
        <color theme="1"/>
        <sz val="10.0"/>
      </rPr>
      <t>Rol:</t>
    </r>
    <r>
      <rPr>
        <rFont val="Fira Sans Extra Condensed"/>
        <color theme="1"/>
        <sz val="10.0"/>
      </rPr>
      <t xml:space="preserve"> Permite seleccionar uno o los dos roles de acuerdo a las funciones que tenga  asignados.
</t>
    </r>
    <r>
      <rPr>
        <rFont val="Fira Sans Extra Condensed"/>
        <b/>
        <color theme="1"/>
        <sz val="10.0"/>
      </rPr>
      <t xml:space="preserve">En la parte inferior deben estar las opciones: </t>
    </r>
    <r>
      <rPr>
        <rFont val="Fira Sans Extra Condensed"/>
        <color theme="1"/>
        <sz val="10.0"/>
      </rPr>
      <t xml:space="preserve">“Borrar” y “aplicar” 
</t>
    </r>
    <r>
      <rPr>
        <rFont val="Fira Sans Extra Condensed"/>
        <b/>
        <color theme="1"/>
        <sz val="10.0"/>
      </rPr>
      <t>Botón “Borrar":</t>
    </r>
    <r>
      <rPr>
        <rFont val="Fira Sans Extra Condensed"/>
        <color theme="1"/>
        <sz val="10.0"/>
      </rPr>
      <t xml:space="preserve"> al dar clic debe eliminar los filtros de búsqueda ingresados por el usuario. 
</t>
    </r>
    <r>
      <rPr>
        <rFont val="Fira Sans Extra Condensed"/>
        <b/>
        <color theme="1"/>
        <sz val="10.0"/>
      </rPr>
      <t>Botón “Aplicar”:</t>
    </r>
    <r>
      <rPr>
        <rFont val="Fira Sans Extra Condensed"/>
        <color theme="1"/>
        <sz val="10.0"/>
      </rPr>
      <t xml:space="preserve"> Al dar clic el canal actualiza la pantalla donde muestra los usuarios, mostrando como resultado únicamente los usuarios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En caso que el usuario aplique filtros y no encuentra coincidencia debe mostrar “La búsqueda no presenta resultados”</t>
    </r>
  </si>
  <si>
    <t>Ejecutar busqueda con filtros</t>
  </si>
  <si>
    <t>- Mostrar resultado de acuerdo a la búsqueda realizada con filtros</t>
  </si>
  <si>
    <r>
      <rPr>
        <rFont val="Fira Sans Extra Condensed"/>
        <color theme="1"/>
        <sz val="10.0"/>
      </rPr>
      <t xml:space="preserve">En pantalla 3 debe mostrar la paginación en la parte superior de la pantalla:
</t>
    </r>
    <r>
      <rPr>
        <rFont val="Fira Sans Extra Condensed"/>
        <b/>
        <color theme="1"/>
        <sz val="10.0"/>
      </rPr>
      <t xml:space="preserve">Paginación:
</t>
    </r>
    <r>
      <rPr>
        <rFont val="Fira Sans Extra Condensed"/>
        <color theme="1"/>
        <sz val="10.0"/>
      </rPr>
      <t>En la pantalla se debe presentar la paginación mostrando el número de páginas totales que arroja el resultado, la paginación debe tener las siguientes características teniendo en cuenta que es una experiencia transversal en varias experiencias.</t>
    </r>
  </si>
  <si>
    <t>Mostrar paginación de acuerdo al resultado de la búsqueda</t>
  </si>
  <si>
    <r>
      <rPr>
        <rFont val="Fira Sans Extra Condensed"/>
        <color theme="1"/>
        <sz val="10.0"/>
      </rPr>
      <t xml:space="preserve">En pantalla 3 debe mostrar el siguiente campo:
</t>
    </r>
    <r>
      <rPr>
        <rFont val="Fira Sans Extra Condensed"/>
        <b/>
        <color theme="1"/>
        <sz val="10.0"/>
      </rPr>
      <t>Botón “Agregar”:</t>
    </r>
    <r>
      <rPr>
        <rFont val="Fira Sans Extra Condensed"/>
        <color theme="1"/>
        <sz val="10.0"/>
      </rPr>
      <t xml:space="preserve">
Este botón únicamente se habilita si el usuario selecciona al menos un usuario por nivel.
Posterior la pantalla se actualizará posicionado al usuario en la pantalla 2 donde de acuerdo al “tipo de esquema” visualiza la información actualizada de los usuarios seleccionados en el  nivel.</t>
    </r>
  </si>
  <si>
    <t>Si no selecciona ningun usuario no se mostrará el botón de agregar</t>
  </si>
  <si>
    <t>Visualización y acceso al botón 'Agregar'.</t>
  </si>
  <si>
    <t>Configuración de esquema de firmas desde Control Center
Pantalla 3</t>
  </si>
  <si>
    <t>Usuario BO Preparador haya completado los datos de la pantalla 3</t>
  </si>
  <si>
    <r>
      <rPr>
        <rFont val="Fira Sans Extra Condensed"/>
        <color theme="1"/>
        <sz val="10.0"/>
      </rPr>
      <t xml:space="preserve">El canal debe solicitar al usuario ingresar el número de autorizadores requeridos:
</t>
    </r>
    <r>
      <rPr>
        <rFont val="Fira Sans Extra Condensed"/>
        <b/>
        <color theme="1"/>
        <sz val="10.0"/>
      </rPr>
      <t xml:space="preserve">
Autorizadores requeridos:</t>
    </r>
    <r>
      <rPr>
        <rFont val="Fira Sans Extra Condensed"/>
        <color theme="1"/>
        <sz val="10.0"/>
      </rPr>
      <t xml:space="preserve"> Es un elemento que permite ingresar la cantidad de usuarios (mínimo 1 y máximo 9)  donde el Administrador o Usuario BO deberá seleccionar cuantos autorizadores son requeridos de los asignados en el nivel serán necesarios para liberar la operación, el número que permite seleccionar depende de los ingresados en el paso anterior.
- Cuando el usuario haya seleccionado al menos un usuario autorizador requerido se actualiza el estado dando por completada la tareas por nivel.
</t>
    </r>
    <r>
      <rPr>
        <rFont val="Fira Sans Extra Condensed"/>
        <b/>
        <color theme="1"/>
        <sz val="10.0"/>
      </rPr>
      <t xml:space="preserve">Texto: </t>
    </r>
    <r>
      <rPr>
        <rFont val="Fira Sans Extra Condensed"/>
        <color theme="1"/>
        <sz val="10.0"/>
      </rPr>
      <t xml:space="preserve"> “Defina cuántas firmas son necesarias para aprobar este nivel”
</t>
    </r>
    <r>
      <rPr>
        <rFont val="Fira Sans Extra Condensed"/>
        <b/>
        <color theme="1"/>
        <sz val="10.0"/>
      </rPr>
      <t xml:space="preserve">Botón “Editar”:  </t>
    </r>
    <r>
      <rPr>
        <rFont val="Fira Sans Extra Condensed"/>
        <color theme="1"/>
        <sz val="10.0"/>
      </rPr>
      <t>El canal debe permitir editar el nivel recién agregado. Al dar clic vuelve a la pantalla 3 con la información preseleccionada.</t>
    </r>
  </si>
  <si>
    <t xml:space="preserve">- El número de usuarios no puede ser mayor a la cantidad de usuarios ingresados por el nivel. </t>
  </si>
  <si>
    <t>Adición de usuarios autorizadores correctamente</t>
  </si>
  <si>
    <t>Si el usuario BO no adiciona la cantidad mínima de usuarios autorizadores de acuerdo al nivel de firma seleccionado mostrará mensaje de error en pantalla</t>
  </si>
  <si>
    <t>Validación de mensaje de error.</t>
  </si>
  <si>
    <t>- No permitir continuar al siguiente paso.</t>
  </si>
  <si>
    <t>Configuración de esquema de firmas desde Control Center
Pantalla 2</t>
  </si>
  <si>
    <r>
      <rPr>
        <rFont val="Fira Sans Extra Condensed"/>
        <b/>
        <color theme="1"/>
        <sz val="10.0"/>
      </rPr>
      <t xml:space="preserve">Reglas Niveles: 
</t>
    </r>
    <r>
      <rPr>
        <rFont val="Fira Sans Extra Condensed"/>
        <color theme="1"/>
        <sz val="10.0"/>
      </rPr>
      <t xml:space="preserve">Teniendo en cuenta que dependiendo del tipo de esquema seleccionado se habilitan los niveles se debe tener en cuenta:
En caso de tener más de un nivel solo se podrá continuar con el diligenciamiento del siguiente nivel una vez se haya finalizado la selección de usuarios y de autorizadores requeridos por nivel pasado desde el primero al último. Ejemplo se presentará en pantalla en el nivel 2 “Agregue usuarios al nivel 1 para acceder a esta opción.” y así consecutivamente hasta el cuarto nivel. es decir el botón de “agregar” únicamente se habilita si fue diligenciado el nivel previo.
Una vez completada la información seleccionada de los niveles de usuarios se habilita el botón de “continuar” que permite continuar con la creación del esquema de firmas. </t>
    </r>
  </si>
  <si>
    <t>Selección de usuarios autorizadores para esquema de firmas</t>
  </si>
  <si>
    <t xml:space="preserve">- Un mismo usuario con rol autorizador o administrador solo podrá estar un usuario por nivel por esquema, cumpliendo la regla de que cada nivel debe tener usuarios diferentes. </t>
  </si>
  <si>
    <t>Adición de usuarios autorizadores a cada tipo de nivel de firmas</t>
  </si>
  <si>
    <t xml:space="preserve">Agregar 2 veces al usuario firmante al mismo esquema de firmas de tipo ligero, Moderado, Fuerte y Robusto.
</t>
  </si>
  <si>
    <t>Mostrar error que no permita asignar 2 veces al mismo usurio al mismo esquema de firmas</t>
  </si>
  <si>
    <t>Aplica para todos los tipos de esquemas de firmas</t>
  </si>
  <si>
    <t>Mostrar error en pantalla de acuerdo al catálogo de errores</t>
  </si>
  <si>
    <t>Configuración de esquema de firmas desde Control Center / Usuario aprobador directo.</t>
  </si>
  <si>
    <t>Usuario BO Preparador haya seleccionado un tipo de esquema de firmas</t>
  </si>
  <si>
    <r>
      <rPr>
        <rFont val="Fira Sans Extra Condensed"/>
        <b/>
        <color theme="1"/>
        <sz val="10.0"/>
      </rPr>
      <t>Descripción de usuario Aprobador Directo</t>
    </r>
    <r>
      <rPr>
        <rFont val="Fira Sans Extra Condensed"/>
        <color theme="1"/>
        <sz val="10.0"/>
      </rPr>
      <t>: “Este usuario puede autorizar las operaciones con una sola firma, sin completar las de otro nivel y debe tener un rol que le permita autorizar o administrar.” seguido de un switch que nace apagado. 
Una vez el usuario activa el Switch se muestra el mensaje: “Aún no ha agregado un usuario” seguido de botón “agregar”</t>
    </r>
  </si>
  <si>
    <t xml:space="preserve">Esta funcionalidad es opcional,  aquí el Administrador podrá seleccionar un único usuario desde la opción de búsqueda, </t>
  </si>
  <si>
    <t xml:space="preserve">El usuario que sea puesto en este cubo será la única firma requerida para Autorizar transacciones de las funcionalidades y Grupos de productos seleccionados en este esquema de firma.  </t>
  </si>
  <si>
    <t>Usuario BO no activa el swicth de aprobador directo, no deberá mostrar el botón de 'agregar'.</t>
  </si>
  <si>
    <t>No activar el switch para agregar al usuario aprobador directo.</t>
  </si>
  <si>
    <t>Mostrar switch apagado y no mostrar botón 'Agregar'.</t>
  </si>
  <si>
    <t>Usuario BO ha incluido a todos los usuarios aprobadores de la sociedad a los esquemas de firmas e intenta agregar un usuario con aprobación directa, mostrará mensaje el siguiente mensaje informativo:
 “Verifique la información ingresada, no tiene suficientes usuarios para agregar un aprobador directo.”</t>
  </si>
  <si>
    <t>Validación de usuarios aprobadores directo</t>
  </si>
  <si>
    <t>No permitir asignar usuario aprobador directo</t>
  </si>
  <si>
    <r>
      <rPr>
        <rFont val="Fira Sans Extra Condensed"/>
        <color theme="1"/>
        <sz val="10.0"/>
      </rPr>
      <t xml:space="preserve">Posterior a encender el switch de usuario aprobador directo, deberá mostrar el botón agregar:
</t>
    </r>
    <r>
      <rPr>
        <rFont val="Fira Sans Extra Condensed"/>
        <b/>
        <color theme="1"/>
        <sz val="10.0"/>
      </rPr>
      <t>Agregar:</t>
    </r>
    <r>
      <rPr>
        <rFont val="Fira Sans Extra Condensed"/>
        <color theme="1"/>
        <sz val="10.0"/>
      </rPr>
      <t xml:space="preserve"> Debe existir un elemento que permita agregar un usuario a este nivel, 
- Una vez de clic en agregar debe actualizar la pantalla mostrando una opción que permita seleccionar el usuario que debe estar en este nivel. 
- Al dar clic tiene la visual de </t>
    </r>
    <r>
      <rPr>
        <rFont val="Fira Sans Extra Condensed"/>
        <b/>
        <color theme="1"/>
        <sz val="10.0"/>
      </rPr>
      <t>criterio selección de usuarios</t>
    </r>
    <r>
      <rPr>
        <rFont val="Fira Sans Extra Condensed"/>
        <color theme="1"/>
        <sz val="10.0"/>
      </rPr>
      <t xml:space="preserve">, la descripción que se debe dar es: “Este aprobador directo podrá visualizar, autorizar o denegar las operaciones creadas sólo con su firma.
- Una vez haya seleccionado debe actualizar el paso mostrando el nombre y rol del aprobador directo, adicional se habilita una opción que le permite “editar” el usuario registrado con la misma lógica. </t>
    </r>
  </si>
  <si>
    <t>- En esta opción solo deja seleccionar un usuario.</t>
  </si>
  <si>
    <t>- El usuario aprobador directo no podrá pertenecer a otro esquema de firmas -</t>
  </si>
  <si>
    <t>Adición de usuario aprobador único con éxito.</t>
  </si>
  <si>
    <t>Selección Funcionalidades y límites</t>
  </si>
  <si>
    <t>Cliente poseea funcionalidades asignadas</t>
  </si>
  <si>
    <r>
      <rPr>
        <rFont val="Fira Sans Extra Condensed"/>
        <color theme="1"/>
        <sz val="10.0"/>
      </rPr>
      <t xml:space="preserve">Usuario administrador debe seleccionar las funcionalidades de acuerdo a las parametrizadas previamente desde el control center sobre las cuales quiere que aplique el esquema de firma que está creando, adicional le permite seleccionar límites monetarios en dólares americanos así:
</t>
    </r>
    <r>
      <rPr>
        <rFont val="Fira Sans Extra Condensed"/>
        <b/>
        <color theme="1"/>
        <sz val="10.0"/>
      </rPr>
      <t xml:space="preserve">Titulo: </t>
    </r>
    <r>
      <rPr>
        <rFont val="Fira Sans Extra Condensed"/>
        <color theme="1"/>
        <sz val="10.0"/>
      </rPr>
      <t xml:space="preserve">Autorización de permisos  
</t>
    </r>
    <r>
      <rPr>
        <rFont val="Fira Sans Extra Condensed"/>
        <b/>
        <color theme="1"/>
        <sz val="10.0"/>
      </rPr>
      <t>Elemento para regresar</t>
    </r>
    <r>
      <rPr>
        <rFont val="Fira Sans Extra Condensed"/>
        <color theme="1"/>
        <sz val="10.0"/>
      </rPr>
      <t xml:space="preserve">
</t>
    </r>
    <r>
      <rPr>
        <rFont val="Fira Sans Extra Condensed"/>
        <b/>
        <color theme="1"/>
        <sz val="10.0"/>
      </rPr>
      <t>Descripción:</t>
    </r>
    <r>
      <rPr>
        <rFont val="Fira Sans Extra Condensed"/>
        <color theme="1"/>
        <sz val="10.0"/>
      </rPr>
      <t xml:space="preserve"> Marque las opciones a las que dará autorización con este esquema de firmas.
Las funcionalidades que se muestran en esta pantalla son las funcionalidades que fueron asignadas al grupo regional desde el control center. 
</t>
    </r>
    <r>
      <rPr>
        <rFont val="Fira Sans Extra Condensed"/>
        <b/>
        <color theme="1"/>
        <sz val="10.0"/>
      </rPr>
      <t xml:space="preserve">Checkbox: </t>
    </r>
    <r>
      <rPr>
        <rFont val="Fira Sans Extra Condensed"/>
        <color theme="1"/>
        <sz val="10.0"/>
      </rPr>
      <t xml:space="preserve">Debe tener un elemento que permita seleccionar la funcionalidad
</t>
    </r>
    <r>
      <rPr>
        <rFont val="Fira Sans Extra Condensed"/>
        <b/>
        <color theme="1"/>
        <sz val="10.0"/>
      </rPr>
      <t xml:space="preserve">Transferencias Regionales entre Cuentas Davivienda Propias. </t>
    </r>
    <r>
      <rPr>
        <rFont val="Fira Sans Extra Condensed"/>
        <color theme="1"/>
        <sz val="10.0"/>
      </rPr>
      <t xml:space="preserve">
(Aplica Elemento para asignar límite)
</t>
    </r>
    <r>
      <rPr>
        <rFont val="Fira Sans Extra Condensed"/>
        <b/>
        <color theme="1"/>
        <sz val="10.0"/>
      </rPr>
      <t xml:space="preserve">Transferencias Regionales a Cuentas Davivienda de Terceros. </t>
    </r>
    <r>
      <rPr>
        <rFont val="Fira Sans Extra Condensed"/>
        <color theme="1"/>
        <sz val="10.0"/>
      </rPr>
      <t xml:space="preserve">
(Aplica Elemento para asignar límite)
</t>
    </r>
    <r>
      <rPr>
        <rFont val="Fira Sans Extra Condensed"/>
        <b/>
        <color theme="1"/>
        <sz val="10.0"/>
      </rPr>
      <t xml:space="preserve">Destinos Autorizados. </t>
    </r>
    <r>
      <rPr>
        <rFont val="Fira Sans Extra Condensed"/>
        <color theme="1"/>
        <sz val="10.0"/>
      </rPr>
      <t xml:space="preserve">
Esta funcionalidad únicamente se muestra si fue seleccionada desde el control center
(Si se selecciona únicamente la funcionalidad de destinos autorizados no requiere la asignación de un grupo de productos teniendo en cuenta la naturaleza de funcionalidad, únicamente será obligatorio si desde el control center fue parametrizada la opción para que los destinos autorizados queden ligados a un número de producto origen)</t>
    </r>
  </si>
  <si>
    <t>- Selección de funcionalidad y límite monetario para esquema de firmas</t>
  </si>
  <si>
    <t>- Campo obligatorio
- Si no selecciona ninguna funcionalidad no debe permitir continuar al siguiente paso</t>
  </si>
  <si>
    <t>Selección de funcionalidades de forma correcta</t>
  </si>
  <si>
    <t>Cliente poseea funcionalidades asignadas y haber marcado al menos un tipo de transferencia</t>
  </si>
  <si>
    <r>
      <rPr>
        <rFont val="Fira Sans Extra Condensed"/>
        <color theme="1"/>
        <sz val="10.0"/>
      </rPr>
      <t>Una vez el usuario seleccione la funcionalidad transaccional debe actualizar la pantalla mostrando una opción para</t>
    </r>
    <r>
      <rPr>
        <rFont val="Fira Sans Extra Condensed"/>
        <b/>
        <color theme="1"/>
        <sz val="10.0"/>
      </rPr>
      <t xml:space="preserve"> “asignar límites” </t>
    </r>
    <r>
      <rPr>
        <rFont val="Fira Sans Extra Condensed"/>
        <color theme="1"/>
        <sz val="10.0"/>
      </rPr>
      <t xml:space="preserve">:
</t>
    </r>
    <r>
      <rPr>
        <rFont val="Fira Sans Extra Condensed"/>
        <b/>
        <color theme="1"/>
        <sz val="10.0"/>
      </rPr>
      <t>Límite transaccional:</t>
    </r>
    <r>
      <rPr>
        <rFont val="Fira Sans Extra Condensed"/>
        <color theme="1"/>
        <sz val="10.0"/>
      </rPr>
      <t xml:space="preserve"> El sistema debe permitir elegir al usuario administrador si desea  colocar o no un límite transaccional a la funcionalidades monetarias habilitadas (Transferencias a cuentas propias y a terceros). al dar clic actualiza la pantalla así:
</t>
    </r>
    <r>
      <rPr>
        <rFont val="Fira Sans Extra Condensed"/>
        <b/>
        <color theme="1"/>
        <sz val="10.0"/>
      </rPr>
      <t>Título:</t>
    </r>
    <r>
      <rPr>
        <rFont val="Fira Sans Extra Condensed"/>
        <color theme="1"/>
        <sz val="10.0"/>
      </rPr>
      <t xml:space="preserve"> Límites transaccionales
</t>
    </r>
    <r>
      <rPr>
        <rFont val="Fira Sans Extra Condensed"/>
        <b/>
        <color theme="1"/>
        <sz val="10.0"/>
      </rPr>
      <t>Elemento para cerrar “x”</t>
    </r>
    <r>
      <rPr>
        <rFont val="Fira Sans Extra Condensed"/>
        <color theme="1"/>
        <sz val="10.0"/>
      </rPr>
      <t xml:space="preserve">
</t>
    </r>
    <r>
      <rPr>
        <rFont val="Fira Sans Extra Condensed"/>
        <b/>
        <color theme="1"/>
        <sz val="10.0"/>
      </rPr>
      <t xml:space="preserve">Descripción: </t>
    </r>
    <r>
      <rPr>
        <rFont val="Fira Sans Extra Condensed"/>
        <color theme="1"/>
        <sz val="10.0"/>
      </rPr>
      <t xml:space="preserve">El límite transaccional del canal es de $10.000.000 USD. Si desea aumentarlo, comuníquese con su ejecutivo comercial. Tenga en cuenta que las transacciones se realizan en dólares americanos, por lo que si usa otra moneda se convertirá a dólares.
Una vez el usuario desea asignar un límite el usuario deberá confirmar si requiere asignar un límite  diario, semanal o mensual. Las cuales deben tener cada una opción de seleccionar si quiere asignar o no un límite monetario el cual debe registrarse en dólar americano. </t>
    </r>
  </si>
  <si>
    <t>- Campo obligatorio</t>
  </si>
  <si>
    <t>Asignación de límite monetario exitosamente</t>
  </si>
  <si>
    <r>
      <rPr>
        <rFont val="Fira Sans Extra Condensed"/>
        <b/>
        <color theme="1"/>
        <sz val="10.0"/>
      </rPr>
      <t>Reglas de límites:</t>
    </r>
    <r>
      <rPr>
        <rFont val="Fira Sans Extra Condensed"/>
        <color theme="1"/>
        <sz val="10.0"/>
      </rPr>
      <t xml:space="preserve">
El usuario podrá seleccionar si quiere un límite diario, semanal y/o mensual, es decir podrá combinar las tres opciones o si lo requiere seleccionar una única opción es posible. 
Cada opción permite ingresar un valor máximo en dólares americanos. 
Si realiza combinación de límite el canal debe permitir asignar únicamente valores que respeten la jerarquía de Mes/Semana/día, es decir si intenta colocar un valor superior en el diario que en el semanal o mensual el canal debe mostrar mensaje:
-  “El monto semanal no debe superar al mensual”
-  “El monto diario no debe superar el semanal”
-  “El monto diario no debe superar al mensual”
En la parte inferior de la pantalla se habilitar el siguiente botón únicamente si fue ingresado algún valor 
</t>
    </r>
    <r>
      <rPr>
        <rFont val="Fira Sans Extra Condensed"/>
        <b/>
        <color theme="1"/>
        <sz val="10.0"/>
      </rPr>
      <t xml:space="preserve">
Confirmar: </t>
    </r>
    <r>
      <rPr>
        <rFont val="Fira Sans Extra Condensed"/>
        <color theme="1"/>
        <sz val="10.0"/>
      </rPr>
      <t>Una vez el usuario asigne el límite de acuerdo a la funcionalidad requerida  y de clic sobre este botón se actualizará la pantalla mostrando un resumen de las funcionalidades seleccionadas y los límites asignados en caso que haya sido asignado.</t>
    </r>
  </si>
  <si>
    <t>Establecer la periodicidad de los límites monetarios y realizar validación de las reglas</t>
  </si>
  <si>
    <t>- Sino hace clic en confirmar no debe continuar al siguiente campo</t>
  </si>
  <si>
    <t>Validación de reglas de acuerdo a lo parametrizado</t>
  </si>
  <si>
    <r>
      <rPr>
        <rFont val="Fira Sans Extra Condensed"/>
        <color theme="1"/>
        <sz val="10.0"/>
      </rPr>
      <t xml:space="preserve">Una vez asignadas la sección de funcionalidades el canal habilita la siguiente opción para “continuar” con la asignación del Esquema de firma así:
</t>
    </r>
    <r>
      <rPr>
        <rFont val="Fira Sans Extra Condensed"/>
        <b/>
        <color theme="1"/>
        <sz val="10.0"/>
      </rPr>
      <t xml:space="preserve">Selección Grupo de Productos: </t>
    </r>
    <r>
      <rPr>
        <rFont val="Fira Sans Extra Condensed"/>
        <color theme="1"/>
        <sz val="10.0"/>
      </rPr>
      <t xml:space="preserve">
</t>
    </r>
    <r>
      <rPr>
        <rFont val="Fira Sans Extra Condensed"/>
        <b/>
        <color theme="1"/>
        <sz val="10.0"/>
      </rPr>
      <t xml:space="preserve">El canal debe permitir realizar la asignación de grupos de productos creados previamente al esquema de firma que está creando así: 
</t>
    </r>
    <r>
      <rPr>
        <rFont val="Fira Sans Extra Condensed"/>
        <color theme="1"/>
        <sz val="10.0"/>
      </rPr>
      <t xml:space="preserve">
</t>
    </r>
    <r>
      <rPr>
        <rFont val="Fira Sans Extra Condensed"/>
        <b/>
        <color theme="1"/>
        <sz val="10.0"/>
      </rPr>
      <t xml:space="preserve">Título: </t>
    </r>
    <r>
      <rPr>
        <rFont val="Fira Sans Extra Condensed"/>
        <color theme="1"/>
        <sz val="10.0"/>
      </rPr>
      <t xml:space="preserve">Grupos del esquema
</t>
    </r>
    <r>
      <rPr>
        <rFont val="Fira Sans Extra Condensed"/>
        <b/>
        <color theme="1"/>
        <sz val="10.0"/>
      </rPr>
      <t>Elemento para regresar</t>
    </r>
    <r>
      <rPr>
        <rFont val="Fira Sans Extra Condensed"/>
        <color theme="1"/>
        <sz val="10.0"/>
      </rPr>
      <t xml:space="preserve">
</t>
    </r>
    <r>
      <rPr>
        <rFont val="Fira Sans Extra Condensed"/>
        <b/>
        <color theme="1"/>
        <sz val="10.0"/>
      </rPr>
      <t xml:space="preserve">Descripción: </t>
    </r>
    <r>
      <rPr>
        <rFont val="Fira Sans Extra Condensed"/>
        <color theme="1"/>
        <sz val="10.0"/>
      </rPr>
      <t xml:space="preserve">Agregue los grupos de productos que se pueden autorizar con este esquema
</t>
    </r>
    <r>
      <rPr>
        <rFont val="Fira Sans Extra Condensed"/>
        <b/>
        <color theme="1"/>
        <sz val="10.0"/>
      </rPr>
      <t xml:space="preserve">Subtitulo: </t>
    </r>
    <r>
      <rPr>
        <rFont val="Fira Sans Extra Condensed"/>
        <color theme="1"/>
        <sz val="10.0"/>
      </rPr>
      <t xml:space="preserve">Grupos de productos
</t>
    </r>
    <r>
      <rPr>
        <rFont val="Fira Sans Extra Condensed"/>
        <b/>
        <color theme="1"/>
        <sz val="10.0"/>
      </rPr>
      <t xml:space="preserve">Descripción: </t>
    </r>
    <r>
      <rPr>
        <rFont val="Fira Sans Extra Condensed"/>
        <color theme="1"/>
        <sz val="10.0"/>
      </rPr>
      <t xml:space="preserve">Lo usuarios podrán acceder a los grupos de productos que agregue a este esquema
Si el usuario no ha agregado información se muestra el mensaje “Este esquema no tiene grupos. Por favor agréguelos”
</t>
    </r>
    <r>
      <rPr>
        <rFont val="Fira Sans Extra Condensed"/>
        <b/>
        <color theme="1"/>
        <sz val="10.0"/>
      </rPr>
      <t xml:space="preserve">Botón Agregar: </t>
    </r>
    <r>
      <rPr>
        <rFont val="Fira Sans Extra Condensed"/>
        <color theme="1"/>
        <sz val="10.0"/>
      </rPr>
      <t xml:space="preserve">Se habilita si no ha agregado ningún grupo.
</t>
    </r>
    <r>
      <rPr>
        <rFont val="Fira Sans Extra Condensed"/>
        <b/>
        <color theme="1"/>
        <sz val="10.0"/>
      </rPr>
      <t xml:space="preserve">Botón Continuar: </t>
    </r>
    <r>
      <rPr>
        <rFont val="Fira Sans Extra Condensed"/>
        <color theme="1"/>
        <sz val="10.0"/>
      </rPr>
      <t xml:space="preserve">Se habilita solo si agregó al menos un grupo de productos. </t>
    </r>
  </si>
  <si>
    <t>Asignación de productos para la creación de esquema de firmas.</t>
  </si>
  <si>
    <t>- Campos Obligatorios</t>
  </si>
  <si>
    <t>Selección de grupos de productos correctamente.</t>
  </si>
  <si>
    <t xml:space="preserve">Asignación de productos </t>
  </si>
  <si>
    <t>Cliente posea grupo de productos asignados</t>
  </si>
  <si>
    <r>
      <rPr>
        <rFont val="Fira Sans Extra Condensed"/>
        <color theme="1"/>
        <sz val="10.0"/>
      </rPr>
      <t xml:space="preserve">Si el usuario da clic al botón de “agregar” actualiza la pantalla así:
</t>
    </r>
    <r>
      <rPr>
        <rFont val="Fira Sans Extra Condensed"/>
        <b/>
        <color theme="1"/>
        <sz val="10.0"/>
      </rPr>
      <t xml:space="preserve">Agregar Grupos: </t>
    </r>
    <r>
      <rPr>
        <rFont val="Fira Sans Extra Condensed"/>
        <color theme="1"/>
        <sz val="10.0"/>
      </rPr>
      <t xml:space="preserve">
Una vez el usuario de clic, actualizará la pantalla y el usuario tendrá la opción de seleccionar uno, varios o todos los grupos de productos creados, se presentarán los grupos de productos creados, la información que permite visualizar es: 
</t>
    </r>
    <r>
      <rPr>
        <rFont val="Fira Sans Extra Condensed"/>
        <b/>
        <color theme="1"/>
        <sz val="10.0"/>
      </rPr>
      <t xml:space="preserve">
Título:</t>
    </r>
    <r>
      <rPr>
        <rFont val="Fira Sans Extra Condensed"/>
        <color theme="1"/>
        <sz val="10.0"/>
      </rPr>
      <t xml:space="preserve"> Grupo de productos
</t>
    </r>
    <r>
      <rPr>
        <rFont val="Fira Sans Extra Condensed"/>
        <b/>
        <color theme="1"/>
        <sz val="10.0"/>
      </rPr>
      <t>Elemento para regresar</t>
    </r>
    <r>
      <rPr>
        <rFont val="Fira Sans Extra Condensed"/>
        <color theme="1"/>
        <sz val="10.0"/>
      </rPr>
      <t xml:space="preserve">
</t>
    </r>
    <r>
      <rPr>
        <rFont val="Fira Sans Extra Condensed"/>
        <b/>
        <color theme="1"/>
        <sz val="10.0"/>
      </rPr>
      <t xml:space="preserve">Descripción: </t>
    </r>
    <r>
      <rPr>
        <rFont val="Fira Sans Extra Condensed"/>
        <color theme="1"/>
        <sz val="10.0"/>
      </rPr>
      <t>Aquí puede agregar los grupos a los que tendrá acceso este usuario. Para facilitar su gestión, puede usar el buscador o los filtros presentados.</t>
    </r>
  </si>
  <si>
    <t>Agregar grupos al esquema de firmas</t>
  </si>
  <si>
    <t>Adición de grupos de productos correctamente.</t>
  </si>
  <si>
    <r>
      <rPr>
        <rFont val="Fira Sans Extra Condensed"/>
        <b/>
        <color theme="1"/>
        <sz val="10.0"/>
      </rPr>
      <t xml:space="preserve">Resultado consulta:  </t>
    </r>
    <r>
      <rPr>
        <rFont val="Fira Sans Extra Condensed"/>
        <color theme="1"/>
        <sz val="10.0"/>
      </rPr>
      <t xml:space="preserve">
Una vez el usuario esté en la opción de consultas visualizará en esta pantalla el resultado de las consultas de grupos de productos creados previamente. Los títulos de las columnas del resultado de productos son: 
</t>
    </r>
    <r>
      <rPr>
        <rFont val="Fira Sans Extra Condensed"/>
        <b/>
        <color theme="1"/>
        <sz val="10.0"/>
      </rPr>
      <t>Checkbox</t>
    </r>
    <r>
      <rPr>
        <rFont val="Fira Sans Extra Condensed"/>
        <color theme="1"/>
        <sz val="10.0"/>
      </rPr>
      <t xml:space="preserve">: Se debe mostrar esta opción que permite seleccionar un registro de manera individual o masiva. 
</t>
    </r>
    <r>
      <rPr>
        <rFont val="Fira Sans Extra Condensed"/>
        <b/>
        <color theme="1"/>
        <sz val="10.0"/>
      </rPr>
      <t xml:space="preserve">Nombre del grupo: </t>
    </r>
    <r>
      <rPr>
        <rFont val="Fira Sans Extra Condensed"/>
        <color theme="1"/>
        <sz val="10.0"/>
      </rPr>
      <t xml:space="preserve">Se debe mostrar el nombre con el que se creó  grupo ejemplo: “Tesorería Honduras” en caso que el grupo de productos haya sido marcado como “destacado” una estrella debe aparecer al lado del nombre. los grupos marcados como “destacados” debe visualizarse en la parte superior del resultado, La marcación de un grupo cómo destacado podrá ser realizada al consultar un grupo puntual. 
</t>
    </r>
    <r>
      <rPr>
        <rFont val="Fira Sans Extra Condensed"/>
        <b/>
        <color theme="1"/>
        <sz val="10.0"/>
      </rPr>
      <t xml:space="preserve">País: </t>
    </r>
    <r>
      <rPr>
        <rFont val="Fira Sans Extra Condensed"/>
        <color theme="1"/>
        <sz val="10.0"/>
      </rPr>
      <t xml:space="preserve">El canal debe mostrar las banderas de los productos que se encuentran incluidos en el grupo.
</t>
    </r>
    <r>
      <rPr>
        <rFont val="Fira Sans Extra Condensed"/>
        <b/>
        <color theme="1"/>
        <sz val="10.0"/>
      </rPr>
      <t>Empresas</t>
    </r>
    <r>
      <rPr>
        <rFont val="Fira Sans Extra Condensed"/>
        <color theme="1"/>
        <sz val="10.0"/>
      </rPr>
      <t xml:space="preserve">: Se deben visualizar el número del total de  las empresas de los productos que se encuentran incluidos en el grupo de productos. 
</t>
    </r>
    <r>
      <rPr>
        <rFont val="Fira Sans Extra Condensed"/>
        <b/>
        <color theme="1"/>
        <sz val="10.0"/>
      </rPr>
      <t>Accionables:</t>
    </r>
    <r>
      <rPr>
        <rFont val="Fira Sans Extra Condensed"/>
        <color theme="1"/>
        <sz val="10.0"/>
      </rPr>
      <t xml:space="preserve"> permite al usuario seleccionar si requiere ver un mayor detalle o descargar un grupo de productos creado previamente.
</t>
    </r>
    <r>
      <rPr>
        <rFont val="Fira Sans Extra Condensed"/>
        <b/>
        <color theme="1"/>
        <sz val="10.0"/>
      </rPr>
      <t xml:space="preserve">Paginación: </t>
    </r>
    <r>
      <rPr>
        <rFont val="Fira Sans Extra Condensed"/>
        <color theme="1"/>
        <sz val="10.0"/>
      </rPr>
      <t>Teniendo en cuenta que la experiencia de paginación es transversal en caso que el resultado de la consulta tenga más de 50 registros debe incluir una paginación.</t>
    </r>
  </si>
  <si>
    <t>Validar el detalle del resultado del nombre del grupo</t>
  </si>
  <si>
    <t>Consulta de grupo exitosa</t>
  </si>
  <si>
    <t xml:space="preserve">Búsqueda avanzada de productos </t>
  </si>
  <si>
    <r>
      <rPr>
        <rFont val="Fira Sans Extra Condensed"/>
        <b/>
        <color theme="1"/>
        <sz val="10.0"/>
      </rPr>
      <t xml:space="preserve">Búsqueda avanzada de productos: </t>
    </r>
    <r>
      <rPr>
        <rFont val="Fira Sans Extra Condensed"/>
        <color theme="1"/>
        <sz val="10.0"/>
      </rPr>
      <t xml:space="preserve">
El canal debe permitir al usuario buscar productos por las siguientes opciones:
</t>
    </r>
    <r>
      <rPr>
        <rFont val="Fira Sans Extra Condensed"/>
        <b/>
        <color theme="1"/>
        <sz val="10.0"/>
      </rPr>
      <t xml:space="preserve">
Elemento “Buscar": </t>
    </r>
    <r>
      <rPr>
        <rFont val="Fira Sans Extra Condensed"/>
        <color theme="1"/>
        <sz val="10.0"/>
      </rPr>
      <t xml:space="preserve">Al dar clic se debe habilitar una barra de búsqueda que permite al usuario ingresar el nombre del Grupo de producto,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
</t>
    </r>
    <r>
      <rPr>
        <rFont val="Fira Sans Extra Condensed"/>
        <b/>
        <color theme="1"/>
        <sz val="10.0"/>
      </rPr>
      <t xml:space="preserve">Elemento “Filtrar”: </t>
    </r>
    <r>
      <rPr>
        <rFont val="Fira Sans Extra Condensed"/>
        <color theme="1"/>
        <sz val="10.0"/>
      </rPr>
      <t xml:space="preserve">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t>
    </r>
    <r>
      <rPr>
        <rFont val="Fira Sans Extra Condensed"/>
        <color theme="1"/>
        <sz val="10.0"/>
      </rPr>
      <t xml:space="preserve">: Filtrar
</t>
    </r>
    <r>
      <rPr>
        <rFont val="Fira Sans Extra Condensed"/>
        <b/>
        <color theme="1"/>
        <sz val="10.0"/>
      </rPr>
      <t xml:space="preserve">Botón “x”: </t>
    </r>
    <r>
      <rPr>
        <rFont val="Fira Sans Extra Condensed"/>
        <color theme="1"/>
        <sz val="10.0"/>
      </rPr>
      <t xml:space="preserve">Regresa a la pantalla anterior. 
</t>
    </r>
    <r>
      <rPr>
        <rFont val="Fira Sans Extra Condensed"/>
        <b/>
        <color theme="1"/>
        <sz val="10.0"/>
      </rPr>
      <t>Texto</t>
    </r>
    <r>
      <rPr>
        <rFont val="Fira Sans Extra Condensed"/>
        <color theme="1"/>
        <sz val="10.0"/>
      </rPr>
      <t xml:space="preserve">: Aplique las opciones de filtrado que desea:
</t>
    </r>
    <r>
      <rPr>
        <rFont val="Fira Sans Extra Condensed"/>
        <b/>
        <color theme="1"/>
        <sz val="10.0"/>
      </rPr>
      <t>Países:</t>
    </r>
    <r>
      <rPr>
        <rFont val="Fira Sans Extra Condensed"/>
        <color theme="1"/>
        <sz val="10.0"/>
      </rPr>
      <t xml:space="preserve"> permite seleccionar uno o todos los países, la opción que aquí se muestre dependerá de donde el grupo tenga presencia mostrando únicamente los países donde tiene productos.
</t>
    </r>
    <r>
      <rPr>
        <rFont val="Fira Sans Extra Condensed"/>
        <b/>
        <color theme="1"/>
        <sz val="10.0"/>
      </rPr>
      <t>Empresa:</t>
    </r>
    <r>
      <rPr>
        <rFont val="Fira Sans Extra Condensed"/>
        <color theme="1"/>
        <sz val="10.0"/>
      </rPr>
      <t xml:space="preserve"> Permite seleccionar una o todas las empresas del grupo de acuerdo a la selección de empresas que conforman el grupo de productos. 
</t>
    </r>
    <r>
      <rPr>
        <rFont val="Fira Sans Extra Condensed"/>
        <b/>
        <color theme="1"/>
        <sz val="10.0"/>
      </rPr>
      <t xml:space="preserve">En la parte inferior deben estar las opciones: “Borrar” y “aplicar” 
</t>
    </r>
    <r>
      <rPr>
        <rFont val="Fira Sans Extra Condensed"/>
        <color theme="1"/>
        <sz val="10.0"/>
      </rPr>
      <t xml:space="preserve">
</t>
    </r>
    <r>
      <rPr>
        <rFont val="Fira Sans Extra Condensed"/>
        <b/>
        <color theme="1"/>
        <sz val="10.0"/>
      </rPr>
      <t>Botón “Borrar":</t>
    </r>
    <r>
      <rPr>
        <rFont val="Fira Sans Extra Condensed"/>
        <color theme="1"/>
        <sz val="10.0"/>
      </rPr>
      <t xml:space="preserve"> al dar clic debe eliminar los filtros de búsqueda ingresados por el usuario. 
</t>
    </r>
    <r>
      <rPr>
        <rFont val="Fira Sans Extra Condensed"/>
        <b/>
        <color theme="1"/>
        <sz val="10.0"/>
      </rPr>
      <t xml:space="preserve">Botón “Aplicar”: </t>
    </r>
    <r>
      <rPr>
        <rFont val="Fira Sans Extra Condensed"/>
        <color theme="1"/>
        <sz val="10.0"/>
      </rPr>
      <t xml:space="preserve">Al dar clic el canal actualiza la pantalla donde muestra los grupos de productos, mostrando como resultado únicamente los grupos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t>
    </r>
  </si>
  <si>
    <t>Búsqueda de productos utilizando filtros</t>
  </si>
  <si>
    <t>- La búsqueda de datos puede ser por medio de coincidencias o colocando el nombre exacto en cada campo</t>
  </si>
  <si>
    <t>Mostrar información de acuerdo a los filtros utilizados.</t>
  </si>
  <si>
    <t>- Realizar busqueda y no encontrar resultados</t>
  </si>
  <si>
    <t>Mostrar mensaje informativo de acuerdo al catálogo de errores.</t>
  </si>
  <si>
    <t>Resumen del grupo de productos</t>
  </si>
  <si>
    <r>
      <rPr>
        <rFont val="Fira Sans Extra Condensed"/>
        <b/>
        <color theme="1"/>
        <sz val="10.0"/>
      </rPr>
      <t xml:space="preserve"> Detallar: 
</t>
    </r>
    <r>
      <rPr>
        <rFont val="Fira Sans Extra Condensed"/>
        <color theme="1"/>
        <sz val="10.0"/>
      </rPr>
      <t xml:space="preserve">Al dar clic en esta opción se debe visualizar de manera detallada el resumen del grupo de producto seleccionado, el usuario no podrá editar ni eliminar productos, únicamente podrá visualizar así:
</t>
    </r>
    <r>
      <rPr>
        <rFont val="Fira Sans Extra Condensed"/>
        <b/>
        <color theme="1"/>
        <sz val="10.0"/>
      </rPr>
      <t xml:space="preserve">Título: </t>
    </r>
    <r>
      <rPr>
        <rFont val="Fira Sans Extra Condensed"/>
        <color theme="1"/>
        <sz val="10.0"/>
      </rPr>
      <t xml:space="preserve">Detalle del grupo de producto
</t>
    </r>
    <r>
      <rPr>
        <rFont val="Fira Sans Extra Condensed"/>
        <b/>
        <color theme="1"/>
        <sz val="10.0"/>
      </rPr>
      <t xml:space="preserve">Elemento regresar: </t>
    </r>
    <r>
      <rPr>
        <rFont val="Fira Sans Extra Condensed"/>
        <color theme="1"/>
        <sz val="10.0"/>
      </rPr>
      <t xml:space="preserve">Debe existir un botón o elemento que le permita al usuario regresar a la pantalla anterior en cualquier momento.
</t>
    </r>
    <r>
      <rPr>
        <rFont val="Fira Sans Extra Condensed"/>
        <b/>
        <color theme="1"/>
        <sz val="10.0"/>
      </rPr>
      <t>Nombre del Grupo:</t>
    </r>
    <r>
      <rPr>
        <rFont val="Fira Sans Extra Condensed"/>
        <color theme="1"/>
        <sz val="10.0"/>
      </rPr>
      <t xml:space="preserve"> Se debe mostrar el nombre del grupo de producto ingresado en la creación.</t>
    </r>
  </si>
  <si>
    <t>- Visualización del detalle de los grupos de productos</t>
  </si>
  <si>
    <t>- Detalle en formato lectura</t>
  </si>
  <si>
    <t>- Ingreso al detalle de grupo de productos</t>
  </si>
  <si>
    <r>
      <rPr>
        <rFont val="Fira Sans Extra Condensed"/>
        <b/>
        <color theme="1"/>
        <sz val="10.0"/>
      </rPr>
      <t>Resumen:</t>
    </r>
    <r>
      <rPr>
        <rFont val="Fira Sans Extra Condensed"/>
        <color theme="1"/>
        <sz val="10.0"/>
      </rPr>
      <t xml:space="preserve"> Teniendo en cuenta que este paso es la “confirmación” el canal deberá mostrar un resumen general de las características principales de los productos seleccionados en el paso anterior, el cuadro deberá informar: 
</t>
    </r>
    <r>
      <rPr>
        <rFont val="Fira Sans Extra Condensed"/>
        <b/>
        <color theme="1"/>
        <sz val="10.0"/>
      </rPr>
      <t>Países:</t>
    </r>
    <r>
      <rPr>
        <rFont val="Fira Sans Extra Condensed"/>
        <color theme="1"/>
        <sz val="10.0"/>
      </rPr>
      <t xml:space="preserve"> Banderas origen de los países de los productos que conforman el grupo de producto.
</t>
    </r>
    <r>
      <rPr>
        <rFont val="Fira Sans Extra Condensed"/>
        <b/>
        <color theme="1"/>
        <sz val="10.0"/>
      </rPr>
      <t>Empresas:</t>
    </r>
    <r>
      <rPr>
        <rFont val="Fira Sans Extra Condensed"/>
        <color theme="1"/>
        <sz val="10.0"/>
      </rPr>
      <t xml:space="preserve"> Número del total de empresas que conforman el grupo de productos.
</t>
    </r>
    <r>
      <rPr>
        <rFont val="Fira Sans Extra Condensed"/>
        <b/>
        <color theme="1"/>
        <sz val="10.0"/>
      </rPr>
      <t>Productos</t>
    </r>
    <r>
      <rPr>
        <rFont val="Fira Sans Extra Condensed"/>
        <color theme="1"/>
        <sz val="10.0"/>
      </rPr>
      <t xml:space="preserve">: Número del total de productos seleccionados en el paso anterior.
</t>
    </r>
    <r>
      <rPr>
        <rFont val="Fira Sans Extra Condensed"/>
        <b/>
        <color theme="1"/>
        <sz val="10.0"/>
      </rPr>
      <t>Tipo Productos:</t>
    </r>
    <r>
      <rPr>
        <rFont val="Fira Sans Extra Condensed"/>
        <color theme="1"/>
        <sz val="10.0"/>
      </rPr>
      <t xml:space="preserve"> nombre del tipo de productos, ejemplo: Cuentas de ahorros / Cuenta Corriente. </t>
    </r>
  </si>
  <si>
    <t>- Visualizar resumen de grupo de productos</t>
  </si>
  <si>
    <t>- Datos mostrados en forma lectura</t>
  </si>
  <si>
    <t>- Visualización de la información en modo lectura.</t>
  </si>
  <si>
    <r>
      <rPr>
        <rFont val="Fira Sans Extra Condensed"/>
        <b/>
        <color theme="1"/>
        <sz val="10.0"/>
      </rPr>
      <t>Productos Seleccionados:</t>
    </r>
    <r>
      <rPr>
        <rFont val="Fira Sans Extra Condensed"/>
        <color theme="1"/>
        <sz val="10.0"/>
      </rPr>
      <t xml:space="preserve"> En la pantalla el canal mostrará la información de los productos seleccionados en el mismo orden del paso anterior agrupando la información por tipo de productos. 
</t>
    </r>
    <r>
      <rPr>
        <rFont val="Fira Sans Extra Condensed"/>
        <b/>
        <color theme="1"/>
        <sz val="10.0"/>
      </rPr>
      <t xml:space="preserve">País: </t>
    </r>
    <r>
      <rPr>
        <rFont val="Fira Sans Extra Condensed"/>
        <color theme="1"/>
        <sz val="10.0"/>
      </rPr>
      <t xml:space="preserve">Se debe mostrar la bandera del país origen al que pertenece el producto seleccionado. 
</t>
    </r>
    <r>
      <rPr>
        <rFont val="Fira Sans Extra Condensed"/>
        <b/>
        <color theme="1"/>
        <sz val="10.0"/>
      </rPr>
      <t xml:space="preserve">Empresa: </t>
    </r>
    <r>
      <rPr>
        <rFont val="Fira Sans Extra Condensed"/>
        <color theme="1"/>
        <sz val="10.0"/>
      </rPr>
      <t xml:space="preserve">Se debe mostrar la empresa a la que pertenece el producto seleccionado.
</t>
    </r>
    <r>
      <rPr>
        <rFont val="Fira Sans Extra Condensed"/>
        <b/>
        <color theme="1"/>
        <sz val="10.0"/>
      </rPr>
      <t xml:space="preserve">Nombre del producto: </t>
    </r>
    <r>
      <rPr>
        <rFont val="Fira Sans Extra Condensed"/>
        <color theme="1"/>
        <sz val="10.0"/>
      </rPr>
      <t xml:space="preserve">Se debe mostrar el nombre o alias del producto seleccionado
</t>
    </r>
    <r>
      <rPr>
        <rFont val="Fira Sans Extra Condensed"/>
        <b/>
        <color theme="1"/>
        <sz val="10.0"/>
      </rPr>
      <t xml:space="preserve">Tipo de Producto: </t>
    </r>
    <r>
      <rPr>
        <rFont val="Fira Sans Extra Condensed"/>
        <color theme="1"/>
        <sz val="10.0"/>
      </rPr>
      <t xml:space="preserve">Se debe presentar la naturaleza del producto seleccionado.
</t>
    </r>
    <r>
      <rPr>
        <rFont val="Fira Sans Extra Condensed"/>
        <b/>
        <color theme="1"/>
        <sz val="10.0"/>
      </rPr>
      <t>Número del Producto:</t>
    </r>
    <r>
      <rPr>
        <rFont val="Fira Sans Extra Condensed"/>
        <color theme="1"/>
        <sz val="10.0"/>
      </rPr>
      <t xml:space="preserve"> Se debe presentar el número de producto seleccionado enmascarado.</t>
    </r>
  </si>
  <si>
    <r>
      <rPr>
        <rFont val="Fira Sans Extra Condensed"/>
        <b/>
        <color theme="1"/>
        <sz val="10.0"/>
      </rPr>
      <t>Paginación:</t>
    </r>
    <r>
      <rPr>
        <rFont val="Fira Sans Extra Condensed"/>
        <color theme="1"/>
        <sz val="10.0"/>
      </rPr>
      <t xml:space="preserve"> En la pantalla se debe presentar la paginación mostrando el número de páginas totales que arroja el resultado, la paginación debe tener las siguientes características teniendo en cuenta que es una experiencia transversal en varias experiencias.
Al dar clic en esta opción se debe visualizar de manera detallada el resumen del grupo de producto seleccionado, mostrando en la parte superior el nombre del grupo, y en la parte inferior el detalle de los productos asignados al grupo por tipo de producto (Para el MVP únicamente se mostrará cuentas ahorros y corriente) con la siguiente información del producto: País (con la bandera del país al que pertenece y las iniciales del mismo), Empresa (Nombre de la empresa a la que pertenece el producto), Alias (Nombre asignado a la cuenta) Número de producto (se mostrará de manera enmascarada el número del producto, visualizando únicamente los últimos 4 dígitos) en la parte inferior se deben habilitar los siguientes botones:
</t>
    </r>
    <r>
      <rPr>
        <rFont val="Fira Sans Extra Condensed"/>
        <b/>
        <color theme="1"/>
        <sz val="10.0"/>
      </rPr>
      <t xml:space="preserve">Regresar: </t>
    </r>
    <r>
      <rPr>
        <rFont val="Fira Sans Extra Condensed"/>
        <color theme="1"/>
        <sz val="10.0"/>
      </rPr>
      <t>una vez el usuario de clic en esta opción regresará a la pantalla anterior.</t>
    </r>
  </si>
  <si>
    <t>- La paginación se debe presentar en la parte superior del resultado, se presentará hasta 50 registros por página, de acuerdo la información obtenida del resultado de la consulta, para llegar a la parte inferior el usuario podrá usar el scroll y el teclado.</t>
  </si>
  <si>
    <t>- Mostrar paginación a partir de los 50 registros</t>
  </si>
  <si>
    <r>
      <rPr>
        <rFont val="Fira Sans Extra Condensed"/>
        <b/>
        <color theme="1"/>
        <sz val="10.0"/>
      </rPr>
      <t xml:space="preserve">Agregar Grupos: </t>
    </r>
    <r>
      <rPr>
        <rFont val="Fira Sans Extra Condensed"/>
        <color theme="1"/>
        <sz val="10.0"/>
      </rPr>
      <t xml:space="preserve">
Este botón únicamente se habilita si el usuario selecciona al menos un grupo de productos seleccionado desde el checkbox, La pantalla se actualizará mostrando un resumen de la selección realizada por el usuario de los grupos de productos seleccionados manteniendo las mismas características de visualización de detalle general 
Número de grupos agregados
Número y países que fueron agregados, se muestra colapsado al dar clic permite ver el nombre de los países.
Número de empresas asignadas, se muestra colapsado al dar clic permite ver el nombre de las empresas
Número de total de productos asignados al usuario
</t>
    </r>
  </si>
  <si>
    <t>- Accesibilidad del botón agregar</t>
  </si>
  <si>
    <t>- Visualización del botón para agregar grupos.</t>
  </si>
  <si>
    <t>Resumen y Confirmación Esquema de Firma:</t>
  </si>
  <si>
    <t>Cliente posea Tipo de esquema, límites, funcionalidades y grupos de productos</t>
  </si>
  <si>
    <r>
      <rPr>
        <rFont val="Fira Sans Extra Condensed"/>
        <color theme="1"/>
        <sz val="10.0"/>
      </rPr>
      <t xml:space="preserve">Aquí el usuario tendrá de manera visual y no editable visual de la información ingresada en los pasos anteriores así: 
</t>
    </r>
    <r>
      <rPr>
        <rFont val="Fira Sans Extra Condensed"/>
        <b/>
        <color theme="1"/>
        <sz val="10.0"/>
      </rPr>
      <t xml:space="preserve">Pantalla Resumen: </t>
    </r>
    <r>
      <rPr>
        <rFont val="Fira Sans Extra Condensed"/>
        <color theme="1"/>
        <sz val="10.0"/>
      </rPr>
      <t xml:space="preserve">
</t>
    </r>
    <r>
      <rPr>
        <rFont val="Fira Sans Extra Condensed"/>
        <b/>
        <color theme="1"/>
        <sz val="10.0"/>
      </rPr>
      <t xml:space="preserve">Título header: </t>
    </r>
    <r>
      <rPr>
        <rFont val="Fira Sans Extra Condensed"/>
        <color theme="1"/>
        <sz val="10.0"/>
      </rPr>
      <t xml:space="preserve">Confirmación de esquema de firmas
</t>
    </r>
    <r>
      <rPr>
        <rFont val="Fira Sans Extra Condensed"/>
        <b/>
        <color theme="1"/>
        <sz val="10.0"/>
      </rPr>
      <t>Elemento para regresar, Botón.</t>
    </r>
    <r>
      <rPr>
        <rFont val="Fira Sans Extra Condensed"/>
        <color theme="1"/>
        <sz val="10.0"/>
      </rPr>
      <t xml:space="preserve">
</t>
    </r>
    <r>
      <rPr>
        <rFont val="Fira Sans Extra Condensed"/>
        <b/>
        <color theme="1"/>
        <sz val="10.0"/>
      </rPr>
      <t xml:space="preserve">Texto: </t>
    </r>
    <r>
      <rPr>
        <rFont val="Fira Sans Extra Condensed"/>
        <color theme="1"/>
        <sz val="10.0"/>
      </rPr>
      <t xml:space="preserve">Información del esquema 
</t>
    </r>
    <r>
      <rPr>
        <rFont val="Fira Sans Extra Condensed"/>
        <b/>
        <color theme="1"/>
        <sz val="10.0"/>
      </rPr>
      <t xml:space="preserve">Nombre del esquema: </t>
    </r>
    <r>
      <rPr>
        <rFont val="Fira Sans Extra Condensed"/>
        <color theme="1"/>
        <sz val="10.0"/>
      </rPr>
      <t xml:space="preserve">Se muestra el nombre ingresado por el usuario en el inicio del proceso.
</t>
    </r>
    <r>
      <rPr>
        <rFont val="Fira Sans Extra Condensed"/>
        <b/>
        <color theme="1"/>
        <sz val="10.0"/>
      </rPr>
      <t>Tipo de esquema:</t>
    </r>
    <r>
      <rPr>
        <rFont val="Fira Sans Extra Condensed"/>
        <color theme="1"/>
        <sz val="10.0"/>
      </rPr>
      <t xml:space="preserve"> Se muestra el tipo de esquema seleccionado
</t>
    </r>
    <r>
      <rPr>
        <rFont val="Fira Sans Extra Condensed"/>
        <b/>
        <color theme="1"/>
        <sz val="10.0"/>
      </rPr>
      <t xml:space="preserve">Niveles de Aprobación: </t>
    </r>
    <r>
      <rPr>
        <rFont val="Fira Sans Extra Condensed"/>
        <color theme="1"/>
        <sz val="10.0"/>
      </rPr>
      <t xml:space="preserve">Se debe mostrar en pantalla únicamente las opciones de niveles asociadas a los niveles seleccionados 
   </t>
    </r>
    <r>
      <rPr>
        <rFont val="Fira Sans Extra Condensed"/>
        <b/>
        <color theme="1"/>
        <sz val="10.0"/>
      </rPr>
      <t>- Nombre nivel:</t>
    </r>
    <r>
      <rPr>
        <rFont val="Fira Sans Extra Condensed"/>
        <color theme="1"/>
        <sz val="10.0"/>
      </rPr>
      <t xml:space="preserve"> ejemplo “Nivel 1 / Nivel 2”.
   </t>
    </r>
    <r>
      <rPr>
        <rFont val="Fira Sans Extra Condensed"/>
        <b/>
        <color theme="1"/>
        <sz val="10.0"/>
      </rPr>
      <t xml:space="preserve">- Autorizadores: </t>
    </r>
    <r>
      <rPr>
        <rFont val="Fira Sans Extra Condensed"/>
        <color theme="1"/>
        <sz val="10.0"/>
      </rPr>
      <t xml:space="preserve">Número de los usuarios que lo conforman. en el modo colapsado y en desplegado  permite visualizar el nombre de los usuarios adicional
  </t>
    </r>
    <r>
      <rPr>
        <rFont val="Fira Sans Extra Condensed"/>
        <b/>
        <color theme="1"/>
        <sz val="10.0"/>
      </rPr>
      <t xml:space="preserve"> - Autorizadores requeridos: </t>
    </r>
    <r>
      <rPr>
        <rFont val="Fira Sans Extra Condensed"/>
        <color theme="1"/>
        <sz val="10.0"/>
      </rPr>
      <t xml:space="preserve">Número seleccionado para el nivel en el paso anterior. </t>
    </r>
  </si>
  <si>
    <t>- Resumen del esquema de firmas</t>
  </si>
  <si>
    <t>Información mostrada en formato lectura</t>
  </si>
  <si>
    <t>Información del resultado del esquema de firmas creado.</t>
  </si>
  <si>
    <r>
      <rPr>
        <rFont val="Fira Sans Extra Condensed"/>
        <b/>
        <color theme="1"/>
        <sz val="10.0"/>
      </rPr>
      <t>Transacciones y límites:</t>
    </r>
    <r>
      <rPr>
        <rFont val="Fira Sans Extra Condensed"/>
        <color theme="1"/>
        <sz val="10.0"/>
      </rPr>
      <t xml:space="preserve"> Aquí se debe mostrar las funcionalidades transaccionales del grupo regional, teniendo en cuenta que el MVP únicamente tiene la funcionalidad de “transferencias regionales” y “destinos autorizados” se mostrará las opciones que fueron seleccionadas por el usuario, si la opción está desplegada permite visualizar  el límite transaccional registrado si aplica: 
   - Transferencias regionales a cuentas propias 
   - Transferencias regionales a terceros
   - Destinos autorizados</t>
    </r>
  </si>
  <si>
    <r>
      <rPr>
        <rFont val="Fira Sans Extra Condensed"/>
        <b/>
        <color theme="1"/>
        <sz val="10.0"/>
      </rPr>
      <t xml:space="preserve">Grupo de Productos: </t>
    </r>
    <r>
      <rPr>
        <rFont val="Fira Sans Extra Condensed"/>
        <color theme="1"/>
        <sz val="10.0"/>
      </rPr>
      <t>Se debe mostrar resumen general de los grupos de productos seleccionados en el paso anterior. Si la opción está desplegada da más detalle de cada uno.
 - Número de grupos
 - Países
 - Empresas
 - Productos</t>
    </r>
  </si>
  <si>
    <r>
      <rPr>
        <rFont val="Fira Sans Extra Condensed"/>
        <b/>
        <color theme="1"/>
        <sz val="10.0"/>
      </rPr>
      <t xml:space="preserve">Opciones Pantalla: </t>
    </r>
    <r>
      <rPr>
        <rFont val="Fira Sans Extra Condensed"/>
        <color theme="1"/>
        <sz val="10.0"/>
      </rPr>
      <t xml:space="preserve">
</t>
    </r>
    <r>
      <rPr>
        <rFont val="Fira Sans Extra Condensed"/>
        <b/>
        <color theme="1"/>
        <sz val="10.0"/>
      </rPr>
      <t>- Continuar:</t>
    </r>
    <r>
      <rPr>
        <rFont val="Fira Sans Extra Condensed"/>
        <color theme="1"/>
        <sz val="10.0"/>
      </rPr>
      <t xml:space="preserve">  Debe existir un botón que se llame “continuar” para finalizar el proceso</t>
    </r>
  </si>
  <si>
    <t>- El usuario deberá visualizar el botón de continuar, posterior a la revisión del resumen del esquema de firmas</t>
  </si>
  <si>
    <t xml:space="preserve">Gestión quedará con estado pendiente de aprobación </t>
  </si>
  <si>
    <t>Resultado de creación de esquema de firmas</t>
  </si>
  <si>
    <t>Esquema de firmas deberá estar previamente creado</t>
  </si>
  <si>
    <t>Ejecutar proceso de creacion de esquema de firmas y al confirmar mostrará error al momento de confirmar la creación de esquema de firmas</t>
  </si>
  <si>
    <t>Esquema de firmas no deberá crearse</t>
  </si>
  <si>
    <t>- Mostrará error en pantalla de acuerdo al catálogo de errores</t>
  </si>
  <si>
    <t>Ver detalle de esquema de firmas</t>
  </si>
  <si>
    <r>
      <rPr>
        <rFont val="Fira Sans Extra Condensed"/>
        <b/>
        <color theme="1"/>
        <sz val="10.0"/>
      </rPr>
      <t>Ver Detalle Esquema de Firma</t>
    </r>
    <r>
      <rPr>
        <rFont val="Fira Sans Extra Condensed"/>
        <color theme="1"/>
        <sz val="10.0"/>
      </rPr>
      <t xml:space="preserve">:
Al dar clic sobre el registro en la consulta de esquemas de firmas permite tener la misma visual de cómo fue creado el esquema, la información que se visualiza será: 
</t>
    </r>
    <r>
      <rPr>
        <rFont val="Fira Sans Extra Condensed"/>
        <b/>
        <color theme="1"/>
        <sz val="10.0"/>
      </rPr>
      <t>Título header:</t>
    </r>
    <r>
      <rPr>
        <rFont val="Fira Sans Extra Condensed"/>
        <color theme="1"/>
        <sz val="10.0"/>
      </rPr>
      <t xml:space="preserve"> Detalle del esquema de firmas
</t>
    </r>
    <r>
      <rPr>
        <rFont val="Fira Sans Extra Condensed"/>
        <b/>
        <color theme="1"/>
        <sz val="10.0"/>
      </rPr>
      <t>Elemento para regresar</t>
    </r>
    <r>
      <rPr>
        <rFont val="Fira Sans Extra Condensed"/>
        <color theme="1"/>
        <sz val="10.0"/>
      </rPr>
      <t xml:space="preserve">
</t>
    </r>
    <r>
      <rPr>
        <rFont val="Fira Sans Extra Condensed"/>
        <b/>
        <color theme="1"/>
        <sz val="10.0"/>
      </rPr>
      <t xml:space="preserve">Elementos para: </t>
    </r>
    <r>
      <rPr>
        <rFont val="Fira Sans Extra Condensed"/>
        <color theme="1"/>
        <sz val="10.0"/>
      </rPr>
      <t xml:space="preserve">Editar / Eliminar / Descargar
</t>
    </r>
    <r>
      <rPr>
        <rFont val="Fira Sans Extra Condensed"/>
        <b/>
        <color theme="1"/>
        <sz val="10.0"/>
      </rPr>
      <t>Nombre del esquema:</t>
    </r>
    <r>
      <rPr>
        <rFont val="Fira Sans Extra Condensed"/>
        <color theme="1"/>
        <sz val="10.0"/>
      </rPr>
      <t xml:space="preserve"> Se muestra el nombre tal cual cómo fue creado.
</t>
    </r>
    <r>
      <rPr>
        <rFont val="Fira Sans Extra Condensed"/>
        <b/>
        <color theme="1"/>
        <sz val="10.0"/>
      </rPr>
      <t>Tipo de esquema: S</t>
    </r>
    <r>
      <rPr>
        <rFont val="Fira Sans Extra Condensed"/>
        <color theme="1"/>
        <sz val="10.0"/>
      </rPr>
      <t xml:space="preserve">e debe mostrar el nombre del esquema seleccionado.
</t>
    </r>
    <r>
      <rPr>
        <rFont val="Fira Sans Extra Condensed"/>
        <b/>
        <color theme="1"/>
        <sz val="10.0"/>
      </rPr>
      <t>Niveles de Aprobación:</t>
    </r>
    <r>
      <rPr>
        <rFont val="Fira Sans Extra Condensed"/>
        <color theme="1"/>
        <sz val="10.0"/>
      </rPr>
      <t xml:space="preserve"> Se debe mostrar en pantalla únicamente las opciones que asignó el usuario en la creación del esquema de firma, mostrando la información por nivel así: 
     - </t>
    </r>
    <r>
      <rPr>
        <rFont val="Fira Sans Extra Condensed"/>
        <b/>
        <color theme="1"/>
        <sz val="10.0"/>
      </rPr>
      <t xml:space="preserve">Nombre nivel: </t>
    </r>
    <r>
      <rPr>
        <rFont val="Fira Sans Extra Condensed"/>
        <color theme="1"/>
        <sz val="10.0"/>
      </rPr>
      <t xml:space="preserve">ejemplo “Nivel 1 / Nivel 2”
     - </t>
    </r>
    <r>
      <rPr>
        <rFont val="Fira Sans Extra Condensed"/>
        <b/>
        <color theme="1"/>
        <sz val="10.0"/>
      </rPr>
      <t>Autorizadores</t>
    </r>
    <r>
      <rPr>
        <rFont val="Fira Sans Extra Condensed"/>
        <color theme="1"/>
        <sz val="10.0"/>
      </rPr>
      <t xml:space="preserve">: Número de los usuarios que lo conforman. si lo despliega muestra el nombre de los usuarios
     - </t>
    </r>
    <r>
      <rPr>
        <rFont val="Fira Sans Extra Condensed"/>
        <b/>
        <color theme="1"/>
        <sz val="10.0"/>
      </rPr>
      <t>Autorizadores requeridos</t>
    </r>
    <r>
      <rPr>
        <rFont val="Fira Sans Extra Condensed"/>
        <color theme="1"/>
        <sz val="10.0"/>
      </rPr>
      <t>: Número seleccionado para el nivel en la creación.</t>
    </r>
  </si>
  <si>
    <t>Consultar el detalle de los esquemas de firmas previamente creados</t>
  </si>
  <si>
    <t>Campos en formato lectura.</t>
  </si>
  <si>
    <t>Mostrar detalle de esquema de firma previamente seleccionado</t>
  </si>
  <si>
    <r>
      <rPr>
        <rFont val="Fira Sans Extra Condensed"/>
        <b/>
        <color theme="1"/>
        <sz val="10.0"/>
      </rPr>
      <t xml:space="preserve">Transacciones y Límites: </t>
    </r>
    <r>
      <rPr>
        <rFont val="Fira Sans Extra Condensed"/>
        <color theme="1"/>
        <sz val="10.0"/>
      </rPr>
      <t xml:space="preserve">Aquí se debe mostrar las funcionalidades transaccionales del grupo regional, teniendo en cuenta que el MVP únicamente tiene la funcionalidad de “transferencias regionales” y de destinos autorizados, se mostrará las opciones cómo fue creado junto con los límites máximos registrados:
</t>
    </r>
    <r>
      <rPr>
        <rFont val="Fira Sans Extra Condensed"/>
        <b/>
        <color theme="1"/>
        <sz val="10.0"/>
      </rPr>
      <t xml:space="preserve">   - Transferencias regionales a cuentas propias.
   - Transferencias regionales a terceros.
   - Destinos autorizados.</t>
    </r>
  </si>
  <si>
    <t>Consultar el detalle de los esquemas de firmas previamente creados y validar las funcionalidades agregadas</t>
  </si>
  <si>
    <t>Mostrar en el detalle de esquema de firma las funcionalidades agregadas</t>
  </si>
  <si>
    <r>
      <rPr>
        <rFont val="Fira Sans Extra Condensed"/>
        <b/>
        <color theme="1"/>
        <sz val="10.0"/>
      </rPr>
      <t>Grupo de Productos:</t>
    </r>
    <r>
      <rPr>
        <rFont val="Fira Sans Extra Condensed"/>
        <color theme="1"/>
        <sz val="10.0"/>
      </rPr>
      <t xml:space="preserve"> Se debe mostrar resumen general de los grupos de productos seleccionados en el paso anterior. Si la opción está desplegada da más detalle de cada uno.
</t>
    </r>
    <r>
      <rPr>
        <rFont val="Fira Sans Extra Condensed"/>
        <b/>
        <color theme="1"/>
        <sz val="10.0"/>
      </rPr>
      <t xml:space="preserve"> - Número de grupos
 - Países
 - Empresas
 - Productos</t>
    </r>
  </si>
  <si>
    <t>Consultar el detalle de los esquemas de firmas previamente creados y validar los grupos de productos agregados</t>
  </si>
  <si>
    <t>Mostrar en el detalle de esquema de firma los grupos de productos agregados.</t>
  </si>
  <si>
    <r>
      <rPr>
        <rFont val="Fira Sans Extra Condensed"/>
        <b/>
        <color theme="1"/>
        <sz val="10.0"/>
      </rPr>
      <t xml:space="preserve">Opciones en Pantalla: </t>
    </r>
    <r>
      <rPr>
        <rFont val="Fira Sans Extra Condensed"/>
        <color theme="1"/>
        <sz val="10.0"/>
      </rPr>
      <t xml:space="preserve">
</t>
    </r>
    <r>
      <rPr>
        <rFont val="Fira Sans Extra Condensed"/>
        <b/>
        <color theme="1"/>
        <sz val="10.0"/>
      </rPr>
      <t>-   Regresar:</t>
    </r>
    <r>
      <rPr>
        <rFont val="Fira Sans Extra Condensed"/>
        <color theme="1"/>
        <sz val="10.0"/>
      </rPr>
      <t xml:space="preserve"> Al dar clic lleva al usuario a la pantalla anterior.
</t>
    </r>
    <r>
      <rPr>
        <rFont val="Fira Sans Extra Condensed"/>
        <b/>
        <color theme="1"/>
        <sz val="10.0"/>
      </rPr>
      <t>-  Descargar:</t>
    </r>
    <r>
      <rPr>
        <rFont val="Fira Sans Extra Condensed"/>
        <color theme="1"/>
        <sz val="10.0"/>
      </rPr>
      <t xml:space="preserve"> Debe existir un elemento que le permita al usuario realizar la descarga del esquema, el usuario al dar clic actualiza la pantalla y el canal muestra:
</t>
    </r>
    <r>
      <rPr>
        <rFont val="Fira Sans Extra Condensed"/>
        <b/>
        <color theme="1"/>
        <sz val="10.0"/>
      </rPr>
      <t xml:space="preserve">Titulo: </t>
    </r>
    <r>
      <rPr>
        <rFont val="Fira Sans Extra Condensed"/>
        <color theme="1"/>
        <sz val="10.0"/>
      </rPr>
      <t xml:space="preserve">Descargar reporte
</t>
    </r>
    <r>
      <rPr>
        <rFont val="Fira Sans Extra Condensed"/>
        <b/>
        <color theme="1"/>
        <sz val="10.0"/>
      </rPr>
      <t>elemento de cerrar.</t>
    </r>
    <r>
      <rPr>
        <rFont val="Fira Sans Extra Condensed"/>
        <color theme="1"/>
        <sz val="10.0"/>
      </rPr>
      <t xml:space="preserve">
</t>
    </r>
    <r>
      <rPr>
        <rFont val="Fira Sans Extra Condensed"/>
        <b/>
        <color theme="1"/>
        <sz val="10.0"/>
      </rPr>
      <t>Descripción:</t>
    </r>
    <r>
      <rPr>
        <rFont val="Fira Sans Extra Condensed"/>
        <color theme="1"/>
        <sz val="10.0"/>
      </rPr>
      <t xml:space="preserve"> Si la descarga no se da de inmediato le enviaremos el archivo al buzón.
</t>
    </r>
    <r>
      <rPr>
        <rFont val="Fira Sans Extra Condensed"/>
        <b/>
        <color theme="1"/>
        <sz val="10.0"/>
      </rPr>
      <t>Texto: Elija el formato 
PDF    (.pdf)</t>
    </r>
    <r>
      <rPr>
        <rFont val="Fira Sans Extra Condensed"/>
        <color theme="1"/>
        <sz val="10.0"/>
      </rPr>
      <t xml:space="preserve">
</t>
    </r>
    <r>
      <rPr>
        <rFont val="Fira Sans Extra Condensed"/>
        <b/>
        <color theme="1"/>
        <sz val="10.0"/>
      </rPr>
      <t xml:space="preserve">
Una vez el cliente seleccione un formato se habilita el botón de “Descargar”.</t>
    </r>
    <r>
      <rPr>
        <rFont val="Fira Sans Extra Condensed"/>
        <color theme="1"/>
        <sz val="10.0"/>
      </rPr>
      <t xml:space="preserve">
- La información descargada debe coincidir si fue aplicado un filtro. 
- El archivo descargado debe contener la información del total de resultados de todas las páginas que se muestran en el resultado. </t>
    </r>
  </si>
  <si>
    <t>Seleccionar el tipo de descarga de los esquemas en formatos PDF y Excel</t>
  </si>
  <si>
    <t>Descarga de esquema de firmas en formatos PDF y Excel</t>
  </si>
  <si>
    <r>
      <rPr>
        <rFont val="Fira Sans Extra Condensed"/>
        <b/>
        <color theme="1"/>
        <sz val="10.0"/>
      </rPr>
      <t>En el formato en PDF en canal debe mostrar:</t>
    </r>
    <r>
      <rPr>
        <rFont val="Fira Sans Extra Condensed"/>
        <color theme="1"/>
        <sz val="10.0"/>
      </rPr>
      <t xml:space="preserve">
</t>
    </r>
    <r>
      <rPr>
        <rFont val="Fira Sans Extra Condensed"/>
        <b/>
        <color theme="1"/>
        <sz val="10.0"/>
      </rPr>
      <t>Nombre del banco en la parte superior
Fecha y hora de la descarga</t>
    </r>
    <r>
      <rPr>
        <rFont val="Fira Sans Extra Condensed"/>
        <color theme="1"/>
        <sz val="10.0"/>
      </rPr>
      <t xml:space="preserve"> en formato dd-mm-aaaa hh:mm am-pm
</t>
    </r>
    <r>
      <rPr>
        <rFont val="Fira Sans Extra Condensed"/>
        <b/>
        <color theme="1"/>
        <sz val="10.0"/>
      </rPr>
      <t>Título</t>
    </r>
    <r>
      <rPr>
        <rFont val="Fira Sans Extra Condensed"/>
        <color theme="1"/>
        <sz val="10.0"/>
      </rPr>
      <t xml:space="preserve">: Detalle del esquema de firma
</t>
    </r>
    <r>
      <rPr>
        <rFont val="Fira Sans Extra Condensed"/>
        <b/>
        <color theme="1"/>
        <sz val="10.0"/>
      </rPr>
      <t>Resultado:</t>
    </r>
    <r>
      <rPr>
        <rFont val="Fira Sans Extra Condensed"/>
        <color theme="1"/>
        <sz val="10.0"/>
      </rPr>
      <t xml:space="preserve"> Contenido de la consulta en la parte inferior de manera ordenada y clara con toda la información del esquema, nombre del esquema, tipo, niveles, aprobación directa (si aplica) transacciones y límites y grupos de </t>
    </r>
    <r>
      <rPr>
        <rFont val="Fira Sans Extra Condensed"/>
        <b/>
        <color theme="1"/>
        <sz val="10.0"/>
      </rPr>
      <t xml:space="preserve">productos </t>
    </r>
    <r>
      <rPr>
        <rFont val="Fira Sans Extra Condensed"/>
        <color theme="1"/>
        <sz val="10.0"/>
      </rPr>
      <t xml:space="preserve">(Cantidad de grupos, países, empresas y tipo de productos)
</t>
    </r>
    <r>
      <rPr>
        <rFont val="Fira Sans Extra Condensed"/>
        <b/>
        <color theme="1"/>
        <sz val="10.0"/>
      </rPr>
      <t>Mensajería:</t>
    </r>
    <r>
      <rPr>
        <rFont val="Fira Sans Extra Condensed"/>
        <color theme="1"/>
        <sz val="10.0"/>
      </rPr>
      <t xml:space="preserve">
- Si la descarga se realiza de manera satisfactoria actualiza la pantalla e informa en la parte superior “Descarga exitosa”
- Si la generación del reporte no se puede realizar en línea por el tamaño se debe mostrar el siguiente modal: “El reporte se enviará al buzón de notificaciones del módulo regional.”
- En caso que la descarga no se pueda generar por algún error se debe presentar mensaje: “Descarga fallida. Intente más tarde”  
- Si el usuario requiere realizar una descarga masiva debe seleccionar primero los checkbox y cuando tenga seleccionado al menos un registro el canal habilita la opción de “descargar selección”</t>
    </r>
  </si>
  <si>
    <t>Descargar esquemas de firmas en formato PDF</t>
  </si>
  <si>
    <t>Descargar esquema de firmas en formato PDF y validación de mensajes de resultado fallido y exitosos.</t>
  </si>
  <si>
    <t>Modificación a esquema de firmas</t>
  </si>
  <si>
    <t>Una vez el usuario desde el detalle de un esquema de clic a “editar” actualiza la pantalla y permite tener la misma visual de cómo fue creado el Esquema de Firmas, esta opción  permite editar la información del esquema. 
La información queda pre diligenciada y permite editar todos los pasos. 
 - Nombre de esquema
 - Niveles
 - Funcionalidades y límites 
 - Grupo de productos
Una vez el canal identifique que el usuario realiza alguna novedad debe habilitar la opción de “continuar” el cual posterior lleva con el flujo de Resumen y posterior confirmación y resultado.</t>
  </si>
  <si>
    <t>Modificar esquema de firmas con estado activo</t>
  </si>
  <si>
    <t>Gestión con estado pendiente de autorización y las transacciones ligadas a este esquema de firma podrán ejecutarse de forma exitosa, mientras esta gestión no sea aprobada</t>
  </si>
  <si>
    <t>Si el usuario BO no ejecuta ninguna acción para modificar el esquema de firmas no debe habilitar el botón de continuar</t>
  </si>
  <si>
    <t>No habilitar el botón de continuar al no ejecutar ninguna modificación</t>
  </si>
  <si>
    <t>No permitir continuar con la modificación.</t>
  </si>
  <si>
    <t>Eliminación a esquema de firmas</t>
  </si>
  <si>
    <t>Ingresar al detalle del esquema de firmas y hacer clic en eliminar, la gestión quedará pendiente de autorización.</t>
  </si>
  <si>
    <t>Eliminar esquema de firmas, el esuqema seguirá funcional hasta que no sea autorizado por el segundo usuario BO</t>
  </si>
  <si>
    <t>La eliminación de los esquemas de firmas desde CC será de forma individual</t>
  </si>
  <si>
    <t>Gestión con estado pendiente de autorización</t>
  </si>
  <si>
    <t>Submódulo &amp;  Almacenamiento de Logs</t>
  </si>
  <si>
    <t>Realizar gestiones de esquemas de firmas, consultas, creación, modificación, eliminación.</t>
  </si>
  <si>
    <r>
      <rPr>
        <rFont val="Fira Sans Extra Condensed"/>
        <b/>
        <color theme="1"/>
        <sz val="10.0"/>
      </rPr>
      <t>Seguridad de los logs:</t>
    </r>
    <r>
      <rPr>
        <rFont val="Fira Sans Extra Condensed"/>
        <color theme="1"/>
        <sz val="10.0"/>
      </rPr>
      <t xml:space="preserve"> Los logs deben ser almacenados de forma segura y protegida contra accesos no autorizados. </t>
    </r>
  </si>
  <si>
    <t>El sistema debe generar y registrar de forma completa y precisa toda la información relacionada con la novedad de Esquema de firmas, grupos de productos, novedades de Usuarios y servicios incluyendo toda la información detallada de los datos de entrada y salida, y cualquier error o excepción que se produzca durante el proceso.</t>
  </si>
  <si>
    <t>Consulta de logs mostrará información de entrada y salida de los registros ejecutados por el usuario BO.</t>
  </si>
  <si>
    <r>
      <rPr>
        <rFont val="Fira Sans Extra Condensed"/>
        <b/>
        <color theme="1"/>
        <sz val="10.0"/>
      </rPr>
      <t xml:space="preserve">Retención y disponibilidad de los logs: </t>
    </r>
    <r>
      <rPr>
        <rFont val="Fira Sans Extra Condensed"/>
        <color theme="1"/>
        <sz val="10.0"/>
      </rPr>
      <t>Los logs generados deben ser retenidos durante el tiempo necesario para cumplir con las regulaciones locales y las políticas internas del banco. Además, los logs deben estar disponibles para su consulta y análisis por parte del personal autorizado en caso de necesidad, utilizando las herramientas y procedimientos adecuados.</t>
    </r>
  </si>
  <si>
    <r>
      <rPr>
        <rFont val="Fira Sans Extra Condensed"/>
        <b/>
        <color theme="1"/>
        <sz val="10.0"/>
      </rPr>
      <t>Integridad y calidad de los logs:</t>
    </r>
    <r>
      <rPr>
        <rFont val="Fira Sans Extra Condensed"/>
        <color theme="1"/>
        <sz val="10.0"/>
      </rPr>
      <t xml:space="preserve"> Los logs generados deben ser precisos, completos y confiables, garantizando la integridad y calidad de la información registrada. Esto incluye la verificación de la correcta captura de datos, la validación de la consistencia de la información, y la corrección de cualquier error o inconsistencia detectada en los logs.</t>
    </r>
  </si>
  <si>
    <r>
      <rPr>
        <rFont val="Fira Sans Extra Condensed"/>
        <b/>
        <color theme="1"/>
        <sz val="10.0"/>
      </rPr>
      <t xml:space="preserve">Registro de eventos relevantes: </t>
    </r>
    <r>
      <rPr>
        <rFont val="Fira Sans Extra Condensed"/>
        <color theme="1"/>
        <sz val="10.0"/>
      </rPr>
      <t>Los logs deben registrar todos los eventos relevantes relacionados con novedades del módulo de administración, incluyendo la información del usuario que creó la novedad, usuario que la aprobó, horas, fechas, ip, datos de los usuarios que intervienen, país y tipo de novedad.
La herramienta debe permitir realizar la descarga de la información en formato pdf, excel y texto.</t>
    </r>
  </si>
  <si>
    <r>
      <rPr>
        <rFont val="Fira Sans Extra Condensed"/>
        <color theme="1"/>
        <sz val="10.0"/>
      </rPr>
      <t xml:space="preserve">Esquema de firmas / Escala 7x24 </t>
    </r>
    <r>
      <rPr>
        <rFont val="Fira Sans Extra Condensed"/>
        <b/>
        <color theme="1"/>
        <sz val="10.0"/>
      </rPr>
      <t>Gestión desde el CANAL</t>
    </r>
  </si>
  <si>
    <t>Creación de esquema de firmas desde el canal</t>
  </si>
  <si>
    <r>
      <rPr>
        <rFont val="Fira Sans Extra Condensed"/>
        <color theme="1"/>
        <sz val="10.0"/>
      </rPr>
      <t>Acceso al Módulo de administración / Esquema de firmas con</t>
    </r>
    <r>
      <rPr>
        <rFont val="Fira Sans Extra Condensed"/>
        <b/>
        <color theme="1"/>
        <sz val="10.0"/>
      </rPr>
      <t xml:space="preserve"> Usuario con perfil que posea la opcíon de esquema de firmas</t>
    </r>
  </si>
  <si>
    <t>Funcionalidad de esquema de firmas estará disponible unicamente para los usuarios que posean el perfil, usuarios maestros y usuarios con aprobación directa.</t>
  </si>
  <si>
    <t>Visibilidad y acceso a la funcionalidad de esquema de firmas</t>
  </si>
  <si>
    <r>
      <rPr>
        <rFont val="Fira Sans Extra Condensed"/>
        <color theme="1"/>
        <sz val="10.0"/>
      </rPr>
      <t xml:space="preserve">Esquema de firmas / Escala 7x24 </t>
    </r>
    <r>
      <rPr>
        <rFont val="Fira Sans Extra Condensed"/>
        <b/>
        <color theme="1"/>
        <sz val="10.0"/>
      </rPr>
      <t>Gestión desde el CANAL</t>
    </r>
  </si>
  <si>
    <r>
      <rPr>
        <rFont val="Fira Sans Extra Condensed"/>
        <color theme="1"/>
        <sz val="10.0"/>
      </rPr>
      <t>Acceso al Módulo de administración / Esquema de firmas con</t>
    </r>
    <r>
      <rPr>
        <rFont val="Fira Sans Extra Condensed"/>
        <b/>
        <color theme="1"/>
        <sz val="10.0"/>
      </rPr>
      <t xml:space="preserve"> Usuario Preparador con perfil 'Esquema de firmas'</t>
    </r>
  </si>
  <si>
    <t>Esquema de firmas / Escala 7x24 Gestión desde el CANAL</t>
  </si>
  <si>
    <r>
      <rPr>
        <rFont val="Fira Sans Extra Condensed"/>
        <color theme="1"/>
        <sz val="10.0"/>
      </rPr>
      <t>Acceso al Módulo de administración / Esquema de firmas con</t>
    </r>
    <r>
      <rPr>
        <rFont val="Fira Sans Extra Condensed"/>
        <b/>
        <color theme="1"/>
        <sz val="10.0"/>
      </rPr>
      <t xml:space="preserve"> Usuario Preparador con perfil 'Esquema de firmas'</t>
    </r>
  </si>
  <si>
    <r>
      <rPr>
        <rFont val="Fira Sans Extra Condensed"/>
        <color theme="1"/>
        <sz val="10.0"/>
      </rPr>
      <t xml:space="preserve">Pantalla creación de esquema de firma
</t>
    </r>
    <r>
      <rPr>
        <rFont val="Fira Sans Extra Condensed"/>
        <b/>
        <color theme="1"/>
        <sz val="10.0"/>
      </rPr>
      <t>Título header:</t>
    </r>
    <r>
      <rPr>
        <rFont val="Fira Sans Extra Condensed"/>
        <color theme="1"/>
        <sz val="10.0"/>
      </rPr>
      <t xml:space="preserve"> Nombre del esquema de firmas
</t>
    </r>
    <r>
      <rPr>
        <rFont val="Fira Sans Extra Condensed"/>
        <b/>
        <color theme="1"/>
        <sz val="10.0"/>
      </rPr>
      <t>Elemento para regresar</t>
    </r>
    <r>
      <rPr>
        <rFont val="Fira Sans Extra Condensed"/>
        <color theme="1"/>
        <sz val="10.0"/>
      </rPr>
      <t xml:space="preserve">: Botón
</t>
    </r>
    <r>
      <rPr>
        <rFont val="Fira Sans Extra Condensed"/>
        <b/>
        <color theme="1"/>
        <sz val="10.0"/>
      </rPr>
      <t xml:space="preserve">Descripción: </t>
    </r>
    <r>
      <rPr>
        <rFont val="Fira Sans Extra Condensed"/>
        <color theme="1"/>
        <sz val="10.0"/>
      </rPr>
      <t xml:space="preserve">Aquí puede definir cuántos aprobadores necesita para autorizar las diferentes transacciones mediante la creación de un esquema.
</t>
    </r>
    <r>
      <rPr>
        <rFont val="Fira Sans Extra Condensed"/>
        <b/>
        <color theme="1"/>
        <sz val="10.0"/>
      </rPr>
      <t xml:space="preserve">Asignar nombre que tenga entre 5 y 50 caracteres: </t>
    </r>
    <r>
      <rPr>
        <rFont val="Fira Sans Extra Condensed"/>
        <color theme="1"/>
        <sz val="10.0"/>
      </rPr>
      <t>(Obligatorio) Espacio alfanumérico de hasta 50 caracteres que permite ingresar el nombre del esquema de firmas o flujo de aprobación que se está creando, los caracteres mínimos que debe tener este nombre serán de 5 caracteres, debe tener un elemento que le permita al usuario visualizar en la pantalla los caracteres usados. Una vez diligenciada la información del nombre que cumpla con lo descrito anteriormente se habilita el botón de “Continuar”</t>
    </r>
  </si>
  <si>
    <r>
      <rPr>
        <rFont val="Fira Sans Extra Condensed"/>
        <color theme="1"/>
        <sz val="10.0"/>
      </rPr>
      <t>Acceso al Módulo de administración / Esquema de firmas con</t>
    </r>
    <r>
      <rPr>
        <rFont val="Fira Sans Extra Condensed"/>
        <b/>
        <color theme="1"/>
        <sz val="10.0"/>
      </rPr>
      <t xml:space="preserve"> Usuario Preparador con perfil 'Esquema de firmas'</t>
    </r>
  </si>
  <si>
    <r>
      <rPr>
        <rFont val="Fira Sans Extra Condensed"/>
        <color theme="1"/>
        <sz val="10.0"/>
      </rPr>
      <t>Acceso al Módulo de administración / Esquema de firmas con</t>
    </r>
    <r>
      <rPr>
        <rFont val="Fira Sans Extra Condensed"/>
        <b/>
        <color theme="1"/>
        <sz val="10.0"/>
      </rPr>
      <t xml:space="preserve"> Usuario Preparador con perfil 'Esquema de firmas'</t>
    </r>
  </si>
  <si>
    <r>
      <rPr>
        <rFont val="Fira Sans Extra Condensed"/>
        <b/>
        <color theme="1"/>
        <sz val="10.0"/>
      </rPr>
      <t>Resultado Consulta:</t>
    </r>
    <r>
      <rPr>
        <rFont val="Fira Sans Extra Condensed"/>
        <color theme="1"/>
        <sz val="10.0"/>
      </rPr>
      <t xml:space="preserve">
</t>
    </r>
    <r>
      <rPr>
        <rFont val="Fira Sans Extra Condensed"/>
        <b/>
        <color theme="1"/>
        <sz val="10.0"/>
      </rPr>
      <t xml:space="preserve">Fecha Solicitud: </t>
    </r>
    <r>
      <rPr>
        <rFont val="Fira Sans Extra Condensed"/>
        <color theme="1"/>
        <sz val="10.0"/>
      </rPr>
      <t xml:space="preserve">se debe presentar la fecha en la que el usuario preparador envió la novedad.
</t>
    </r>
    <r>
      <rPr>
        <rFont val="Fira Sans Extra Condensed"/>
        <b/>
        <color theme="1"/>
        <sz val="10.0"/>
      </rPr>
      <t xml:space="preserve">Casa Matriz: </t>
    </r>
    <r>
      <rPr>
        <rFont val="Fira Sans Extra Condensed"/>
        <color theme="1"/>
        <sz val="10.0"/>
      </rPr>
      <t xml:space="preserve">se debe mostrar el nombre del país del grupo regional al que pertenece la novedad.
</t>
    </r>
    <r>
      <rPr>
        <rFont val="Fira Sans Extra Condensed"/>
        <b/>
        <color theme="1"/>
        <sz val="10.0"/>
      </rPr>
      <t>Nombre Grupo Regional:</t>
    </r>
    <r>
      <rPr>
        <rFont val="Fira Sans Extra Condensed"/>
        <color theme="1"/>
        <sz val="10.0"/>
      </rPr>
      <t xml:space="preserve"> Se debe mostrar el nombre con el que fue creado el grupo.
</t>
    </r>
    <r>
      <rPr>
        <rFont val="Fira Sans Extra Condensed"/>
        <b/>
        <color theme="1"/>
        <sz val="10.0"/>
      </rPr>
      <t>Acción:</t>
    </r>
    <r>
      <rPr>
        <rFont val="Fira Sans Extra Condensed"/>
        <color theme="1"/>
        <sz val="10.0"/>
      </rPr>
      <t xml:space="preserve"> se debe mostrar el tipo de novedad (Creación/Eliminación/ Edición)
</t>
    </r>
    <r>
      <rPr>
        <rFont val="Fira Sans Extra Condensed"/>
        <b/>
        <color theme="1"/>
        <sz val="10.0"/>
      </rPr>
      <t>Tipo de Gestión:</t>
    </r>
    <r>
      <rPr>
        <rFont val="Fira Sans Extra Condensed"/>
        <color theme="1"/>
        <sz val="10.0"/>
      </rPr>
      <t xml:space="preserve"> Se debe presentar la novedad a la que pertenece (Grupo Regional, Asociación Empresa, Usuario, Destino Autorizado, Grupo de Producto)
</t>
    </r>
    <r>
      <rPr>
        <rFont val="Fira Sans Extra Condensed"/>
        <b/>
        <color theme="1"/>
        <sz val="10.0"/>
      </rPr>
      <t>Usuario:</t>
    </r>
    <r>
      <rPr>
        <rFont val="Fira Sans Extra Condensed"/>
        <color theme="1"/>
        <sz val="10.0"/>
      </rPr>
      <t xml:space="preserve"> Se debe mostrar el número del ID del usuario preparador
</t>
    </r>
    <r>
      <rPr>
        <rFont val="Fira Sans Extra Condensed"/>
        <b/>
        <color theme="1"/>
        <sz val="10.0"/>
      </rPr>
      <t>Quickaction:</t>
    </r>
    <r>
      <rPr>
        <rFont val="Fira Sans Extra Condensed"/>
        <color theme="1"/>
        <sz val="10.0"/>
      </rPr>
      <t xml:space="preserve"> Debe tener un elemento que permita ver mayor detalle una novedad. </t>
    </r>
  </si>
  <si>
    <t>Las gestiones pendientes solo serán visualizadas por los usuarios que posean el perfil de autorizaciones, usuarios maestros y usuario con aprobación directa</t>
  </si>
  <si>
    <t>Visualización de las gestiones de esquemas de firmas pendientes a usuarios con perfil de autorizantes, maestros y usuarios con aprobación directa.</t>
  </si>
  <si>
    <t>Elección de esquema de firmas desde Canal</t>
  </si>
  <si>
    <r>
      <rPr>
        <rFont val="Fira Sans Extra Condensed"/>
        <color theme="1"/>
        <sz val="10.0"/>
      </rPr>
      <t>Acceso al Módulo de administración / Esquema de firmas con</t>
    </r>
    <r>
      <rPr>
        <rFont val="Fira Sans Extra Condensed"/>
        <b/>
        <color theme="1"/>
        <sz val="10.0"/>
      </rPr>
      <t xml:space="preserve"> Usuario Preparador con perfil 'Esquema de firmas'</t>
    </r>
  </si>
  <si>
    <r>
      <rPr>
        <rFont val="Fira Sans Extra Condensed"/>
        <b/>
        <color theme="1"/>
        <sz val="10.0"/>
      </rPr>
      <t xml:space="preserve">Título de pantalla 1: </t>
    </r>
    <r>
      <rPr>
        <rFont val="Fira Sans Extra Condensed"/>
        <color theme="1"/>
        <sz val="10.0"/>
      </rPr>
      <t xml:space="preserve">Elección de esquema de firmas
</t>
    </r>
    <r>
      <rPr>
        <rFont val="Fira Sans Extra Condensed"/>
        <b/>
        <color theme="1"/>
        <sz val="10.0"/>
      </rPr>
      <t>Botón Regresar</t>
    </r>
    <r>
      <rPr>
        <rFont val="Fira Sans Extra Condensed"/>
        <color theme="1"/>
        <sz val="10.0"/>
      </rPr>
      <t xml:space="preserve">: Al hacer clic deberá retonar al paso anterior
</t>
    </r>
    <r>
      <rPr>
        <rFont val="Fira Sans Extra Condensed"/>
        <b/>
        <color theme="1"/>
        <sz val="10.0"/>
      </rPr>
      <t xml:space="preserve">Descripción: </t>
    </r>
    <r>
      <rPr>
        <rFont val="Fira Sans Extra Condensed"/>
        <color theme="1"/>
        <sz val="10.0"/>
      </rPr>
      <t>Estos son los diferentes niveles de control que le ofrecemos para sus operaciones. Por favor, elija la más pertinente según sus necesidades.</t>
    </r>
  </si>
  <si>
    <t>Elección de esquema de firmas desde Canal
Pantalla 1</t>
  </si>
  <si>
    <r>
      <rPr>
        <rFont val="Fira Sans Extra Condensed"/>
        <color theme="1"/>
        <sz val="10.0"/>
      </rPr>
      <t>Acceso al Módulo de administración / Esquema de firmas con</t>
    </r>
    <r>
      <rPr>
        <rFont val="Fira Sans Extra Condensed"/>
        <b/>
        <color theme="1"/>
        <sz val="10.0"/>
      </rPr>
      <t xml:space="preserve"> Usuario Preparador con perfil 'Esquema de firmas'</t>
    </r>
  </si>
  <si>
    <r>
      <rPr>
        <rFont val="Fira Sans Extra Condensed"/>
        <color theme="1"/>
        <sz val="10.0"/>
      </rPr>
      <t xml:space="preserve">Tipos de administración que tendrá el canal y Control Center y sobre la cual debe seleccionar una:
</t>
    </r>
    <r>
      <rPr>
        <rFont val="Fira Sans Extra Condensed"/>
        <b/>
        <color theme="1"/>
        <sz val="10.0"/>
      </rPr>
      <t>Ligero:</t>
    </r>
    <r>
      <rPr>
        <rFont val="Fira Sans Extra Condensed"/>
        <color theme="1"/>
        <sz val="10.0"/>
      </rPr>
      <t xml:space="preserve">
-  1 Nivel de aprobación.
-  Cada nivel permite asignar hasta 9 usuarios.
-  Incluye aprobación directa.</t>
    </r>
  </si>
  <si>
    <r>
      <rPr>
        <rFont val="Fira Sans Extra Condensed"/>
        <color theme="1"/>
        <sz val="10.0"/>
      </rPr>
      <t>Acceso al Módulo de administración / Esquema de firmas con</t>
    </r>
    <r>
      <rPr>
        <rFont val="Fira Sans Extra Condensed"/>
        <b/>
        <color theme="1"/>
        <sz val="10.0"/>
      </rPr>
      <t xml:space="preserve"> Usuario Preparador con perfil 'Esquema de firmas'</t>
    </r>
  </si>
  <si>
    <r>
      <rPr>
        <rFont val="Fira Sans Extra Condensed"/>
        <b/>
        <color theme="1"/>
        <sz val="10.0"/>
      </rPr>
      <t xml:space="preserve">Tipo de administración Moderado:
</t>
    </r>
    <r>
      <rPr>
        <rFont val="Fira Sans Extra Condensed"/>
        <color theme="1"/>
        <sz val="10.0"/>
      </rPr>
      <t xml:space="preserve">
-  2 Nivel de aprobación.
-  Cada nivel permite asignar hasta 9 usuarios.
-  Incluye aprobación directa.</t>
    </r>
  </si>
  <si>
    <r>
      <rPr>
        <rFont val="Fira Sans Extra Condensed"/>
        <color theme="1"/>
        <sz val="10.0"/>
      </rPr>
      <t>Acceso al Módulo de administración / Esquema de firmas con</t>
    </r>
    <r>
      <rPr>
        <rFont val="Fira Sans Extra Condensed"/>
        <b/>
        <color theme="1"/>
        <sz val="10.0"/>
      </rPr>
      <t xml:space="preserve"> Usuario Preparador con perfil 'Esquema de firmas'</t>
    </r>
  </si>
  <si>
    <r>
      <rPr>
        <rFont val="Fira Sans Extra Condensed"/>
        <b/>
        <color theme="1"/>
        <sz val="10.0"/>
      </rPr>
      <t>Tipo de administración Fuerte:</t>
    </r>
    <r>
      <rPr>
        <rFont val="Fira Sans Extra Condensed"/>
        <color theme="1"/>
        <sz val="10.0"/>
      </rPr>
      <t xml:space="preserve">
-  3 Nivel de aprobación.
-  Cada nivel permite asignar hasta 9 usuarios.
-  Incluye aprobación directa.
-  La aprobación debe seguir el orden de los niveles establecidos
-  Cada nivel debe tener usuarios diferentes</t>
    </r>
  </si>
  <si>
    <r>
      <rPr>
        <rFont val="Fira Sans Extra Condensed"/>
        <color theme="1"/>
        <sz val="10.0"/>
      </rPr>
      <t>Acceso al Módulo de administración / Esquema de firmas con</t>
    </r>
    <r>
      <rPr>
        <rFont val="Fira Sans Extra Condensed"/>
        <b/>
        <color theme="1"/>
        <sz val="10.0"/>
      </rPr>
      <t xml:space="preserve"> Usuario Preparador con perfil 'Esquema de firmas'</t>
    </r>
  </si>
  <si>
    <r>
      <rPr>
        <rFont val="Fira Sans Extra Condensed"/>
        <b/>
        <color theme="1"/>
        <sz val="10.0"/>
      </rPr>
      <t xml:space="preserve">Tipo de adiministración Robusto:
</t>
    </r>
    <r>
      <rPr>
        <rFont val="Fira Sans Extra Condensed"/>
        <color theme="1"/>
        <sz val="10.0"/>
      </rPr>
      <t xml:space="preserve">
-  4 Nivel de aprobación.
-  Cada nivel permite asignar hasta 9 usuarios.
-  Incluye aprobación directa.
-  La aprobación debe seguir el orden de los niveles establecidos
-  Cada nivel debe tener usuarios diferentes</t>
    </r>
  </si>
  <si>
    <t>Elección de esquema de firmas desde Canal
Pantalla 2</t>
  </si>
  <si>
    <r>
      <rPr>
        <rFont val="Fira Sans Extra Condensed"/>
        <b/>
        <color theme="1"/>
        <sz val="10.0"/>
      </rPr>
      <t>Usuario Preparador con perfil 'Esquema de firmas'</t>
    </r>
    <r>
      <rPr>
        <rFont val="Fira Sans Extra Condensed"/>
        <color theme="1"/>
        <sz val="10.0"/>
      </rPr>
      <t xml:space="preserve"> haya completado los datos de la pantalla 1</t>
    </r>
  </si>
  <si>
    <r>
      <rPr>
        <rFont val="Fira Sans Extra Condensed"/>
        <b/>
        <color theme="1"/>
        <sz val="10.0"/>
      </rPr>
      <t xml:space="preserve">Título de pantalla 2: </t>
    </r>
    <r>
      <rPr>
        <rFont val="Fira Sans Extra Condensed"/>
        <color theme="1"/>
        <sz val="10.0"/>
      </rPr>
      <t xml:space="preserve">Configuración de esquema de firmas
</t>
    </r>
    <r>
      <rPr>
        <rFont val="Fira Sans Extra Condensed"/>
        <b/>
        <color theme="1"/>
        <sz val="10.0"/>
      </rPr>
      <t>Botón Regresar</t>
    </r>
    <r>
      <rPr>
        <rFont val="Fira Sans Extra Condensed"/>
        <color theme="1"/>
        <sz val="10.0"/>
      </rPr>
      <t xml:space="preserve">: Al hacer clic deberá retonar al paso anterior
</t>
    </r>
    <r>
      <rPr>
        <rFont val="Fira Sans Extra Condensed"/>
        <b/>
        <color theme="1"/>
        <sz val="10.0"/>
      </rPr>
      <t xml:space="preserve">Descripción: </t>
    </r>
    <r>
      <rPr>
        <rFont val="Fira Sans Extra Condensed"/>
        <color theme="1"/>
        <sz val="10.0"/>
      </rPr>
      <t>Agregue los usuarios administradores o autorizadores de cada nivel</t>
    </r>
  </si>
  <si>
    <r>
      <rPr>
        <rFont val="Fira Sans Extra Condensed"/>
        <b/>
        <color theme="1"/>
        <sz val="10.0"/>
      </rPr>
      <t>Usuario Preparador con perfil 'Esquema de firmas'</t>
    </r>
    <r>
      <rPr>
        <rFont val="Fira Sans Extra Condensed"/>
        <color theme="1"/>
        <sz val="10.0"/>
      </rPr>
      <t xml:space="preserve"> haya completado los datos de la pantalla 1</t>
    </r>
  </si>
  <si>
    <r>
      <rPr>
        <rFont val="Fira Sans Extra Condensed"/>
        <b/>
        <color theme="1"/>
        <sz val="10.0"/>
      </rPr>
      <t>Información del esquema:
Nombre del esquema:</t>
    </r>
    <r>
      <rPr>
        <rFont val="Fira Sans Extra Condensed"/>
        <color theme="1"/>
        <sz val="10.0"/>
      </rPr>
      <t xml:space="preserve"> Se debe presentar el nombre ingresado por el usuario en el criterio 3 
</t>
    </r>
    <r>
      <rPr>
        <rFont val="Fira Sans Extra Condensed"/>
        <b/>
        <color theme="1"/>
        <sz val="10.0"/>
      </rPr>
      <t>Tipo de esquema:</t>
    </r>
    <r>
      <rPr>
        <rFont val="Fira Sans Extra Condensed"/>
        <color theme="1"/>
        <sz val="10.0"/>
      </rPr>
      <t xml:space="preserve"> Se debe mostrar el nombre del esquema seleccionado, ejemplo “Robusto”
</t>
    </r>
    <r>
      <rPr>
        <rFont val="Fira Sans Extra Condensed"/>
        <b/>
        <color theme="1"/>
        <sz val="10.0"/>
      </rPr>
      <t xml:space="preserve">Texto informativo: </t>
    </r>
    <r>
      <rPr>
        <rFont val="Fira Sans Extra Condensed"/>
        <color theme="1"/>
        <sz val="10.0"/>
      </rPr>
      <t>“En cada nivel puede seleccionar hasta 9 usuarios y definir mínimo cuantas firmas se necesitan para que se complete. Tenga en cuenta que los usuarios no pueden repetirse entre niveles y que solo puede agregar roles de autorizadores o administradores”   
Posterior de debe habilitar una opción que de acuerdo al tipo de esquema le permita ingresar los usuarios por nivel:
Subtitulo: Nivel 1 / Nivel 2 / Nivel 3 / Nivel 4
Texto: “Este nivel debe tener usuarios agregados para habilitar el siguiente”
Botón “</t>
    </r>
    <r>
      <rPr>
        <rFont val="Fira Sans Extra Condensed"/>
        <b/>
        <color theme="1"/>
        <sz val="10.0"/>
      </rPr>
      <t>Agregar</t>
    </r>
    <r>
      <rPr>
        <rFont val="Fira Sans Extra Condensed"/>
        <color theme="1"/>
        <sz val="10.0"/>
      </rPr>
      <t>” una vez el usuario de clic a este botón actualiza la pantalla.</t>
    </r>
  </si>
  <si>
    <t>Elección de esquema de firmas desde Canal
Pantalla 3</t>
  </si>
  <si>
    <r>
      <rPr>
        <rFont val="Fira Sans Extra Condensed"/>
        <b/>
        <color theme="1"/>
        <sz val="10.0"/>
      </rPr>
      <t xml:space="preserve">Usuario Preparador con perfil 'Esquema de Firmas' </t>
    </r>
    <r>
      <rPr>
        <rFont val="Fira Sans Extra Condensed"/>
        <color theme="1"/>
        <sz val="10.0"/>
      </rPr>
      <t>haya completado los datos de la pantalla 2</t>
    </r>
  </si>
  <si>
    <r>
      <rPr>
        <rFont val="Fira Sans Extra Condensed"/>
        <b/>
        <color theme="1"/>
        <sz val="10.0"/>
      </rPr>
      <t xml:space="preserve">Título Pantalla 3: </t>
    </r>
    <r>
      <rPr>
        <rFont val="Fira Sans Extra Condensed"/>
        <color theme="1"/>
        <sz val="10.0"/>
      </rPr>
      <t xml:space="preserve">Primer nivel / Segundo nivel / Tercer nivel / Cuarto nivel / Usuario con rol aprobador directo.
</t>
    </r>
    <r>
      <rPr>
        <rFont val="Fira Sans Extra Condensed"/>
        <b/>
        <color theme="1"/>
        <sz val="10.0"/>
      </rPr>
      <t xml:space="preserve">Botón Regresar: </t>
    </r>
    <r>
      <rPr>
        <rFont val="Fira Sans Extra Condensed"/>
        <color theme="1"/>
        <sz val="10.0"/>
      </rPr>
      <t xml:space="preserve">Al hacer clic deberá retornar al paso anterior
</t>
    </r>
    <r>
      <rPr>
        <rFont val="Fira Sans Extra Condensed"/>
        <b/>
        <color theme="1"/>
        <sz val="10.0"/>
      </rPr>
      <t xml:space="preserve">Descripción: </t>
    </r>
    <r>
      <rPr>
        <rFont val="Fira Sans Extra Condensed"/>
        <color theme="1"/>
        <sz val="10.0"/>
      </rPr>
      <t xml:space="preserve">“Los usuarios de este nivel podrán visualizar, autorizar o denegar las operaciones creadas”
</t>
    </r>
    <r>
      <rPr>
        <rFont val="Fira Sans Extra Condensed"/>
        <b/>
        <color theme="1"/>
        <sz val="10.0"/>
      </rPr>
      <t xml:space="preserve">Resultado: </t>
    </r>
    <r>
      <rPr>
        <rFont val="Fira Sans Extra Condensed"/>
        <color theme="1"/>
        <sz val="10.0"/>
      </rPr>
      <t>El usuario visualizará el listado de usuarios habilitados en el Módulo regional con rol “Aprobador” y “Administrador”</t>
    </r>
  </si>
  <si>
    <r>
      <rPr>
        <rFont val="Fira Sans Extra Condensed"/>
        <b/>
        <color theme="1"/>
        <sz val="10.0"/>
      </rPr>
      <t xml:space="preserve">Usuario Preparador con perfil 'Esquema de Firmas' </t>
    </r>
    <r>
      <rPr>
        <rFont val="Fira Sans Extra Condensed"/>
        <color theme="1"/>
        <sz val="10.0"/>
      </rPr>
      <t>haya completado los datos de la pantalla 2</t>
    </r>
  </si>
  <si>
    <r>
      <rPr>
        <rFont val="Fira Sans Extra Condensed"/>
        <color theme="1"/>
        <sz val="10.0"/>
      </rPr>
      <t xml:space="preserve">Mostrará el resultado de los usuarios en columnas de la siguiente manera:
</t>
    </r>
    <r>
      <rPr>
        <rFont val="Fira Sans Extra Condensed"/>
        <b/>
        <color theme="1"/>
        <sz val="10.0"/>
      </rPr>
      <t>País</t>
    </r>
    <r>
      <rPr>
        <rFont val="Fira Sans Extra Condensed"/>
        <color theme="1"/>
        <sz val="10.0"/>
      </rPr>
      <t xml:space="preserve">: Se debe mostrar el país desde el cual el usuario accede a la banca local
</t>
    </r>
    <r>
      <rPr>
        <rFont val="Fira Sans Extra Condensed"/>
        <b/>
        <color theme="1"/>
        <sz val="10.0"/>
      </rPr>
      <t xml:space="preserve">Nombre: </t>
    </r>
    <r>
      <rPr>
        <rFont val="Fira Sans Extra Condensed"/>
        <color theme="1"/>
        <sz val="10.0"/>
      </rPr>
      <t xml:space="preserve">Se debe mostrar el nombre del usuario
</t>
    </r>
    <r>
      <rPr>
        <rFont val="Fira Sans Extra Condensed"/>
        <b/>
        <color theme="1"/>
        <sz val="10.0"/>
      </rPr>
      <t>Rol: S</t>
    </r>
    <r>
      <rPr>
        <rFont val="Fira Sans Extra Condensed"/>
        <color theme="1"/>
        <sz val="10.0"/>
      </rPr>
      <t xml:space="preserve">e debe presentar el nombre del rol del usuario en el módulo regional. 
</t>
    </r>
    <r>
      <rPr>
        <rFont val="Fira Sans Extra Condensed"/>
        <b/>
        <color theme="1"/>
        <sz val="10.0"/>
      </rPr>
      <t>Checkbox</t>
    </r>
    <r>
      <rPr>
        <rFont val="Fira Sans Extra Condensed"/>
        <color theme="1"/>
        <sz val="10.0"/>
      </rPr>
      <t xml:space="preserve">: Debe estar habilitada y desde esta opción el usuario administrador selecciona los usuarios que requiere dentro del nivel, cuando aplique la selección se mostrará en pantalla un resumen de los registros “marcados” o seleccionados
</t>
    </r>
  </si>
  <si>
    <r>
      <rPr>
        <rFont val="Fira Sans Extra Condensed"/>
        <b/>
        <color theme="1"/>
        <sz val="10.0"/>
      </rPr>
      <t xml:space="preserve">Usuario Preparador con perfil 'Esquema de Firmas' </t>
    </r>
    <r>
      <rPr>
        <rFont val="Fira Sans Extra Condensed"/>
        <color theme="1"/>
        <sz val="10.0"/>
      </rPr>
      <t>haya completado los datos de la pantalla 2</t>
    </r>
  </si>
  <si>
    <r>
      <rPr>
        <rFont val="Fira Sans Extra Condensed"/>
        <color theme="1"/>
        <sz val="10.0"/>
      </rPr>
      <t xml:space="preserve">En la pantalla 3 también se deben visualizar las siguientes opciones:
</t>
    </r>
    <r>
      <rPr>
        <rFont val="Fira Sans Extra Condensed"/>
        <b/>
        <color theme="1"/>
        <sz val="10.0"/>
      </rPr>
      <t xml:space="preserve">Elemento “Buscar”:
</t>
    </r>
    <r>
      <rPr>
        <rFont val="Fira Sans Extra Condensed"/>
        <color theme="1"/>
        <sz val="10.0"/>
      </rPr>
      <t>- Al dar clic se debe habilitar una barra de búsqueda que permite al usuario ingresar el nombre del usuario.
- Se debe habilitar un botón de “cancelar” en caso que el usuario quiera eliminar esta búsqueda. 
En caso que el usuario ingrese un texto que no encuentre coincidencia el canal debe mostrar “La búsqueda de (texto ingresado) no presenta resultados.”</t>
    </r>
  </si>
  <si>
    <r>
      <rPr>
        <rFont val="Fira Sans Extra Condensed"/>
        <b/>
        <color theme="1"/>
        <sz val="10.0"/>
      </rPr>
      <t xml:space="preserve">Usuario Preparador con perfil 'Esquema de Firmas' </t>
    </r>
    <r>
      <rPr>
        <rFont val="Fira Sans Extra Condensed"/>
        <color theme="1"/>
        <sz val="10.0"/>
      </rPr>
      <t>haya completado los datos de la pantalla 2</t>
    </r>
  </si>
  <si>
    <r>
      <rPr>
        <rFont val="Fira Sans Extra Condensed"/>
        <color theme="1"/>
        <sz val="10.0"/>
      </rPr>
      <t xml:space="preserve">En pantalla 3 debe mostrar el siguiente campo, seguido del campo buscar:
</t>
    </r>
    <r>
      <rPr>
        <rFont val="Fira Sans Extra Condensed"/>
        <b/>
        <color theme="1"/>
        <sz val="10.0"/>
      </rPr>
      <t>Elemento para “Filtrar”:</t>
    </r>
    <r>
      <rPr>
        <rFont val="Fira Sans Extra Condensed"/>
        <color theme="1"/>
        <sz val="10.0"/>
      </rPr>
      <t xml:space="preserve">
Debe contar con un elemento que permite  buscar grupos con filtros específicos, al dar clic sobre el texto se sobrepone en la pantalla  la información detallando los filtros que se podrán aplicar para la búsqueda de productos así:
</t>
    </r>
    <r>
      <rPr>
        <rFont val="Fira Sans Extra Condensed"/>
        <b/>
        <color theme="1"/>
        <sz val="10.0"/>
      </rPr>
      <t xml:space="preserve">Título: </t>
    </r>
    <r>
      <rPr>
        <rFont val="Fira Sans Extra Condensed"/>
        <color theme="1"/>
        <sz val="10.0"/>
      </rPr>
      <t xml:space="preserve">Filtrar
</t>
    </r>
    <r>
      <rPr>
        <rFont val="Fira Sans Extra Condensed"/>
        <b/>
        <color theme="1"/>
        <sz val="10.0"/>
      </rPr>
      <t xml:space="preserve">Botón “X”: </t>
    </r>
    <r>
      <rPr>
        <rFont val="Fira Sans Extra Condensed"/>
        <color theme="1"/>
        <sz val="10.0"/>
      </rPr>
      <t xml:space="preserve">Regresa a la pantalla anterior. 
</t>
    </r>
    <r>
      <rPr>
        <rFont val="Fira Sans Extra Condensed"/>
        <b/>
        <color theme="1"/>
        <sz val="10.0"/>
      </rPr>
      <t>Texto:</t>
    </r>
    <r>
      <rPr>
        <rFont val="Fira Sans Extra Condensed"/>
        <color theme="1"/>
        <sz val="10.0"/>
      </rPr>
      <t xml:space="preserve"> Aplique las opciones de filtrado que desea:
</t>
    </r>
    <r>
      <rPr>
        <rFont val="Fira Sans Extra Condensed"/>
        <b/>
        <color theme="1"/>
        <sz val="10.0"/>
      </rPr>
      <t>Países:</t>
    </r>
    <r>
      <rPr>
        <rFont val="Fira Sans Extra Condensed"/>
        <color theme="1"/>
        <sz val="10.0"/>
      </rPr>
      <t xml:space="preserve"> permite seleccionar uno o todos los países, la opción que aquí se muestre dependerá de donde el grupo tenga presencia mostrando únicamente los países donde tiene productos.
</t>
    </r>
    <r>
      <rPr>
        <rFont val="Fira Sans Extra Condensed"/>
        <b/>
        <color theme="1"/>
        <sz val="10.0"/>
      </rPr>
      <t>Rol:</t>
    </r>
    <r>
      <rPr>
        <rFont val="Fira Sans Extra Condensed"/>
        <color theme="1"/>
        <sz val="10.0"/>
      </rPr>
      <t xml:space="preserve"> Permite seleccionar uno o los dos roles de acuerdo a las funciones que tenga  asignados.
</t>
    </r>
    <r>
      <rPr>
        <rFont val="Fira Sans Extra Condensed"/>
        <b/>
        <color theme="1"/>
        <sz val="10.0"/>
      </rPr>
      <t xml:space="preserve">En la parte inferior deben estar las opciones: </t>
    </r>
    <r>
      <rPr>
        <rFont val="Fira Sans Extra Condensed"/>
        <color theme="1"/>
        <sz val="10.0"/>
      </rPr>
      <t xml:space="preserve">“Borrar” y “aplicar” 
</t>
    </r>
    <r>
      <rPr>
        <rFont val="Fira Sans Extra Condensed"/>
        <b/>
        <color theme="1"/>
        <sz val="10.0"/>
      </rPr>
      <t>Botón “Borrar":</t>
    </r>
    <r>
      <rPr>
        <rFont val="Fira Sans Extra Condensed"/>
        <color theme="1"/>
        <sz val="10.0"/>
      </rPr>
      <t xml:space="preserve"> al dar clic debe eliminar los filtros de búsqueda ingresados por el usuario. 
</t>
    </r>
    <r>
      <rPr>
        <rFont val="Fira Sans Extra Condensed"/>
        <b/>
        <color theme="1"/>
        <sz val="10.0"/>
      </rPr>
      <t>Botón “Aplicar”:</t>
    </r>
    <r>
      <rPr>
        <rFont val="Fira Sans Extra Condensed"/>
        <color theme="1"/>
        <sz val="10.0"/>
      </rPr>
      <t xml:space="preserve"> Al dar clic el canal actualiza la pantalla donde muestra los usuarios, mostrando como resultado únicamente los usuarios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En caso que el usuario aplique filtros y no encuentra coincidencia debe mostrar “La búsqueda no presenta resultados”</t>
    </r>
  </si>
  <si>
    <r>
      <rPr>
        <rFont val="Fira Sans Extra Condensed"/>
        <b/>
        <color theme="1"/>
        <sz val="10.0"/>
      </rPr>
      <t xml:space="preserve">Usuario Preparador con perfil 'Esquema de Firmas' </t>
    </r>
    <r>
      <rPr>
        <rFont val="Fira Sans Extra Condensed"/>
        <color theme="1"/>
        <sz val="10.0"/>
      </rPr>
      <t>haya completado los datos de la pantalla 2</t>
    </r>
  </si>
  <si>
    <r>
      <rPr>
        <rFont val="Fira Sans Extra Condensed"/>
        <color theme="1"/>
        <sz val="10.0"/>
      </rPr>
      <t xml:space="preserve">En pantalla 3 debe mostrar la paginación en la parte superior de la pantalla:
</t>
    </r>
    <r>
      <rPr>
        <rFont val="Fira Sans Extra Condensed"/>
        <b/>
        <color theme="1"/>
        <sz val="10.0"/>
      </rPr>
      <t xml:space="preserve">Paginación:
</t>
    </r>
    <r>
      <rPr>
        <rFont val="Fira Sans Extra Condensed"/>
        <color theme="1"/>
        <sz val="10.0"/>
      </rPr>
      <t>En la pantalla se debe presentar la paginación mostrando el número de páginas totales que arroja el resultado, la paginación debe tener las siguientes características teniendo en cuenta que es una experiencia transversal en varias experiencias.</t>
    </r>
  </si>
  <si>
    <r>
      <rPr>
        <rFont val="Fira Sans Extra Condensed"/>
        <b/>
        <color theme="1"/>
        <sz val="10.0"/>
      </rPr>
      <t xml:space="preserve">Usuario Preparador con perfil 'Esquema de Firmas' </t>
    </r>
    <r>
      <rPr>
        <rFont val="Fira Sans Extra Condensed"/>
        <color theme="1"/>
        <sz val="10.0"/>
      </rPr>
      <t>haya completado los datos de la pantalla 2</t>
    </r>
  </si>
  <si>
    <r>
      <rPr>
        <rFont val="Fira Sans Extra Condensed"/>
        <color theme="1"/>
        <sz val="10.0"/>
      </rPr>
      <t xml:space="preserve">En pantalla 3 debe mostrar el siguiente campo:
</t>
    </r>
    <r>
      <rPr>
        <rFont val="Fira Sans Extra Condensed"/>
        <b/>
        <color theme="1"/>
        <sz val="10.0"/>
      </rPr>
      <t>Botón “Agregar”:</t>
    </r>
    <r>
      <rPr>
        <rFont val="Fira Sans Extra Condensed"/>
        <color theme="1"/>
        <sz val="10.0"/>
      </rPr>
      <t xml:space="preserve">
Este botón únicamente se habilita si el usuario selecciona al menos un usuario por nivel.
Posterior la pantalla se actualizará posicionado al usuario en la pantalla 2 donde de acuerdo al “tipo de esquema” visualiza la información actualizada de los usuarios seleccionados en el  nivel.</t>
    </r>
  </si>
  <si>
    <r>
      <rPr>
        <rFont val="Fira Sans Extra Condensed"/>
        <b/>
        <color theme="1"/>
        <sz val="10.0"/>
      </rPr>
      <t xml:space="preserve">Usuario Preparador con perfil 'Esquema de Firmas' </t>
    </r>
    <r>
      <rPr>
        <rFont val="Fira Sans Extra Condensed"/>
        <color theme="1"/>
        <sz val="10.0"/>
      </rPr>
      <t>haya completado los datos de la pantalla 3</t>
    </r>
  </si>
  <si>
    <r>
      <rPr>
        <rFont val="Fira Sans Extra Condensed"/>
        <color theme="1"/>
        <sz val="10.0"/>
      </rPr>
      <t xml:space="preserve">El canal debe solicitar al usuario ingresar el número de autorizadores requeridos:
</t>
    </r>
    <r>
      <rPr>
        <rFont val="Fira Sans Extra Condensed"/>
        <b/>
        <color theme="1"/>
        <sz val="10.0"/>
      </rPr>
      <t xml:space="preserve">
Autorizadores requeridos:</t>
    </r>
    <r>
      <rPr>
        <rFont val="Fira Sans Extra Condensed"/>
        <color theme="1"/>
        <sz val="10.0"/>
      </rPr>
      <t xml:space="preserve"> Es un elemento que permite ingresar la cantidad de usuarios (mínimo 1 y máximo 9)  donde el Administrador o Usuario BO deberá seleccionar cuantos autorizadores son requeridos de los asignados en el nivel serán necesarios para liberar la operación, el número que permite seleccionar depende de los ingresados en el paso anterior.
- Cuando el usuario haya seleccionado al menos un usuario autorizador requerido se actualiza el estado dando por completada la tareas por nivel.
</t>
    </r>
    <r>
      <rPr>
        <rFont val="Fira Sans Extra Condensed"/>
        <b/>
        <color theme="1"/>
        <sz val="10.0"/>
      </rPr>
      <t xml:space="preserve">Texto: </t>
    </r>
    <r>
      <rPr>
        <rFont val="Fira Sans Extra Condensed"/>
        <color theme="1"/>
        <sz val="10.0"/>
      </rPr>
      <t xml:space="preserve"> “Defina cuántas firmas son necesarias para aprobar este nivel”
</t>
    </r>
    <r>
      <rPr>
        <rFont val="Fira Sans Extra Condensed"/>
        <b/>
        <color theme="1"/>
        <sz val="10.0"/>
      </rPr>
      <t xml:space="preserve">Botón “Editar”:  </t>
    </r>
    <r>
      <rPr>
        <rFont val="Fira Sans Extra Condensed"/>
        <color theme="1"/>
        <sz val="10.0"/>
      </rPr>
      <t>El canal debe permitir editar el nivel recién agregado. Al dar clic vuelve a la pantalla 3 con la información preseleccionada.</t>
    </r>
  </si>
  <si>
    <r>
      <rPr>
        <rFont val="Fira Sans Extra Condensed"/>
        <b/>
        <color theme="1"/>
        <sz val="10.0"/>
      </rPr>
      <t xml:space="preserve">Usuario Preparador con perfil 'Esquema de Firmas' </t>
    </r>
    <r>
      <rPr>
        <rFont val="Fira Sans Extra Condensed"/>
        <color theme="1"/>
        <sz val="10.0"/>
      </rPr>
      <t>haya completado los datos de la pantalla 3</t>
    </r>
  </si>
  <si>
    <t>Si el usuario Preparador no adiciona la cantidad mínima de usuarios autorizadores de acuerdo al nivel de firma seleccionado mostrará mensaje de error en pantalla</t>
  </si>
  <si>
    <t>Configuración de esquema de firmas desde Canal
Pantalla 2</t>
  </si>
  <si>
    <r>
      <rPr>
        <rFont val="Fira Sans Extra Condensed"/>
        <b/>
        <color theme="1"/>
        <sz val="10.0"/>
      </rPr>
      <t xml:space="preserve">Usuario Preparador con perfil 'Esquema de Firmas' </t>
    </r>
    <r>
      <rPr>
        <rFont val="Fira Sans Extra Condensed"/>
        <color theme="1"/>
        <sz val="10.0"/>
      </rPr>
      <t>haya completado los datos de la pantalla 3</t>
    </r>
  </si>
  <si>
    <r>
      <rPr>
        <rFont val="Fira Sans Extra Condensed"/>
        <b/>
        <color theme="1"/>
        <sz val="10.0"/>
      </rPr>
      <t xml:space="preserve">Reglas Niveles: 
</t>
    </r>
    <r>
      <rPr>
        <rFont val="Fira Sans Extra Condensed"/>
        <color theme="1"/>
        <sz val="10.0"/>
      </rPr>
      <t xml:space="preserve">Teniendo en cuenta que dependiendo del tipo de esquema seleccionado se habilitan los niveles se debe tener en cuenta:
En caso de tener más de un nivel solo se podrá continuar con el diligenciamiento del siguiente nivel una vez se haya finalizado la selección de usuarios y de autorizadores requeridos por nivel pasado desde el primero al último. Ejemplo se presentará en pantalla en el nivel 2 “Agregue usuarios al nivel 1 para acceder a esta opción.” y así consecutivamente hasta el cuarto nivel. es decir el botón de “agregar” únicamente se habilita si fue diligenciado el nivel previo.
Una vez completada la información seleccionada de los niveles de usuarios se habilita el botón de “continuar” que permite continuar con la creación del esquema de firmas. </t>
    </r>
  </si>
  <si>
    <r>
      <rPr>
        <rFont val="Fira Sans Extra Condensed"/>
        <b/>
        <color theme="1"/>
        <sz val="10.0"/>
      </rPr>
      <t xml:space="preserve">Usuario Preparador con perfil 'Esquema de Firmas' </t>
    </r>
    <r>
      <rPr>
        <rFont val="Fira Sans Extra Condensed"/>
        <color theme="1"/>
        <sz val="10.0"/>
      </rPr>
      <t>haya completado los datos de la pantalla 3</t>
    </r>
  </si>
  <si>
    <t>Configuración de esquema de firmas desde Canal - Adición de Usuario aprobador directo.</t>
  </si>
  <si>
    <r>
      <rPr>
        <rFont val="Fira Sans Extra Condensed"/>
        <b/>
        <color theme="1"/>
        <sz val="10.0"/>
      </rPr>
      <t>Usuario Preparador con perfil 'Esquema de firmas'</t>
    </r>
    <r>
      <rPr>
        <rFont val="Fira Sans Extra Condensed"/>
        <color theme="1"/>
        <sz val="10.0"/>
      </rPr>
      <t xml:space="preserve"> haya seleccionado un tipo de esquema de firmas</t>
    </r>
  </si>
  <si>
    <r>
      <rPr>
        <rFont val="Fira Sans Extra Condensed"/>
        <b/>
        <color theme="1"/>
        <sz val="10.0"/>
      </rPr>
      <t>Descripción de usuario Aprobador Directo</t>
    </r>
    <r>
      <rPr>
        <rFont val="Fira Sans Extra Condensed"/>
        <color theme="1"/>
        <sz val="10.0"/>
      </rPr>
      <t>: “Este usuario puede autorizar las operaciones con una sola firma, sin completar las de otro nivel y debe tener un rol que le permita autorizar o administrar.” seguido de un switch que nace apagado. 
Una vez el usuario activa el Switch se muestra el mensaje: “Aún no ha agregado un usuario” seguido de botón “agregar”</t>
    </r>
  </si>
  <si>
    <t xml:space="preserve">Esta funcionalidad es opcional,  aquí el usuario operador con perfil de esquema de firmas podrá seleccionar un único usuario desde la opción de búsqueda, </t>
  </si>
  <si>
    <t>Adición del usuario aprobador directo correctamente</t>
  </si>
  <si>
    <r>
      <rPr>
        <rFont val="Fira Sans Extra Condensed"/>
        <b/>
        <color theme="1"/>
        <sz val="10.0"/>
      </rPr>
      <t>Usuario Preparador con perfil 'Esquema de firmas'</t>
    </r>
    <r>
      <rPr>
        <rFont val="Fira Sans Extra Condensed"/>
        <color theme="1"/>
        <sz val="10.0"/>
      </rPr>
      <t xml:space="preserve"> haya seleccionado un tipo de esquema de firmas</t>
    </r>
  </si>
  <si>
    <r>
      <rPr>
        <rFont val="Fira Sans Extra Condensed"/>
        <b/>
        <color theme="1"/>
        <sz val="10.0"/>
      </rPr>
      <t>Usuario Preparador con perfil 'Esquema de firmas'</t>
    </r>
    <r>
      <rPr>
        <rFont val="Fira Sans Extra Condensed"/>
        <color theme="1"/>
        <sz val="10.0"/>
      </rPr>
      <t xml:space="preserve"> haya seleccionado un tipo de esquema de firmas</t>
    </r>
  </si>
  <si>
    <t>Usuario preparador con perfil de esquema de firmas ha incluido a todos los usuarios aprobadores de la sociedad a los esquemas de firmas e intenta agregar un usuario con aprobación directa, mostrará mensaje el siguiente mensaje informativo:
 “Verifique la información ingresada, no tiene suficientes usuarios para agregar un aprobador directo.”</t>
  </si>
  <si>
    <r>
      <rPr>
        <rFont val="Fira Sans Extra Condensed"/>
        <b/>
        <color theme="1"/>
        <sz val="10.0"/>
      </rPr>
      <t>Usuario Preparador con perfil 'Esquema de firmas'</t>
    </r>
    <r>
      <rPr>
        <rFont val="Fira Sans Extra Condensed"/>
        <color theme="1"/>
        <sz val="10.0"/>
      </rPr>
      <t xml:space="preserve"> haya seleccionado un tipo de esquema de firmas</t>
    </r>
  </si>
  <si>
    <r>
      <rPr>
        <rFont val="Fira Sans Extra Condensed"/>
        <color theme="1"/>
        <sz val="10.0"/>
      </rPr>
      <t xml:space="preserve">Posterior a encender el switch de usuario aprobador directo, deberá mostrar el botón agregar:
</t>
    </r>
    <r>
      <rPr>
        <rFont val="Fira Sans Extra Condensed"/>
        <b/>
        <color theme="1"/>
        <sz val="10.0"/>
      </rPr>
      <t>Agregar:</t>
    </r>
    <r>
      <rPr>
        <rFont val="Fira Sans Extra Condensed"/>
        <color theme="1"/>
        <sz val="10.0"/>
      </rPr>
      <t xml:space="preserve"> Debe existir un elemento que permita agregar un usuario a este nivel, 
- Una vez de clic en agregar debe actualizar la pantalla mostrando una opción que permita seleccionar el usuario que debe estar en este nivel. 
- Al dar clic tiene la visual de </t>
    </r>
    <r>
      <rPr>
        <rFont val="Fira Sans Extra Condensed"/>
        <b/>
        <color theme="1"/>
        <sz val="10.0"/>
      </rPr>
      <t>criterio selección de usuarios</t>
    </r>
    <r>
      <rPr>
        <rFont val="Fira Sans Extra Condensed"/>
        <color theme="1"/>
        <sz val="10.0"/>
      </rPr>
      <t xml:space="preserve">, la descripción que se debe dar es: “Este aprobador directo podrá visualizar, autorizar o denegar las operaciones creadas sólo con su firma.
- Una vez haya seleccionado debe actualizar el paso mostrando el nombre y rol del aprobador directo, adicional se habilita una opción que le permite “editar” el usuario registrado con la misma lógica. </t>
    </r>
  </si>
  <si>
    <r>
      <rPr>
        <rFont val="Fira Sans Extra Condensed"/>
        <color theme="1"/>
        <sz val="10.0"/>
      </rPr>
      <t>Selección Funcionalidades y límites con usuario</t>
    </r>
    <r>
      <rPr>
        <rFont val="Fira Sans Extra Condensed"/>
        <b/>
        <color theme="1"/>
        <sz val="10.0"/>
      </rPr>
      <t xml:space="preserve"> aprobador con perfil de esquema de firmas</t>
    </r>
  </si>
  <si>
    <r>
      <rPr>
        <rFont val="Fira Sans Extra Condensed"/>
        <color theme="1"/>
        <sz val="10.0"/>
      </rPr>
      <t xml:space="preserve">Usuario preparador con perfil de esquema de firmas  debe seleccionar las funcionalidades de acuerdo a las parametrizadas previamente desde el control center sobre las cuales quiere que aplique el esquema de firma que está creando, adicional le permite seleccionar límites monetarios en dólares americanos así:
</t>
    </r>
    <r>
      <rPr>
        <rFont val="Fira Sans Extra Condensed"/>
        <b/>
        <color theme="1"/>
        <sz val="10.0"/>
      </rPr>
      <t xml:space="preserve">Titulo: </t>
    </r>
    <r>
      <rPr>
        <rFont val="Fira Sans Extra Condensed"/>
        <color theme="1"/>
        <sz val="10.0"/>
      </rPr>
      <t xml:space="preserve">Autorización de permisos  
</t>
    </r>
    <r>
      <rPr>
        <rFont val="Fira Sans Extra Condensed"/>
        <b/>
        <color theme="1"/>
        <sz val="10.0"/>
      </rPr>
      <t>Elemento para regresar</t>
    </r>
    <r>
      <rPr>
        <rFont val="Fira Sans Extra Condensed"/>
        <color theme="1"/>
        <sz val="10.0"/>
      </rPr>
      <t xml:space="preserve">
</t>
    </r>
    <r>
      <rPr>
        <rFont val="Fira Sans Extra Condensed"/>
        <b/>
        <color theme="1"/>
        <sz val="10.0"/>
      </rPr>
      <t>Descripción:</t>
    </r>
    <r>
      <rPr>
        <rFont val="Fira Sans Extra Condensed"/>
        <color theme="1"/>
        <sz val="10.0"/>
      </rPr>
      <t xml:space="preserve"> Marque las opciones a las que dará autorización con este esquema de firmas.
Las funcionalidades que se muestran en esta pantalla son las funcionalidades que fueron asignadas al grupo regional desde el control center. 
</t>
    </r>
    <r>
      <rPr>
        <rFont val="Fira Sans Extra Condensed"/>
        <b/>
        <color theme="1"/>
        <sz val="10.0"/>
      </rPr>
      <t xml:space="preserve">Checkbox: </t>
    </r>
    <r>
      <rPr>
        <rFont val="Fira Sans Extra Condensed"/>
        <color theme="1"/>
        <sz val="10.0"/>
      </rPr>
      <t xml:space="preserve">Debe tener un elemento que permita seleccionar la funcionalidad
</t>
    </r>
    <r>
      <rPr>
        <rFont val="Fira Sans Extra Condensed"/>
        <b/>
        <color theme="1"/>
        <sz val="10.0"/>
      </rPr>
      <t xml:space="preserve">Transferencias Regionales entre Cuentas Davivienda Propias. </t>
    </r>
    <r>
      <rPr>
        <rFont val="Fira Sans Extra Condensed"/>
        <color theme="1"/>
        <sz val="10.0"/>
      </rPr>
      <t xml:space="preserve">
(Aplica Elemento para asignar límite)
</t>
    </r>
    <r>
      <rPr>
        <rFont val="Fira Sans Extra Condensed"/>
        <b/>
        <color theme="1"/>
        <sz val="10.0"/>
      </rPr>
      <t xml:space="preserve">Transferencias Regionales a Cuentas Davivienda de Terceros. </t>
    </r>
    <r>
      <rPr>
        <rFont val="Fira Sans Extra Condensed"/>
        <color theme="1"/>
        <sz val="10.0"/>
      </rPr>
      <t xml:space="preserve">
(Aplica Elemento para asignar límite)
</t>
    </r>
    <r>
      <rPr>
        <rFont val="Fira Sans Extra Condensed"/>
        <b/>
        <color theme="1"/>
        <sz val="10.0"/>
      </rPr>
      <t xml:space="preserve">Destinos Autorizados. </t>
    </r>
    <r>
      <rPr>
        <rFont val="Fira Sans Extra Condensed"/>
        <color theme="1"/>
        <sz val="10.0"/>
      </rPr>
      <t xml:space="preserve">
Esta funcionalidad únicamente se muestra si fue seleccionada desde el control center
(Si se selecciona únicamente la funcionalidad de destinos autorizados no requiere la asignación de un grupo de productos teniendo en cuenta la naturaleza de funcionalidad, únicamente será obligatorio si desde el control center fue parametrizada la opción para que los destinos autorizados queden ligados a un número de producto origen)</t>
    </r>
  </si>
  <si>
    <r>
      <rPr>
        <rFont val="Fira Sans Extra Condensed"/>
        <color theme="1"/>
        <sz val="10.0"/>
      </rPr>
      <t>Selección Funcionalidades y límites con usuario</t>
    </r>
    <r>
      <rPr>
        <rFont val="Fira Sans Extra Condensed"/>
        <b/>
        <color theme="1"/>
        <sz val="10.0"/>
      </rPr>
      <t xml:space="preserve"> aprobador con perfil de esquema de firmas</t>
    </r>
  </si>
  <si>
    <r>
      <rPr>
        <rFont val="Fira Sans Extra Condensed"/>
        <color theme="1"/>
        <sz val="10.0"/>
      </rPr>
      <t>Una vez el usuario seleccione la funcionalidad transaccional debe actualizar la pantalla mostrando una opción para</t>
    </r>
    <r>
      <rPr>
        <rFont val="Fira Sans Extra Condensed"/>
        <b/>
        <color theme="1"/>
        <sz val="10.0"/>
      </rPr>
      <t xml:space="preserve"> “asignar límites” </t>
    </r>
    <r>
      <rPr>
        <rFont val="Fira Sans Extra Condensed"/>
        <color theme="1"/>
        <sz val="10.0"/>
      </rPr>
      <t xml:space="preserve">:
</t>
    </r>
    <r>
      <rPr>
        <rFont val="Fira Sans Extra Condensed"/>
        <b/>
        <color theme="1"/>
        <sz val="10.0"/>
      </rPr>
      <t>Límite transaccional:</t>
    </r>
    <r>
      <rPr>
        <rFont val="Fira Sans Extra Condensed"/>
        <color theme="1"/>
        <sz val="10.0"/>
      </rPr>
      <t xml:space="preserve"> El sistema debe permitir elegir al usuario administrador si desea  colocar o no un límite transaccional a la funcionalidades monetarias habilitadas (Transferencias a cuentas propias y a terceros). al dar clic actualiza la pantalla así:
</t>
    </r>
    <r>
      <rPr>
        <rFont val="Fira Sans Extra Condensed"/>
        <b/>
        <color theme="1"/>
        <sz val="10.0"/>
      </rPr>
      <t>Título:</t>
    </r>
    <r>
      <rPr>
        <rFont val="Fira Sans Extra Condensed"/>
        <color theme="1"/>
        <sz val="10.0"/>
      </rPr>
      <t xml:space="preserve"> Límites transaccionales
</t>
    </r>
    <r>
      <rPr>
        <rFont val="Fira Sans Extra Condensed"/>
        <b/>
        <color theme="1"/>
        <sz val="10.0"/>
      </rPr>
      <t>Elemento para cerrar “x”</t>
    </r>
    <r>
      <rPr>
        <rFont val="Fira Sans Extra Condensed"/>
        <color theme="1"/>
        <sz val="10.0"/>
      </rPr>
      <t xml:space="preserve">
</t>
    </r>
    <r>
      <rPr>
        <rFont val="Fira Sans Extra Condensed"/>
        <b/>
        <color theme="1"/>
        <sz val="10.0"/>
      </rPr>
      <t xml:space="preserve">Descripción: </t>
    </r>
    <r>
      <rPr>
        <rFont val="Fira Sans Extra Condensed"/>
        <color theme="1"/>
        <sz val="10.0"/>
      </rPr>
      <t xml:space="preserve">El límite transaccional del canal es de $10.000.000 USD. Si desea aumentarlo, comuníquese con su ejecutivo comercial. Tenga en cuenta que las transacciones se realizan en dólares americanos, por lo que si usa otra moneda se convertirá a dólares.
Una vez el usuario desea asignar un límite el usuario deberá confirmar si requiere asignar un límite  diario, semanal o mensual. Las cuales deben tener cada una opción de seleccionar si quiere asignar o no un límite monetario el cual debe registrarse en dólar americano. </t>
    </r>
  </si>
  <si>
    <r>
      <rPr>
        <rFont val="Fira Sans Extra Condensed"/>
        <color theme="1"/>
        <sz val="10.0"/>
      </rPr>
      <t>Selección Funcionalidades y límites con usuario</t>
    </r>
    <r>
      <rPr>
        <rFont val="Fira Sans Extra Condensed"/>
        <b/>
        <color theme="1"/>
        <sz val="10.0"/>
      </rPr>
      <t xml:space="preserve"> aprobador con perfil de esquema de firmas</t>
    </r>
  </si>
  <si>
    <r>
      <rPr>
        <rFont val="Fira Sans Extra Condensed"/>
        <b/>
        <color theme="1"/>
        <sz val="10.0"/>
      </rPr>
      <t>Reglas de límites:</t>
    </r>
    <r>
      <rPr>
        <rFont val="Fira Sans Extra Condensed"/>
        <color theme="1"/>
        <sz val="10.0"/>
      </rPr>
      <t xml:space="preserve">
El usuario podrá seleccionar si quiere un límite diario, semanal y/o mensual, es decir podrá combinar las tres opciones o si lo requiere seleccionar una única opción es posible. 
Cada opción permite ingresar un valor máximo en dólares americanos. 
Si realiza combinación de límite el canal debe permitir asignar únicamente valores que respeten la jerarquía de Mes/Semana/día, es decir si intenta colocar un valor superior en el diario que en el semanal o mensual el canal debe mostrar mensaje:
-  “El monto semanal no debe superar al mensual”
-  “El monto diario no debe superar el semanal”
-  “El monto diario no debe superar al mensual”
En la parte inferior de la pantalla se habilitar el siguiente botón únicamente si fue ingresado algún valor 
</t>
    </r>
    <r>
      <rPr>
        <rFont val="Fira Sans Extra Condensed"/>
        <b/>
        <color theme="1"/>
        <sz val="10.0"/>
      </rPr>
      <t xml:space="preserve">
Confirmar: </t>
    </r>
    <r>
      <rPr>
        <rFont val="Fira Sans Extra Condensed"/>
        <color theme="1"/>
        <sz val="10.0"/>
      </rPr>
      <t>Una vez el usuario asigne el límite de acuerdo a la funcionalidad requerida  y de clic sobre este botón se actualizará la pantalla mostrando un resumen de las funcionalidades seleccionadas y los límites asignados en caso que haya sido asignado.</t>
    </r>
  </si>
  <si>
    <r>
      <rPr>
        <rFont val="Fira Sans Extra Condensed"/>
        <color theme="1"/>
        <sz val="10.0"/>
      </rPr>
      <t>Selección Funcionalidades y límites con usuario</t>
    </r>
    <r>
      <rPr>
        <rFont val="Fira Sans Extra Condensed"/>
        <b/>
        <color theme="1"/>
        <sz val="10.0"/>
      </rPr>
      <t xml:space="preserve"> aprobador con perfil de esquema de firmas</t>
    </r>
  </si>
  <si>
    <r>
      <rPr>
        <rFont val="Fira Sans Extra Condensed"/>
        <color theme="1"/>
        <sz val="10.0"/>
      </rPr>
      <t xml:space="preserve">Una vez asignadas la sección de funcionalidades el canal habilita la siguiente opción para “continuar” con la asignación del Esquema de firma así:
</t>
    </r>
    <r>
      <rPr>
        <rFont val="Fira Sans Extra Condensed"/>
        <b/>
        <color theme="1"/>
        <sz val="10.0"/>
      </rPr>
      <t xml:space="preserve">Selección Grupo de Productos: </t>
    </r>
    <r>
      <rPr>
        <rFont val="Fira Sans Extra Condensed"/>
        <color theme="1"/>
        <sz val="10.0"/>
      </rPr>
      <t xml:space="preserve">
</t>
    </r>
    <r>
      <rPr>
        <rFont val="Fira Sans Extra Condensed"/>
        <b/>
        <color theme="1"/>
        <sz val="10.0"/>
      </rPr>
      <t xml:space="preserve">El canal debe permitir realizar la asignación de grupos de productos creados previamente al esquema de firma que está creando así: 
</t>
    </r>
    <r>
      <rPr>
        <rFont val="Fira Sans Extra Condensed"/>
        <color theme="1"/>
        <sz val="10.0"/>
      </rPr>
      <t xml:space="preserve">
</t>
    </r>
    <r>
      <rPr>
        <rFont val="Fira Sans Extra Condensed"/>
        <b/>
        <color theme="1"/>
        <sz val="10.0"/>
      </rPr>
      <t xml:space="preserve">Título: </t>
    </r>
    <r>
      <rPr>
        <rFont val="Fira Sans Extra Condensed"/>
        <color theme="1"/>
        <sz val="10.0"/>
      </rPr>
      <t xml:space="preserve">Grupos del esquema
</t>
    </r>
    <r>
      <rPr>
        <rFont val="Fira Sans Extra Condensed"/>
        <b/>
        <color theme="1"/>
        <sz val="10.0"/>
      </rPr>
      <t>Elemento para regresar</t>
    </r>
    <r>
      <rPr>
        <rFont val="Fira Sans Extra Condensed"/>
        <color theme="1"/>
        <sz val="10.0"/>
      </rPr>
      <t xml:space="preserve">
</t>
    </r>
    <r>
      <rPr>
        <rFont val="Fira Sans Extra Condensed"/>
        <b/>
        <color theme="1"/>
        <sz val="10.0"/>
      </rPr>
      <t xml:space="preserve">Descripción: </t>
    </r>
    <r>
      <rPr>
        <rFont val="Fira Sans Extra Condensed"/>
        <color theme="1"/>
        <sz val="10.0"/>
      </rPr>
      <t xml:space="preserve">Agregue los grupos de productos que se pueden autorizar con este esquema
</t>
    </r>
    <r>
      <rPr>
        <rFont val="Fira Sans Extra Condensed"/>
        <b/>
        <color theme="1"/>
        <sz val="10.0"/>
      </rPr>
      <t xml:space="preserve">Subtitulo: </t>
    </r>
    <r>
      <rPr>
        <rFont val="Fira Sans Extra Condensed"/>
        <color theme="1"/>
        <sz val="10.0"/>
      </rPr>
      <t xml:space="preserve">Grupos de productos
</t>
    </r>
    <r>
      <rPr>
        <rFont val="Fira Sans Extra Condensed"/>
        <b/>
        <color theme="1"/>
        <sz val="10.0"/>
      </rPr>
      <t xml:space="preserve">Descripción: </t>
    </r>
    <r>
      <rPr>
        <rFont val="Fira Sans Extra Condensed"/>
        <color theme="1"/>
        <sz val="10.0"/>
      </rPr>
      <t xml:space="preserve">Lo usuarios podrán acceder a los grupos de productos que agregue a este esquema
Si el usuario no ha agregado información se muestra el mensaje “Este esquema no tiene grupos. Por favor agréguelos”
</t>
    </r>
    <r>
      <rPr>
        <rFont val="Fira Sans Extra Condensed"/>
        <b/>
        <color theme="1"/>
        <sz val="10.0"/>
      </rPr>
      <t xml:space="preserve">Botón Agregar: </t>
    </r>
    <r>
      <rPr>
        <rFont val="Fira Sans Extra Condensed"/>
        <color theme="1"/>
        <sz val="10.0"/>
      </rPr>
      <t xml:space="preserve">Se habilita si no ha agregado ningún grupo.
</t>
    </r>
    <r>
      <rPr>
        <rFont val="Fira Sans Extra Condensed"/>
        <b/>
        <color theme="1"/>
        <sz val="10.0"/>
      </rPr>
      <t xml:space="preserve">Botón Continuar: </t>
    </r>
    <r>
      <rPr>
        <rFont val="Fira Sans Extra Condensed"/>
        <color theme="1"/>
        <sz val="10.0"/>
      </rPr>
      <t xml:space="preserve">Se habilita solo si agregó al menos un grupo de productos. </t>
    </r>
  </si>
  <si>
    <r>
      <rPr>
        <rFont val="Fira Sans Extra Condensed"/>
        <color theme="1"/>
        <sz val="10.0"/>
      </rPr>
      <t xml:space="preserve">Asignación de productos con </t>
    </r>
    <r>
      <rPr>
        <rFont val="Fira Sans Extra Condensed"/>
        <b/>
        <color theme="1"/>
        <sz val="10.0"/>
      </rPr>
      <t>usuario operador con perfil de esquema de firmas</t>
    </r>
  </si>
  <si>
    <r>
      <rPr>
        <rFont val="Fira Sans Extra Condensed"/>
        <color theme="1"/>
        <sz val="10.0"/>
      </rPr>
      <t xml:space="preserve">Si el usuario da clic al botón de “agregar” actualiza la pantalla así:
</t>
    </r>
    <r>
      <rPr>
        <rFont val="Fira Sans Extra Condensed"/>
        <b/>
        <color theme="1"/>
        <sz val="10.0"/>
      </rPr>
      <t xml:space="preserve">Agregar Grupos: </t>
    </r>
    <r>
      <rPr>
        <rFont val="Fira Sans Extra Condensed"/>
        <color theme="1"/>
        <sz val="10.0"/>
      </rPr>
      <t xml:space="preserve">
Una vez el usuario de clic, actualizará la pantalla y el usuario tendrá la opción de seleccionar uno, varios o todos los grupos de productos creados, se presentarán los grupos de productos creados, la información que permite visualizar es: 
</t>
    </r>
    <r>
      <rPr>
        <rFont val="Fira Sans Extra Condensed"/>
        <b/>
        <color theme="1"/>
        <sz val="10.0"/>
      </rPr>
      <t xml:space="preserve">
Título:</t>
    </r>
    <r>
      <rPr>
        <rFont val="Fira Sans Extra Condensed"/>
        <color theme="1"/>
        <sz val="10.0"/>
      </rPr>
      <t xml:space="preserve"> Grupo de productos
</t>
    </r>
    <r>
      <rPr>
        <rFont val="Fira Sans Extra Condensed"/>
        <b/>
        <color theme="1"/>
        <sz val="10.0"/>
      </rPr>
      <t>Elemento para regresar</t>
    </r>
    <r>
      <rPr>
        <rFont val="Fira Sans Extra Condensed"/>
        <color theme="1"/>
        <sz val="10.0"/>
      </rPr>
      <t xml:space="preserve">
</t>
    </r>
    <r>
      <rPr>
        <rFont val="Fira Sans Extra Condensed"/>
        <b/>
        <color theme="1"/>
        <sz val="10.0"/>
      </rPr>
      <t xml:space="preserve">Descripción: </t>
    </r>
    <r>
      <rPr>
        <rFont val="Fira Sans Extra Condensed"/>
        <color theme="1"/>
        <sz val="10.0"/>
      </rPr>
      <t>Aquí puede agregar los grupos a los que tendrá acceso este usuario. Para facilitar su gestión, puede usar el buscador o los filtros presentados.</t>
    </r>
  </si>
  <si>
    <r>
      <rPr>
        <rFont val="Fira Sans Extra Condensed"/>
        <color theme="1"/>
        <sz val="10.0"/>
      </rPr>
      <t xml:space="preserve">Asignación de productos con </t>
    </r>
    <r>
      <rPr>
        <rFont val="Fira Sans Extra Condensed"/>
        <b/>
        <color theme="1"/>
        <sz val="10.0"/>
      </rPr>
      <t>usuario operador con perfil de esquema de firmas</t>
    </r>
  </si>
  <si>
    <r>
      <rPr>
        <rFont val="Fira Sans Extra Condensed"/>
        <b/>
        <color theme="1"/>
        <sz val="10.0"/>
      </rPr>
      <t xml:space="preserve">Resultado consulta:  </t>
    </r>
    <r>
      <rPr>
        <rFont val="Fira Sans Extra Condensed"/>
        <color theme="1"/>
        <sz val="10.0"/>
      </rPr>
      <t xml:space="preserve">
Una vez el usuario esté en la opción de consultas visualizará en esta pantalla el resultado de las consultas de grupos de productos creados previamente. Los títulos de las columnas del resultado de productos son: 
</t>
    </r>
    <r>
      <rPr>
        <rFont val="Fira Sans Extra Condensed"/>
        <b/>
        <color theme="1"/>
        <sz val="10.0"/>
      </rPr>
      <t>Checkbox</t>
    </r>
    <r>
      <rPr>
        <rFont val="Fira Sans Extra Condensed"/>
        <color theme="1"/>
        <sz val="10.0"/>
      </rPr>
      <t xml:space="preserve">: Se debe mostrar esta opción que permite seleccionar un registro de manera individual o masiva. 
</t>
    </r>
    <r>
      <rPr>
        <rFont val="Fira Sans Extra Condensed"/>
        <b/>
        <color theme="1"/>
        <sz val="10.0"/>
      </rPr>
      <t xml:space="preserve">Nombre del grupo: </t>
    </r>
    <r>
      <rPr>
        <rFont val="Fira Sans Extra Condensed"/>
        <color theme="1"/>
        <sz val="10.0"/>
      </rPr>
      <t xml:space="preserve">Se debe mostrar el nombre con el que se creó  grupo ejemplo: “Tesorería Honduras” en caso que el grupo de productos haya sido marcado como “destacado” una estrella debe aparecer al lado del nombre. los grupos marcados como “destacados” debe visualizarse en la parte superior del resultado, La marcación de un grupo cómo destacado podrá ser realizada al consultar un grupo puntual. 
</t>
    </r>
    <r>
      <rPr>
        <rFont val="Fira Sans Extra Condensed"/>
        <b/>
        <color theme="1"/>
        <sz val="10.0"/>
      </rPr>
      <t xml:space="preserve">País: </t>
    </r>
    <r>
      <rPr>
        <rFont val="Fira Sans Extra Condensed"/>
        <color theme="1"/>
        <sz val="10.0"/>
      </rPr>
      <t xml:space="preserve">El canal debe mostrar las banderas de los productos que se encuentran incluidos en el grupo.
</t>
    </r>
    <r>
      <rPr>
        <rFont val="Fira Sans Extra Condensed"/>
        <b/>
        <color theme="1"/>
        <sz val="10.0"/>
      </rPr>
      <t>Empresas</t>
    </r>
    <r>
      <rPr>
        <rFont val="Fira Sans Extra Condensed"/>
        <color theme="1"/>
        <sz val="10.0"/>
      </rPr>
      <t xml:space="preserve">: Se deben visualizar el número del total de  las empresas de los productos que se encuentran incluidos en el grupo de productos. 
</t>
    </r>
    <r>
      <rPr>
        <rFont val="Fira Sans Extra Condensed"/>
        <b/>
        <color theme="1"/>
        <sz val="10.0"/>
      </rPr>
      <t>Accionables:</t>
    </r>
    <r>
      <rPr>
        <rFont val="Fira Sans Extra Condensed"/>
        <color theme="1"/>
        <sz val="10.0"/>
      </rPr>
      <t xml:space="preserve"> permite al usuario seleccionar si requiere ver un mayor detalle o descargar un grupo de productos creado previamente.
</t>
    </r>
    <r>
      <rPr>
        <rFont val="Fira Sans Extra Condensed"/>
        <b/>
        <color theme="1"/>
        <sz val="10.0"/>
      </rPr>
      <t xml:space="preserve">Paginación: </t>
    </r>
    <r>
      <rPr>
        <rFont val="Fira Sans Extra Condensed"/>
        <color theme="1"/>
        <sz val="10.0"/>
      </rPr>
      <t>Teniendo en cuenta que la experiencia de paginación es transversal en caso que el resultado de la consulta tenga más de 50 registros debe incluir una paginación.</t>
    </r>
  </si>
  <si>
    <r>
      <rPr>
        <rFont val="Fira Sans Extra Condensed"/>
        <color theme="1"/>
        <sz val="10.0"/>
      </rPr>
      <t xml:space="preserve">Búsqueda avanzada de productos  con </t>
    </r>
    <r>
      <rPr>
        <rFont val="Fira Sans Extra Condensed"/>
        <b/>
        <color theme="1"/>
        <sz val="10.0"/>
      </rPr>
      <t>usuario operador que posea perfil de esquema de firmas</t>
    </r>
  </si>
  <si>
    <r>
      <rPr>
        <rFont val="Fira Sans Extra Condensed"/>
        <b/>
        <color theme="1"/>
        <sz val="10.0"/>
      </rPr>
      <t xml:space="preserve">Búsqueda avanzada de productos: </t>
    </r>
    <r>
      <rPr>
        <rFont val="Fira Sans Extra Condensed"/>
        <color theme="1"/>
        <sz val="10.0"/>
      </rPr>
      <t xml:space="preserve">
El canal debe permitir al usuario buscar productos por las siguientes opciones:
</t>
    </r>
    <r>
      <rPr>
        <rFont val="Fira Sans Extra Condensed"/>
        <b/>
        <color theme="1"/>
        <sz val="10.0"/>
      </rPr>
      <t xml:space="preserve">
Elemento “Buscar": </t>
    </r>
    <r>
      <rPr>
        <rFont val="Fira Sans Extra Condensed"/>
        <color theme="1"/>
        <sz val="10.0"/>
      </rPr>
      <t xml:space="preserve">Al dar clic se debe habilitar una barra de búsqueda que permite al usuario ingresar el nombre del Grupo de producto,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
</t>
    </r>
    <r>
      <rPr>
        <rFont val="Fira Sans Extra Condensed"/>
        <b/>
        <color theme="1"/>
        <sz val="10.0"/>
      </rPr>
      <t xml:space="preserve">Elemento “Filtrar”: </t>
    </r>
    <r>
      <rPr>
        <rFont val="Fira Sans Extra Condensed"/>
        <color theme="1"/>
        <sz val="10.0"/>
      </rPr>
      <t xml:space="preserve">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t>
    </r>
    <r>
      <rPr>
        <rFont val="Fira Sans Extra Condensed"/>
        <color theme="1"/>
        <sz val="10.0"/>
      </rPr>
      <t xml:space="preserve">: Filtrar
</t>
    </r>
    <r>
      <rPr>
        <rFont val="Fira Sans Extra Condensed"/>
        <b/>
        <color theme="1"/>
        <sz val="10.0"/>
      </rPr>
      <t xml:space="preserve">Botón “x”: </t>
    </r>
    <r>
      <rPr>
        <rFont val="Fira Sans Extra Condensed"/>
        <color theme="1"/>
        <sz val="10.0"/>
      </rPr>
      <t xml:space="preserve">Regresa a la pantalla anterior. 
</t>
    </r>
    <r>
      <rPr>
        <rFont val="Fira Sans Extra Condensed"/>
        <b/>
        <color theme="1"/>
        <sz val="10.0"/>
      </rPr>
      <t>Texto</t>
    </r>
    <r>
      <rPr>
        <rFont val="Fira Sans Extra Condensed"/>
        <color theme="1"/>
        <sz val="10.0"/>
      </rPr>
      <t xml:space="preserve">: Aplique las opciones de filtrado que desea:
</t>
    </r>
    <r>
      <rPr>
        <rFont val="Fira Sans Extra Condensed"/>
        <b/>
        <color theme="1"/>
        <sz val="10.0"/>
      </rPr>
      <t>Países:</t>
    </r>
    <r>
      <rPr>
        <rFont val="Fira Sans Extra Condensed"/>
        <color theme="1"/>
        <sz val="10.0"/>
      </rPr>
      <t xml:space="preserve"> permite seleccionar uno o todos los países, la opción que aquí se muestre dependerá de donde el grupo tenga presencia mostrando únicamente los países donde tiene productos.
</t>
    </r>
    <r>
      <rPr>
        <rFont val="Fira Sans Extra Condensed"/>
        <b/>
        <color theme="1"/>
        <sz val="10.0"/>
      </rPr>
      <t>Empresa:</t>
    </r>
    <r>
      <rPr>
        <rFont val="Fira Sans Extra Condensed"/>
        <color theme="1"/>
        <sz val="10.0"/>
      </rPr>
      <t xml:space="preserve"> Permite seleccionar una o todas las empresas del grupo de acuerdo a la selección de empresas que conforman el grupo de productos. 
</t>
    </r>
    <r>
      <rPr>
        <rFont val="Fira Sans Extra Condensed"/>
        <b/>
        <color theme="1"/>
        <sz val="10.0"/>
      </rPr>
      <t xml:space="preserve">En la parte inferior deben estar las opciones: “Borrar” y “aplicar” 
</t>
    </r>
    <r>
      <rPr>
        <rFont val="Fira Sans Extra Condensed"/>
        <color theme="1"/>
        <sz val="10.0"/>
      </rPr>
      <t xml:space="preserve">
</t>
    </r>
    <r>
      <rPr>
        <rFont val="Fira Sans Extra Condensed"/>
        <b/>
        <color theme="1"/>
        <sz val="10.0"/>
      </rPr>
      <t>Botón “Borrar":</t>
    </r>
    <r>
      <rPr>
        <rFont val="Fira Sans Extra Condensed"/>
        <color theme="1"/>
        <sz val="10.0"/>
      </rPr>
      <t xml:space="preserve"> al dar clic debe eliminar los filtros de búsqueda ingresados por el usuario. 
</t>
    </r>
    <r>
      <rPr>
        <rFont val="Fira Sans Extra Condensed"/>
        <b/>
        <color theme="1"/>
        <sz val="10.0"/>
      </rPr>
      <t xml:space="preserve">Botón “Aplicar”: </t>
    </r>
    <r>
      <rPr>
        <rFont val="Fira Sans Extra Condensed"/>
        <color theme="1"/>
        <sz val="10.0"/>
      </rPr>
      <t xml:space="preserve">Al dar clic el canal actualiza la pantalla donde muestra los grupos de productos, mostrando como resultado únicamente los grupos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t>
    </r>
  </si>
  <si>
    <r>
      <rPr>
        <rFont val="Fira Sans Extra Condensed"/>
        <color theme="1"/>
        <sz val="10.0"/>
      </rPr>
      <t xml:space="preserve">Búsqueda avanzada de productos  con </t>
    </r>
    <r>
      <rPr>
        <rFont val="Fira Sans Extra Condensed"/>
        <b/>
        <color theme="1"/>
        <sz val="10.0"/>
      </rPr>
      <t>usuario operador que posea perfil de esquema de firmas</t>
    </r>
  </si>
  <si>
    <r>
      <rPr>
        <rFont val="Fira Sans Extra Condensed"/>
        <color theme="1"/>
        <sz val="10.0"/>
      </rPr>
      <t xml:space="preserve">Resumen del grupo de productos con </t>
    </r>
    <r>
      <rPr>
        <rFont val="Fira Sans Extra Condensed"/>
        <b/>
        <color theme="1"/>
        <sz val="10.0"/>
      </rPr>
      <t>usuario operador con perfil de esquema de firmas</t>
    </r>
  </si>
  <si>
    <r>
      <rPr>
        <rFont val="Fira Sans Extra Condensed"/>
        <b/>
        <color theme="1"/>
        <sz val="10.0"/>
      </rPr>
      <t xml:space="preserve"> Detallar: 
</t>
    </r>
    <r>
      <rPr>
        <rFont val="Fira Sans Extra Condensed"/>
        <color theme="1"/>
        <sz val="10.0"/>
      </rPr>
      <t xml:space="preserve">Al dar clic en esta opción se debe visualizar de manera detallada el resumen del grupo de producto seleccionado, el usuario no podrá editar ni eliminar productos, únicamente podrá visualizar así:
</t>
    </r>
    <r>
      <rPr>
        <rFont val="Fira Sans Extra Condensed"/>
        <b/>
        <color theme="1"/>
        <sz val="10.0"/>
      </rPr>
      <t xml:space="preserve">Título: </t>
    </r>
    <r>
      <rPr>
        <rFont val="Fira Sans Extra Condensed"/>
        <color theme="1"/>
        <sz val="10.0"/>
      </rPr>
      <t xml:space="preserve">Detalle del grupo de producto
</t>
    </r>
    <r>
      <rPr>
        <rFont val="Fira Sans Extra Condensed"/>
        <b/>
        <color theme="1"/>
        <sz val="10.0"/>
      </rPr>
      <t xml:space="preserve">Elemento regresar: </t>
    </r>
    <r>
      <rPr>
        <rFont val="Fira Sans Extra Condensed"/>
        <color theme="1"/>
        <sz val="10.0"/>
      </rPr>
      <t xml:space="preserve">Debe existir un botón o elemento que le permita al usuario regresar a la pantalla anterior en cualquier momento.
</t>
    </r>
    <r>
      <rPr>
        <rFont val="Fira Sans Extra Condensed"/>
        <b/>
        <color theme="1"/>
        <sz val="10.0"/>
      </rPr>
      <t>Nombre del Grupo:</t>
    </r>
    <r>
      <rPr>
        <rFont val="Fira Sans Extra Condensed"/>
        <color theme="1"/>
        <sz val="10.0"/>
      </rPr>
      <t xml:space="preserve"> Se debe mostrar el nombre del grupo de producto ingresado en la creación.</t>
    </r>
  </si>
  <si>
    <r>
      <rPr>
        <rFont val="Fira Sans Extra Condensed"/>
        <color theme="1"/>
        <sz val="10.0"/>
      </rPr>
      <t xml:space="preserve">Resumen del grupo de productos con </t>
    </r>
    <r>
      <rPr>
        <rFont val="Fira Sans Extra Condensed"/>
        <b/>
        <color theme="1"/>
        <sz val="10.0"/>
      </rPr>
      <t>usuario operador con perfil de esquema de firmas</t>
    </r>
  </si>
  <si>
    <r>
      <rPr>
        <rFont val="Fira Sans Extra Condensed"/>
        <b/>
        <color theme="1"/>
        <sz val="10.0"/>
      </rPr>
      <t>Resumen:</t>
    </r>
    <r>
      <rPr>
        <rFont val="Fira Sans Extra Condensed"/>
        <color theme="1"/>
        <sz val="10.0"/>
      </rPr>
      <t xml:space="preserve"> Teniendo en cuenta que este paso es la “confirmación” el canal deberá mostrar un resumen general de las características principales de los productos seleccionados en el paso anterior, el cuadro deberá informar: 
</t>
    </r>
    <r>
      <rPr>
        <rFont val="Fira Sans Extra Condensed"/>
        <b/>
        <color theme="1"/>
        <sz val="10.0"/>
      </rPr>
      <t>Países:</t>
    </r>
    <r>
      <rPr>
        <rFont val="Fira Sans Extra Condensed"/>
        <color theme="1"/>
        <sz val="10.0"/>
      </rPr>
      <t xml:space="preserve"> Banderas origen de los países de los productos que conforman el grupo de producto.
</t>
    </r>
    <r>
      <rPr>
        <rFont val="Fira Sans Extra Condensed"/>
        <b/>
        <color theme="1"/>
        <sz val="10.0"/>
      </rPr>
      <t>Empresas:</t>
    </r>
    <r>
      <rPr>
        <rFont val="Fira Sans Extra Condensed"/>
        <color theme="1"/>
        <sz val="10.0"/>
      </rPr>
      <t xml:space="preserve"> Número del total de empresas que conforman el grupo de productos.
</t>
    </r>
    <r>
      <rPr>
        <rFont val="Fira Sans Extra Condensed"/>
        <b/>
        <color theme="1"/>
        <sz val="10.0"/>
      </rPr>
      <t>Productos</t>
    </r>
    <r>
      <rPr>
        <rFont val="Fira Sans Extra Condensed"/>
        <color theme="1"/>
        <sz val="10.0"/>
      </rPr>
      <t xml:space="preserve">: Número del total de productos seleccionados en el paso anterior.
</t>
    </r>
    <r>
      <rPr>
        <rFont val="Fira Sans Extra Condensed"/>
        <b/>
        <color theme="1"/>
        <sz val="10.0"/>
      </rPr>
      <t>Tipo Productos:</t>
    </r>
    <r>
      <rPr>
        <rFont val="Fira Sans Extra Condensed"/>
        <color theme="1"/>
        <sz val="10.0"/>
      </rPr>
      <t xml:space="preserve"> nombre del tipo de productos, ejemplo: Cuentas de ahorros / Cuenta Corriente. </t>
    </r>
  </si>
  <si>
    <r>
      <rPr>
        <rFont val="Fira Sans Extra Condensed"/>
        <color theme="1"/>
        <sz val="10.0"/>
      </rPr>
      <t xml:space="preserve">Resumen del grupo de productos con </t>
    </r>
    <r>
      <rPr>
        <rFont val="Fira Sans Extra Condensed"/>
        <b/>
        <color theme="1"/>
        <sz val="10.0"/>
      </rPr>
      <t>usuario operador con perfil de esquema de firmas</t>
    </r>
  </si>
  <si>
    <r>
      <rPr>
        <rFont val="Fira Sans Extra Condensed"/>
        <b/>
        <color theme="1"/>
        <sz val="10.0"/>
      </rPr>
      <t>Productos Seleccionados:</t>
    </r>
    <r>
      <rPr>
        <rFont val="Fira Sans Extra Condensed"/>
        <color theme="1"/>
        <sz val="10.0"/>
      </rPr>
      <t xml:space="preserve"> En la pantalla el canal mostrará la información de los productos seleccionados en el mismo orden del paso anterior agrupando la información por tipo de productos. 
</t>
    </r>
    <r>
      <rPr>
        <rFont val="Fira Sans Extra Condensed"/>
        <b/>
        <color theme="1"/>
        <sz val="10.0"/>
      </rPr>
      <t xml:space="preserve">País: </t>
    </r>
    <r>
      <rPr>
        <rFont val="Fira Sans Extra Condensed"/>
        <color theme="1"/>
        <sz val="10.0"/>
      </rPr>
      <t xml:space="preserve">Se debe mostrar la bandera del país origen al que pertenece el producto seleccionado. 
</t>
    </r>
    <r>
      <rPr>
        <rFont val="Fira Sans Extra Condensed"/>
        <b/>
        <color theme="1"/>
        <sz val="10.0"/>
      </rPr>
      <t xml:space="preserve">Empresa: </t>
    </r>
    <r>
      <rPr>
        <rFont val="Fira Sans Extra Condensed"/>
        <color theme="1"/>
        <sz val="10.0"/>
      </rPr>
      <t xml:space="preserve">Se debe mostrar la empresa a la que pertenece el producto seleccionado.
</t>
    </r>
    <r>
      <rPr>
        <rFont val="Fira Sans Extra Condensed"/>
        <b/>
        <color theme="1"/>
        <sz val="10.0"/>
      </rPr>
      <t xml:space="preserve">Nombre del producto: </t>
    </r>
    <r>
      <rPr>
        <rFont val="Fira Sans Extra Condensed"/>
        <color theme="1"/>
        <sz val="10.0"/>
      </rPr>
      <t xml:space="preserve">Se debe mostrar el nombre o alias del producto seleccionado
</t>
    </r>
    <r>
      <rPr>
        <rFont val="Fira Sans Extra Condensed"/>
        <b/>
        <color theme="1"/>
        <sz val="10.0"/>
      </rPr>
      <t xml:space="preserve">Tipo de Producto: </t>
    </r>
    <r>
      <rPr>
        <rFont val="Fira Sans Extra Condensed"/>
        <color theme="1"/>
        <sz val="10.0"/>
      </rPr>
      <t xml:space="preserve">Se debe presentar la naturaleza del producto seleccionado.
</t>
    </r>
    <r>
      <rPr>
        <rFont val="Fira Sans Extra Condensed"/>
        <b/>
        <color theme="1"/>
        <sz val="10.0"/>
      </rPr>
      <t>Número del Producto:</t>
    </r>
    <r>
      <rPr>
        <rFont val="Fira Sans Extra Condensed"/>
        <color theme="1"/>
        <sz val="10.0"/>
      </rPr>
      <t xml:space="preserve"> Se debe presentar el número de producto seleccionado enmascarado.</t>
    </r>
  </si>
  <si>
    <r>
      <rPr>
        <rFont val="Fira Sans Extra Condensed"/>
        <color theme="1"/>
        <sz val="10.0"/>
      </rPr>
      <t xml:space="preserve">Resumen del grupo de productos con </t>
    </r>
    <r>
      <rPr>
        <rFont val="Fira Sans Extra Condensed"/>
        <b/>
        <color theme="1"/>
        <sz val="10.0"/>
      </rPr>
      <t>usuario operador con perfil de esquema de firmas</t>
    </r>
  </si>
  <si>
    <r>
      <rPr>
        <rFont val="Fira Sans Extra Condensed"/>
        <b/>
        <color theme="1"/>
        <sz val="10.0"/>
      </rPr>
      <t>Paginación:</t>
    </r>
    <r>
      <rPr>
        <rFont val="Fira Sans Extra Condensed"/>
        <color theme="1"/>
        <sz val="10.0"/>
      </rPr>
      <t xml:space="preserve"> En la pantalla se debe presentar la paginación mostrando el número de páginas totales que arroja el resultado, la paginación debe tener las siguientes características teniendo en cuenta que es una experiencia transversal en varias experiencias.
Al dar clic en esta opción se debe visualizar de manera detallada el resumen del grupo de producto seleccionado, mostrando en la parte superior el nombre del grupo, y en la parte inferior el detalle de los productos asignados al grupo por tipo de producto (Para el MVP únicamente se mostrará cuentas ahorros y corriente) con la siguiente información del producto: País (con la bandera del país al que pertenece y las iniciales del mismo), Empresa (Nombre de la empresa a la que pertenece el producto), Alias (Nombre asignado a la cuenta) Número de producto (se mostrará de manera enmascarada el número del producto, visualizando únicamente los últimos 4 dígitos) en la parte inferior se deben habilitar los siguientes botones:
</t>
    </r>
    <r>
      <rPr>
        <rFont val="Fira Sans Extra Condensed"/>
        <b/>
        <color theme="1"/>
        <sz val="10.0"/>
      </rPr>
      <t xml:space="preserve">Regresar: </t>
    </r>
    <r>
      <rPr>
        <rFont val="Fira Sans Extra Condensed"/>
        <color theme="1"/>
        <sz val="10.0"/>
      </rPr>
      <t>una vez el usuario de clic en esta opción regresará a la pantalla anterior.</t>
    </r>
  </si>
  <si>
    <r>
      <rPr>
        <rFont val="Fira Sans Extra Condensed"/>
        <color theme="1"/>
        <sz val="10.0"/>
      </rPr>
      <t xml:space="preserve">Resumen del grupo de productos con </t>
    </r>
    <r>
      <rPr>
        <rFont val="Fira Sans Extra Condensed"/>
        <b/>
        <color theme="1"/>
        <sz val="10.0"/>
      </rPr>
      <t>usuario operador con perfil de esquema de firmas</t>
    </r>
  </si>
  <si>
    <r>
      <rPr>
        <rFont val="Fira Sans Extra Condensed"/>
        <b/>
        <color theme="1"/>
        <sz val="10.0"/>
      </rPr>
      <t xml:space="preserve">Agregar Grupos: </t>
    </r>
    <r>
      <rPr>
        <rFont val="Fira Sans Extra Condensed"/>
        <color theme="1"/>
        <sz val="10.0"/>
      </rPr>
      <t xml:space="preserve">
Este botón únicamente se habilita si el usuario selecciona al menos un grupo de productos seleccionado desde el checkbox, La pantalla se actualizará mostrando un resumen de la selección realizada por el usuario de los grupos de productos seleccionados manteniendo las mismas características de visualización de detalle general 
Número de grupos agregados
Número y países que fueron agregados, se muestra colapsado al dar clic permite ver el nombre de los países.
Número de empresas asignadas, se muestra colapsado al dar clic permite ver el nombre de las empresas
Número de total de productos asignados al usuario
</t>
    </r>
  </si>
  <si>
    <r>
      <rPr>
        <rFont val="Fira Sans Extra Condensed"/>
        <color theme="1"/>
        <sz val="10.0"/>
      </rPr>
      <t xml:space="preserve">Resumen y Confirmación Esquema de Firma con </t>
    </r>
    <r>
      <rPr>
        <rFont val="Fira Sans Extra Condensed"/>
        <b/>
        <color theme="1"/>
        <sz val="10.0"/>
      </rPr>
      <t>usuario operador que posea esquema de firmas</t>
    </r>
  </si>
  <si>
    <r>
      <rPr>
        <rFont val="Fira Sans Extra Condensed"/>
        <color theme="1"/>
        <sz val="10.0"/>
      </rPr>
      <t xml:space="preserve">Aquí el usuario tendrá de manera visual y no editable visual de la información ingresada en los pasos anteriores así: 
</t>
    </r>
    <r>
      <rPr>
        <rFont val="Fira Sans Extra Condensed"/>
        <b/>
        <color theme="1"/>
        <sz val="10.0"/>
      </rPr>
      <t xml:space="preserve">Pantalla Resumen: </t>
    </r>
    <r>
      <rPr>
        <rFont val="Fira Sans Extra Condensed"/>
        <color theme="1"/>
        <sz val="10.0"/>
      </rPr>
      <t xml:space="preserve">
</t>
    </r>
    <r>
      <rPr>
        <rFont val="Fira Sans Extra Condensed"/>
        <b/>
        <color theme="1"/>
        <sz val="10.0"/>
      </rPr>
      <t xml:space="preserve">Título header: </t>
    </r>
    <r>
      <rPr>
        <rFont val="Fira Sans Extra Condensed"/>
        <color theme="1"/>
        <sz val="10.0"/>
      </rPr>
      <t xml:space="preserve">Confirmación de esquema de firmas
</t>
    </r>
    <r>
      <rPr>
        <rFont val="Fira Sans Extra Condensed"/>
        <b/>
        <color theme="1"/>
        <sz val="10.0"/>
      </rPr>
      <t>Elemento para regresar, Botón.</t>
    </r>
    <r>
      <rPr>
        <rFont val="Fira Sans Extra Condensed"/>
        <color theme="1"/>
        <sz val="10.0"/>
      </rPr>
      <t xml:space="preserve">
</t>
    </r>
    <r>
      <rPr>
        <rFont val="Fira Sans Extra Condensed"/>
        <b/>
        <color theme="1"/>
        <sz val="10.0"/>
      </rPr>
      <t xml:space="preserve">Texto: </t>
    </r>
    <r>
      <rPr>
        <rFont val="Fira Sans Extra Condensed"/>
        <color theme="1"/>
        <sz val="10.0"/>
      </rPr>
      <t xml:space="preserve">Información del esquema 
</t>
    </r>
    <r>
      <rPr>
        <rFont val="Fira Sans Extra Condensed"/>
        <b/>
        <color theme="1"/>
        <sz val="10.0"/>
      </rPr>
      <t xml:space="preserve">Nombre del esquema: </t>
    </r>
    <r>
      <rPr>
        <rFont val="Fira Sans Extra Condensed"/>
        <color theme="1"/>
        <sz val="10.0"/>
      </rPr>
      <t xml:space="preserve">Se muestra el nombre ingresado por el usuario en el inicio del proceso.
</t>
    </r>
    <r>
      <rPr>
        <rFont val="Fira Sans Extra Condensed"/>
        <b/>
        <color theme="1"/>
        <sz val="10.0"/>
      </rPr>
      <t>Tipo de esquema:</t>
    </r>
    <r>
      <rPr>
        <rFont val="Fira Sans Extra Condensed"/>
        <color theme="1"/>
        <sz val="10.0"/>
      </rPr>
      <t xml:space="preserve"> Se muestra el tipo de esquema seleccionado
</t>
    </r>
    <r>
      <rPr>
        <rFont val="Fira Sans Extra Condensed"/>
        <b/>
        <color theme="1"/>
        <sz val="10.0"/>
      </rPr>
      <t xml:space="preserve">Niveles de Aprobación: </t>
    </r>
    <r>
      <rPr>
        <rFont val="Fira Sans Extra Condensed"/>
        <color theme="1"/>
        <sz val="10.0"/>
      </rPr>
      <t xml:space="preserve">Se debe mostrar en pantalla únicamente las opciones de niveles asociadas a los niveles seleccionados 
   </t>
    </r>
    <r>
      <rPr>
        <rFont val="Fira Sans Extra Condensed"/>
        <b/>
        <color theme="1"/>
        <sz val="10.0"/>
      </rPr>
      <t>- Nombre nivel:</t>
    </r>
    <r>
      <rPr>
        <rFont val="Fira Sans Extra Condensed"/>
        <color theme="1"/>
        <sz val="10.0"/>
      </rPr>
      <t xml:space="preserve"> ejemplo “Nivel 1 / Nivel 2”.
   </t>
    </r>
    <r>
      <rPr>
        <rFont val="Fira Sans Extra Condensed"/>
        <b/>
        <color theme="1"/>
        <sz val="10.0"/>
      </rPr>
      <t xml:space="preserve">- Autorizadores: </t>
    </r>
    <r>
      <rPr>
        <rFont val="Fira Sans Extra Condensed"/>
        <color theme="1"/>
        <sz val="10.0"/>
      </rPr>
      <t xml:space="preserve">Número de los usuarios que lo conforman. en el modo colapsado y en desplegado  permite visualizar el nombre de los usuarios adicional
  </t>
    </r>
    <r>
      <rPr>
        <rFont val="Fira Sans Extra Condensed"/>
        <b/>
        <color theme="1"/>
        <sz val="10.0"/>
      </rPr>
      <t xml:space="preserve"> - Autorizadores requeridos: </t>
    </r>
    <r>
      <rPr>
        <rFont val="Fira Sans Extra Condensed"/>
        <color theme="1"/>
        <sz val="10.0"/>
      </rPr>
      <t xml:space="preserve">Número seleccionado para el nivel en el paso anterior. </t>
    </r>
  </si>
  <si>
    <r>
      <rPr>
        <rFont val="Fira Sans Extra Condensed"/>
        <color theme="1"/>
        <sz val="10.0"/>
      </rPr>
      <t xml:space="preserve">Resumen y Confirmación Esquema de Firma con </t>
    </r>
    <r>
      <rPr>
        <rFont val="Fira Sans Extra Condensed"/>
        <b/>
        <color theme="1"/>
        <sz val="10.0"/>
      </rPr>
      <t>usuario operador que posea esquema de firmas</t>
    </r>
  </si>
  <si>
    <r>
      <rPr>
        <rFont val="Fira Sans Extra Condensed"/>
        <b/>
        <color theme="1"/>
        <sz val="10.0"/>
      </rPr>
      <t>Transacciones y límites:</t>
    </r>
    <r>
      <rPr>
        <rFont val="Fira Sans Extra Condensed"/>
        <color theme="1"/>
        <sz val="10.0"/>
      </rPr>
      <t xml:space="preserve"> Aquí se debe mostrar las funcionalidades transaccionales del grupo regional, teniendo en cuenta que el MVP únicamente tiene la funcionalidad de “transferencias regionales” y “destinos autorizados” se mostrará las opciones que fueron seleccionadas por el usuario, si la opción está desplegada permite visualizar  el límite transaccional registrado si aplica: 
   - Transferencias regionales a cuentas propias 
   - Transferencias regionales a terceros
   - Destinos autorizados</t>
    </r>
  </si>
  <si>
    <r>
      <rPr>
        <rFont val="Fira Sans Extra Condensed"/>
        <color theme="1"/>
        <sz val="10.0"/>
      </rPr>
      <t xml:space="preserve">Resumen y Confirmación Esquema de Firma con </t>
    </r>
    <r>
      <rPr>
        <rFont val="Fira Sans Extra Condensed"/>
        <b/>
        <color theme="1"/>
        <sz val="10.0"/>
      </rPr>
      <t>usuario operador que posea esquema de firmas</t>
    </r>
  </si>
  <si>
    <r>
      <rPr>
        <rFont val="Fira Sans Extra Condensed"/>
        <b/>
        <color theme="1"/>
        <sz val="10.0"/>
      </rPr>
      <t xml:space="preserve">Grupo de Productos: </t>
    </r>
    <r>
      <rPr>
        <rFont val="Fira Sans Extra Condensed"/>
        <color theme="1"/>
        <sz val="10.0"/>
      </rPr>
      <t>Se debe mostrar resumen general de los grupos de productos seleccionados en el paso anterior. Si la opción está desplegada da más detalle de cada uno.
 - Número de grupos
 - Países
 - Empresas
 - Productos</t>
    </r>
  </si>
  <si>
    <r>
      <rPr>
        <rFont val="Fira Sans Extra Condensed"/>
        <color theme="1"/>
        <sz val="10.0"/>
      </rPr>
      <t xml:space="preserve">Resumen y Confirmación Esquema de Firma con </t>
    </r>
    <r>
      <rPr>
        <rFont val="Fira Sans Extra Condensed"/>
        <b/>
        <color theme="1"/>
        <sz val="10.0"/>
      </rPr>
      <t>usuario operador que posea esquema de firmas</t>
    </r>
  </si>
  <si>
    <r>
      <rPr>
        <rFont val="Fira Sans Extra Condensed"/>
        <b/>
        <color theme="1"/>
        <sz val="10.0"/>
      </rPr>
      <t xml:space="preserve">Opciones Pantalla: </t>
    </r>
    <r>
      <rPr>
        <rFont val="Fira Sans Extra Condensed"/>
        <color theme="1"/>
        <sz val="10.0"/>
      </rPr>
      <t xml:space="preserve">
</t>
    </r>
    <r>
      <rPr>
        <rFont val="Fira Sans Extra Condensed"/>
        <b/>
        <color theme="1"/>
        <sz val="10.0"/>
      </rPr>
      <t>- Continuar:</t>
    </r>
    <r>
      <rPr>
        <rFont val="Fira Sans Extra Condensed"/>
        <color theme="1"/>
        <sz val="10.0"/>
      </rPr>
      <t xml:space="preserve">  Debe existir un botón que se llame “continuar” para finalizar el proceso</t>
    </r>
  </si>
  <si>
    <t>Cliente con esquema de firma único</t>
  </si>
  <si>
    <r>
      <rPr>
        <rFont val="Fira Sans Extra Condensed"/>
        <color theme="1"/>
        <sz val="10.0"/>
      </rPr>
      <t xml:space="preserve">Resumen y Confirmación Esquema de Firma con </t>
    </r>
    <r>
      <rPr>
        <rFont val="Fira Sans Extra Condensed"/>
        <b/>
        <color theme="1"/>
        <sz val="10.0"/>
      </rPr>
      <t>usuario operador que posea esquema de firmas</t>
    </r>
  </si>
  <si>
    <r>
      <rPr>
        <rFont val="Fira Sans Extra Condensed"/>
        <color theme="1"/>
        <sz val="10.0"/>
      </rPr>
      <t xml:space="preserve">Resumen y Confirmación Esquema de Firma con </t>
    </r>
    <r>
      <rPr>
        <rFont val="Fira Sans Extra Condensed"/>
        <b/>
        <color theme="1"/>
        <sz val="10.0"/>
      </rPr>
      <t>usuario operador que posea esquema de firmas</t>
    </r>
  </si>
  <si>
    <r>
      <rPr>
        <rFont val="Fira Sans Extra Condensed"/>
        <color theme="1"/>
        <sz val="10.0"/>
      </rPr>
      <t xml:space="preserve">La información que aquí se muestra dependerá del tipo de administración que tenga parametrizada el grupo Regional así:
</t>
    </r>
    <r>
      <rPr>
        <rFont val="Fira Sans Extra Condensed"/>
        <b/>
        <color theme="1"/>
        <sz val="10.0"/>
      </rPr>
      <t xml:space="preserve">Administración Sencilla: </t>
    </r>
    <r>
      <rPr>
        <rFont val="Fira Sans Extra Condensed"/>
        <color theme="1"/>
        <sz val="10.0"/>
      </rPr>
      <t xml:space="preserve"> Una vez aprobada la creación del esquema de firmas, en la parte superior  presentará el siguiente mensaje: “ Creación de esquema exitosa” y tendrá la misma visual en el mismo orden de la pantalla anterior donde visualizará un resumen de toda  la información del Esquema. </t>
    </r>
  </si>
  <si>
    <t>Gestion de esquema de firmas con usuario operador que solo posee permisos para gestiones de esquemas de firmas y que no posee permisos para autorizar dichas gestiones</t>
  </si>
  <si>
    <t>La gestión de creación quedará con estado pendiente de autorización.</t>
  </si>
  <si>
    <r>
      <rPr>
        <rFont val="Fira Sans Extra Condensed"/>
        <color theme="1"/>
        <sz val="10.0"/>
      </rPr>
      <t xml:space="preserve">Resumen y Confirmación Esquema de Firma con </t>
    </r>
    <r>
      <rPr>
        <rFont val="Fira Sans Extra Condensed"/>
        <b/>
        <color theme="1"/>
        <sz val="10.0"/>
      </rPr>
      <t>usuario operador que posea esquema de firmas</t>
    </r>
  </si>
  <si>
    <r>
      <rPr>
        <rFont val="Fira Sans Extra Condensed"/>
        <b/>
        <color theme="1"/>
        <sz val="10.0"/>
      </rPr>
      <t xml:space="preserve"> - Finalizar:</t>
    </r>
    <r>
      <rPr>
        <rFont val="Fira Sans Extra Condensed"/>
        <color theme="1"/>
        <sz val="10.0"/>
      </rPr>
      <t xml:space="preserve"> una vez el usuario de clic en esta opción regresará a la pantalla de Esquemas de firmas donde puede consultar o crear uno nuevo.</t>
    </r>
  </si>
  <si>
    <r>
      <rPr>
        <rFont val="Fira Sans Extra Condensed"/>
        <color theme="1"/>
        <sz val="10.0"/>
      </rPr>
      <t xml:space="preserve">Resumen y Confirmación Esquema de Firma con </t>
    </r>
    <r>
      <rPr>
        <rFont val="Fira Sans Extra Condensed"/>
        <b/>
        <color theme="1"/>
        <sz val="10.0"/>
      </rPr>
      <t>usuario operador que posea esquema de firmas</t>
    </r>
  </si>
  <si>
    <r>
      <rPr>
        <rFont val="Fira Sans Extra Condensed"/>
        <b/>
        <color theme="1"/>
        <sz val="10.0"/>
      </rPr>
      <t xml:space="preserve">- Crear otro esquema: </t>
    </r>
    <r>
      <rPr>
        <rFont val="Fira Sans Extra Condensed"/>
        <color theme="1"/>
        <sz val="10.0"/>
      </rPr>
      <t>Al dar clic permite al usuario iniciar una nueva creación desde el criterio 3</t>
    </r>
  </si>
  <si>
    <t>Mostrar botón de crear otro esquema de firmas</t>
  </si>
  <si>
    <t>Visualización del botón crear otro esquema de firmas.</t>
  </si>
  <si>
    <r>
      <rPr>
        <rFont val="Fira Sans Extra Condensed"/>
        <color theme="1"/>
        <sz val="10.0"/>
      </rPr>
      <t xml:space="preserve">Resultado de creación de esquema de firmas con </t>
    </r>
    <r>
      <rPr>
        <rFont val="Fira Sans Extra Condensed"/>
        <b/>
        <color theme="1"/>
        <sz val="10.0"/>
      </rPr>
      <t xml:space="preserve">usuario opprador que posea esquema de frimas </t>
    </r>
  </si>
  <si>
    <t xml:space="preserve">En caso que la descarga no se pueda generar por algún error se debe presentar mensaje: “Error en descarga intente más tarde”  </t>
  </si>
  <si>
    <t>Mostrar error en pantalla cuando no ejecute la descarga</t>
  </si>
  <si>
    <t>Mostrar mensaje de error en pantalla de acuerdo al catálogo de errores.</t>
  </si>
  <si>
    <r>
      <rPr>
        <rFont val="Fira Sans Extra Condensed"/>
        <color theme="1"/>
        <sz val="10.0"/>
      </rPr>
      <t xml:space="preserve">Resultado de creación de esquema de firmas con </t>
    </r>
    <r>
      <rPr>
        <rFont val="Fira Sans Extra Condensed"/>
        <b/>
        <color theme="1"/>
        <sz val="10.0"/>
      </rPr>
      <t xml:space="preserve">usuario opprador que posea esquema de frimas </t>
    </r>
  </si>
  <si>
    <r>
      <rPr>
        <rFont val="Fira Sans Extra Condensed"/>
        <b/>
        <color theme="1"/>
        <sz val="10.0"/>
      </rPr>
      <t xml:space="preserve">Administración Dual: </t>
    </r>
    <r>
      <rPr>
        <rFont val="Fira Sans Extra Condensed"/>
        <color theme="1"/>
        <sz val="10.0"/>
      </rPr>
      <t xml:space="preserve">Una vez aprobada la novedad,  en la parte superior  presentará el siguiente mensaje: “Pendiente aprobación, La creación del esquema de firmas se envió para su aprobación. Quedará en estado pendiente hasta que el esquema de firmas se complete” y posterior resumen de la información, tendrá la misma visual en el mismo orden de la pantalla anterior donde visualizará un resumen de toda  la información resumen del esquema de firma creado. En la parte inferior tendrá las siguientes opciones:
</t>
    </r>
    <r>
      <rPr>
        <rFont val="Fira Sans Extra Condensed"/>
        <b/>
        <color theme="1"/>
        <sz val="10.0"/>
      </rPr>
      <t>- Finalizar:</t>
    </r>
    <r>
      <rPr>
        <rFont val="Fira Sans Extra Condensed"/>
        <color theme="1"/>
        <sz val="10.0"/>
      </rPr>
      <t xml:space="preserve"> una vez el usuario de clic en esta opción regresará a la pantalla de usuarios donde puede consultar o crear un nuevo esquema.
</t>
    </r>
    <r>
      <rPr>
        <rFont val="Fira Sans Extra Condensed"/>
        <b/>
        <color theme="1"/>
        <sz val="10.0"/>
      </rPr>
      <t>- Crear otro esquema:</t>
    </r>
    <r>
      <rPr>
        <rFont val="Fira Sans Extra Condensed"/>
        <color theme="1"/>
        <sz val="10.0"/>
      </rPr>
      <t xml:space="preserve"> Al dar clic permite al usuario iniciar una nueva creación desde el criterio 3
Para finalizar el proceso de alta del usuario el otro administrador deberá revisar y aprobar la solicitud por el módulo de autorizaciones.  Este registro debe visualizarse en la opción de “Consultas” y en la columna “estado” debe visualiza el estado “Pendiente autorización” </t>
    </r>
  </si>
  <si>
    <t>Esquema de firmas quedará con estado pendiente de autorización cuando la administración del cliente sea DUAL.</t>
  </si>
  <si>
    <t>- Requerirá de 2 firmas de los usuarios autorizadores o usuarios maestros para finalizar la gestión.</t>
  </si>
  <si>
    <t>Mensaje aplica para la gestión de esquema de firmas desde el canal</t>
  </si>
  <si>
    <r>
      <rPr>
        <rFont val="Fira Sans Extra Condensed"/>
        <color theme="1"/>
        <sz val="10.0"/>
      </rPr>
      <t xml:space="preserve">Consulta de esquema de firmas con </t>
    </r>
    <r>
      <rPr>
        <rFont val="Fira Sans Extra Condensed"/>
        <b/>
        <color theme="1"/>
        <sz val="10.0"/>
      </rPr>
      <t>usuario operador que posea perfil de esquema de firmas</t>
    </r>
  </si>
  <si>
    <r>
      <rPr>
        <rFont val="Fira Sans Extra Condensed"/>
        <color theme="1"/>
        <sz val="10.0"/>
      </rPr>
      <t xml:space="preserve">Al dar clic a la opción de consultas, habilita lo siguiente:
</t>
    </r>
    <r>
      <rPr>
        <rFont val="Fira Sans Extra Condensed"/>
        <b/>
        <color theme="1"/>
        <sz val="10.0"/>
      </rPr>
      <t xml:space="preserve">Título header: </t>
    </r>
    <r>
      <rPr>
        <rFont val="Fira Sans Extra Condensed"/>
        <color theme="1"/>
        <sz val="10.0"/>
      </rPr>
      <t xml:space="preserve">Esquemas de firmas
</t>
    </r>
    <r>
      <rPr>
        <rFont val="Fira Sans Extra Condensed"/>
        <b/>
        <color theme="1"/>
        <sz val="10.0"/>
      </rPr>
      <t>Elemento para regresar.</t>
    </r>
    <r>
      <rPr>
        <rFont val="Fira Sans Extra Condensed"/>
        <color theme="1"/>
        <sz val="10.0"/>
      </rPr>
      <t xml:space="preserve">
</t>
    </r>
    <r>
      <rPr>
        <rFont val="Fira Sans Extra Condensed"/>
        <b/>
        <color theme="1"/>
        <sz val="10.0"/>
      </rPr>
      <t>Descripción:</t>
    </r>
    <r>
      <rPr>
        <rFont val="Fira Sans Extra Condensed"/>
        <color theme="1"/>
        <sz val="10.0"/>
      </rPr>
      <t xml:space="preserve"> Puede crear, editar y eliminar los esquemas de firmas que aprobarán o rechazarán las operaciones del canal. Para facilitar su gestión, puede usar el buscador o los filtros presentados.</t>
    </r>
  </si>
  <si>
    <t>Debe existir una opción que permita autogestionar de manera sencilla las consultas de los esquemas de firmas creados.</t>
  </si>
  <si>
    <t>Esta opción se habilita únicamente si existe al menos un esquema de firma creado para el grupo regiona</t>
  </si>
  <si>
    <t>Ingresar a la opción de consulta correctamente.</t>
  </si>
  <si>
    <r>
      <rPr>
        <rFont val="Fira Sans Extra Condensed"/>
        <color theme="1"/>
        <sz val="10.0"/>
      </rPr>
      <t xml:space="preserve">Consulta de esquema de firmas con </t>
    </r>
    <r>
      <rPr>
        <rFont val="Fira Sans Extra Condensed"/>
        <b/>
        <color theme="1"/>
        <sz val="10.0"/>
      </rPr>
      <t>usuario operador que posea perfil de esquema de firmas</t>
    </r>
  </si>
  <si>
    <r>
      <rPr>
        <rFont val="Fira Sans Extra Condensed"/>
        <color theme="1"/>
        <sz val="10.0"/>
      </rPr>
      <t xml:space="preserve">La información se mostrará en columnas con los siguientes títulos:
</t>
    </r>
    <r>
      <rPr>
        <rFont val="Fira Sans Extra Condensed"/>
        <b/>
        <color theme="1"/>
        <sz val="10.0"/>
      </rPr>
      <t>Fecha creación:</t>
    </r>
    <r>
      <rPr>
        <rFont val="Fira Sans Extra Condensed"/>
        <color theme="1"/>
        <sz val="10.0"/>
      </rPr>
      <t xml:space="preserve"> El canal debe mostrar la fecha en la que se creó el esquema de firmas en formato dd/mm/aaaa
</t>
    </r>
    <r>
      <rPr>
        <rFont val="Fira Sans Extra Condensed"/>
        <b/>
        <color theme="1"/>
        <sz val="10.0"/>
      </rPr>
      <t xml:space="preserve">Nombre del Esquema:  </t>
    </r>
    <r>
      <rPr>
        <rFont val="Fira Sans Extra Condensed"/>
        <color theme="1"/>
        <sz val="10.0"/>
      </rPr>
      <t xml:space="preserve">El canal debe mostrar el nombre del esquema tal cual con el que fue creado.
</t>
    </r>
    <r>
      <rPr>
        <rFont val="Fira Sans Extra Condensed"/>
        <b/>
        <color theme="1"/>
        <sz val="10.0"/>
      </rPr>
      <t>Estado:</t>
    </r>
    <r>
      <rPr>
        <rFont val="Fira Sans Extra Condensed"/>
        <color theme="1"/>
        <sz val="10.0"/>
      </rPr>
      <t xml:space="preserve"> El canal debe mostrar el estado del esquema de firma, las siguientes opciones son posibles.
- Vigente
- Pendiente de aprobación
- Inconsistencia.  ⚠️</t>
    </r>
  </si>
  <si>
    <t>Ejecutar consulta de los esquemas de firmas, sin hacer distinción del estado en que se encuentre.</t>
  </si>
  <si>
    <t>Mostrar campos de búsqueda en formarto lectura.</t>
  </si>
  <si>
    <r>
      <rPr>
        <rFont val="Fira Sans Extra Condensed"/>
        <color theme="1"/>
        <sz val="10.0"/>
      </rPr>
      <t xml:space="preserve">Eliminación de esquema de firmas con </t>
    </r>
    <r>
      <rPr>
        <rFont val="Fira Sans Extra Condensed"/>
        <b/>
        <color theme="1"/>
        <sz val="10.0"/>
      </rPr>
      <t>usuario operador que posea perfil de esquemas de firmas.</t>
    </r>
  </si>
  <si>
    <t>Eliminación de esquema de firmas: Debe tener una opción que permite realizar una eliminación de manera individual.</t>
  </si>
  <si>
    <t>Eliminar un esquema de firmas previamente creado</t>
  </si>
  <si>
    <t>Eliminación aplica para esquemas de firmas con estado activo</t>
  </si>
  <si>
    <t>Mostrar botón de eliminar esquema y realizar la eliminación de forma correcta</t>
  </si>
  <si>
    <r>
      <rPr>
        <rFont val="Fira Sans Extra Condensed"/>
        <color theme="1"/>
        <sz val="10.0"/>
      </rPr>
      <t xml:space="preserve">Búsqueda avanzada de esquema de firmas con </t>
    </r>
    <r>
      <rPr>
        <rFont val="Fira Sans Extra Condensed"/>
        <b/>
        <color theme="1"/>
        <sz val="10.0"/>
      </rPr>
      <t>usuario operador que posea perfil de esquema de firmas</t>
    </r>
  </si>
  <si>
    <r>
      <rPr>
        <rFont val="Fira Sans Extra Condensed"/>
        <color theme="1"/>
        <sz val="10.0"/>
      </rPr>
      <t xml:space="preserve">Mostrar las siguientes opciones de búsqueda:
</t>
    </r>
    <r>
      <rPr>
        <rFont val="Fira Sans Extra Condensed"/>
        <b/>
        <color theme="1"/>
        <sz val="10.0"/>
      </rPr>
      <t>Elemento “Buscar"</t>
    </r>
    <r>
      <rPr>
        <rFont val="Fira Sans Extra Condensed"/>
        <color theme="1"/>
        <sz val="10.0"/>
      </rPr>
      <t xml:space="preserve">: Al dar clic se debe habilitar una barra de búsqueda que permite al usuario ingresar el nombre del esquema,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
</t>
    </r>
    <r>
      <rPr>
        <rFont val="Fira Sans Extra Condensed"/>
        <b/>
        <color theme="1"/>
        <sz val="10.0"/>
      </rPr>
      <t xml:space="preserve">Elemento “Filtrar”: </t>
    </r>
    <r>
      <rPr>
        <rFont val="Fira Sans Extra Condensed"/>
        <color theme="1"/>
        <sz val="10.0"/>
      </rPr>
      <t xml:space="preserve">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 Filtrar</t>
    </r>
    <r>
      <rPr>
        <rFont val="Fira Sans Extra Condensed"/>
        <color theme="1"/>
        <sz val="10.0"/>
      </rPr>
      <t xml:space="preserve">
</t>
    </r>
    <r>
      <rPr>
        <rFont val="Fira Sans Extra Condensed"/>
        <b/>
        <color theme="1"/>
        <sz val="10.0"/>
      </rPr>
      <t xml:space="preserve">Botón “x”: </t>
    </r>
    <r>
      <rPr>
        <rFont val="Fira Sans Extra Condensed"/>
        <color theme="1"/>
        <sz val="10.0"/>
      </rPr>
      <t xml:space="preserve">Regresa a la pantalla anterior. 
</t>
    </r>
    <r>
      <rPr>
        <rFont val="Fira Sans Extra Condensed"/>
        <b/>
        <color theme="1"/>
        <sz val="10.0"/>
      </rPr>
      <t>Texto:</t>
    </r>
    <r>
      <rPr>
        <rFont val="Fira Sans Extra Condensed"/>
        <color theme="1"/>
        <sz val="10.0"/>
      </rPr>
      <t xml:space="preserve"> Aplique las opciones de filtrado que desea:
</t>
    </r>
    <r>
      <rPr>
        <rFont val="Fira Sans Extra Condensed"/>
        <b/>
        <color theme="1"/>
        <sz val="10.0"/>
      </rPr>
      <t>Estado</t>
    </r>
    <r>
      <rPr>
        <rFont val="Fira Sans Extra Condensed"/>
        <color theme="1"/>
        <sz val="10.0"/>
      </rPr>
      <t>: Lista seleccionable con las opciones: Activo / Pendiente aprobación / Inconsistencia.</t>
    </r>
  </si>
  <si>
    <t xml:space="preserve">Tener una opción que permita realizar una Búsqueda avanzada de productos, el canal debe permitir al usuario buscar productos </t>
  </si>
  <si>
    <t>Mostrar resultados de acuerdo a la búsqueda realizada.</t>
  </si>
  <si>
    <r>
      <rPr>
        <rFont val="Fira Sans Extra Condensed"/>
        <color theme="1"/>
        <sz val="10.0"/>
      </rPr>
      <t xml:space="preserve">Búsqueda avanzada de esquema de firmas con </t>
    </r>
    <r>
      <rPr>
        <rFont val="Fira Sans Extra Condensed"/>
        <b/>
        <color theme="1"/>
        <sz val="10.0"/>
      </rPr>
      <t>usuario operador que posea perfil de esquema de firmas</t>
    </r>
  </si>
  <si>
    <r>
      <rPr>
        <rFont val="Fira Sans Extra Condensed"/>
        <color theme="1"/>
        <sz val="10.0"/>
      </rPr>
      <t xml:space="preserve">En la parte inferior de la pantalla de búsqueda debe mostrar las siguientes opciones:
</t>
    </r>
    <r>
      <rPr>
        <rFont val="Fira Sans Extra Condensed"/>
        <b/>
        <color theme="1"/>
        <sz val="10.0"/>
      </rPr>
      <t>Botón “Borrar":</t>
    </r>
    <r>
      <rPr>
        <rFont val="Fira Sans Extra Condensed"/>
        <color theme="1"/>
        <sz val="10.0"/>
      </rPr>
      <t xml:space="preserve"> al dar clic debe eliminar los filtros de búsqueda ingresados por el usuario. 
</t>
    </r>
    <r>
      <rPr>
        <rFont val="Fira Sans Extra Condensed"/>
        <b/>
        <color theme="1"/>
        <sz val="10.0"/>
      </rPr>
      <t xml:space="preserve">Botón “Aplicar”: </t>
    </r>
    <r>
      <rPr>
        <rFont val="Fira Sans Extra Condensed"/>
        <color theme="1"/>
        <sz val="10.0"/>
      </rPr>
      <t xml:space="preserve">Al dar clic el canal actualiza la pantalla donde muestra los usuarios, mostrando como resultado únicamente los que cumplan con los criterios buscados,  en caso que el usuario requiera  seleccionar o eliminar alguna selección la podrá aplicar la novedad de manera manual. 
- En la parte superior del resultado se debe mostrar el nombre del filtro aplicado y una opción en el mismo texto que permita “eliminar” el filtro. 
- Adicional se debe habilitar el elemento de “borrar filtros” al dar clic elimina todos los filtros aplicados. </t>
    </r>
  </si>
  <si>
    <t>Accesibilidad a los botones de borrar y aplicar</t>
  </si>
  <si>
    <t>- Permitir borrar la información de los campos filtros.
- Permitir realizar búsqueda de la información ingresada al hacer clic en aplicar</t>
  </si>
  <si>
    <r>
      <rPr>
        <rFont val="Fira Sans Extra Condensed"/>
        <color theme="1"/>
        <sz val="10.0"/>
      </rPr>
      <t xml:space="preserve">Búsqueda avanzada de esquema de firmas con </t>
    </r>
    <r>
      <rPr>
        <rFont val="Fira Sans Extra Condensed"/>
        <b/>
        <color theme="1"/>
        <sz val="10.0"/>
      </rPr>
      <t>usuario operador que posea perfil de esquema de firmas</t>
    </r>
  </si>
  <si>
    <t>Al realizar la búsqueda utilizando lo filtros y no encuentra coincidencia debe mostrar “La búsqueda no presenta resultados”</t>
  </si>
  <si>
    <t>No devolver resultados de una búsqueda no encontrada</t>
  </si>
  <si>
    <t>No devolver resultados de la búsqueda realizada.</t>
  </si>
  <si>
    <r>
      <rPr>
        <rFont val="Fira Sans Extra Condensed"/>
        <color theme="1"/>
        <sz val="10.0"/>
      </rPr>
      <t xml:space="preserve">Descarga de esquema de firmas con </t>
    </r>
    <r>
      <rPr>
        <rFont val="Fira Sans Extra Condensed"/>
        <b/>
        <color theme="1"/>
        <sz val="10.0"/>
      </rPr>
      <t>usuario operador que posea perfil de esquema de firmas</t>
    </r>
  </si>
  <si>
    <r>
      <rPr>
        <rFont val="Fira Sans Extra Condensed"/>
        <color theme="1"/>
        <sz val="10.0"/>
      </rPr>
      <t xml:space="preserve">El usuario al dar clic actualiza la pantalla y el canal muestra lo siguiente:
</t>
    </r>
    <r>
      <rPr>
        <rFont val="Fira Sans Extra Condensed"/>
        <b/>
        <color theme="1"/>
        <sz val="10.0"/>
      </rPr>
      <t xml:space="preserve">Titulo: </t>
    </r>
    <r>
      <rPr>
        <rFont val="Fira Sans Extra Condensed"/>
        <color theme="1"/>
        <sz val="10.0"/>
      </rPr>
      <t xml:space="preserve">Descargar Reporte
</t>
    </r>
    <r>
      <rPr>
        <rFont val="Fira Sans Extra Condensed"/>
        <b/>
        <color theme="1"/>
        <sz val="10.0"/>
      </rPr>
      <t>elemento de cerrar.</t>
    </r>
    <r>
      <rPr>
        <rFont val="Fira Sans Extra Condensed"/>
        <color theme="1"/>
        <sz val="10.0"/>
      </rPr>
      <t xml:space="preserve">
</t>
    </r>
    <r>
      <rPr>
        <rFont val="Fira Sans Extra Condensed"/>
        <b/>
        <color theme="1"/>
        <sz val="10.0"/>
      </rPr>
      <t>Descripción:</t>
    </r>
    <r>
      <rPr>
        <rFont val="Fira Sans Extra Condensed"/>
        <color theme="1"/>
        <sz val="10.0"/>
      </rPr>
      <t xml:space="preserve"> Si la descarga no se da de inmediato le enviaremos el archivo al buzón.
</t>
    </r>
    <r>
      <rPr>
        <rFont val="Fira Sans Extra Condensed"/>
        <b/>
        <color theme="1"/>
        <sz val="10.0"/>
      </rPr>
      <t xml:space="preserve">Texto: </t>
    </r>
    <r>
      <rPr>
        <rFont val="Fira Sans Extra Condensed"/>
        <color theme="1"/>
        <sz val="10.0"/>
      </rPr>
      <t xml:space="preserve">Elija el formato 
</t>
    </r>
    <r>
      <rPr>
        <rFont val="Fira Sans Extra Condensed"/>
        <b/>
        <color theme="1"/>
        <sz val="10.0"/>
      </rPr>
      <t xml:space="preserve">Excel  (.xlsx) 
PDF    (.pdf)
</t>
    </r>
    <r>
      <rPr>
        <rFont val="Fira Sans Extra Condensed"/>
        <color theme="1"/>
        <sz val="10.0"/>
      </rPr>
      <t xml:space="preserve">
</t>
    </r>
    <r>
      <rPr>
        <rFont val="Fira Sans Extra Condensed"/>
        <b/>
        <color theme="1"/>
        <sz val="10.0"/>
      </rPr>
      <t>Una vez el cliente seleccione un formato se habilita el botón de “Descargar”.</t>
    </r>
    <r>
      <rPr>
        <rFont val="Fira Sans Extra Condensed"/>
        <color theme="1"/>
        <sz val="10.0"/>
      </rPr>
      <t xml:space="preserve">
- La información descargada debe coincidir si fue aplicado un filtro. 
- El archivo descargado debe contener la información del total de resultados de todas las páginas que se muestran en el resultado. </t>
    </r>
  </si>
  <si>
    <t>Debe existir un elemento que le permita al usuario realizar la descarga de todos los esquemas creados en el canal</t>
  </si>
  <si>
    <t>- Mostrar botón descargar una vez se haya elegido un formato de descarga.</t>
  </si>
  <si>
    <t>Elección del formato para realizar descarga de esquemas de firmas.</t>
  </si>
  <si>
    <r>
      <rPr>
        <rFont val="Fira Sans Extra Condensed"/>
        <color theme="1"/>
        <sz val="10.0"/>
      </rPr>
      <t xml:space="preserve">Descarga de esquema de firmas con </t>
    </r>
    <r>
      <rPr>
        <rFont val="Fira Sans Extra Condensed"/>
        <b/>
        <color theme="1"/>
        <sz val="10.0"/>
      </rPr>
      <t>usuario operador que posea perfil de esquema de firmas</t>
    </r>
  </si>
  <si>
    <r>
      <rPr>
        <rFont val="Fira Sans Extra Condensed"/>
        <b/>
        <color theme="1"/>
        <sz val="10.0"/>
      </rPr>
      <t xml:space="preserve">En el formato en PDF en canal debe mostrar:
</t>
    </r>
    <r>
      <rPr>
        <rFont val="Fira Sans Extra Condensed"/>
        <color theme="1"/>
        <sz val="10.0"/>
      </rPr>
      <t xml:space="preserve">
</t>
    </r>
    <r>
      <rPr>
        <rFont val="Fira Sans Extra Condensed"/>
        <b/>
        <color theme="1"/>
        <sz val="10.0"/>
      </rPr>
      <t>Nombre del banco en la parte superior</t>
    </r>
    <r>
      <rPr>
        <rFont val="Fira Sans Extra Condensed"/>
        <color theme="1"/>
        <sz val="10.0"/>
      </rPr>
      <t xml:space="preserve">
</t>
    </r>
    <r>
      <rPr>
        <rFont val="Fira Sans Extra Condensed"/>
        <b/>
        <color theme="1"/>
        <sz val="10.0"/>
      </rPr>
      <t>Fecha y hora descarga</t>
    </r>
    <r>
      <rPr>
        <rFont val="Fira Sans Extra Condensed"/>
        <color theme="1"/>
        <sz val="10.0"/>
      </rPr>
      <t xml:space="preserve"> en formato dd-mm-aaaa hh:mm am-pm
</t>
    </r>
    <r>
      <rPr>
        <rFont val="Fira Sans Extra Condensed"/>
        <b/>
        <color theme="1"/>
        <sz val="10.0"/>
      </rPr>
      <t>Título</t>
    </r>
    <r>
      <rPr>
        <rFont val="Fira Sans Extra Condensed"/>
        <color theme="1"/>
        <sz val="10.0"/>
      </rPr>
      <t xml:space="preserve">: Esquemas de Firma
</t>
    </r>
    <r>
      <rPr>
        <rFont val="Fira Sans Extra Condensed"/>
        <b/>
        <color theme="1"/>
        <sz val="10.0"/>
      </rPr>
      <t xml:space="preserve">Resultado:  </t>
    </r>
    <r>
      <rPr>
        <rFont val="Fira Sans Extra Condensed"/>
        <color theme="1"/>
        <sz val="10.0"/>
      </rPr>
      <t xml:space="preserve">contenido de la consulta en la parte inferior de manera ordenada y clara mostrando por registro la fecha de creación, nombre del esquema completo y estado del mismo. </t>
    </r>
  </si>
  <si>
    <t>Detalle de descarga de reporte en formarto en PDF</t>
  </si>
  <si>
    <t>Campos en modo lectura</t>
  </si>
  <si>
    <t>Mostrar infromación de los esquemas descargados y de acuerdo a los filtros utilizados.</t>
  </si>
  <si>
    <r>
      <rPr>
        <rFont val="Fira Sans Extra Condensed"/>
        <color theme="1"/>
        <sz val="10.0"/>
      </rPr>
      <t xml:space="preserve">Descarga de esquema de firmas con </t>
    </r>
    <r>
      <rPr>
        <rFont val="Fira Sans Extra Condensed"/>
        <b/>
        <color theme="1"/>
        <sz val="10.0"/>
      </rPr>
      <t>usuario operador que posea perfil de esquema de firmas</t>
    </r>
  </si>
  <si>
    <r>
      <rPr>
        <rFont val="Fira Sans Extra Condensed"/>
        <b/>
        <color theme="1"/>
        <sz val="10.0"/>
      </rPr>
      <t>Mensajería:</t>
    </r>
    <r>
      <rPr>
        <rFont val="Fira Sans Extra Condensed"/>
        <color theme="1"/>
        <sz val="10.0"/>
      </rPr>
      <t xml:space="preserve">
- Si la descarga se realiza de manera satisfactoria actualiza la pantalla e informa en la parte superior “Descarga exitosa”
- Si la generación del reporte no se puede realizar en línea por el tamaño se debe mostrar el siguiente modal: “El reporte se enviará al buzón de notificaciones del módulo regional.”
- En caso que la descarga no se pueda generar por algún error se debe presentar mensaje: “Descarga fallida. Intente más tarde”  
- Si el usuario requiere realizar una descarga masiva debe seleccionar primero los checkbox y cuando tenga seleccionado al menos un registro el canal habilita la opción de “descargar selección”</t>
    </r>
  </si>
  <si>
    <t>Mostrar mensajes informativos de acuerdo al resultado de la descarga realizada</t>
  </si>
  <si>
    <r>
      <rPr>
        <rFont val="Fira Sans Extra Condensed"/>
        <color theme="1"/>
        <sz val="10.0"/>
      </rPr>
      <t xml:space="preserve">Ver detalle de esquema de firmas con </t>
    </r>
    <r>
      <rPr>
        <rFont val="Fira Sans Extra Condensed"/>
        <b/>
        <color theme="1"/>
        <sz val="10.0"/>
      </rPr>
      <t>usuario operador que posea perfil de esquema de firmas</t>
    </r>
  </si>
  <si>
    <r>
      <rPr>
        <rFont val="Fira Sans Extra Condensed"/>
        <b/>
        <color theme="1"/>
        <sz val="10.0"/>
      </rPr>
      <t>Ver Detalle Esquema de Firma</t>
    </r>
    <r>
      <rPr>
        <rFont val="Fira Sans Extra Condensed"/>
        <color theme="1"/>
        <sz val="10.0"/>
      </rPr>
      <t xml:space="preserve">:
Al dar clic sobre el registro en la consulta de esquemas de firmas permite tener la misma visual de cómo fue creado el esquema, la información que se visualiza será: 
</t>
    </r>
    <r>
      <rPr>
        <rFont val="Fira Sans Extra Condensed"/>
        <b/>
        <color theme="1"/>
        <sz val="10.0"/>
      </rPr>
      <t>Título header:</t>
    </r>
    <r>
      <rPr>
        <rFont val="Fira Sans Extra Condensed"/>
        <color theme="1"/>
        <sz val="10.0"/>
      </rPr>
      <t xml:space="preserve"> Detalle del esquema de firmas
</t>
    </r>
    <r>
      <rPr>
        <rFont val="Fira Sans Extra Condensed"/>
        <b/>
        <color theme="1"/>
        <sz val="10.0"/>
      </rPr>
      <t>Elemento para regresar</t>
    </r>
    <r>
      <rPr>
        <rFont val="Fira Sans Extra Condensed"/>
        <color theme="1"/>
        <sz val="10.0"/>
      </rPr>
      <t xml:space="preserve">
</t>
    </r>
    <r>
      <rPr>
        <rFont val="Fira Sans Extra Condensed"/>
        <b/>
        <color theme="1"/>
        <sz val="10.0"/>
      </rPr>
      <t xml:space="preserve">Elementos para: </t>
    </r>
    <r>
      <rPr>
        <rFont val="Fira Sans Extra Condensed"/>
        <color theme="1"/>
        <sz val="10.0"/>
      </rPr>
      <t xml:space="preserve">Editar / Eliminar / Descargar
</t>
    </r>
    <r>
      <rPr>
        <rFont val="Fira Sans Extra Condensed"/>
        <b/>
        <color theme="1"/>
        <sz val="10.0"/>
      </rPr>
      <t>Nombre del esquema:</t>
    </r>
    <r>
      <rPr>
        <rFont val="Fira Sans Extra Condensed"/>
        <color theme="1"/>
        <sz val="10.0"/>
      </rPr>
      <t xml:space="preserve"> Se muestra el nombre tal cual cómo fue creado.
</t>
    </r>
    <r>
      <rPr>
        <rFont val="Fira Sans Extra Condensed"/>
        <b/>
        <color theme="1"/>
        <sz val="10.0"/>
      </rPr>
      <t>Tipo de esquema: S</t>
    </r>
    <r>
      <rPr>
        <rFont val="Fira Sans Extra Condensed"/>
        <color theme="1"/>
        <sz val="10.0"/>
      </rPr>
      <t xml:space="preserve">e debe mostrar el nombre del esquema seleccionado.
</t>
    </r>
    <r>
      <rPr>
        <rFont val="Fira Sans Extra Condensed"/>
        <b/>
        <color theme="1"/>
        <sz val="10.0"/>
      </rPr>
      <t>Niveles de Aprobación:</t>
    </r>
    <r>
      <rPr>
        <rFont val="Fira Sans Extra Condensed"/>
        <color theme="1"/>
        <sz val="10.0"/>
      </rPr>
      <t xml:space="preserve"> Se debe mostrar en pantalla únicamente las opciones que asignó el usuario en la creación del esquema de firma, mostrando la información por nivel así: 
     - </t>
    </r>
    <r>
      <rPr>
        <rFont val="Fira Sans Extra Condensed"/>
        <b/>
        <color theme="1"/>
        <sz val="10.0"/>
      </rPr>
      <t xml:space="preserve">Nombre nivel: </t>
    </r>
    <r>
      <rPr>
        <rFont val="Fira Sans Extra Condensed"/>
        <color theme="1"/>
        <sz val="10.0"/>
      </rPr>
      <t xml:space="preserve">ejemplo “Nivel 1 / Nivel 2”
     - </t>
    </r>
    <r>
      <rPr>
        <rFont val="Fira Sans Extra Condensed"/>
        <b/>
        <color theme="1"/>
        <sz val="10.0"/>
      </rPr>
      <t>Autorizadores</t>
    </r>
    <r>
      <rPr>
        <rFont val="Fira Sans Extra Condensed"/>
        <color theme="1"/>
        <sz val="10.0"/>
      </rPr>
      <t xml:space="preserve">: Número de los usuarios que lo conforman. si lo despliega muestra el nombre de los usuarios
     - </t>
    </r>
    <r>
      <rPr>
        <rFont val="Fira Sans Extra Condensed"/>
        <b/>
        <color theme="1"/>
        <sz val="10.0"/>
      </rPr>
      <t>Autorizadores requeridos</t>
    </r>
    <r>
      <rPr>
        <rFont val="Fira Sans Extra Condensed"/>
        <color theme="1"/>
        <sz val="10.0"/>
      </rPr>
      <t>: Número seleccionado para el nivel en la creación.</t>
    </r>
  </si>
  <si>
    <r>
      <rPr>
        <rFont val="Fira Sans Extra Condensed"/>
        <color theme="1"/>
        <sz val="10.0"/>
      </rPr>
      <t xml:space="preserve">Descarga de esquema de firmas con </t>
    </r>
    <r>
      <rPr>
        <rFont val="Fira Sans Extra Condensed"/>
        <b/>
        <color theme="1"/>
        <sz val="10.0"/>
      </rPr>
      <t>usuario operador que posea perfil de esquema de firmas</t>
    </r>
  </si>
  <si>
    <r>
      <rPr>
        <rFont val="Fira Sans Extra Condensed"/>
        <b/>
        <color theme="1"/>
        <sz val="10.0"/>
      </rPr>
      <t xml:space="preserve">Transacciones y Límites: </t>
    </r>
    <r>
      <rPr>
        <rFont val="Fira Sans Extra Condensed"/>
        <color theme="1"/>
        <sz val="10.0"/>
      </rPr>
      <t xml:space="preserve">Aquí se debe mostrar las funcionalidades transaccionales del grupo regional, teniendo en cuenta que el MVP únicamente tiene la funcionalidad de “transferencias regionales” y de destinos autorizados, se mostrará las opciones cómo fue creado junto con los límites máximos registrados:
</t>
    </r>
    <r>
      <rPr>
        <rFont val="Fira Sans Extra Condensed"/>
        <b/>
        <color theme="1"/>
        <sz val="10.0"/>
      </rPr>
      <t xml:space="preserve">   - Transferencias regionales a cuentas propias.
   - Transferencias regionales a terceros.
   - Destinos autorizados.</t>
    </r>
  </si>
  <si>
    <r>
      <rPr>
        <rFont val="Fira Sans Extra Condensed"/>
        <color theme="1"/>
        <sz val="10.0"/>
      </rPr>
      <t xml:space="preserve">Descarga de esquema de firmas con </t>
    </r>
    <r>
      <rPr>
        <rFont val="Fira Sans Extra Condensed"/>
        <b/>
        <color theme="1"/>
        <sz val="10.0"/>
      </rPr>
      <t>usuario operador que posea perfil de esquema de firmas</t>
    </r>
  </si>
  <si>
    <r>
      <rPr>
        <rFont val="Fira Sans Extra Condensed"/>
        <b/>
        <color theme="1"/>
        <sz val="10.0"/>
      </rPr>
      <t>Grupo de Productos:</t>
    </r>
    <r>
      <rPr>
        <rFont val="Fira Sans Extra Condensed"/>
        <color theme="1"/>
        <sz val="10.0"/>
      </rPr>
      <t xml:space="preserve"> Se debe mostrar resumen general de los grupos de productos seleccionados en el paso anterior. Si la opción está desplegada da más detalle de cada uno.
</t>
    </r>
    <r>
      <rPr>
        <rFont val="Fira Sans Extra Condensed"/>
        <b/>
        <color theme="1"/>
        <sz val="10.0"/>
      </rPr>
      <t xml:space="preserve"> - Número de grupos
 - Países
 - Empresas
 - Productos</t>
    </r>
  </si>
  <si>
    <r>
      <rPr>
        <rFont val="Fira Sans Extra Condensed"/>
        <color theme="1"/>
        <sz val="10.0"/>
      </rPr>
      <t xml:space="preserve">Descarga de esquema de firmas con </t>
    </r>
    <r>
      <rPr>
        <rFont val="Fira Sans Extra Condensed"/>
        <b/>
        <color theme="1"/>
        <sz val="10.0"/>
      </rPr>
      <t>usuario operador que posea perfil de esquema de firmas</t>
    </r>
  </si>
  <si>
    <r>
      <rPr>
        <rFont val="Fira Sans Extra Condensed"/>
        <b/>
        <color theme="1"/>
        <sz val="10.0"/>
      </rPr>
      <t xml:space="preserve">Opciones en Pantalla: </t>
    </r>
    <r>
      <rPr>
        <rFont val="Fira Sans Extra Condensed"/>
        <color theme="1"/>
        <sz val="10.0"/>
      </rPr>
      <t xml:space="preserve">
</t>
    </r>
    <r>
      <rPr>
        <rFont val="Fira Sans Extra Condensed"/>
        <b/>
        <color theme="1"/>
        <sz val="10.0"/>
      </rPr>
      <t>-   Regresar:</t>
    </r>
    <r>
      <rPr>
        <rFont val="Fira Sans Extra Condensed"/>
        <color theme="1"/>
        <sz val="10.0"/>
      </rPr>
      <t xml:space="preserve"> Al dar clic lleva al usuario a la pantalla anterior.
</t>
    </r>
    <r>
      <rPr>
        <rFont val="Fira Sans Extra Condensed"/>
        <b/>
        <color theme="1"/>
        <sz val="10.0"/>
      </rPr>
      <t>-  Descargar:</t>
    </r>
    <r>
      <rPr>
        <rFont val="Fira Sans Extra Condensed"/>
        <color theme="1"/>
        <sz val="10.0"/>
      </rPr>
      <t xml:space="preserve"> Debe existir un elemento que le permita al usuario realizar la descarga del esquema, el usuario al dar clic actualiza la pantalla y el canal muestra:
</t>
    </r>
    <r>
      <rPr>
        <rFont val="Fira Sans Extra Condensed"/>
        <b/>
        <color theme="1"/>
        <sz val="10.0"/>
      </rPr>
      <t xml:space="preserve">Titulo: </t>
    </r>
    <r>
      <rPr>
        <rFont val="Fira Sans Extra Condensed"/>
        <color theme="1"/>
        <sz val="10.0"/>
      </rPr>
      <t xml:space="preserve">Descargar reporte
</t>
    </r>
    <r>
      <rPr>
        <rFont val="Fira Sans Extra Condensed"/>
        <b/>
        <color theme="1"/>
        <sz val="10.0"/>
      </rPr>
      <t>elemento de cerrar.</t>
    </r>
    <r>
      <rPr>
        <rFont val="Fira Sans Extra Condensed"/>
        <color theme="1"/>
        <sz val="10.0"/>
      </rPr>
      <t xml:space="preserve">
</t>
    </r>
    <r>
      <rPr>
        <rFont val="Fira Sans Extra Condensed"/>
        <b/>
        <color theme="1"/>
        <sz val="10.0"/>
      </rPr>
      <t>Descripción:</t>
    </r>
    <r>
      <rPr>
        <rFont val="Fira Sans Extra Condensed"/>
        <color theme="1"/>
        <sz val="10.0"/>
      </rPr>
      <t xml:space="preserve"> Si la descarga no se da de inmediato le enviaremos el archivo al buzón.
</t>
    </r>
    <r>
      <rPr>
        <rFont val="Fira Sans Extra Condensed"/>
        <b/>
        <color theme="1"/>
        <sz val="10.0"/>
      </rPr>
      <t>Texto: Elija el formato 
PDF    (.pdf)</t>
    </r>
    <r>
      <rPr>
        <rFont val="Fira Sans Extra Condensed"/>
        <color theme="1"/>
        <sz val="10.0"/>
      </rPr>
      <t xml:space="preserve">
</t>
    </r>
    <r>
      <rPr>
        <rFont val="Fira Sans Extra Condensed"/>
        <b/>
        <color theme="1"/>
        <sz val="10.0"/>
      </rPr>
      <t xml:space="preserve">
Una vez el cliente seleccione un formato se habilita el botón de “Descargar”.</t>
    </r>
    <r>
      <rPr>
        <rFont val="Fira Sans Extra Condensed"/>
        <color theme="1"/>
        <sz val="10.0"/>
      </rPr>
      <t xml:space="preserve">
- La información descargada debe coincidir si fue aplicado un filtro. 
- El archivo descargado debe contener la información del total de resultados de todas las páginas que se muestran en el resultado. </t>
    </r>
  </si>
  <si>
    <r>
      <rPr>
        <rFont val="Fira Sans Extra Condensed"/>
        <color theme="1"/>
        <sz val="10.0"/>
      </rPr>
      <t xml:space="preserve">Descarga de esquema de firmas con </t>
    </r>
    <r>
      <rPr>
        <rFont val="Fira Sans Extra Condensed"/>
        <b/>
        <color theme="1"/>
        <sz val="10.0"/>
      </rPr>
      <t>usuario operador que posea perfil de esquema de firmas</t>
    </r>
  </si>
  <si>
    <r>
      <rPr>
        <rFont val="Fira Sans Extra Condensed"/>
        <b/>
        <color theme="1"/>
        <sz val="10.0"/>
      </rPr>
      <t>En el formato en PDF en canal debe mostrar:</t>
    </r>
    <r>
      <rPr>
        <rFont val="Fira Sans Extra Condensed"/>
        <color theme="1"/>
        <sz val="10.0"/>
      </rPr>
      <t xml:space="preserve">
</t>
    </r>
    <r>
      <rPr>
        <rFont val="Fira Sans Extra Condensed"/>
        <b/>
        <color theme="1"/>
        <sz val="10.0"/>
      </rPr>
      <t>Nombre del banco en la parte superior
Fecha y hora de la descarga</t>
    </r>
    <r>
      <rPr>
        <rFont val="Fira Sans Extra Condensed"/>
        <color theme="1"/>
        <sz val="10.0"/>
      </rPr>
      <t xml:space="preserve"> en formato dd-mm-aaaa hh:mm am-pm
</t>
    </r>
    <r>
      <rPr>
        <rFont val="Fira Sans Extra Condensed"/>
        <b/>
        <color theme="1"/>
        <sz val="10.0"/>
      </rPr>
      <t>Título</t>
    </r>
    <r>
      <rPr>
        <rFont val="Fira Sans Extra Condensed"/>
        <color theme="1"/>
        <sz val="10.0"/>
      </rPr>
      <t xml:space="preserve">: Detalle del esquema de firma
</t>
    </r>
    <r>
      <rPr>
        <rFont val="Fira Sans Extra Condensed"/>
        <b/>
        <color theme="1"/>
        <sz val="10.0"/>
      </rPr>
      <t>Resultado:</t>
    </r>
    <r>
      <rPr>
        <rFont val="Fira Sans Extra Condensed"/>
        <color theme="1"/>
        <sz val="10.0"/>
      </rPr>
      <t xml:space="preserve"> Contenido de la consulta en la parte inferior de manera ordenada y clara con toda la información del esquema, nombre del esquema, tipo, niveles, aprobación directa (si aplica) transacciones y límites y grupos de </t>
    </r>
    <r>
      <rPr>
        <rFont val="Fira Sans Extra Condensed"/>
        <b/>
        <color theme="1"/>
        <sz val="10.0"/>
      </rPr>
      <t xml:space="preserve">productos </t>
    </r>
    <r>
      <rPr>
        <rFont val="Fira Sans Extra Condensed"/>
        <color theme="1"/>
        <sz val="10.0"/>
      </rPr>
      <t xml:space="preserve">(Cantidad de grupos, países, empresas y tipo de productos)
</t>
    </r>
    <r>
      <rPr>
        <rFont val="Fira Sans Extra Condensed"/>
        <b/>
        <color theme="1"/>
        <sz val="10.0"/>
      </rPr>
      <t>Mensajería:</t>
    </r>
    <r>
      <rPr>
        <rFont val="Fira Sans Extra Condensed"/>
        <color theme="1"/>
        <sz val="10.0"/>
      </rPr>
      <t xml:space="preserve">
- Si la descarga se realiza de manera satisfactoria actualiza la pantalla e informa en la parte superior “Descarga exitosa”
- Si la generación del reporte no se puede realizar en línea por el tamaño se debe mostrar el siguiente modal: “El reporte se enviará al buzón de notificaciones del módulo regional.”
- En caso que la descarga no se pueda generar por algún error se debe presentar mensaje: “Descarga fallida. Intente más tarde”  
- Si el usuario requiere realizar una descarga masiva debe seleccionar primero los checkbox y cuando tenga seleccionado al menos un registro el canal habilita la opción de “descargar selección”</t>
    </r>
  </si>
  <si>
    <r>
      <rPr>
        <rFont val="Fira Sans Extra Condensed"/>
        <color theme="1"/>
        <sz val="10.0"/>
      </rPr>
      <t xml:space="preserve">Mensaje de inconsistencia en esquema de firmas con </t>
    </r>
    <r>
      <rPr>
        <rFont val="Fira Sans Extra Condensed"/>
        <b/>
        <color theme="1"/>
        <sz val="10.0"/>
      </rPr>
      <t>usuario operador que posea perfil de esquema de firmas</t>
    </r>
  </si>
  <si>
    <t xml:space="preserve">Si un Esquema de firmas creado presenta alguna inconsistencia que no permita operar ya sea porque un usuario o un grupo fue eliminado y afecta la lógica de funcionamiento correcto del esquema se debe presentar en la visualización del detalle del esquema una alerta del estado “inconsistencia”, es decir si el error se presenta desde la parte usuarios asignados a los niveles requeridos o si es referente al grupo de productos eliminado debe existir un icono que permite visualmente identificar donde está la inconsistencia. Una vez el usuario edite el esquema de firma creado cumpliendo la lógica de usuarios y grupos asignados el esquema estará listo para operar con las reglas definidas. </t>
  </si>
  <si>
    <t>Indicar alerta de esquema de firmas con incinsistencia</t>
  </si>
  <si>
    <t>Mostar ícono de alerta</t>
  </si>
  <si>
    <t>Mostrar alerta cuando un esquema  de firmas posea inconsistencia.</t>
  </si>
  <si>
    <r>
      <rPr>
        <rFont val="Fira Sans Extra Condensed"/>
        <color theme="1"/>
        <sz val="10.0"/>
      </rPr>
      <t xml:space="preserve">Mensaje de inconsistencia en esquema de firmas con </t>
    </r>
    <r>
      <rPr>
        <rFont val="Fira Sans Extra Condensed"/>
        <b/>
        <color theme="1"/>
        <sz val="10.0"/>
      </rPr>
      <t>usuario operador que posea perfil de esquema de firmas</t>
    </r>
  </si>
  <si>
    <r>
      <rPr>
        <rFont val="Fira Sans Extra Condensed"/>
        <b/>
        <color theme="1"/>
        <sz val="10.0"/>
      </rPr>
      <t>Razones por las que un esquema puede presentar inconsistencia:
Inconsistencia eliminación de usuario requerido</t>
    </r>
    <r>
      <rPr>
        <rFont val="Fira Sans Extra Condensed"/>
        <color theme="1"/>
        <sz val="10.0"/>
      </rPr>
      <t xml:space="preserve">: En un esquema de firma donde se elimina un usuario que se encontraba ligado a un nivel de autorización y afecta la lógica del número de “autorizadores requeridos” debe generar una alerta visual, ejemplo: El grupo regional tiene un esquema de firma con un Nivel de autorización y tiene dos usuarios por nivel y dos firmas requeridas por nivel, en caso que elimine un usuario que esté ligado al nivel de autorización teniendo en cuenta que el esquema queda incompleto. 
</t>
    </r>
    <r>
      <rPr>
        <rFont val="Fira Sans Extra Condensed"/>
        <b/>
        <color theme="1"/>
        <sz val="10.0"/>
      </rPr>
      <t>Debe tener el icono de alerta, y se visualizará mensaje:</t>
    </r>
    <r>
      <rPr>
        <rFont val="Fira Sans Extra Condensed"/>
        <color theme="1"/>
        <sz val="10.0"/>
      </rPr>
      <t xml:space="preserve"> “Inconsistencia: un usuario fue eliminado del nivel de aprobación” adicional desde el nivel debe informar “usuario eliminado” lo anterior con el objetivo que le permita a  el usuario Administrador  visualizar desde la consulta general la inconsistencia y editar la misma para ajustarla.
Al dar clic para desplegar las opciones del Nivel debe visualizar los nombres de los usuarios e informa cuál de los registros fue eliminado. con el objetivo que le permita visualizar y editar la información. </t>
    </r>
  </si>
  <si>
    <t>Mostrar las razones por las cuales un esquema de firmas pueda presentar inconsistencias</t>
  </si>
  <si>
    <t>Mostrar alerta cuando un usuario sea eliminado del esquema de firmas e indicar el usuario que ha sido eliminado</t>
  </si>
  <si>
    <r>
      <rPr>
        <rFont val="Fira Sans Extra Condensed"/>
        <color theme="1"/>
        <sz val="10.0"/>
      </rPr>
      <t xml:space="preserve">Mensaje de inconsistencia en esquema de firmas con </t>
    </r>
    <r>
      <rPr>
        <rFont val="Fira Sans Extra Condensed"/>
        <b/>
        <color theme="1"/>
        <sz val="10.0"/>
      </rPr>
      <t>usuario operador que posea perfil de esquema de firmas</t>
    </r>
  </si>
  <si>
    <r>
      <rPr>
        <rFont val="Fira Sans Extra Condensed"/>
        <b/>
        <color theme="1"/>
        <sz val="10.0"/>
      </rPr>
      <t>Inconsistencia eliminación de Grupo de producto requerido</t>
    </r>
    <r>
      <rPr>
        <rFont val="Fira Sans Extra Condensed"/>
        <color theme="1"/>
        <sz val="10.0"/>
      </rPr>
      <t xml:space="preserve">: En un esquema de firma donde se eliminan todos o el único grupo de productos que tiene ligado el esquema de firma y tiene al menos una funcionalidad transaccional, se debe generar un icono de alerta en la consulta general para indicar al administrador que el esquema tiene una inconsistencia, ejemplo: a un esquema de firma creado posterior eliminan el único un “grupo de productos” que se encontraba asociado al esquema, y tiene funcionalidades asignadas en las que se requiere tener definido los “grupos de productos” debe generar la alerta visual en el detalle. 
</t>
    </r>
    <r>
      <rPr>
        <rFont val="Fira Sans Extra Condensed"/>
        <b/>
        <color theme="1"/>
        <sz val="10.0"/>
      </rPr>
      <t>Presentar mensaje: “Inconsistencia: Se eliminaron grupos de productos del esquema”</t>
    </r>
    <r>
      <rPr>
        <rFont val="Fira Sans Extra Condensed"/>
        <color theme="1"/>
        <sz val="10.0"/>
      </rPr>
      <t xml:space="preserve"> adicional debe generar una alerta en la parte de “grupos de productos” de esta forma permite al usuario Administrador visualizar y obtener detalle desde la consulta acerca de la inconsistencia y editar la misma. Adicional si el usuario despliega el detalle le permite ver el nombre del grupo de productos eliminado</t>
    </r>
  </si>
  <si>
    <t>Mostrar alerta cuando un grupo de productos sea eliminado del esquema de firmas e indicar cual grupo se encontraba asociado al esquema de firmas.</t>
  </si>
  <si>
    <r>
      <rPr>
        <rFont val="Fira Sans Extra Condensed"/>
        <color theme="1"/>
        <sz val="10.0"/>
      </rPr>
      <t xml:space="preserve">Mensaje de inconsistencia en esquema de firmas con </t>
    </r>
    <r>
      <rPr>
        <rFont val="Fira Sans Extra Condensed"/>
        <b/>
        <color theme="1"/>
        <sz val="10.0"/>
      </rPr>
      <t>usuario operador que posea perfil de esquema de firmas</t>
    </r>
  </si>
  <si>
    <r>
      <rPr>
        <rFont val="Fira Sans Extra Condensed"/>
        <b/>
        <color theme="1"/>
        <sz val="10.0"/>
      </rPr>
      <t>Inconsistencia eliminación de Grupo de producto y Usuario requerido:</t>
    </r>
    <r>
      <rPr>
        <rFont val="Fira Sans Extra Condensed"/>
        <color theme="1"/>
        <sz val="10.0"/>
      </rPr>
      <t xml:space="preserve"> En un esquema de firma donde se elimina el único o todos los grupo de productos y un usuario que afecta el número de “autorizadores requeridos” se debe generar un icono de alerta en la consulta general para indicar al usuario que el esquema tiene inconsistencias. Al ingresar al detalle del esquema de firma creado el usuario visualizará dónde se encuentran las inconsistencias sobre la sección de usuarios y esquemas de firmas.
</t>
    </r>
    <r>
      <rPr>
        <rFont val="Fira Sans Extra Condensed"/>
        <b/>
        <color theme="1"/>
        <sz val="10.0"/>
      </rPr>
      <t xml:space="preserve">Mensaje de alerta: “Inconsistencia: </t>
    </r>
    <r>
      <rPr>
        <rFont val="Fira Sans Extra Condensed"/>
        <color theme="1"/>
        <sz val="10.0"/>
      </rPr>
      <t>Se eliminaron usuarios del nivel de aprobación y grupos de productos del esquema” adicional debe generar una alerta visual en la parte de “Niveles” y  “grupos de productos” de esta forma permite al usuario Administrador visualizar y obtener detalle desde la consulta acerca de la inconsistencia y editar la misma. Adicional si el usuario despliega el detalle le permite ver el nombre del grupo de productos eliminado y el nombre de los usuarios eliminados.</t>
    </r>
  </si>
  <si>
    <t>Mostrar alerta cuando un grupo de productos y usuarios sean eliminados del esquema de firmas e indicar cual grupo y usuario se encontraba asociado al esquema de firmas.</t>
  </si>
  <si>
    <r>
      <rPr>
        <rFont val="Fira Sans Extra Condensed"/>
        <color theme="1"/>
        <sz val="10.0"/>
      </rPr>
      <t xml:space="preserve">Modificación a esquema de firmas con </t>
    </r>
    <r>
      <rPr>
        <rFont val="Fira Sans Extra Condensed"/>
        <b/>
        <color theme="1"/>
        <sz val="10.0"/>
      </rPr>
      <t>usuario operador con perfil de esquema de firmas</t>
    </r>
  </si>
  <si>
    <r>
      <rPr>
        <rFont val="Fira Sans Extra Condensed"/>
        <color theme="1"/>
        <sz val="10.0"/>
      </rPr>
      <t xml:space="preserve">Modificación a esquema de firmas con </t>
    </r>
    <r>
      <rPr>
        <rFont val="Fira Sans Extra Condensed"/>
        <b/>
        <color theme="1"/>
        <sz val="10.0"/>
      </rPr>
      <t>usuario operador con perfil de esquema de firmas</t>
    </r>
  </si>
  <si>
    <r>
      <rPr>
        <rFont val="Fira Sans Extra Condensed"/>
        <color theme="1"/>
        <sz val="10.0"/>
      </rPr>
      <t xml:space="preserve">Eliminación a esquema de firmas </t>
    </r>
    <r>
      <rPr>
        <rFont val="Fira Sans Extra Condensed"/>
        <b/>
        <color theme="1"/>
        <sz val="10.0"/>
      </rPr>
      <t>usuario operador con perfil de esquema de firmas</t>
    </r>
  </si>
  <si>
    <r>
      <rPr>
        <rFont val="Fira Sans Extra Condensed"/>
        <color theme="1"/>
        <sz val="10.0"/>
      </rPr>
      <t xml:space="preserve">Eliminación a esquema de firmas </t>
    </r>
    <r>
      <rPr>
        <rFont val="Fira Sans Extra Condensed"/>
        <b/>
        <color theme="1"/>
        <sz val="10.0"/>
      </rPr>
      <t>usuario operador con perfil de esquema de firmas</t>
    </r>
  </si>
  <si>
    <r>
      <rPr>
        <rFont val="Fira Sans Extra Condensed"/>
        <color theme="1"/>
        <sz val="10.0"/>
      </rPr>
      <t>Una vez el usuario de clic a “eliminar” debe actualizar un pop up así:</t>
    </r>
    <r>
      <rPr>
        <rFont val="Fira Sans Extra Condensed"/>
        <b/>
        <color theme="1"/>
        <sz val="10.0"/>
      </rPr>
      <t xml:space="preserve"> “¿Quiere eliminar el esquema de firmas?</t>
    </r>
    <r>
      <rPr>
        <rFont val="Fira Sans Extra Condensed"/>
        <color theme="1"/>
        <sz val="10.0"/>
      </rPr>
      <t xml:space="preserve">
Mostrar opciones de “volver” y “eliminar”.
Una vez de clic en “eliminar”  el canal debe validar si el grupo regional tiene administración única o dual, posterior se debe actualizar la pantalla y sobre poner una opción en donde a el usuario le permite ingresar el código de confirmación de Soft Token en caso que el usuario esté en CAM o Hard token si está en Colombia, este espacio únicamente debe permitir ingresar números, adicional debe tener un botón de “Cancelar”  y un botón de “Aprobar” una vez el usuario de clic debe validar el código ingresado y mostrará la siguiente mensajería según aplique de acuerdo a la H.U. Autorizaciones Transversal</t>
    </r>
  </si>
  <si>
    <t>Mensaje pop up de confirmación para eliminación</t>
  </si>
  <si>
    <t>Visualizar mensaje de confirmación para eliminación de esquema de firmas.</t>
  </si>
  <si>
    <r>
      <rPr>
        <rFont val="Fira Sans Extra Condensed"/>
        <color theme="1"/>
        <sz val="10.0"/>
      </rPr>
      <t xml:space="preserve">Eliminación a esquema de firmas </t>
    </r>
    <r>
      <rPr>
        <rFont val="Fira Sans Extra Condensed"/>
        <b/>
        <color theme="1"/>
        <sz val="10.0"/>
      </rPr>
      <t>usuario operador con perfil de esquema de firmas</t>
    </r>
  </si>
  <si>
    <r>
      <rPr>
        <rFont val="Fira Sans Extra Condensed"/>
        <b/>
        <color theme="1"/>
        <sz val="10.0"/>
      </rPr>
      <t xml:space="preserve">Resultado de la eliminación del esquema de firmas: </t>
    </r>
    <r>
      <rPr>
        <rFont val="Fira Sans Extra Condensed"/>
        <color theme="1"/>
        <sz val="10.0"/>
      </rPr>
      <t xml:space="preserve">La información que aquí se muestra dependerá del tipo de administración que tenga parametrizada el grupo Regional así:
</t>
    </r>
    <r>
      <rPr>
        <rFont val="Fira Sans Extra Condensed"/>
        <b/>
        <color theme="1"/>
        <sz val="10.0"/>
      </rPr>
      <t xml:space="preserve">Administración Sencilla:  </t>
    </r>
    <r>
      <rPr>
        <rFont val="Fira Sans Extra Condensed"/>
        <color theme="1"/>
        <sz val="10.0"/>
      </rPr>
      <t xml:space="preserve">Una vez aprobada la eliminación del esquema de firmas, en la parte superior  presentará el siguiente mensaje: “ Esquema eliminado exitosamente” y actualiza la pantalla de la consulta sin mostrar el grupo que acaba de ser eliminado. </t>
    </r>
  </si>
  <si>
    <t>Realizar eliminanción con esquema administrativo único</t>
  </si>
  <si>
    <t>Gestión pendiente de aprobación.</t>
  </si>
  <si>
    <r>
      <rPr>
        <rFont val="Fira Sans Extra Condensed"/>
        <color theme="1"/>
        <sz val="10.0"/>
      </rPr>
      <t xml:space="preserve">Eliminación a esquema de firmas </t>
    </r>
    <r>
      <rPr>
        <rFont val="Fira Sans Extra Condensed"/>
        <b/>
        <color theme="1"/>
        <sz val="10.0"/>
      </rPr>
      <t>usuario operador con perfil de esquema de firmas</t>
    </r>
  </si>
  <si>
    <r>
      <rPr>
        <rFont val="Fira Sans Extra Condensed"/>
        <b/>
        <color theme="1"/>
        <sz val="10.0"/>
      </rPr>
      <t xml:space="preserve">Administración Dual: </t>
    </r>
    <r>
      <rPr>
        <rFont val="Fira Sans Extra Condensed"/>
        <color theme="1"/>
        <sz val="10.0"/>
      </rPr>
      <t xml:space="preserve"> Una vez aprobada la eliminación del esquema de firma en la parte superior presentará el siguiente mensaje: “Pendiente autorización”, en la consulta el resultado debe continuar apareciendo y para finalizar el proceso eliminación el otro administrador deberá revisar y aprobar la solicitud por el módulo de autorizaciones, una vez aprobada no se debe visualizar por el módulo de consultas. 
</t>
    </r>
  </si>
  <si>
    <t>Realizar eliminanción con esquema administrativo dual</t>
  </si>
  <si>
    <t>Gestión de eliminación con estado pendiente de autorización.</t>
  </si>
  <si>
    <r>
      <rPr>
        <rFont val="Fira Sans Extra Condensed"/>
        <color theme="1"/>
        <sz val="10.0"/>
      </rPr>
      <t xml:space="preserve">Eliminación a esquema de firmas </t>
    </r>
    <r>
      <rPr>
        <rFont val="Fira Sans Extra Condensed"/>
        <b/>
        <color theme="1"/>
        <sz val="10.0"/>
      </rPr>
      <t>usuario operador con perfil de esquema de firmas</t>
    </r>
  </si>
  <si>
    <r>
      <rPr>
        <rFont val="Fira Sans Extra Condensed"/>
        <b/>
        <color theme="1"/>
        <sz val="10.0"/>
      </rPr>
      <t xml:space="preserve">Escenario Eliminación de todos los esquemas de firmas:
</t>
    </r>
    <r>
      <rPr>
        <rFont val="Fira Sans Extra Condensed"/>
        <color theme="1"/>
        <sz val="10.0"/>
      </rPr>
      <t>En caso que el usuario elimine todos los esquemas de firmas, se debe mostrar el mensaje: “ Quiere eliminar el esquema de firmas? Hay grupos de productos y roles que se asocian exclusivamente a este esquema. Si lo elimina, esos grupos o roles no funcionarán dentro del módulo regional. Para que puedan usar el módulo, debe crearles un nuevo esquema”</t>
    </r>
  </si>
  <si>
    <t>Mostrar mensaje informativo de eliminación de esquema de firmas</t>
  </si>
  <si>
    <r>
      <rPr>
        <rFont val="Fira Sans Extra Condensed"/>
        <color theme="1"/>
        <sz val="10.0"/>
      </rPr>
      <t xml:space="preserve">Eliminación a esquema de firmas </t>
    </r>
    <r>
      <rPr>
        <rFont val="Fira Sans Extra Condensed"/>
        <b/>
        <color theme="1"/>
        <sz val="10.0"/>
      </rPr>
      <t>usuario operador con perfil de esquema de firmas</t>
    </r>
  </si>
  <si>
    <t>Se actualizará el submódulo de Administración/ Esquemas de firmas y quedará en estado de “Empty State” es decir, el canal no debe habilitar la opción de “consultas” y únicamente disponibiliza la opción para que el canal guíe al usuario a crear un nuevo esquema.</t>
  </si>
  <si>
    <t>Actualización del módulo esquema de firmas</t>
  </si>
  <si>
    <t>Botón de consultas no debe habilitarse</t>
  </si>
  <si>
    <t>Botón de consultas no debe habilitarse y deberá mostrar el botón para crear un nuevo esquema de firmas</t>
  </si>
  <si>
    <r>
      <rPr>
        <rFont val="Fira Sans Extra Condensed"/>
        <color theme="1"/>
        <sz val="10.0"/>
      </rPr>
      <t xml:space="preserve">Eliminación a esquema de firmas </t>
    </r>
    <r>
      <rPr>
        <rFont val="Fira Sans Extra Condensed"/>
        <b/>
        <color theme="1"/>
        <sz val="10.0"/>
      </rPr>
      <t>usuario operador con perfil de esquema de firmas</t>
    </r>
  </si>
  <si>
    <t>Teniendo en cuenta que la eliminación de esquema de firma no afecta los parámetros de los submódulos de grupos de productos y de usuarios, únicamente desde la pantalla donde aparecen los submódulos de administración debe aparecer un icono de alerta con mensaje “ El esquema de firmas fue eliminado. debe crear minimo un esquema para poder administrar el módulo regional”.</t>
  </si>
  <si>
    <t>Mostrar alerta de eliminación de esquema de firmas</t>
  </si>
  <si>
    <r>
      <rPr>
        <rFont val="Fira Sans Extra Condensed"/>
        <color theme="1"/>
        <sz val="10.0"/>
      </rPr>
      <t xml:space="preserve">Eliminación a esquema de firmas </t>
    </r>
    <r>
      <rPr>
        <rFont val="Fira Sans Extra Condensed"/>
        <b/>
        <color theme="1"/>
        <sz val="10.0"/>
      </rPr>
      <t>usuario operador con perfil de esquema de firmas</t>
    </r>
  </si>
  <si>
    <r>
      <rPr>
        <rFont val="Fira Sans Extra Condensed"/>
        <b/>
        <color theme="1"/>
        <sz val="10.0"/>
      </rPr>
      <t xml:space="preserve">Escenario Eliminación esquema de Firma y existen procesos pendientes de Autorización:
</t>
    </r>
    <r>
      <rPr>
        <rFont val="Fira Sans Extra Condensed"/>
        <color theme="1"/>
        <sz val="10.0"/>
      </rPr>
      <t xml:space="preserve">Si el usuario primero elimina el esquema de firma y luego quiere autorizar el traslado, el traslado no podrá ser autorizado teniendo en cuenta que no tienen un esquema de firma vigente al momento de realizar la aprobación. aplica la mensajería definida para el Módulo de Autorización.  </t>
    </r>
  </si>
  <si>
    <t>Al confirmar la transacción mostrará rechazo o no aparecerá en las autorizaciones pendientes, ya que el esquema ha sido eliminado previamente.</t>
  </si>
  <si>
    <t>Eliminación del esquema y toda transacción ligada a dicho esquema no podrá ejecutarse.</t>
  </si>
  <si>
    <r>
      <rPr>
        <rFont val="Fira Sans Extra Condensed"/>
        <color theme="1"/>
        <sz val="10.0"/>
      </rPr>
      <t xml:space="preserve">Eliminación a esquema de firmas </t>
    </r>
    <r>
      <rPr>
        <rFont val="Fira Sans Extra Condensed"/>
        <b/>
        <color theme="1"/>
        <sz val="10.0"/>
      </rPr>
      <t>usuario operador con perfil de esquema de firmas</t>
    </r>
  </si>
  <si>
    <t xml:space="preserve">Si el usuario primero aprueba el traslado antes de la eliminación del esquema de firma, el canal debe validar y seguir el flujo de la autorización, es decir permite la eliminación. </t>
  </si>
  <si>
    <t>Esquema de firma seguirá vigente aun cuando posea estado 'Pendiente de eliminación'</t>
  </si>
  <si>
    <t>Eliminación del esquema con estado pendiente de autorización y toda transacción ligada a dicho esquema podrá ejecutarse de forma correcta</t>
  </si>
  <si>
    <r>
      <rPr>
        <rFont val="Fira Sans Extra Condensed"/>
        <color theme="1"/>
        <sz val="10.0"/>
      </rPr>
      <t xml:space="preserve">Esquema de firmas / Escala 7x24 </t>
    </r>
    <r>
      <rPr>
        <rFont val="Fira Sans Extra Condensed"/>
        <b/>
        <color theme="1"/>
        <sz val="10.0"/>
      </rPr>
      <t>Gestión desde el CANAL</t>
    </r>
  </si>
  <si>
    <r>
      <rPr>
        <rFont val="Fira Sans Extra Condensed"/>
        <color theme="1"/>
        <sz val="10.0"/>
      </rPr>
      <t>Acceso al Módulo de administración / Esquema de firmas con</t>
    </r>
    <r>
      <rPr>
        <rFont val="Fira Sans Extra Condensed"/>
        <b/>
        <color theme="1"/>
        <sz val="10.0"/>
      </rPr>
      <t xml:space="preserve"> Usuario maestro</t>
    </r>
  </si>
  <si>
    <r>
      <rPr>
        <rFont val="Fira Sans Extra Condensed"/>
        <color theme="1"/>
        <sz val="10.0"/>
      </rPr>
      <t xml:space="preserve">Esquema de firmas / Escala 7x24 </t>
    </r>
    <r>
      <rPr>
        <rFont val="Fira Sans Extra Condensed"/>
        <b/>
        <color theme="1"/>
        <sz val="10.0"/>
      </rPr>
      <t>Gestión desde el CANAL</t>
    </r>
  </si>
  <si>
    <r>
      <rPr>
        <rFont val="Fira Sans Extra Condensed"/>
        <color theme="1"/>
        <sz val="10.0"/>
      </rPr>
      <t>Acceso al Módulo de administración / Esquema de firmas con</t>
    </r>
    <r>
      <rPr>
        <rFont val="Fira Sans Extra Condensed"/>
        <b/>
        <color theme="1"/>
        <sz val="10.0"/>
      </rPr>
      <t xml:space="preserve"> Usuario maestro</t>
    </r>
  </si>
  <si>
    <r>
      <rPr>
        <rFont val="Fira Sans Extra Condensed"/>
        <color theme="1"/>
        <sz val="10.0"/>
      </rPr>
      <t>Acceso al Módulo de administración / Esquema de firmas con</t>
    </r>
    <r>
      <rPr>
        <rFont val="Fira Sans Extra Condensed"/>
        <b/>
        <color theme="1"/>
        <sz val="10.0"/>
      </rPr>
      <t xml:space="preserve"> Usuario maestro</t>
    </r>
  </si>
  <si>
    <r>
      <rPr>
        <rFont val="Fira Sans Extra Condensed"/>
        <color theme="1"/>
        <sz val="10.0"/>
      </rPr>
      <t xml:space="preserve">Pantalla creación de esquema de firma
</t>
    </r>
    <r>
      <rPr>
        <rFont val="Fira Sans Extra Condensed"/>
        <b/>
        <color theme="1"/>
        <sz val="10.0"/>
      </rPr>
      <t>Título header:</t>
    </r>
    <r>
      <rPr>
        <rFont val="Fira Sans Extra Condensed"/>
        <color theme="1"/>
        <sz val="10.0"/>
      </rPr>
      <t xml:space="preserve"> Nombre del esquema de firmas
</t>
    </r>
    <r>
      <rPr>
        <rFont val="Fira Sans Extra Condensed"/>
        <b/>
        <color theme="1"/>
        <sz val="10.0"/>
      </rPr>
      <t>Elemento para regresar</t>
    </r>
    <r>
      <rPr>
        <rFont val="Fira Sans Extra Condensed"/>
        <color theme="1"/>
        <sz val="10.0"/>
      </rPr>
      <t xml:space="preserve">: Botón
</t>
    </r>
    <r>
      <rPr>
        <rFont val="Fira Sans Extra Condensed"/>
        <b/>
        <color theme="1"/>
        <sz val="10.0"/>
      </rPr>
      <t xml:space="preserve">Descripción: </t>
    </r>
    <r>
      <rPr>
        <rFont val="Fira Sans Extra Condensed"/>
        <color theme="1"/>
        <sz val="10.0"/>
      </rPr>
      <t xml:space="preserve">Aquí puede definir cuántos aprobadores necesita para autorizar las diferentes transacciones mediante la creación de un esquema.
</t>
    </r>
    <r>
      <rPr>
        <rFont val="Fira Sans Extra Condensed"/>
        <b/>
        <color theme="1"/>
        <sz val="10.0"/>
      </rPr>
      <t xml:space="preserve">Asignar nombre que tenga entre 5 y 50 caracteres: </t>
    </r>
    <r>
      <rPr>
        <rFont val="Fira Sans Extra Condensed"/>
        <color theme="1"/>
        <sz val="10.0"/>
      </rPr>
      <t>(Obligatorio) Espacio alfanumérico de hasta 50 caracteres que permite ingresar el nombre del esquema de firmas o flujo de aprobación que se está creando, los caracteres mínimos que debe tener este nombre serán de 5 caracteres, debe tener un elemento que le permita al usuario visualizar en la pantalla los caracteres usados. Una vez diligenciada la información del nombre que cumpla con lo descrito anteriormente se habilita el botón de “Continuar”</t>
    </r>
  </si>
  <si>
    <r>
      <rPr>
        <rFont val="Fira Sans Extra Condensed"/>
        <color theme="1"/>
        <sz val="10.0"/>
      </rPr>
      <t>Acceso al Módulo de administración / Esquema de firmas con</t>
    </r>
    <r>
      <rPr>
        <rFont val="Fira Sans Extra Condensed"/>
        <b/>
        <color theme="1"/>
        <sz val="10.0"/>
      </rPr>
      <t xml:space="preserve"> Usuario maestro</t>
    </r>
  </si>
  <si>
    <r>
      <rPr>
        <rFont val="Fira Sans Extra Condensed"/>
        <color theme="1"/>
        <sz val="10.0"/>
      </rPr>
      <t>Acceso al Módulo de administración / Esquema de firmas con</t>
    </r>
    <r>
      <rPr>
        <rFont val="Fira Sans Extra Condensed"/>
        <b/>
        <color theme="1"/>
        <sz val="10.0"/>
      </rPr>
      <t xml:space="preserve"> Usuario maestro</t>
    </r>
  </si>
  <si>
    <r>
      <rPr>
        <rFont val="Fira Sans Extra Condensed"/>
        <b/>
        <color theme="1"/>
        <sz val="10.0"/>
      </rPr>
      <t>Resultado Consulta:</t>
    </r>
    <r>
      <rPr>
        <rFont val="Fira Sans Extra Condensed"/>
        <color theme="1"/>
        <sz val="10.0"/>
      </rPr>
      <t xml:space="preserve">
</t>
    </r>
    <r>
      <rPr>
        <rFont val="Fira Sans Extra Condensed"/>
        <b/>
        <color theme="1"/>
        <sz val="10.0"/>
      </rPr>
      <t xml:space="preserve">Fecha Solicitud: </t>
    </r>
    <r>
      <rPr>
        <rFont val="Fira Sans Extra Condensed"/>
        <color theme="1"/>
        <sz val="10.0"/>
      </rPr>
      <t xml:space="preserve">se debe presentar la fecha en la que el usuario preparador envió la novedad.
</t>
    </r>
    <r>
      <rPr>
        <rFont val="Fira Sans Extra Condensed"/>
        <b/>
        <color theme="1"/>
        <sz val="10.0"/>
      </rPr>
      <t xml:space="preserve">Casa Matriz: </t>
    </r>
    <r>
      <rPr>
        <rFont val="Fira Sans Extra Condensed"/>
        <color theme="1"/>
        <sz val="10.0"/>
      </rPr>
      <t xml:space="preserve">se debe mostrar el nombre del país del grupo regional al que pertenece la novedad.
</t>
    </r>
    <r>
      <rPr>
        <rFont val="Fira Sans Extra Condensed"/>
        <b/>
        <color theme="1"/>
        <sz val="10.0"/>
      </rPr>
      <t>Nombre Grupo Regional:</t>
    </r>
    <r>
      <rPr>
        <rFont val="Fira Sans Extra Condensed"/>
        <color theme="1"/>
        <sz val="10.0"/>
      </rPr>
      <t xml:space="preserve"> Se debe mostrar el nombre con el que fue creado el grupo.
</t>
    </r>
    <r>
      <rPr>
        <rFont val="Fira Sans Extra Condensed"/>
        <b/>
        <color theme="1"/>
        <sz val="10.0"/>
      </rPr>
      <t>Acción:</t>
    </r>
    <r>
      <rPr>
        <rFont val="Fira Sans Extra Condensed"/>
        <color theme="1"/>
        <sz val="10.0"/>
      </rPr>
      <t xml:space="preserve"> se debe mostrar el tipo de novedad (Creación/Eliminación/ Edición)
</t>
    </r>
    <r>
      <rPr>
        <rFont val="Fira Sans Extra Condensed"/>
        <b/>
        <color theme="1"/>
        <sz val="10.0"/>
      </rPr>
      <t>Tipo de Gestión:</t>
    </r>
    <r>
      <rPr>
        <rFont val="Fira Sans Extra Condensed"/>
        <color theme="1"/>
        <sz val="10.0"/>
      </rPr>
      <t xml:space="preserve"> Se debe presentar la novedad a la que pertenece (Grupo Regional, Asociación Empresa, Usuario, Destino Autorizado, Grupo de Producto)
</t>
    </r>
    <r>
      <rPr>
        <rFont val="Fira Sans Extra Condensed"/>
        <b/>
        <color theme="1"/>
        <sz val="10.0"/>
      </rPr>
      <t>Usuario:</t>
    </r>
    <r>
      <rPr>
        <rFont val="Fira Sans Extra Condensed"/>
        <color theme="1"/>
        <sz val="10.0"/>
      </rPr>
      <t xml:space="preserve"> Se debe mostrar el número del ID del usuario preparador
</t>
    </r>
    <r>
      <rPr>
        <rFont val="Fira Sans Extra Condensed"/>
        <b/>
        <color theme="1"/>
        <sz val="10.0"/>
      </rPr>
      <t>Quickaction:</t>
    </r>
    <r>
      <rPr>
        <rFont val="Fira Sans Extra Condensed"/>
        <color theme="1"/>
        <sz val="10.0"/>
      </rPr>
      <t xml:space="preserve"> Debe tener un elemento que permita ver mayor detalle una novedad. </t>
    </r>
  </si>
  <si>
    <r>
      <rPr>
        <rFont val="Fira Sans Extra Condensed"/>
        <color theme="1"/>
        <sz val="10.0"/>
      </rPr>
      <t>Acceso al Módulo de administración / Esquema de firmas con</t>
    </r>
    <r>
      <rPr>
        <rFont val="Fira Sans Extra Condensed"/>
        <b/>
        <color theme="1"/>
        <sz val="10.0"/>
      </rPr>
      <t xml:space="preserve"> Usuario maestro</t>
    </r>
  </si>
  <si>
    <r>
      <rPr>
        <rFont val="Fira Sans Extra Condensed"/>
        <b/>
        <color theme="1"/>
        <sz val="10.0"/>
      </rPr>
      <t xml:space="preserve">Título de pantalla 1: </t>
    </r>
    <r>
      <rPr>
        <rFont val="Fira Sans Extra Condensed"/>
        <color theme="1"/>
        <sz val="10.0"/>
      </rPr>
      <t xml:space="preserve">Elección de esquema de firmas
</t>
    </r>
    <r>
      <rPr>
        <rFont val="Fira Sans Extra Condensed"/>
        <b/>
        <color theme="1"/>
        <sz val="10.0"/>
      </rPr>
      <t>Botón Regresar</t>
    </r>
    <r>
      <rPr>
        <rFont val="Fira Sans Extra Condensed"/>
        <color theme="1"/>
        <sz val="10.0"/>
      </rPr>
      <t xml:space="preserve">: Al hacer clic deberá retonar al paso anterior
</t>
    </r>
    <r>
      <rPr>
        <rFont val="Fira Sans Extra Condensed"/>
        <b/>
        <color theme="1"/>
        <sz val="10.0"/>
      </rPr>
      <t xml:space="preserve">Descripción: </t>
    </r>
    <r>
      <rPr>
        <rFont val="Fira Sans Extra Condensed"/>
        <color theme="1"/>
        <sz val="10.0"/>
      </rPr>
      <t>Estos son los diferentes niveles de control que le ofrecemos para sus operaciones. Por favor, elija la más pertinente según sus necesidades.</t>
    </r>
  </si>
  <si>
    <r>
      <rPr>
        <rFont val="Fira Sans Extra Condensed"/>
        <color theme="1"/>
        <sz val="10.0"/>
      </rPr>
      <t>Acceso al Módulo de administración / Esquema de firmas con</t>
    </r>
    <r>
      <rPr>
        <rFont val="Fira Sans Extra Condensed"/>
        <b/>
        <color theme="1"/>
        <sz val="10.0"/>
      </rPr>
      <t xml:space="preserve"> Usuario maestro</t>
    </r>
  </si>
  <si>
    <r>
      <rPr>
        <rFont val="Fira Sans Extra Condensed"/>
        <color theme="1"/>
        <sz val="10.0"/>
      </rPr>
      <t xml:space="preserve">Tipos de administración que tendrá el canal y Control Center y sobre la cual debe seleccionar una:
</t>
    </r>
    <r>
      <rPr>
        <rFont val="Fira Sans Extra Condensed"/>
        <b/>
        <color theme="1"/>
        <sz val="10.0"/>
      </rPr>
      <t>Ligero:</t>
    </r>
    <r>
      <rPr>
        <rFont val="Fira Sans Extra Condensed"/>
        <color theme="1"/>
        <sz val="10.0"/>
      </rPr>
      <t xml:space="preserve">
-  1 Nivel de aprobación.
-  Cada nivel permite asignar hasta 9 usuarios.
-  Incluye aprobación directa.</t>
    </r>
  </si>
  <si>
    <r>
      <rPr>
        <rFont val="Fira Sans Extra Condensed"/>
        <color theme="1"/>
        <sz val="10.0"/>
      </rPr>
      <t>Acceso al Módulo de administración / Esquema de firmas con</t>
    </r>
    <r>
      <rPr>
        <rFont val="Fira Sans Extra Condensed"/>
        <b/>
        <color theme="1"/>
        <sz val="10.0"/>
      </rPr>
      <t xml:space="preserve"> Usuario maestro</t>
    </r>
  </si>
  <si>
    <r>
      <rPr>
        <rFont val="Fira Sans Extra Condensed"/>
        <b/>
        <color theme="1"/>
        <sz val="10.0"/>
      </rPr>
      <t xml:space="preserve">Tipo de administración Moderado:
</t>
    </r>
    <r>
      <rPr>
        <rFont val="Fira Sans Extra Condensed"/>
        <color theme="1"/>
        <sz val="10.0"/>
      </rPr>
      <t xml:space="preserve">
-  2 Nivel de aprobación.
-  Cada nivel permite asignar hasta 9 usuarios.
-  Incluye aprobación directa.</t>
    </r>
  </si>
  <si>
    <r>
      <rPr>
        <rFont val="Fira Sans Extra Condensed"/>
        <color theme="1"/>
        <sz val="10.0"/>
      </rPr>
      <t>Acceso al Módulo de administración / Esquema de firmas con</t>
    </r>
    <r>
      <rPr>
        <rFont val="Fira Sans Extra Condensed"/>
        <b/>
        <color theme="1"/>
        <sz val="10.0"/>
      </rPr>
      <t xml:space="preserve"> Usuario maestro</t>
    </r>
  </si>
  <si>
    <r>
      <rPr>
        <rFont val="Fira Sans Extra Condensed"/>
        <b/>
        <color theme="1"/>
        <sz val="10.0"/>
      </rPr>
      <t>Tipo de administración Fuerte:</t>
    </r>
    <r>
      <rPr>
        <rFont val="Fira Sans Extra Condensed"/>
        <color theme="1"/>
        <sz val="10.0"/>
      </rPr>
      <t xml:space="preserve">
-  3 Nivel de aprobación.
-  Cada nivel permite asignar hasta 9 usuarios.
-  Incluye aprobación directa.
-  La aprobación debe seguir el orden de los niveles establecidos
-  Cada nivel debe tener usuarios diferentes</t>
    </r>
  </si>
  <si>
    <r>
      <rPr>
        <rFont val="Fira Sans Extra Condensed"/>
        <color theme="1"/>
        <sz val="10.0"/>
      </rPr>
      <t>Acceso al Módulo de administración / Esquema de firmas con</t>
    </r>
    <r>
      <rPr>
        <rFont val="Fira Sans Extra Condensed"/>
        <b/>
        <color theme="1"/>
        <sz val="10.0"/>
      </rPr>
      <t xml:space="preserve"> Usuario maestro</t>
    </r>
  </si>
  <si>
    <r>
      <rPr>
        <rFont val="Fira Sans Extra Condensed"/>
        <b/>
        <color theme="1"/>
        <sz val="10.0"/>
      </rPr>
      <t xml:space="preserve">Tipo de adiministración Robusto:
</t>
    </r>
    <r>
      <rPr>
        <rFont val="Fira Sans Extra Condensed"/>
        <color theme="1"/>
        <sz val="10.0"/>
      </rPr>
      <t xml:space="preserve">
-  4 Nivel de aprobación.
-  Cada nivel permite asignar hasta 9 usuarios.
-  Incluye aprobación directa.
-  La aprobación debe seguir el orden de los niveles establecidos
-  Cada nivel debe tener usuarios diferentes</t>
    </r>
  </si>
  <si>
    <r>
      <rPr>
        <rFont val="Fira Sans Extra Condensed"/>
        <b/>
        <color theme="1"/>
        <sz val="10.0"/>
      </rPr>
      <t xml:space="preserve">Usuario Maestro </t>
    </r>
    <r>
      <rPr>
        <rFont val="Fira Sans Extra Condensed"/>
        <color theme="1"/>
        <sz val="10.0"/>
      </rPr>
      <t>aya completado los datos de la pantalla 1</t>
    </r>
  </si>
  <si>
    <r>
      <rPr>
        <rFont val="Fira Sans Extra Condensed"/>
        <b/>
        <color theme="1"/>
        <sz val="10.0"/>
      </rPr>
      <t xml:space="preserve">Título de pantalla 2: </t>
    </r>
    <r>
      <rPr>
        <rFont val="Fira Sans Extra Condensed"/>
        <color theme="1"/>
        <sz val="10.0"/>
      </rPr>
      <t xml:space="preserve">Configuración de esquema de firmas
</t>
    </r>
    <r>
      <rPr>
        <rFont val="Fira Sans Extra Condensed"/>
        <b/>
        <color theme="1"/>
        <sz val="10.0"/>
      </rPr>
      <t>Botón Regresar</t>
    </r>
    <r>
      <rPr>
        <rFont val="Fira Sans Extra Condensed"/>
        <color theme="1"/>
        <sz val="10.0"/>
      </rPr>
      <t xml:space="preserve">: Al hacer clic deberá retonar al paso anterior
</t>
    </r>
    <r>
      <rPr>
        <rFont val="Fira Sans Extra Condensed"/>
        <b/>
        <color theme="1"/>
        <sz val="10.0"/>
      </rPr>
      <t xml:space="preserve">Descripción: </t>
    </r>
    <r>
      <rPr>
        <rFont val="Fira Sans Extra Condensed"/>
        <color theme="1"/>
        <sz val="10.0"/>
      </rPr>
      <t>Agregue los usuarios administradores o autorizadores de cada nivel</t>
    </r>
  </si>
  <si>
    <r>
      <rPr>
        <rFont val="Fira Sans Extra Condensed"/>
        <b/>
        <color theme="1"/>
        <sz val="10.0"/>
      </rPr>
      <t>Usuario maestro</t>
    </r>
    <r>
      <rPr>
        <rFont val="Fira Sans Extra Condensed"/>
        <color theme="1"/>
        <sz val="10.0"/>
      </rPr>
      <t xml:space="preserve"> haya completado los datos de la pantalla 1</t>
    </r>
  </si>
  <si>
    <r>
      <rPr>
        <rFont val="Fira Sans Extra Condensed"/>
        <b/>
        <color theme="1"/>
        <sz val="10.0"/>
      </rPr>
      <t>Información del esquema:
Nombre del esquema:</t>
    </r>
    <r>
      <rPr>
        <rFont val="Fira Sans Extra Condensed"/>
        <color theme="1"/>
        <sz val="10.0"/>
      </rPr>
      <t xml:space="preserve"> Se debe presentar el nombre ingresado por el usuario en el criterio 3 
</t>
    </r>
    <r>
      <rPr>
        <rFont val="Fira Sans Extra Condensed"/>
        <b/>
        <color theme="1"/>
        <sz val="10.0"/>
      </rPr>
      <t>Tipo de esquema:</t>
    </r>
    <r>
      <rPr>
        <rFont val="Fira Sans Extra Condensed"/>
        <color theme="1"/>
        <sz val="10.0"/>
      </rPr>
      <t xml:space="preserve"> Se debe mostrar el nombre del esquema seleccionado, ejemplo “Robusto”
</t>
    </r>
    <r>
      <rPr>
        <rFont val="Fira Sans Extra Condensed"/>
        <b/>
        <color theme="1"/>
        <sz val="10.0"/>
      </rPr>
      <t xml:space="preserve">Texto informativo: </t>
    </r>
    <r>
      <rPr>
        <rFont val="Fira Sans Extra Condensed"/>
        <color theme="1"/>
        <sz val="10.0"/>
      </rPr>
      <t>“En cada nivel puede seleccionar hasta 9 usuarios y definir mínimo cuantas firmas se necesitan para que se complete. Tenga en cuenta que los usuarios no pueden repetirse entre niveles y que solo puede agregar roles de autorizadores o administradores”   
Posterior de debe habilitar una opción que de acuerdo al tipo de esquema le permita ingresar los usuarios por nivel:
Subtitulo: Nivel 1 / Nivel 2 / Nivel 3 / Nivel 4
Texto: “Este nivel debe tener usuarios agregados para habilitar el siguiente”
Botón “</t>
    </r>
    <r>
      <rPr>
        <rFont val="Fira Sans Extra Condensed"/>
        <b/>
        <color theme="1"/>
        <sz val="10.0"/>
      </rPr>
      <t>Agregar</t>
    </r>
    <r>
      <rPr>
        <rFont val="Fira Sans Extra Condensed"/>
        <color theme="1"/>
        <sz val="10.0"/>
      </rPr>
      <t>” una vez el usuario de clic a este botón actualiza la pantalla.</t>
    </r>
  </si>
  <si>
    <r>
      <rPr>
        <rFont val="Fira Sans Extra Condensed"/>
        <b/>
        <color theme="1"/>
        <sz val="10.0"/>
      </rPr>
      <t xml:space="preserve">Usuario Maestro </t>
    </r>
    <r>
      <rPr>
        <rFont val="Fira Sans Extra Condensed"/>
        <color theme="1"/>
        <sz val="10.0"/>
      </rPr>
      <t>haya completado los datos de la pantalla 2</t>
    </r>
  </si>
  <si>
    <r>
      <rPr>
        <rFont val="Fira Sans Extra Condensed"/>
        <b/>
        <color theme="1"/>
        <sz val="10.0"/>
      </rPr>
      <t xml:space="preserve">Título Pantalla 3: </t>
    </r>
    <r>
      <rPr>
        <rFont val="Fira Sans Extra Condensed"/>
        <color theme="1"/>
        <sz val="10.0"/>
      </rPr>
      <t xml:space="preserve">Primer nivel / Segundo nivel / Tercer nivel / Cuarto nivel / Usuario con rol aprobador directo.
</t>
    </r>
    <r>
      <rPr>
        <rFont val="Fira Sans Extra Condensed"/>
        <b/>
        <color theme="1"/>
        <sz val="10.0"/>
      </rPr>
      <t xml:space="preserve">Botón Regresar: </t>
    </r>
    <r>
      <rPr>
        <rFont val="Fira Sans Extra Condensed"/>
        <color theme="1"/>
        <sz val="10.0"/>
      </rPr>
      <t xml:space="preserve">Al hacer clic deberá retornar al paso anterior
</t>
    </r>
    <r>
      <rPr>
        <rFont val="Fira Sans Extra Condensed"/>
        <b/>
        <color theme="1"/>
        <sz val="10.0"/>
      </rPr>
      <t xml:space="preserve">Descripción: </t>
    </r>
    <r>
      <rPr>
        <rFont val="Fira Sans Extra Condensed"/>
        <color theme="1"/>
        <sz val="10.0"/>
      </rPr>
      <t xml:space="preserve">“Los usuarios de este nivel podrán visualizar, autorizar o denegar las operaciones creadas”
</t>
    </r>
    <r>
      <rPr>
        <rFont val="Fira Sans Extra Condensed"/>
        <b/>
        <color theme="1"/>
        <sz val="10.0"/>
      </rPr>
      <t xml:space="preserve">Resultado: </t>
    </r>
    <r>
      <rPr>
        <rFont val="Fira Sans Extra Condensed"/>
        <color theme="1"/>
        <sz val="10.0"/>
      </rPr>
      <t>El usuario visualizará el listado de usuarios habilitados en el Módulo regional con rol “Aprobador” y “Administrador”</t>
    </r>
  </si>
  <si>
    <r>
      <rPr>
        <rFont val="Fira Sans Extra Condensed"/>
        <b/>
        <color theme="1"/>
        <sz val="10.0"/>
      </rPr>
      <t xml:space="preserve">Usuario Maestro </t>
    </r>
    <r>
      <rPr>
        <rFont val="Fira Sans Extra Condensed"/>
        <color theme="1"/>
        <sz val="10.0"/>
      </rPr>
      <t>haya completado los datos de la pantalla 2</t>
    </r>
  </si>
  <si>
    <r>
      <rPr>
        <rFont val="Fira Sans Extra Condensed"/>
        <color theme="1"/>
        <sz val="10.0"/>
      </rPr>
      <t xml:space="preserve">Mostrará el resultado de los usuarios en columnas de la siguiente manera:
</t>
    </r>
    <r>
      <rPr>
        <rFont val="Fira Sans Extra Condensed"/>
        <b/>
        <color theme="1"/>
        <sz val="10.0"/>
      </rPr>
      <t>País</t>
    </r>
    <r>
      <rPr>
        <rFont val="Fira Sans Extra Condensed"/>
        <color theme="1"/>
        <sz val="10.0"/>
      </rPr>
      <t xml:space="preserve">: Se debe mostrar el país desde el cual el usuario accede a la banca local
</t>
    </r>
    <r>
      <rPr>
        <rFont val="Fira Sans Extra Condensed"/>
        <b/>
        <color theme="1"/>
        <sz val="10.0"/>
      </rPr>
      <t xml:space="preserve">Nombre: </t>
    </r>
    <r>
      <rPr>
        <rFont val="Fira Sans Extra Condensed"/>
        <color theme="1"/>
        <sz val="10.0"/>
      </rPr>
      <t xml:space="preserve">Se debe mostrar el nombre del usuario
</t>
    </r>
    <r>
      <rPr>
        <rFont val="Fira Sans Extra Condensed"/>
        <b/>
        <color theme="1"/>
        <sz val="10.0"/>
      </rPr>
      <t>Rol: S</t>
    </r>
    <r>
      <rPr>
        <rFont val="Fira Sans Extra Condensed"/>
        <color theme="1"/>
        <sz val="10.0"/>
      </rPr>
      <t xml:space="preserve">e debe presentar el nombre del rol del usuario en el módulo regional. 
</t>
    </r>
    <r>
      <rPr>
        <rFont val="Fira Sans Extra Condensed"/>
        <b/>
        <color theme="1"/>
        <sz val="10.0"/>
      </rPr>
      <t>Checkbox</t>
    </r>
    <r>
      <rPr>
        <rFont val="Fira Sans Extra Condensed"/>
        <color theme="1"/>
        <sz val="10.0"/>
      </rPr>
      <t xml:space="preserve">: Debe estar habilitada y desde esta opción el usuario administrador selecciona los usuarios que requiere dentro del nivel, cuando aplique la selección se mostrará en pantalla un resumen de los registros “marcados” o seleccionados
</t>
    </r>
  </si>
  <si>
    <r>
      <rPr>
        <rFont val="Fira Sans Extra Condensed"/>
        <b/>
        <color theme="1"/>
        <sz val="10.0"/>
      </rPr>
      <t>Usuario Maestro</t>
    </r>
    <r>
      <rPr>
        <rFont val="Fira Sans Extra Condensed"/>
        <color theme="1"/>
        <sz val="10.0"/>
      </rPr>
      <t>haya completado los datos de la pantalla 2</t>
    </r>
  </si>
  <si>
    <r>
      <rPr>
        <rFont val="Fira Sans Extra Condensed"/>
        <color theme="1"/>
        <sz val="10.0"/>
      </rPr>
      <t xml:space="preserve">En la pantalla 3 también se deben visualizar las siguientes opciones:
</t>
    </r>
    <r>
      <rPr>
        <rFont val="Fira Sans Extra Condensed"/>
        <b/>
        <color theme="1"/>
        <sz val="10.0"/>
      </rPr>
      <t xml:space="preserve">Elemento “Buscar”:
</t>
    </r>
    <r>
      <rPr>
        <rFont val="Fira Sans Extra Condensed"/>
        <color theme="1"/>
        <sz val="10.0"/>
      </rPr>
      <t>- Al dar clic se debe habilitar una barra de búsqueda que permite al usuario ingresar el nombre del usuario.
- Se debe habilitar un botón de “cancelar” en caso que el usuario quiera eliminar esta búsqueda. 
En caso que el usuario ingrese un texto que no encuentre coincidencia el canal debe mostrar “La búsqueda de (texto ingresado) no presenta resultados.”</t>
    </r>
  </si>
  <si>
    <r>
      <rPr>
        <rFont val="Fira Sans Extra Condensed"/>
        <b/>
        <color theme="1"/>
        <sz val="10.0"/>
      </rPr>
      <t>Usuario Maestro</t>
    </r>
    <r>
      <rPr>
        <rFont val="Fira Sans Extra Condensed"/>
        <color theme="1"/>
        <sz val="10.0"/>
      </rPr>
      <t>haya completado los datos de la pantalla 2</t>
    </r>
  </si>
  <si>
    <r>
      <rPr>
        <rFont val="Fira Sans Extra Condensed"/>
        <color theme="1"/>
        <sz val="10.0"/>
      </rPr>
      <t xml:space="preserve">En pantalla 3 debe mostrar el siguiente campo, seguido del campo buscar:
</t>
    </r>
    <r>
      <rPr>
        <rFont val="Fira Sans Extra Condensed"/>
        <b/>
        <color theme="1"/>
        <sz val="10.0"/>
      </rPr>
      <t>Elemento para “Filtrar”:</t>
    </r>
    <r>
      <rPr>
        <rFont val="Fira Sans Extra Condensed"/>
        <color theme="1"/>
        <sz val="10.0"/>
      </rPr>
      <t xml:space="preserve">
Debe contar con un elemento que permite  buscar grupos con filtros específicos, al dar clic sobre el texto se sobrepone en la pantalla  la información detallando los filtros que se podrán aplicar para la búsqueda de productos así:
</t>
    </r>
    <r>
      <rPr>
        <rFont val="Fira Sans Extra Condensed"/>
        <b/>
        <color theme="1"/>
        <sz val="10.0"/>
      </rPr>
      <t xml:space="preserve">Título: </t>
    </r>
    <r>
      <rPr>
        <rFont val="Fira Sans Extra Condensed"/>
        <color theme="1"/>
        <sz val="10.0"/>
      </rPr>
      <t xml:space="preserve">Filtrar
</t>
    </r>
    <r>
      <rPr>
        <rFont val="Fira Sans Extra Condensed"/>
        <b/>
        <color theme="1"/>
        <sz val="10.0"/>
      </rPr>
      <t xml:space="preserve">Botón “X”: </t>
    </r>
    <r>
      <rPr>
        <rFont val="Fira Sans Extra Condensed"/>
        <color theme="1"/>
        <sz val="10.0"/>
      </rPr>
      <t xml:space="preserve">Regresa a la pantalla anterior. 
</t>
    </r>
    <r>
      <rPr>
        <rFont val="Fira Sans Extra Condensed"/>
        <b/>
        <color theme="1"/>
        <sz val="10.0"/>
      </rPr>
      <t>Texto:</t>
    </r>
    <r>
      <rPr>
        <rFont val="Fira Sans Extra Condensed"/>
        <color theme="1"/>
        <sz val="10.0"/>
      </rPr>
      <t xml:space="preserve"> Aplique las opciones de filtrado que desea:
</t>
    </r>
    <r>
      <rPr>
        <rFont val="Fira Sans Extra Condensed"/>
        <b/>
        <color theme="1"/>
        <sz val="10.0"/>
      </rPr>
      <t>Países:</t>
    </r>
    <r>
      <rPr>
        <rFont val="Fira Sans Extra Condensed"/>
        <color theme="1"/>
        <sz val="10.0"/>
      </rPr>
      <t xml:space="preserve"> permite seleccionar uno o todos los países, la opción que aquí se muestre dependerá de donde el grupo tenga presencia mostrando únicamente los países donde tiene productos.
</t>
    </r>
    <r>
      <rPr>
        <rFont val="Fira Sans Extra Condensed"/>
        <b/>
        <color theme="1"/>
        <sz val="10.0"/>
      </rPr>
      <t>Rol:</t>
    </r>
    <r>
      <rPr>
        <rFont val="Fira Sans Extra Condensed"/>
        <color theme="1"/>
        <sz val="10.0"/>
      </rPr>
      <t xml:space="preserve"> Permite seleccionar uno o los dos roles de acuerdo a las funciones que tenga  asignados.
</t>
    </r>
    <r>
      <rPr>
        <rFont val="Fira Sans Extra Condensed"/>
        <b/>
        <color theme="1"/>
        <sz val="10.0"/>
      </rPr>
      <t xml:space="preserve">En la parte inferior deben estar las opciones: </t>
    </r>
    <r>
      <rPr>
        <rFont val="Fira Sans Extra Condensed"/>
        <color theme="1"/>
        <sz val="10.0"/>
      </rPr>
      <t xml:space="preserve">“Borrar” y “aplicar” 
</t>
    </r>
    <r>
      <rPr>
        <rFont val="Fira Sans Extra Condensed"/>
        <b/>
        <color theme="1"/>
        <sz val="10.0"/>
      </rPr>
      <t>Botón “Borrar":</t>
    </r>
    <r>
      <rPr>
        <rFont val="Fira Sans Extra Condensed"/>
        <color theme="1"/>
        <sz val="10.0"/>
      </rPr>
      <t xml:space="preserve"> al dar clic debe eliminar los filtros de búsqueda ingresados por el usuario. 
</t>
    </r>
    <r>
      <rPr>
        <rFont val="Fira Sans Extra Condensed"/>
        <b/>
        <color theme="1"/>
        <sz val="10.0"/>
      </rPr>
      <t>Botón “Aplicar”:</t>
    </r>
    <r>
      <rPr>
        <rFont val="Fira Sans Extra Condensed"/>
        <color theme="1"/>
        <sz val="10.0"/>
      </rPr>
      <t xml:space="preserve"> Al dar clic el canal actualiza la pantalla donde muestra los usuarios, mostrando como resultado únicamente los usuarios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En caso que el usuario aplique filtros y no encuentra coincidencia debe mostrar “La búsqueda no presenta resultados”</t>
    </r>
  </si>
  <si>
    <r>
      <rPr>
        <rFont val="Fira Sans Extra Condensed"/>
        <b/>
        <color theme="1"/>
        <sz val="10.0"/>
      </rPr>
      <t>Usuario Maestro</t>
    </r>
    <r>
      <rPr>
        <rFont val="Fira Sans Extra Condensed"/>
        <color theme="1"/>
        <sz val="10.0"/>
      </rPr>
      <t>haya completado los datos de la pantalla 2</t>
    </r>
  </si>
  <si>
    <r>
      <rPr>
        <rFont val="Fira Sans Extra Condensed"/>
        <color theme="1"/>
        <sz val="10.0"/>
      </rPr>
      <t xml:space="preserve">En pantalla 3 debe mostrar la paginación en la parte superior de la pantalla:
</t>
    </r>
    <r>
      <rPr>
        <rFont val="Fira Sans Extra Condensed"/>
        <b/>
        <color theme="1"/>
        <sz val="10.0"/>
      </rPr>
      <t xml:space="preserve">Paginación:
</t>
    </r>
    <r>
      <rPr>
        <rFont val="Fira Sans Extra Condensed"/>
        <color theme="1"/>
        <sz val="10.0"/>
      </rPr>
      <t>En la pantalla se debe presentar la paginación mostrando el número de páginas totales que arroja el resultado, la paginación debe tener las siguientes características teniendo en cuenta que es una experiencia transversal en varias experiencias.</t>
    </r>
  </si>
  <si>
    <r>
      <rPr>
        <rFont val="Fira Sans Extra Condensed"/>
        <b/>
        <color theme="1"/>
        <sz val="10.0"/>
      </rPr>
      <t>Usuario Maestro</t>
    </r>
    <r>
      <rPr>
        <rFont val="Fira Sans Extra Condensed"/>
        <color theme="1"/>
        <sz val="10.0"/>
      </rPr>
      <t>haya completado los datos de la pantalla 2</t>
    </r>
  </si>
  <si>
    <r>
      <rPr>
        <rFont val="Fira Sans Extra Condensed"/>
        <color theme="1"/>
        <sz val="10.0"/>
      </rPr>
      <t xml:space="preserve">En pantalla 3 debe mostrar el siguiente campo:
</t>
    </r>
    <r>
      <rPr>
        <rFont val="Fira Sans Extra Condensed"/>
        <b/>
        <color theme="1"/>
        <sz val="10.0"/>
      </rPr>
      <t>Botón “Agregar”:</t>
    </r>
    <r>
      <rPr>
        <rFont val="Fira Sans Extra Condensed"/>
        <color theme="1"/>
        <sz val="10.0"/>
      </rPr>
      <t xml:space="preserve">
Este botón únicamente se habilita si el usuario selecciona al menos un usuario por nivel.
Posterior la pantalla se actualizará posicionado al usuario en la pantalla 2 donde de acuerdo al “tipo de esquema” visualiza la información actualizada de los usuarios seleccionados en el  nivel.</t>
    </r>
  </si>
  <si>
    <r>
      <rPr>
        <rFont val="Fira Sans Extra Condensed"/>
        <b/>
        <color theme="1"/>
        <sz val="10.0"/>
      </rPr>
      <t>Usuario Maestro</t>
    </r>
    <r>
      <rPr>
        <rFont val="Fira Sans Extra Condensed"/>
        <color theme="1"/>
        <sz val="10.0"/>
      </rPr>
      <t>haya completado los datos de la pantalla 3</t>
    </r>
  </si>
  <si>
    <r>
      <rPr>
        <rFont val="Fira Sans Extra Condensed"/>
        <color theme="1"/>
        <sz val="10.0"/>
      </rPr>
      <t xml:space="preserve">El canal debe solicitar al usuario ingresar el número de autorizadores requeridos:
</t>
    </r>
    <r>
      <rPr>
        <rFont val="Fira Sans Extra Condensed"/>
        <b/>
        <color theme="1"/>
        <sz val="10.0"/>
      </rPr>
      <t xml:space="preserve">
Autorizadores requeridos:</t>
    </r>
    <r>
      <rPr>
        <rFont val="Fira Sans Extra Condensed"/>
        <color theme="1"/>
        <sz val="10.0"/>
      </rPr>
      <t xml:space="preserve"> Es un elemento que permite ingresar la cantidad de usuarios (mínimo 1 y máximo 9)  donde el Administrador o Usuario BO deberá seleccionar cuantos autorizadores son requeridos de los asignados en el nivel serán necesarios para liberar la operación, el número que permite seleccionar depende de los ingresados en el paso anterior.
- Cuando el usuario haya seleccionado al menos un usuario autorizador requerido se actualiza el estado dando por completada la tareas por nivel.
</t>
    </r>
    <r>
      <rPr>
        <rFont val="Fira Sans Extra Condensed"/>
        <b/>
        <color theme="1"/>
        <sz val="10.0"/>
      </rPr>
      <t xml:space="preserve">Texto: </t>
    </r>
    <r>
      <rPr>
        <rFont val="Fira Sans Extra Condensed"/>
        <color theme="1"/>
        <sz val="10.0"/>
      </rPr>
      <t xml:space="preserve"> “Defina cuántas firmas son necesarias para aprobar este nivel”
</t>
    </r>
    <r>
      <rPr>
        <rFont val="Fira Sans Extra Condensed"/>
        <b/>
        <color theme="1"/>
        <sz val="10.0"/>
      </rPr>
      <t xml:space="preserve">Botón “Editar”:  </t>
    </r>
    <r>
      <rPr>
        <rFont val="Fira Sans Extra Condensed"/>
        <color theme="1"/>
        <sz val="10.0"/>
      </rPr>
      <t>El canal debe permitir editar el nivel recién agregado. Al dar clic vuelve a la pantalla 3 con la información preseleccionada.</t>
    </r>
  </si>
  <si>
    <r>
      <rPr>
        <rFont val="Fira Sans Extra Condensed"/>
        <b/>
        <color theme="1"/>
        <sz val="10.0"/>
      </rPr>
      <t xml:space="preserve">Usuario Preparador con perfil 'Esquema de Firmas' </t>
    </r>
    <r>
      <rPr>
        <rFont val="Fira Sans Extra Condensed"/>
        <color theme="1"/>
        <sz val="10.0"/>
      </rPr>
      <t>haya completado los datos de la pantalla 3</t>
    </r>
  </si>
  <si>
    <r>
      <rPr>
        <rFont val="Fira Sans Extra Condensed"/>
        <b/>
        <color theme="1"/>
        <sz val="10.0"/>
      </rPr>
      <t xml:space="preserve">Usuario Preparador con perfil 'Esquema de Firmas' </t>
    </r>
    <r>
      <rPr>
        <rFont val="Fira Sans Extra Condensed"/>
        <color theme="1"/>
        <sz val="10.0"/>
      </rPr>
      <t>haya completado los datos de la pantalla 3</t>
    </r>
  </si>
  <si>
    <r>
      <rPr>
        <rFont val="Fira Sans Extra Condensed"/>
        <b/>
        <color theme="1"/>
        <sz val="10.0"/>
      </rPr>
      <t xml:space="preserve">Reglas Niveles: 
</t>
    </r>
    <r>
      <rPr>
        <rFont val="Fira Sans Extra Condensed"/>
        <color theme="1"/>
        <sz val="10.0"/>
      </rPr>
      <t xml:space="preserve">Teniendo en cuenta que dependiendo del tipo de esquema seleccionado se habilitan los niveles se debe tener en cuenta:
En caso de tener más de un nivel solo se podrá continuar con el diligenciamiento del siguiente nivel una vez se haya finalizado la selección de usuarios y de autorizadores requeridos por nivel pasado desde el primero al último. Ejemplo se presentará en pantalla en el nivel 2 “Agregue usuarios al nivel 1 para acceder a esta opción.” y así consecutivamente hasta el cuarto nivel. es decir el botón de “agregar” únicamente se habilita si fue diligenciado el nivel previo.
Una vez completada la información seleccionada de los niveles de usuarios se habilita el botón de “continuar” que permite continuar con la creación del esquema de firmas. </t>
    </r>
  </si>
  <si>
    <r>
      <rPr>
        <rFont val="Fira Sans Extra Condensed"/>
        <b/>
        <color theme="1"/>
        <sz val="10.0"/>
      </rPr>
      <t xml:space="preserve">Usuario Preparador con perfil 'Esquema de Firmas' </t>
    </r>
    <r>
      <rPr>
        <rFont val="Fira Sans Extra Condensed"/>
        <color theme="1"/>
        <sz val="10.0"/>
      </rPr>
      <t>haya completado los datos de la pantalla 3</t>
    </r>
  </si>
  <si>
    <r>
      <rPr>
        <rFont val="Fira Sans Extra Condensed"/>
        <b/>
        <color theme="1"/>
        <sz val="10.0"/>
      </rPr>
      <t xml:space="preserve">Usuario Maestro </t>
    </r>
    <r>
      <rPr>
        <rFont val="Fira Sans Extra Condensed"/>
        <color theme="1"/>
        <sz val="10.0"/>
      </rPr>
      <t>a seleccionado un tipo de esquema de firmas</t>
    </r>
  </si>
  <si>
    <r>
      <rPr>
        <rFont val="Fira Sans Extra Condensed"/>
        <b/>
        <color theme="1"/>
        <sz val="10.0"/>
      </rPr>
      <t>Descripción de usuario Aprobador Directo</t>
    </r>
    <r>
      <rPr>
        <rFont val="Fira Sans Extra Condensed"/>
        <color theme="1"/>
        <sz val="10.0"/>
      </rPr>
      <t>: “Este usuario puede autorizar las operaciones con una sola firma, sin completar las de otro nivel y debe tener un rol que le permita autorizar o administrar.” seguido de un switch que nace apagado. 
Una vez el usuario activa el Switch se muestra el mensaje: “Aún no ha agregado un usuario” seguido de botón “agregar”</t>
    </r>
  </si>
  <si>
    <r>
      <rPr>
        <rFont val="Fira Sans Extra Condensed"/>
        <b/>
        <color theme="1"/>
        <sz val="10.0"/>
      </rPr>
      <t xml:space="preserve">Usuario Maestro </t>
    </r>
    <r>
      <rPr>
        <rFont val="Fira Sans Extra Condensed"/>
        <color theme="1"/>
        <sz val="10.0"/>
      </rPr>
      <t>a seleccionado un tipo de esquema de firmas</t>
    </r>
  </si>
  <si>
    <r>
      <rPr>
        <rFont val="Fira Sans Extra Condensed"/>
        <b/>
        <color theme="1"/>
        <sz val="10.0"/>
      </rPr>
      <t xml:space="preserve">Usuario Maestro </t>
    </r>
    <r>
      <rPr>
        <rFont val="Fira Sans Extra Condensed"/>
        <color theme="1"/>
        <sz val="10.0"/>
      </rPr>
      <t>a seleccionado un tipo de esquema de firmas</t>
    </r>
  </si>
  <si>
    <r>
      <rPr>
        <rFont val="Fira Sans Extra Condensed"/>
        <b/>
        <color theme="1"/>
        <sz val="10.0"/>
      </rPr>
      <t xml:space="preserve">Usuario Maestro </t>
    </r>
    <r>
      <rPr>
        <rFont val="Fira Sans Extra Condensed"/>
        <color theme="1"/>
        <sz val="10.0"/>
      </rPr>
      <t>a seleccionado un tipo de esquema de firmas</t>
    </r>
  </si>
  <si>
    <r>
      <rPr>
        <rFont val="Fira Sans Extra Condensed"/>
        <color theme="1"/>
        <sz val="10.0"/>
      </rPr>
      <t xml:space="preserve">Posterior a encender el switch de usuario aprobador directo, deberá mostrar el botón agregar:
</t>
    </r>
    <r>
      <rPr>
        <rFont val="Fira Sans Extra Condensed"/>
        <b/>
        <color theme="1"/>
        <sz val="10.0"/>
      </rPr>
      <t>Agregar:</t>
    </r>
    <r>
      <rPr>
        <rFont val="Fira Sans Extra Condensed"/>
        <color theme="1"/>
        <sz val="10.0"/>
      </rPr>
      <t xml:space="preserve"> Debe existir un elemento que permita agregar un usuario a este nivel, 
- Una vez de clic en agregar debe actualizar la pantalla mostrando una opción que permita seleccionar el usuario que debe estar en este nivel. 
- Al dar clic tiene la visual de </t>
    </r>
    <r>
      <rPr>
        <rFont val="Fira Sans Extra Condensed"/>
        <b/>
        <color theme="1"/>
        <sz val="10.0"/>
      </rPr>
      <t>criterio selección de usuarios</t>
    </r>
    <r>
      <rPr>
        <rFont val="Fira Sans Extra Condensed"/>
        <color theme="1"/>
        <sz val="10.0"/>
      </rPr>
      <t xml:space="preserve">, la descripción que se debe dar es: “Este aprobador directo podrá visualizar, autorizar o denegar las operaciones creadas sólo con su firma.
- Una vez haya seleccionado debe actualizar el paso mostrando el nombre y rol del aprobador directo, adicional se habilita una opción que le permite “editar” el usuario registrado con la misma lógica. </t>
    </r>
  </si>
  <si>
    <r>
      <rPr>
        <rFont val="Fira Sans Extra Condensed"/>
        <color theme="1"/>
        <sz val="10.0"/>
      </rPr>
      <t>Selección Funcionalidades y límites con usuario</t>
    </r>
    <r>
      <rPr>
        <rFont val="Fira Sans Extra Condensed"/>
        <b/>
        <color theme="1"/>
        <sz val="10.0"/>
      </rPr>
      <t xml:space="preserve"> Maestro</t>
    </r>
  </si>
  <si>
    <r>
      <rPr>
        <rFont val="Fira Sans Extra Condensed"/>
        <color theme="1"/>
        <sz val="10.0"/>
      </rPr>
      <t xml:space="preserve">Usuario preparador con perfil de esquema de firmas  debe seleccionar las funcionalidades de acuerdo a las parametrizadas previamente desde el control center sobre las cuales quiere que aplique el esquema de firma que está creando, adicional le permite seleccionar límites monetarios en dólares americanos así:
</t>
    </r>
    <r>
      <rPr>
        <rFont val="Fira Sans Extra Condensed"/>
        <b/>
        <color theme="1"/>
        <sz val="10.0"/>
      </rPr>
      <t xml:space="preserve">Titulo: </t>
    </r>
    <r>
      <rPr>
        <rFont val="Fira Sans Extra Condensed"/>
        <color theme="1"/>
        <sz val="10.0"/>
      </rPr>
      <t xml:space="preserve">Autorización de permisos  
</t>
    </r>
    <r>
      <rPr>
        <rFont val="Fira Sans Extra Condensed"/>
        <b/>
        <color theme="1"/>
        <sz val="10.0"/>
      </rPr>
      <t>Elemento para regresar</t>
    </r>
    <r>
      <rPr>
        <rFont val="Fira Sans Extra Condensed"/>
        <color theme="1"/>
        <sz val="10.0"/>
      </rPr>
      <t xml:space="preserve">
</t>
    </r>
    <r>
      <rPr>
        <rFont val="Fira Sans Extra Condensed"/>
        <b/>
        <color theme="1"/>
        <sz val="10.0"/>
      </rPr>
      <t>Descripción:</t>
    </r>
    <r>
      <rPr>
        <rFont val="Fira Sans Extra Condensed"/>
        <color theme="1"/>
        <sz val="10.0"/>
      </rPr>
      <t xml:space="preserve"> Marque las opciones a las que dará autorización con este esquema de firmas.
Las funcionalidades que se muestran en esta pantalla son las funcionalidades que fueron asignadas al grupo regional desde el control center. 
</t>
    </r>
    <r>
      <rPr>
        <rFont val="Fira Sans Extra Condensed"/>
        <b/>
        <color theme="1"/>
        <sz val="10.0"/>
      </rPr>
      <t xml:space="preserve">Checkbox: </t>
    </r>
    <r>
      <rPr>
        <rFont val="Fira Sans Extra Condensed"/>
        <color theme="1"/>
        <sz val="10.0"/>
      </rPr>
      <t xml:space="preserve">Debe tener un elemento que permita seleccionar la funcionalidad
</t>
    </r>
    <r>
      <rPr>
        <rFont val="Fira Sans Extra Condensed"/>
        <b/>
        <color theme="1"/>
        <sz val="10.0"/>
      </rPr>
      <t xml:space="preserve">Transferencias Regionales entre Cuentas Davivienda Propias. </t>
    </r>
    <r>
      <rPr>
        <rFont val="Fira Sans Extra Condensed"/>
        <color theme="1"/>
        <sz val="10.0"/>
      </rPr>
      <t xml:space="preserve">
(Aplica Elemento para asignar límite)
</t>
    </r>
    <r>
      <rPr>
        <rFont val="Fira Sans Extra Condensed"/>
        <b/>
        <color theme="1"/>
        <sz val="10.0"/>
      </rPr>
      <t xml:space="preserve">Transferencias Regionales a Cuentas Davivienda de Terceros. </t>
    </r>
    <r>
      <rPr>
        <rFont val="Fira Sans Extra Condensed"/>
        <color theme="1"/>
        <sz val="10.0"/>
      </rPr>
      <t xml:space="preserve">
(Aplica Elemento para asignar límite)
</t>
    </r>
    <r>
      <rPr>
        <rFont val="Fira Sans Extra Condensed"/>
        <b/>
        <color theme="1"/>
        <sz val="10.0"/>
      </rPr>
      <t xml:space="preserve">Destinos Autorizados. </t>
    </r>
    <r>
      <rPr>
        <rFont val="Fira Sans Extra Condensed"/>
        <color theme="1"/>
        <sz val="10.0"/>
      </rPr>
      <t xml:space="preserve">
Esta funcionalidad únicamente se muestra si fue seleccionada desde el control center
(Si se selecciona únicamente la funcionalidad de destinos autorizados no requiere la asignación de un grupo de productos teniendo en cuenta la naturaleza de funcionalidad, únicamente será obligatorio si desde el control center fue parametrizada la opción para que los destinos autorizados queden ligados a un número de producto origen)</t>
    </r>
  </si>
  <si>
    <r>
      <rPr>
        <rFont val="Fira Sans Extra Condensed"/>
        <color theme="1"/>
        <sz val="10.0"/>
      </rPr>
      <t>Selección Funcionalidades y límites con usuario</t>
    </r>
    <r>
      <rPr>
        <rFont val="Fira Sans Extra Condensed"/>
        <b/>
        <color theme="1"/>
        <sz val="10.0"/>
      </rPr>
      <t xml:space="preserve"> Maestro</t>
    </r>
  </si>
  <si>
    <r>
      <rPr>
        <rFont val="Fira Sans Extra Condensed"/>
        <color theme="1"/>
        <sz val="10.0"/>
      </rPr>
      <t>Una vez el usuario seleccione la funcionalidad transaccional debe actualizar la pantalla mostrando una opción para</t>
    </r>
    <r>
      <rPr>
        <rFont val="Fira Sans Extra Condensed"/>
        <b/>
        <color theme="1"/>
        <sz val="10.0"/>
      </rPr>
      <t xml:space="preserve"> “asignar límites” </t>
    </r>
    <r>
      <rPr>
        <rFont val="Fira Sans Extra Condensed"/>
        <color theme="1"/>
        <sz val="10.0"/>
      </rPr>
      <t xml:space="preserve">:
</t>
    </r>
    <r>
      <rPr>
        <rFont val="Fira Sans Extra Condensed"/>
        <b/>
        <color theme="1"/>
        <sz val="10.0"/>
      </rPr>
      <t>Límite transaccional:</t>
    </r>
    <r>
      <rPr>
        <rFont val="Fira Sans Extra Condensed"/>
        <color theme="1"/>
        <sz val="10.0"/>
      </rPr>
      <t xml:space="preserve"> El sistema debe permitir elegir al usuario administrador si desea  colocar o no un límite transaccional a la funcionalidades monetarias habilitadas (Transferencias a cuentas propias y a terceros). al dar clic actualiza la pantalla así:
</t>
    </r>
    <r>
      <rPr>
        <rFont val="Fira Sans Extra Condensed"/>
        <b/>
        <color theme="1"/>
        <sz val="10.0"/>
      </rPr>
      <t>Título:</t>
    </r>
    <r>
      <rPr>
        <rFont val="Fira Sans Extra Condensed"/>
        <color theme="1"/>
        <sz val="10.0"/>
      </rPr>
      <t xml:space="preserve"> Límites transaccionales
</t>
    </r>
    <r>
      <rPr>
        <rFont val="Fira Sans Extra Condensed"/>
        <b/>
        <color theme="1"/>
        <sz val="10.0"/>
      </rPr>
      <t>Elemento para cerrar “x”</t>
    </r>
    <r>
      <rPr>
        <rFont val="Fira Sans Extra Condensed"/>
        <color theme="1"/>
        <sz val="10.0"/>
      </rPr>
      <t xml:space="preserve">
</t>
    </r>
    <r>
      <rPr>
        <rFont val="Fira Sans Extra Condensed"/>
        <b/>
        <color theme="1"/>
        <sz val="10.0"/>
      </rPr>
      <t xml:space="preserve">Descripción: </t>
    </r>
    <r>
      <rPr>
        <rFont val="Fira Sans Extra Condensed"/>
        <color theme="1"/>
        <sz val="10.0"/>
      </rPr>
      <t xml:space="preserve">El límite transaccional del canal es de $10.000.000 USD. Si desea aumentarlo, comuníquese con su ejecutivo comercial. Tenga en cuenta que las transacciones se realizan en dólares americanos, por lo que si usa otra moneda se convertirá a dólares.
Una vez el usuario desea asignar un límite el usuario deberá confirmar si requiere asignar un límite  diario, semanal o mensual. Las cuales deben tener cada una opción de seleccionar si quiere asignar o no un límite monetario el cual debe registrarse en dólar americano. </t>
    </r>
  </si>
  <si>
    <r>
      <rPr>
        <rFont val="Fira Sans Extra Condensed"/>
        <color theme="1"/>
        <sz val="10.0"/>
      </rPr>
      <t>Selección Funcionalidades y límites con usuario</t>
    </r>
    <r>
      <rPr>
        <rFont val="Fira Sans Extra Condensed"/>
        <b/>
        <color theme="1"/>
        <sz val="10.0"/>
      </rPr>
      <t xml:space="preserve"> Maestro</t>
    </r>
  </si>
  <si>
    <r>
      <rPr>
        <rFont val="Fira Sans Extra Condensed"/>
        <b/>
        <color theme="1"/>
        <sz val="10.0"/>
      </rPr>
      <t>Reglas de límites:</t>
    </r>
    <r>
      <rPr>
        <rFont val="Fira Sans Extra Condensed"/>
        <color theme="1"/>
        <sz val="10.0"/>
      </rPr>
      <t xml:space="preserve">
El usuario podrá seleccionar si quiere un límite diario, semanal y/o mensual, es decir podrá combinar las tres opciones o si lo requiere seleccionar una única opción es posible. 
Cada opción permite ingresar un valor máximo en dólares americanos. 
Si realiza combinación de límite el canal debe permitir asignar únicamente valores que respeten la jerarquía de Mes/Semana/día, es decir si intenta colocar un valor superior en el diario que en el semanal o mensual el canal debe mostrar mensaje:
-  “El monto semanal no debe superar al mensual”
-  “El monto diario no debe superar el semanal”
-  “El monto diario no debe superar al mensual”
En la parte inferior de la pantalla se habilitar el siguiente botón únicamente si fue ingresado algún valor 
</t>
    </r>
    <r>
      <rPr>
        <rFont val="Fira Sans Extra Condensed"/>
        <b/>
        <color theme="1"/>
        <sz val="10.0"/>
      </rPr>
      <t xml:space="preserve">
Confirmar: </t>
    </r>
    <r>
      <rPr>
        <rFont val="Fira Sans Extra Condensed"/>
        <color theme="1"/>
        <sz val="10.0"/>
      </rPr>
      <t>Una vez el usuario asigne el límite de acuerdo a la funcionalidad requerida  y de clic sobre este botón se actualizará la pantalla mostrando un resumen de las funcionalidades seleccionadas y los límites asignados en caso que haya sido asignado.</t>
    </r>
  </si>
  <si>
    <r>
      <rPr>
        <rFont val="Fira Sans Extra Condensed"/>
        <color theme="1"/>
        <sz val="10.0"/>
      </rPr>
      <t>Selección Funcionalidades y límites con usuario</t>
    </r>
    <r>
      <rPr>
        <rFont val="Fira Sans Extra Condensed"/>
        <b/>
        <color theme="1"/>
        <sz val="10.0"/>
      </rPr>
      <t xml:space="preserve"> Maestro</t>
    </r>
  </si>
  <si>
    <r>
      <rPr>
        <rFont val="Fira Sans Extra Condensed"/>
        <color theme="1"/>
        <sz val="10.0"/>
      </rPr>
      <t xml:space="preserve">Una vez asignadas la sección de funcionalidades el canal habilita la siguiente opción para “continuar” con la asignación del Esquema de firma así:
</t>
    </r>
    <r>
      <rPr>
        <rFont val="Fira Sans Extra Condensed"/>
        <b/>
        <color theme="1"/>
        <sz val="10.0"/>
      </rPr>
      <t xml:space="preserve">Selección Grupo de Productos: </t>
    </r>
    <r>
      <rPr>
        <rFont val="Fira Sans Extra Condensed"/>
        <color theme="1"/>
        <sz val="10.0"/>
      </rPr>
      <t xml:space="preserve">
</t>
    </r>
    <r>
      <rPr>
        <rFont val="Fira Sans Extra Condensed"/>
        <b/>
        <color theme="1"/>
        <sz val="10.0"/>
      </rPr>
      <t xml:space="preserve">El canal debe permitir realizar la asignación de grupos de productos creados previamente al esquema de firma que está creando así: 
</t>
    </r>
    <r>
      <rPr>
        <rFont val="Fira Sans Extra Condensed"/>
        <color theme="1"/>
        <sz val="10.0"/>
      </rPr>
      <t xml:space="preserve">
</t>
    </r>
    <r>
      <rPr>
        <rFont val="Fira Sans Extra Condensed"/>
        <b/>
        <color theme="1"/>
        <sz val="10.0"/>
      </rPr>
      <t xml:space="preserve">Título: </t>
    </r>
    <r>
      <rPr>
        <rFont val="Fira Sans Extra Condensed"/>
        <color theme="1"/>
        <sz val="10.0"/>
      </rPr>
      <t xml:space="preserve">Grupos del esquema
</t>
    </r>
    <r>
      <rPr>
        <rFont val="Fira Sans Extra Condensed"/>
        <b/>
        <color theme="1"/>
        <sz val="10.0"/>
      </rPr>
      <t>Elemento para regresar</t>
    </r>
    <r>
      <rPr>
        <rFont val="Fira Sans Extra Condensed"/>
        <color theme="1"/>
        <sz val="10.0"/>
      </rPr>
      <t xml:space="preserve">
</t>
    </r>
    <r>
      <rPr>
        <rFont val="Fira Sans Extra Condensed"/>
        <b/>
        <color theme="1"/>
        <sz val="10.0"/>
      </rPr>
      <t xml:space="preserve">Descripción: </t>
    </r>
    <r>
      <rPr>
        <rFont val="Fira Sans Extra Condensed"/>
        <color theme="1"/>
        <sz val="10.0"/>
      </rPr>
      <t xml:space="preserve">Agregue los grupos de productos que se pueden autorizar con este esquema
</t>
    </r>
    <r>
      <rPr>
        <rFont val="Fira Sans Extra Condensed"/>
        <b/>
        <color theme="1"/>
        <sz val="10.0"/>
      </rPr>
      <t xml:space="preserve">Subtitulo: </t>
    </r>
    <r>
      <rPr>
        <rFont val="Fira Sans Extra Condensed"/>
        <color theme="1"/>
        <sz val="10.0"/>
      </rPr>
      <t xml:space="preserve">Grupos de productos
</t>
    </r>
    <r>
      <rPr>
        <rFont val="Fira Sans Extra Condensed"/>
        <b/>
        <color theme="1"/>
        <sz val="10.0"/>
      </rPr>
      <t xml:space="preserve">Descripción: </t>
    </r>
    <r>
      <rPr>
        <rFont val="Fira Sans Extra Condensed"/>
        <color theme="1"/>
        <sz val="10.0"/>
      </rPr>
      <t xml:space="preserve">Lo usuarios podrán acceder a los grupos de productos que agregue a este esquema
Si el usuario no ha agregado información se muestra el mensaje “Este esquema no tiene grupos. Por favor agréguelos”
</t>
    </r>
    <r>
      <rPr>
        <rFont val="Fira Sans Extra Condensed"/>
        <b/>
        <color theme="1"/>
        <sz val="10.0"/>
      </rPr>
      <t xml:space="preserve">Botón Agregar: </t>
    </r>
    <r>
      <rPr>
        <rFont val="Fira Sans Extra Condensed"/>
        <color theme="1"/>
        <sz val="10.0"/>
      </rPr>
      <t xml:space="preserve">Se habilita si no ha agregado ningún grupo.
</t>
    </r>
    <r>
      <rPr>
        <rFont val="Fira Sans Extra Condensed"/>
        <b/>
        <color theme="1"/>
        <sz val="10.0"/>
      </rPr>
      <t xml:space="preserve">Botón Continuar: </t>
    </r>
    <r>
      <rPr>
        <rFont val="Fira Sans Extra Condensed"/>
        <color theme="1"/>
        <sz val="10.0"/>
      </rPr>
      <t xml:space="preserve">Se habilita solo si agregó al menos un grupo de productos. </t>
    </r>
  </si>
  <si>
    <r>
      <rPr>
        <rFont val="Fira Sans Extra Condensed"/>
        <color theme="1"/>
        <sz val="10.0"/>
      </rPr>
      <t xml:space="preserve">Asignación de productos con </t>
    </r>
    <r>
      <rPr>
        <rFont val="Fira Sans Extra Condensed"/>
        <b/>
        <color theme="1"/>
        <sz val="10.0"/>
      </rPr>
      <t>usuario Maestro</t>
    </r>
  </si>
  <si>
    <r>
      <rPr>
        <rFont val="Fira Sans Extra Condensed"/>
        <color theme="1"/>
        <sz val="10.0"/>
      </rPr>
      <t xml:space="preserve">Si el usuario da clic al botón de “agregar” actualiza la pantalla así:
</t>
    </r>
    <r>
      <rPr>
        <rFont val="Fira Sans Extra Condensed"/>
        <b/>
        <color theme="1"/>
        <sz val="10.0"/>
      </rPr>
      <t xml:space="preserve">Agregar Grupos: </t>
    </r>
    <r>
      <rPr>
        <rFont val="Fira Sans Extra Condensed"/>
        <color theme="1"/>
        <sz val="10.0"/>
      </rPr>
      <t xml:space="preserve">
Una vez el usuario de clic, actualizará la pantalla y el usuario tendrá la opción de seleccionar uno, varios o todos los grupos de productos creados, se presentarán los grupos de productos creados, la información que permite visualizar es: 
</t>
    </r>
    <r>
      <rPr>
        <rFont val="Fira Sans Extra Condensed"/>
        <b/>
        <color theme="1"/>
        <sz val="10.0"/>
      </rPr>
      <t xml:space="preserve">
Título:</t>
    </r>
    <r>
      <rPr>
        <rFont val="Fira Sans Extra Condensed"/>
        <color theme="1"/>
        <sz val="10.0"/>
      </rPr>
      <t xml:space="preserve"> Grupo de productos
</t>
    </r>
    <r>
      <rPr>
        <rFont val="Fira Sans Extra Condensed"/>
        <b/>
        <color theme="1"/>
        <sz val="10.0"/>
      </rPr>
      <t>Elemento para regresar</t>
    </r>
    <r>
      <rPr>
        <rFont val="Fira Sans Extra Condensed"/>
        <color theme="1"/>
        <sz val="10.0"/>
      </rPr>
      <t xml:space="preserve">
</t>
    </r>
    <r>
      <rPr>
        <rFont val="Fira Sans Extra Condensed"/>
        <b/>
        <color theme="1"/>
        <sz val="10.0"/>
      </rPr>
      <t xml:space="preserve">Descripción: </t>
    </r>
    <r>
      <rPr>
        <rFont val="Fira Sans Extra Condensed"/>
        <color theme="1"/>
        <sz val="10.0"/>
      </rPr>
      <t>Aquí puede agregar los grupos a los que tendrá acceso este usuario. Para facilitar su gestión, puede usar el buscador o los filtros presentados.</t>
    </r>
  </si>
  <si>
    <r>
      <rPr>
        <rFont val="Fira Sans Extra Condensed"/>
        <color theme="1"/>
        <sz val="10.0"/>
      </rPr>
      <t xml:space="preserve">Asignación de productos con </t>
    </r>
    <r>
      <rPr>
        <rFont val="Fira Sans Extra Condensed"/>
        <b/>
        <color theme="1"/>
        <sz val="10.0"/>
      </rPr>
      <t>usuario Maestro</t>
    </r>
  </si>
  <si>
    <r>
      <rPr>
        <rFont val="Fira Sans Extra Condensed"/>
        <b/>
        <color theme="1"/>
        <sz val="10.0"/>
      </rPr>
      <t xml:space="preserve">Resultado consulta:  </t>
    </r>
    <r>
      <rPr>
        <rFont val="Fira Sans Extra Condensed"/>
        <color theme="1"/>
        <sz val="10.0"/>
      </rPr>
      <t xml:space="preserve">
Una vez el usuario esté en la opción de consultas visualizará en esta pantalla el resultado de las consultas de grupos de productos creados previamente. Los títulos de las columnas del resultado de productos son: 
</t>
    </r>
    <r>
      <rPr>
        <rFont val="Fira Sans Extra Condensed"/>
        <b/>
        <color theme="1"/>
        <sz val="10.0"/>
      </rPr>
      <t>Checkbox</t>
    </r>
    <r>
      <rPr>
        <rFont val="Fira Sans Extra Condensed"/>
        <color theme="1"/>
        <sz val="10.0"/>
      </rPr>
      <t xml:space="preserve">: Se debe mostrar esta opción que permite seleccionar un registro de manera individual o masiva. 
</t>
    </r>
    <r>
      <rPr>
        <rFont val="Fira Sans Extra Condensed"/>
        <b/>
        <color theme="1"/>
        <sz val="10.0"/>
      </rPr>
      <t xml:space="preserve">Nombre del grupo: </t>
    </r>
    <r>
      <rPr>
        <rFont val="Fira Sans Extra Condensed"/>
        <color theme="1"/>
        <sz val="10.0"/>
      </rPr>
      <t xml:space="preserve">Se debe mostrar el nombre con el que se creó  grupo ejemplo: “Tesorería Honduras” en caso que el grupo de productos haya sido marcado como “destacado” una estrella debe aparecer al lado del nombre. los grupos marcados como “destacados” debe visualizarse en la parte superior del resultado, La marcación de un grupo cómo destacado podrá ser realizada al consultar un grupo puntual. 
</t>
    </r>
    <r>
      <rPr>
        <rFont val="Fira Sans Extra Condensed"/>
        <b/>
        <color theme="1"/>
        <sz val="10.0"/>
      </rPr>
      <t xml:space="preserve">País: </t>
    </r>
    <r>
      <rPr>
        <rFont val="Fira Sans Extra Condensed"/>
        <color theme="1"/>
        <sz val="10.0"/>
      </rPr>
      <t xml:space="preserve">El canal debe mostrar las banderas de los productos que se encuentran incluidos en el grupo.
</t>
    </r>
    <r>
      <rPr>
        <rFont val="Fira Sans Extra Condensed"/>
        <b/>
        <color theme="1"/>
        <sz val="10.0"/>
      </rPr>
      <t>Empresas</t>
    </r>
    <r>
      <rPr>
        <rFont val="Fira Sans Extra Condensed"/>
        <color theme="1"/>
        <sz val="10.0"/>
      </rPr>
      <t xml:space="preserve">: Se deben visualizar el número del total de  las empresas de los productos que se encuentran incluidos en el grupo de productos. 
</t>
    </r>
    <r>
      <rPr>
        <rFont val="Fira Sans Extra Condensed"/>
        <b/>
        <color theme="1"/>
        <sz val="10.0"/>
      </rPr>
      <t>Accionables:</t>
    </r>
    <r>
      <rPr>
        <rFont val="Fira Sans Extra Condensed"/>
        <color theme="1"/>
        <sz val="10.0"/>
      </rPr>
      <t xml:space="preserve"> permite al usuario seleccionar si requiere ver un mayor detalle o descargar un grupo de productos creado previamente.
</t>
    </r>
    <r>
      <rPr>
        <rFont val="Fira Sans Extra Condensed"/>
        <b/>
        <color theme="1"/>
        <sz val="10.0"/>
      </rPr>
      <t xml:space="preserve">Paginación: </t>
    </r>
    <r>
      <rPr>
        <rFont val="Fira Sans Extra Condensed"/>
        <color theme="1"/>
        <sz val="10.0"/>
      </rPr>
      <t>Teniendo en cuenta que la experiencia de paginación es transversal en caso que el resultado de la consulta tenga más de 50 registros debe incluir una paginación.</t>
    </r>
  </si>
  <si>
    <r>
      <rPr>
        <rFont val="Fira Sans Extra Condensed"/>
        <color theme="1"/>
        <sz val="10.0"/>
      </rPr>
      <t xml:space="preserve">Búsqueda avanzada de productos  con </t>
    </r>
    <r>
      <rPr>
        <rFont val="Fira Sans Extra Condensed"/>
        <b/>
        <color theme="1"/>
        <sz val="10.0"/>
      </rPr>
      <t>usuario Maestro</t>
    </r>
  </si>
  <si>
    <r>
      <rPr>
        <rFont val="Fira Sans Extra Condensed"/>
        <b/>
        <color theme="1"/>
        <sz val="10.0"/>
      </rPr>
      <t xml:space="preserve">Búsqueda avanzada de productos: </t>
    </r>
    <r>
      <rPr>
        <rFont val="Fira Sans Extra Condensed"/>
        <color theme="1"/>
        <sz val="10.0"/>
      </rPr>
      <t xml:space="preserve">
El canal debe permitir al usuario buscar productos por las siguientes opciones:
</t>
    </r>
    <r>
      <rPr>
        <rFont val="Fira Sans Extra Condensed"/>
        <b/>
        <color theme="1"/>
        <sz val="10.0"/>
      </rPr>
      <t xml:space="preserve">
Elemento “Buscar": </t>
    </r>
    <r>
      <rPr>
        <rFont val="Fira Sans Extra Condensed"/>
        <color theme="1"/>
        <sz val="10.0"/>
      </rPr>
      <t xml:space="preserve">Al dar clic se debe habilitar una barra de búsqueda que permite al usuario ingresar el nombre del Grupo de producto,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
</t>
    </r>
    <r>
      <rPr>
        <rFont val="Fira Sans Extra Condensed"/>
        <b/>
        <color theme="1"/>
        <sz val="10.0"/>
      </rPr>
      <t xml:space="preserve">Elemento “Filtrar”: </t>
    </r>
    <r>
      <rPr>
        <rFont val="Fira Sans Extra Condensed"/>
        <color theme="1"/>
        <sz val="10.0"/>
      </rPr>
      <t xml:space="preserve">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t>
    </r>
    <r>
      <rPr>
        <rFont val="Fira Sans Extra Condensed"/>
        <color theme="1"/>
        <sz val="10.0"/>
      </rPr>
      <t xml:space="preserve">: Filtrar
</t>
    </r>
    <r>
      <rPr>
        <rFont val="Fira Sans Extra Condensed"/>
        <b/>
        <color theme="1"/>
        <sz val="10.0"/>
      </rPr>
      <t xml:space="preserve">Botón “x”: </t>
    </r>
    <r>
      <rPr>
        <rFont val="Fira Sans Extra Condensed"/>
        <color theme="1"/>
        <sz val="10.0"/>
      </rPr>
      <t xml:space="preserve">Regresa a la pantalla anterior. 
</t>
    </r>
    <r>
      <rPr>
        <rFont val="Fira Sans Extra Condensed"/>
        <b/>
        <color theme="1"/>
        <sz val="10.0"/>
      </rPr>
      <t>Texto</t>
    </r>
    <r>
      <rPr>
        <rFont val="Fira Sans Extra Condensed"/>
        <color theme="1"/>
        <sz val="10.0"/>
      </rPr>
      <t xml:space="preserve">: Aplique las opciones de filtrado que desea:
</t>
    </r>
    <r>
      <rPr>
        <rFont val="Fira Sans Extra Condensed"/>
        <b/>
        <color theme="1"/>
        <sz val="10.0"/>
      </rPr>
      <t>Países:</t>
    </r>
    <r>
      <rPr>
        <rFont val="Fira Sans Extra Condensed"/>
        <color theme="1"/>
        <sz val="10.0"/>
      </rPr>
      <t xml:space="preserve"> permite seleccionar uno o todos los países, la opción que aquí se muestre dependerá de donde el grupo tenga presencia mostrando únicamente los países donde tiene productos.
</t>
    </r>
    <r>
      <rPr>
        <rFont val="Fira Sans Extra Condensed"/>
        <b/>
        <color theme="1"/>
        <sz val="10.0"/>
      </rPr>
      <t>Empresa:</t>
    </r>
    <r>
      <rPr>
        <rFont val="Fira Sans Extra Condensed"/>
        <color theme="1"/>
        <sz val="10.0"/>
      </rPr>
      <t xml:space="preserve"> Permite seleccionar una o todas las empresas del grupo de acuerdo a la selección de empresas que conforman el grupo de productos. 
</t>
    </r>
    <r>
      <rPr>
        <rFont val="Fira Sans Extra Condensed"/>
        <b/>
        <color theme="1"/>
        <sz val="10.0"/>
      </rPr>
      <t xml:space="preserve">En la parte inferior deben estar las opciones: “Borrar” y “aplicar” 
</t>
    </r>
    <r>
      <rPr>
        <rFont val="Fira Sans Extra Condensed"/>
        <color theme="1"/>
        <sz val="10.0"/>
      </rPr>
      <t xml:space="preserve">
</t>
    </r>
    <r>
      <rPr>
        <rFont val="Fira Sans Extra Condensed"/>
        <b/>
        <color theme="1"/>
        <sz val="10.0"/>
      </rPr>
      <t>Botón “Borrar":</t>
    </r>
    <r>
      <rPr>
        <rFont val="Fira Sans Extra Condensed"/>
        <color theme="1"/>
        <sz val="10.0"/>
      </rPr>
      <t xml:space="preserve"> al dar clic debe eliminar los filtros de búsqueda ingresados por el usuario. 
</t>
    </r>
    <r>
      <rPr>
        <rFont val="Fira Sans Extra Condensed"/>
        <b/>
        <color theme="1"/>
        <sz val="10.0"/>
      </rPr>
      <t xml:space="preserve">Botón “Aplicar”: </t>
    </r>
    <r>
      <rPr>
        <rFont val="Fira Sans Extra Condensed"/>
        <color theme="1"/>
        <sz val="10.0"/>
      </rPr>
      <t xml:space="preserve">Al dar clic el canal actualiza la pantalla donde muestra los grupos de productos, mostrando como resultado únicamente los grupos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t>
    </r>
  </si>
  <si>
    <r>
      <rPr>
        <rFont val="Fira Sans Extra Condensed"/>
        <color theme="1"/>
        <sz val="10.0"/>
      </rPr>
      <t xml:space="preserve">Búsqueda avanzada de productos  con </t>
    </r>
    <r>
      <rPr>
        <rFont val="Fira Sans Extra Condensed"/>
        <b/>
        <color theme="1"/>
        <sz val="10.0"/>
      </rPr>
      <t>usuario Maestro</t>
    </r>
  </si>
  <si>
    <r>
      <rPr>
        <rFont val="Fira Sans Extra Condensed"/>
        <color theme="1"/>
        <sz val="10.0"/>
      </rPr>
      <t xml:space="preserve">Resumen del grupo de productos con </t>
    </r>
    <r>
      <rPr>
        <rFont val="Fira Sans Extra Condensed"/>
        <b/>
        <color theme="1"/>
        <sz val="10.0"/>
      </rPr>
      <t>usuario Maestro</t>
    </r>
  </si>
  <si>
    <r>
      <rPr>
        <rFont val="Fira Sans Extra Condensed"/>
        <b/>
        <color theme="1"/>
        <sz val="10.0"/>
      </rPr>
      <t xml:space="preserve"> Detallar: 
</t>
    </r>
    <r>
      <rPr>
        <rFont val="Fira Sans Extra Condensed"/>
        <color theme="1"/>
        <sz val="10.0"/>
      </rPr>
      <t xml:space="preserve">Al dar clic en esta opción se debe visualizar de manera detallada el resumen del grupo de producto seleccionado, el usuario no podrá editar ni eliminar productos, únicamente podrá visualizar así:
</t>
    </r>
    <r>
      <rPr>
        <rFont val="Fira Sans Extra Condensed"/>
        <b/>
        <color theme="1"/>
        <sz val="10.0"/>
      </rPr>
      <t xml:space="preserve">Título: </t>
    </r>
    <r>
      <rPr>
        <rFont val="Fira Sans Extra Condensed"/>
        <color theme="1"/>
        <sz val="10.0"/>
      </rPr>
      <t xml:space="preserve">Detalle del grupo de producto
</t>
    </r>
    <r>
      <rPr>
        <rFont val="Fira Sans Extra Condensed"/>
        <b/>
        <color theme="1"/>
        <sz val="10.0"/>
      </rPr>
      <t xml:space="preserve">Elemento regresar: </t>
    </r>
    <r>
      <rPr>
        <rFont val="Fira Sans Extra Condensed"/>
        <color theme="1"/>
        <sz val="10.0"/>
      </rPr>
      <t xml:space="preserve">Debe existir un botón o elemento que le permita al usuario regresar a la pantalla anterior en cualquier momento.
</t>
    </r>
    <r>
      <rPr>
        <rFont val="Fira Sans Extra Condensed"/>
        <b/>
        <color theme="1"/>
        <sz val="10.0"/>
      </rPr>
      <t>Nombre del Grupo:</t>
    </r>
    <r>
      <rPr>
        <rFont val="Fira Sans Extra Condensed"/>
        <color theme="1"/>
        <sz val="10.0"/>
      </rPr>
      <t xml:space="preserve"> Se debe mostrar el nombre del grupo de producto ingresado en la creación.</t>
    </r>
  </si>
  <si>
    <r>
      <rPr>
        <rFont val="Fira Sans Extra Condensed"/>
        <color theme="1"/>
        <sz val="10.0"/>
      </rPr>
      <t xml:space="preserve">Resumen del grupo de productos con </t>
    </r>
    <r>
      <rPr>
        <rFont val="Fira Sans Extra Condensed"/>
        <b/>
        <color theme="1"/>
        <sz val="10.0"/>
      </rPr>
      <t>usuario Maestro</t>
    </r>
  </si>
  <si>
    <r>
      <rPr>
        <rFont val="Fira Sans Extra Condensed"/>
        <b/>
        <color theme="1"/>
        <sz val="10.0"/>
      </rPr>
      <t>Resumen:</t>
    </r>
    <r>
      <rPr>
        <rFont val="Fira Sans Extra Condensed"/>
        <color theme="1"/>
        <sz val="10.0"/>
      </rPr>
      <t xml:space="preserve"> Teniendo en cuenta que este paso es la “confirmación” el canal deberá mostrar un resumen general de las características principales de los productos seleccionados en el paso anterior, el cuadro deberá informar: 
</t>
    </r>
    <r>
      <rPr>
        <rFont val="Fira Sans Extra Condensed"/>
        <b/>
        <color theme="1"/>
        <sz val="10.0"/>
      </rPr>
      <t>Países:</t>
    </r>
    <r>
      <rPr>
        <rFont val="Fira Sans Extra Condensed"/>
        <color theme="1"/>
        <sz val="10.0"/>
      </rPr>
      <t xml:space="preserve"> Banderas origen de los países de los productos que conforman el grupo de producto.
</t>
    </r>
    <r>
      <rPr>
        <rFont val="Fira Sans Extra Condensed"/>
        <b/>
        <color theme="1"/>
        <sz val="10.0"/>
      </rPr>
      <t>Empresas:</t>
    </r>
    <r>
      <rPr>
        <rFont val="Fira Sans Extra Condensed"/>
        <color theme="1"/>
        <sz val="10.0"/>
      </rPr>
      <t xml:space="preserve"> Número del total de empresas que conforman el grupo de productos.
</t>
    </r>
    <r>
      <rPr>
        <rFont val="Fira Sans Extra Condensed"/>
        <b/>
        <color theme="1"/>
        <sz val="10.0"/>
      </rPr>
      <t>Productos</t>
    </r>
    <r>
      <rPr>
        <rFont val="Fira Sans Extra Condensed"/>
        <color theme="1"/>
        <sz val="10.0"/>
      </rPr>
      <t xml:space="preserve">: Número del total de productos seleccionados en el paso anterior.
</t>
    </r>
    <r>
      <rPr>
        <rFont val="Fira Sans Extra Condensed"/>
        <b/>
        <color theme="1"/>
        <sz val="10.0"/>
      </rPr>
      <t>Tipo Productos:</t>
    </r>
    <r>
      <rPr>
        <rFont val="Fira Sans Extra Condensed"/>
        <color theme="1"/>
        <sz val="10.0"/>
      </rPr>
      <t xml:space="preserve"> nombre del tipo de productos, ejemplo: Cuentas de ahorros / Cuenta Corriente. </t>
    </r>
  </si>
  <si>
    <r>
      <rPr>
        <rFont val="Fira Sans Extra Condensed"/>
        <color theme="1"/>
        <sz val="10.0"/>
      </rPr>
      <t xml:space="preserve">Resumen del grupo de productos con </t>
    </r>
    <r>
      <rPr>
        <rFont val="Fira Sans Extra Condensed"/>
        <b/>
        <color theme="1"/>
        <sz val="10.0"/>
      </rPr>
      <t>usuario Maestro</t>
    </r>
  </si>
  <si>
    <r>
      <rPr>
        <rFont val="Fira Sans Extra Condensed"/>
        <b/>
        <color theme="1"/>
        <sz val="10.0"/>
      </rPr>
      <t>Productos Seleccionados:</t>
    </r>
    <r>
      <rPr>
        <rFont val="Fira Sans Extra Condensed"/>
        <color theme="1"/>
        <sz val="10.0"/>
      </rPr>
      <t xml:space="preserve"> En la pantalla el canal mostrará la información de los productos seleccionados en el mismo orden del paso anterior agrupando la información por tipo de productos. 
</t>
    </r>
    <r>
      <rPr>
        <rFont val="Fira Sans Extra Condensed"/>
        <b/>
        <color theme="1"/>
        <sz val="10.0"/>
      </rPr>
      <t xml:space="preserve">País: </t>
    </r>
    <r>
      <rPr>
        <rFont val="Fira Sans Extra Condensed"/>
        <color theme="1"/>
        <sz val="10.0"/>
      </rPr>
      <t xml:space="preserve">Se debe mostrar la bandera del país origen al que pertenece el producto seleccionado. 
</t>
    </r>
    <r>
      <rPr>
        <rFont val="Fira Sans Extra Condensed"/>
        <b/>
        <color theme="1"/>
        <sz val="10.0"/>
      </rPr>
      <t xml:space="preserve">Empresa: </t>
    </r>
    <r>
      <rPr>
        <rFont val="Fira Sans Extra Condensed"/>
        <color theme="1"/>
        <sz val="10.0"/>
      </rPr>
      <t xml:space="preserve">Se debe mostrar la empresa a la que pertenece el producto seleccionado.
</t>
    </r>
    <r>
      <rPr>
        <rFont val="Fira Sans Extra Condensed"/>
        <b/>
        <color theme="1"/>
        <sz val="10.0"/>
      </rPr>
      <t xml:space="preserve">Nombre del producto: </t>
    </r>
    <r>
      <rPr>
        <rFont val="Fira Sans Extra Condensed"/>
        <color theme="1"/>
        <sz val="10.0"/>
      </rPr>
      <t xml:space="preserve">Se debe mostrar el nombre o alias del producto seleccionado
</t>
    </r>
    <r>
      <rPr>
        <rFont val="Fira Sans Extra Condensed"/>
        <b/>
        <color theme="1"/>
        <sz val="10.0"/>
      </rPr>
      <t xml:space="preserve">Tipo de Producto: </t>
    </r>
    <r>
      <rPr>
        <rFont val="Fira Sans Extra Condensed"/>
        <color theme="1"/>
        <sz val="10.0"/>
      </rPr>
      <t xml:space="preserve">Se debe presentar la naturaleza del producto seleccionado.
</t>
    </r>
    <r>
      <rPr>
        <rFont val="Fira Sans Extra Condensed"/>
        <b/>
        <color theme="1"/>
        <sz val="10.0"/>
      </rPr>
      <t>Número del Producto:</t>
    </r>
    <r>
      <rPr>
        <rFont val="Fira Sans Extra Condensed"/>
        <color theme="1"/>
        <sz val="10.0"/>
      </rPr>
      <t xml:space="preserve"> Se debe presentar el número de producto seleccionado enmascarado.</t>
    </r>
  </si>
  <si>
    <r>
      <rPr>
        <rFont val="Fira Sans Extra Condensed"/>
        <color theme="1"/>
        <sz val="10.0"/>
      </rPr>
      <t xml:space="preserve">Resumen del grupo de productos con </t>
    </r>
    <r>
      <rPr>
        <rFont val="Fira Sans Extra Condensed"/>
        <b/>
        <color theme="1"/>
        <sz val="10.0"/>
      </rPr>
      <t>usuario Maestro</t>
    </r>
  </si>
  <si>
    <r>
      <rPr>
        <rFont val="Fira Sans Extra Condensed"/>
        <b/>
        <color theme="1"/>
        <sz val="10.0"/>
      </rPr>
      <t>Paginación:</t>
    </r>
    <r>
      <rPr>
        <rFont val="Fira Sans Extra Condensed"/>
        <color theme="1"/>
        <sz val="10.0"/>
      </rPr>
      <t xml:space="preserve"> En la pantalla se debe presentar la paginación mostrando el número de páginas totales que arroja el resultado, la paginación debe tener las siguientes características teniendo en cuenta que es una experiencia transversal en varias experiencias.
Al dar clic en esta opción se debe visualizar de manera detallada el resumen del grupo de producto seleccionado, mostrando en la parte superior el nombre del grupo, y en la parte inferior el detalle de los productos asignados al grupo por tipo de producto (Para el MVP únicamente se mostrará cuentas ahorros y corriente) con la siguiente información del producto: País (con la bandera del país al que pertenece y las iniciales del mismo), Empresa (Nombre de la empresa a la que pertenece el producto), Alias (Nombre asignado a la cuenta) Número de producto (se mostrará de manera enmascarada el número del producto, visualizando únicamente los últimos 4 dígitos) en la parte inferior se deben habilitar los siguientes botones:
</t>
    </r>
    <r>
      <rPr>
        <rFont val="Fira Sans Extra Condensed"/>
        <b/>
        <color theme="1"/>
        <sz val="10.0"/>
      </rPr>
      <t xml:space="preserve">Regresar: </t>
    </r>
    <r>
      <rPr>
        <rFont val="Fira Sans Extra Condensed"/>
        <color theme="1"/>
        <sz val="10.0"/>
      </rPr>
      <t>una vez el usuario de clic en esta opción regresará a la pantalla anterior.</t>
    </r>
  </si>
  <si>
    <r>
      <rPr>
        <rFont val="Fira Sans Extra Condensed"/>
        <color theme="1"/>
        <sz val="10.0"/>
      </rPr>
      <t xml:space="preserve">Resumen del grupo de productos con </t>
    </r>
    <r>
      <rPr>
        <rFont val="Fira Sans Extra Condensed"/>
        <b/>
        <color theme="1"/>
        <sz val="10.0"/>
      </rPr>
      <t>usuario Maestro</t>
    </r>
  </si>
  <si>
    <r>
      <rPr>
        <rFont val="Fira Sans Extra Condensed"/>
        <b/>
        <color theme="1"/>
        <sz val="10.0"/>
      </rPr>
      <t xml:space="preserve">Agregar Grupos: </t>
    </r>
    <r>
      <rPr>
        <rFont val="Fira Sans Extra Condensed"/>
        <color theme="1"/>
        <sz val="10.0"/>
      </rPr>
      <t xml:space="preserve">
Este botón únicamente se habilita si el usuario selecciona al menos un grupo de productos seleccionado desde el checkbox, La pantalla se actualizará mostrando un resumen de la selección realizada por el usuario de los grupos de productos seleccionados manteniendo las mismas características de visualización de detalle general 
Número de grupos agregados
Número y países que fueron agregados, se muestra colapsado al dar clic permite ver el nombre de los países.
Número de empresas asignadas, se muestra colapsado al dar clic permite ver el nombre de las empresas
Número de total de productos asignados al usuario
</t>
    </r>
  </si>
  <si>
    <r>
      <rPr>
        <rFont val="Fira Sans Extra Condensed"/>
        <color theme="1"/>
        <sz val="10.0"/>
      </rPr>
      <t xml:space="preserve">Resumen y Confirmación Esquema de Firma con </t>
    </r>
    <r>
      <rPr>
        <rFont val="Fira Sans Extra Condensed"/>
        <b/>
        <color theme="1"/>
        <sz val="10.0"/>
      </rPr>
      <t>usuario Maestro</t>
    </r>
  </si>
  <si>
    <r>
      <rPr>
        <rFont val="Fira Sans Extra Condensed"/>
        <color theme="1"/>
        <sz val="10.0"/>
      </rPr>
      <t xml:space="preserve">Aquí el usuario tendrá de manera visual y no editable visual de la información ingresada en los pasos anteriores así: 
</t>
    </r>
    <r>
      <rPr>
        <rFont val="Fira Sans Extra Condensed"/>
        <b/>
        <color theme="1"/>
        <sz val="10.0"/>
      </rPr>
      <t xml:space="preserve">Pantalla Resumen: </t>
    </r>
    <r>
      <rPr>
        <rFont val="Fira Sans Extra Condensed"/>
        <color theme="1"/>
        <sz val="10.0"/>
      </rPr>
      <t xml:space="preserve">
</t>
    </r>
    <r>
      <rPr>
        <rFont val="Fira Sans Extra Condensed"/>
        <b/>
        <color theme="1"/>
        <sz val="10.0"/>
      </rPr>
      <t xml:space="preserve">Título header: </t>
    </r>
    <r>
      <rPr>
        <rFont val="Fira Sans Extra Condensed"/>
        <color theme="1"/>
        <sz val="10.0"/>
      </rPr>
      <t xml:space="preserve">Confirmación de esquema de firmas
</t>
    </r>
    <r>
      <rPr>
        <rFont val="Fira Sans Extra Condensed"/>
        <b/>
        <color theme="1"/>
        <sz val="10.0"/>
      </rPr>
      <t>Elemento para regresar, Botón.</t>
    </r>
    <r>
      <rPr>
        <rFont val="Fira Sans Extra Condensed"/>
        <color theme="1"/>
        <sz val="10.0"/>
      </rPr>
      <t xml:space="preserve">
</t>
    </r>
    <r>
      <rPr>
        <rFont val="Fira Sans Extra Condensed"/>
        <b/>
        <color theme="1"/>
        <sz val="10.0"/>
      </rPr>
      <t xml:space="preserve">Texto: </t>
    </r>
    <r>
      <rPr>
        <rFont val="Fira Sans Extra Condensed"/>
        <color theme="1"/>
        <sz val="10.0"/>
      </rPr>
      <t xml:space="preserve">Información del esquema 
</t>
    </r>
    <r>
      <rPr>
        <rFont val="Fira Sans Extra Condensed"/>
        <b/>
        <color theme="1"/>
        <sz val="10.0"/>
      </rPr>
      <t xml:space="preserve">Nombre del esquema: </t>
    </r>
    <r>
      <rPr>
        <rFont val="Fira Sans Extra Condensed"/>
        <color theme="1"/>
        <sz val="10.0"/>
      </rPr>
      <t xml:space="preserve">Se muestra el nombre ingresado por el usuario en el inicio del proceso.
</t>
    </r>
    <r>
      <rPr>
        <rFont val="Fira Sans Extra Condensed"/>
        <b/>
        <color theme="1"/>
        <sz val="10.0"/>
      </rPr>
      <t>Tipo de esquema:</t>
    </r>
    <r>
      <rPr>
        <rFont val="Fira Sans Extra Condensed"/>
        <color theme="1"/>
        <sz val="10.0"/>
      </rPr>
      <t xml:space="preserve"> Se muestra el tipo de esquema seleccionado
</t>
    </r>
    <r>
      <rPr>
        <rFont val="Fira Sans Extra Condensed"/>
        <b/>
        <color theme="1"/>
        <sz val="10.0"/>
      </rPr>
      <t xml:space="preserve">Niveles de Aprobación: </t>
    </r>
    <r>
      <rPr>
        <rFont val="Fira Sans Extra Condensed"/>
        <color theme="1"/>
        <sz val="10.0"/>
      </rPr>
      <t xml:space="preserve">Se debe mostrar en pantalla únicamente las opciones de niveles asociadas a los niveles seleccionados 
   </t>
    </r>
    <r>
      <rPr>
        <rFont val="Fira Sans Extra Condensed"/>
        <b/>
        <color theme="1"/>
        <sz val="10.0"/>
      </rPr>
      <t>- Nombre nivel:</t>
    </r>
    <r>
      <rPr>
        <rFont val="Fira Sans Extra Condensed"/>
        <color theme="1"/>
        <sz val="10.0"/>
      </rPr>
      <t xml:space="preserve"> ejemplo “Nivel 1 / Nivel 2”.
   </t>
    </r>
    <r>
      <rPr>
        <rFont val="Fira Sans Extra Condensed"/>
        <b/>
        <color theme="1"/>
        <sz val="10.0"/>
      </rPr>
      <t xml:space="preserve">- Autorizadores: </t>
    </r>
    <r>
      <rPr>
        <rFont val="Fira Sans Extra Condensed"/>
        <color theme="1"/>
        <sz val="10.0"/>
      </rPr>
      <t xml:space="preserve">Número de los usuarios que lo conforman. en el modo colapsado y en desplegado  permite visualizar el nombre de los usuarios adicional
  </t>
    </r>
    <r>
      <rPr>
        <rFont val="Fira Sans Extra Condensed"/>
        <b/>
        <color theme="1"/>
        <sz val="10.0"/>
      </rPr>
      <t xml:space="preserve"> - Autorizadores requeridos: </t>
    </r>
    <r>
      <rPr>
        <rFont val="Fira Sans Extra Condensed"/>
        <color theme="1"/>
        <sz val="10.0"/>
      </rPr>
      <t xml:space="preserve">Número seleccionado para el nivel en el paso anterior. </t>
    </r>
  </si>
  <si>
    <r>
      <rPr>
        <rFont val="Fira Sans Extra Condensed"/>
        <color theme="1"/>
        <sz val="10.0"/>
      </rPr>
      <t xml:space="preserve">Resumen y Confirmación Esquema de Firma con </t>
    </r>
    <r>
      <rPr>
        <rFont val="Fira Sans Extra Condensed"/>
        <b/>
        <color theme="1"/>
        <sz val="10.0"/>
      </rPr>
      <t>usuario Maestro</t>
    </r>
  </si>
  <si>
    <r>
      <rPr>
        <rFont val="Fira Sans Extra Condensed"/>
        <b/>
        <color theme="1"/>
        <sz val="10.0"/>
      </rPr>
      <t>Transacciones y límites:</t>
    </r>
    <r>
      <rPr>
        <rFont val="Fira Sans Extra Condensed"/>
        <color theme="1"/>
        <sz val="10.0"/>
      </rPr>
      <t xml:space="preserve"> Aquí se debe mostrar las funcionalidades transaccionales del grupo regional, teniendo en cuenta que el MVP únicamente tiene la funcionalidad de “transferencias regionales” y “destinos autorizados” se mostrará las opciones que fueron seleccionadas por el usuario, si la opción está desplegada permite visualizar  el límite transaccional registrado si aplica: 
   - Transferencias regionales a cuentas propias 
   - Transferencias regionales a terceros
   - Destinos autorizados</t>
    </r>
  </si>
  <si>
    <r>
      <rPr>
        <rFont val="Fira Sans Extra Condensed"/>
        <color theme="1"/>
        <sz val="10.0"/>
      </rPr>
      <t xml:space="preserve">Resumen y Confirmación Esquema de Firma con </t>
    </r>
    <r>
      <rPr>
        <rFont val="Fira Sans Extra Condensed"/>
        <b/>
        <color theme="1"/>
        <sz val="10.0"/>
      </rPr>
      <t>usuario Maestro</t>
    </r>
  </si>
  <si>
    <r>
      <rPr>
        <rFont val="Fira Sans Extra Condensed"/>
        <b/>
        <color theme="1"/>
        <sz val="10.0"/>
      </rPr>
      <t xml:space="preserve">Grupo de Productos: </t>
    </r>
    <r>
      <rPr>
        <rFont val="Fira Sans Extra Condensed"/>
        <color theme="1"/>
        <sz val="10.0"/>
      </rPr>
      <t>Se debe mostrar resumen general de los grupos de productos seleccionados en el paso anterior. Si la opción está desplegada da más detalle de cada uno.
 - Número de grupos
 - Países
 - Empresas
 - Productos</t>
    </r>
  </si>
  <si>
    <r>
      <rPr>
        <rFont val="Fira Sans Extra Condensed"/>
        <color theme="1"/>
        <sz val="10.0"/>
      </rPr>
      <t xml:space="preserve">Resumen y Confirmación Esquema de Firma con </t>
    </r>
    <r>
      <rPr>
        <rFont val="Fira Sans Extra Condensed"/>
        <b/>
        <color theme="1"/>
        <sz val="10.0"/>
      </rPr>
      <t>usuario Maestro</t>
    </r>
  </si>
  <si>
    <r>
      <rPr>
        <rFont val="Fira Sans Extra Condensed"/>
        <b/>
        <color theme="1"/>
        <sz val="10.0"/>
      </rPr>
      <t xml:space="preserve">Opciones Pantalla: </t>
    </r>
    <r>
      <rPr>
        <rFont val="Fira Sans Extra Condensed"/>
        <color theme="1"/>
        <sz val="10.0"/>
      </rPr>
      <t xml:space="preserve">
</t>
    </r>
    <r>
      <rPr>
        <rFont val="Fira Sans Extra Condensed"/>
        <b/>
        <color theme="1"/>
        <sz val="10.0"/>
      </rPr>
      <t>- Continuar:</t>
    </r>
    <r>
      <rPr>
        <rFont val="Fira Sans Extra Condensed"/>
        <color theme="1"/>
        <sz val="10.0"/>
      </rPr>
      <t xml:space="preserve">  Debe existir un botón que se llame “continuar” para finalizar el proceso</t>
    </r>
  </si>
  <si>
    <t>Creación de esquema de firma exitoso</t>
  </si>
  <si>
    <r>
      <rPr>
        <rFont val="Fira Sans Extra Condensed"/>
        <color theme="1"/>
        <sz val="10.0"/>
      </rPr>
      <t xml:space="preserve">Resumen y Confirmación Esquema de Firma con </t>
    </r>
    <r>
      <rPr>
        <rFont val="Fira Sans Extra Condensed"/>
        <b/>
        <color theme="1"/>
        <sz val="10.0"/>
      </rPr>
      <t>usuario Maestro</t>
    </r>
  </si>
  <si>
    <r>
      <rPr>
        <rFont val="Fira Sans Extra Condensed"/>
        <color theme="1"/>
        <sz val="10.0"/>
      </rPr>
      <t xml:space="preserve">Resumen y Confirmación Esquema de Firma con </t>
    </r>
    <r>
      <rPr>
        <rFont val="Fira Sans Extra Condensed"/>
        <b/>
        <color theme="1"/>
        <sz val="10.0"/>
      </rPr>
      <t>usuario Maestro</t>
    </r>
  </si>
  <si>
    <r>
      <rPr>
        <rFont val="Fira Sans Extra Condensed"/>
        <color theme="1"/>
        <sz val="10.0"/>
      </rPr>
      <t xml:space="preserve">La información que aquí se muestra dependerá del tipo de administración que tenga parametrizada el grupo Regional así:
</t>
    </r>
    <r>
      <rPr>
        <rFont val="Fira Sans Extra Condensed"/>
        <b/>
        <color theme="1"/>
        <sz val="10.0"/>
      </rPr>
      <t xml:space="preserve">Administración Sencilla: </t>
    </r>
    <r>
      <rPr>
        <rFont val="Fira Sans Extra Condensed"/>
        <color theme="1"/>
        <sz val="10.0"/>
      </rPr>
      <t xml:space="preserve"> Una vez aprobada la creación del esquema de firmas, en la parte superior  presentará el siguiente mensaje: “ Creación de esquema exitosa” y tendrá la misma visual en el mismo orden de la pantalla anterior donde visualizará un resumen de toda  la información del Esquema. </t>
    </r>
  </si>
  <si>
    <r>
      <rPr>
        <rFont val="Fira Sans Extra Condensed"/>
        <color theme="1"/>
        <sz val="10.0"/>
      </rPr>
      <t xml:space="preserve">Resumen y Confirmación Esquema de Firma con </t>
    </r>
    <r>
      <rPr>
        <rFont val="Fira Sans Extra Condensed"/>
        <b/>
        <color theme="1"/>
        <sz val="10.0"/>
      </rPr>
      <t>usuario Maestro</t>
    </r>
  </si>
  <si>
    <r>
      <rPr>
        <rFont val="Fira Sans Extra Condensed"/>
        <b/>
        <color theme="1"/>
        <sz val="10.0"/>
      </rPr>
      <t xml:space="preserve"> - Finalizar:</t>
    </r>
    <r>
      <rPr>
        <rFont val="Fira Sans Extra Condensed"/>
        <color theme="1"/>
        <sz val="10.0"/>
      </rPr>
      <t xml:space="preserve"> una vez el usuario de clic en esta opción regresará a la pantalla de Esquemas de firmas donde puede consultar o crear uno nuevo.</t>
    </r>
  </si>
  <si>
    <r>
      <rPr>
        <rFont val="Fira Sans Extra Condensed"/>
        <color theme="1"/>
        <sz val="10.0"/>
      </rPr>
      <t xml:space="preserve">Resumen y Confirmación Esquema de Firma con </t>
    </r>
    <r>
      <rPr>
        <rFont val="Fira Sans Extra Condensed"/>
        <b/>
        <color theme="1"/>
        <sz val="10.0"/>
      </rPr>
      <t>usuario Maestro</t>
    </r>
  </si>
  <si>
    <r>
      <rPr>
        <rFont val="Fira Sans Extra Condensed"/>
        <b/>
        <color theme="1"/>
        <sz val="10.0"/>
      </rPr>
      <t xml:space="preserve">- Crear otro esquema: </t>
    </r>
    <r>
      <rPr>
        <rFont val="Fira Sans Extra Condensed"/>
        <color theme="1"/>
        <sz val="10.0"/>
      </rPr>
      <t>Al dar clic permite al usuario iniciar una nueva creación desde el criterio 3</t>
    </r>
  </si>
  <si>
    <r>
      <rPr>
        <rFont val="Fira Sans Extra Condensed"/>
        <color theme="1"/>
        <sz val="10.0"/>
      </rPr>
      <t xml:space="preserve">Resumen y Confirmación Esquema de Firma con </t>
    </r>
    <r>
      <rPr>
        <rFont val="Fira Sans Extra Condensed"/>
        <b/>
        <color theme="1"/>
        <sz val="10.0"/>
      </rPr>
      <t>usuario Maestro</t>
    </r>
  </si>
  <si>
    <r>
      <rPr>
        <rFont val="Fira Sans Extra Condensed"/>
        <color theme="1"/>
        <sz val="10.0"/>
      </rPr>
      <t xml:space="preserve">Resumen y Confirmación Esquema de Firma con </t>
    </r>
    <r>
      <rPr>
        <rFont val="Fira Sans Extra Condensed"/>
        <b/>
        <color theme="1"/>
        <sz val="10.0"/>
      </rPr>
      <t>usuario Maestro</t>
    </r>
  </si>
  <si>
    <r>
      <rPr>
        <rFont val="Fira Sans Extra Condensed"/>
        <b/>
        <color theme="1"/>
        <sz val="10.0"/>
      </rPr>
      <t xml:space="preserve">Administración Dual: </t>
    </r>
    <r>
      <rPr>
        <rFont val="Fira Sans Extra Condensed"/>
        <color theme="1"/>
        <sz val="10.0"/>
      </rPr>
      <t xml:space="preserve">Una vez aprobada la novedad,  en la parte superior  presentará el siguiente mensaje: “Pendiente aprobación, La creación del esquema de firmas se envió para su aprobación. Quedará en estado pendiente hasta que el esquema de firmas se complete” y posterior resumen de la información, tendrá la misma visual en el mismo orden de la pantalla anterior donde visualizará un resumen de toda  la información resumen del esquema de firma creado. En la parte inferior tendrá las siguientes opciones:
</t>
    </r>
    <r>
      <rPr>
        <rFont val="Fira Sans Extra Condensed"/>
        <b/>
        <color theme="1"/>
        <sz val="10.0"/>
      </rPr>
      <t>- Finalizar:</t>
    </r>
    <r>
      <rPr>
        <rFont val="Fira Sans Extra Condensed"/>
        <color theme="1"/>
        <sz val="10.0"/>
      </rPr>
      <t xml:space="preserve"> una vez el usuario de clic en esta opción regresará a la pantalla de usuarios donde puede consultar o crear un nuevo esquema.
</t>
    </r>
    <r>
      <rPr>
        <rFont val="Fira Sans Extra Condensed"/>
        <b/>
        <color theme="1"/>
        <sz val="10.0"/>
      </rPr>
      <t>- Crear otro esquema:</t>
    </r>
    <r>
      <rPr>
        <rFont val="Fira Sans Extra Condensed"/>
        <color theme="1"/>
        <sz val="10.0"/>
      </rPr>
      <t xml:space="preserve"> Al dar clic permite al usuario iniciar una nueva creación desde el criterio 3
Para finalizar el proceso de alta del usuario el otro administrador deberá revisar y aprobar la solicitud por el módulo de autorizaciones.  Este registro debe visualizarse en la opción de “Consultas” y en la columna “estado” debe visualiza el estado “Pendiente autorización” </t>
    </r>
  </si>
  <si>
    <r>
      <rPr>
        <rFont val="Fira Sans Extra Condensed"/>
        <color theme="1"/>
        <sz val="10.0"/>
      </rPr>
      <t xml:space="preserve">Consulta de esquema de firmas con </t>
    </r>
    <r>
      <rPr>
        <rFont val="Fira Sans Extra Condensed"/>
        <b/>
        <color theme="1"/>
        <sz val="10.0"/>
      </rPr>
      <t>usuario Maestro</t>
    </r>
  </si>
  <si>
    <r>
      <rPr>
        <rFont val="Fira Sans Extra Condensed"/>
        <color theme="1"/>
        <sz val="10.0"/>
      </rPr>
      <t xml:space="preserve">Al dar clic a la opción de consultas, habilita lo siguiente:
</t>
    </r>
    <r>
      <rPr>
        <rFont val="Fira Sans Extra Condensed"/>
        <b/>
        <color theme="1"/>
        <sz val="10.0"/>
      </rPr>
      <t xml:space="preserve">Título header: </t>
    </r>
    <r>
      <rPr>
        <rFont val="Fira Sans Extra Condensed"/>
        <color theme="1"/>
        <sz val="10.0"/>
      </rPr>
      <t xml:space="preserve">Esquemas de firmas
</t>
    </r>
    <r>
      <rPr>
        <rFont val="Fira Sans Extra Condensed"/>
        <b/>
        <color theme="1"/>
        <sz val="10.0"/>
      </rPr>
      <t>Elemento para regresar.</t>
    </r>
    <r>
      <rPr>
        <rFont val="Fira Sans Extra Condensed"/>
        <color theme="1"/>
        <sz val="10.0"/>
      </rPr>
      <t xml:space="preserve">
</t>
    </r>
    <r>
      <rPr>
        <rFont val="Fira Sans Extra Condensed"/>
        <b/>
        <color theme="1"/>
        <sz val="10.0"/>
      </rPr>
      <t>Descripción:</t>
    </r>
    <r>
      <rPr>
        <rFont val="Fira Sans Extra Condensed"/>
        <color theme="1"/>
        <sz val="10.0"/>
      </rPr>
      <t xml:space="preserve"> Puede crear, editar y eliminar los esquemas de firmas que aprobarán o rechazarán las operaciones del canal. Para facilitar su gestión, puede usar el buscador o los filtros presentados.</t>
    </r>
  </si>
  <si>
    <r>
      <rPr>
        <rFont val="Fira Sans Extra Condensed"/>
        <color theme="1"/>
        <sz val="10.0"/>
      </rPr>
      <t xml:space="preserve">Consulta de esquema de firmas con </t>
    </r>
    <r>
      <rPr>
        <rFont val="Fira Sans Extra Condensed"/>
        <b/>
        <color theme="1"/>
        <sz val="10.0"/>
      </rPr>
      <t>usuario Maestro</t>
    </r>
  </si>
  <si>
    <r>
      <rPr>
        <rFont val="Fira Sans Extra Condensed"/>
        <color theme="1"/>
        <sz val="10.0"/>
      </rPr>
      <t xml:space="preserve">La información se mostrará en columnas con los siguientes títulos:
</t>
    </r>
    <r>
      <rPr>
        <rFont val="Fira Sans Extra Condensed"/>
        <b/>
        <color theme="1"/>
        <sz val="10.0"/>
      </rPr>
      <t>Fecha creación:</t>
    </r>
    <r>
      <rPr>
        <rFont val="Fira Sans Extra Condensed"/>
        <color theme="1"/>
        <sz val="10.0"/>
      </rPr>
      <t xml:space="preserve"> El canal debe mostrar la fecha en la que se creó el esquema de firmas en formato dd/mm/aaaa
</t>
    </r>
    <r>
      <rPr>
        <rFont val="Fira Sans Extra Condensed"/>
        <b/>
        <color theme="1"/>
        <sz val="10.0"/>
      </rPr>
      <t xml:space="preserve">Nombre del Esquema:  </t>
    </r>
    <r>
      <rPr>
        <rFont val="Fira Sans Extra Condensed"/>
        <color theme="1"/>
        <sz val="10.0"/>
      </rPr>
      <t xml:space="preserve">El canal debe mostrar el nombre del esquema tal cual con el que fue creado.
</t>
    </r>
    <r>
      <rPr>
        <rFont val="Fira Sans Extra Condensed"/>
        <b/>
        <color theme="1"/>
        <sz val="10.0"/>
      </rPr>
      <t>Estado:</t>
    </r>
    <r>
      <rPr>
        <rFont val="Fira Sans Extra Condensed"/>
        <color theme="1"/>
        <sz val="10.0"/>
      </rPr>
      <t xml:space="preserve"> El canal debe mostrar el estado del esquema de firma, las siguientes opciones son posibles.
- Vigente
- Pendiente de aprobación
- Inconsistencia.  ⚠️</t>
    </r>
  </si>
  <si>
    <r>
      <rPr>
        <rFont val="Fira Sans Extra Condensed"/>
        <color theme="1"/>
        <sz val="10.0"/>
      </rPr>
      <t xml:space="preserve">Eliminación de esquema de firmas con </t>
    </r>
    <r>
      <rPr>
        <rFont val="Fira Sans Extra Condensed"/>
        <b/>
        <color theme="1"/>
        <sz val="10.0"/>
      </rPr>
      <t>usuario Maestro</t>
    </r>
  </si>
  <si>
    <t>- Mostrar botón de eliminar esquema.
- La gestión de eliminación quedará pendiente de autorización.</t>
  </si>
  <si>
    <r>
      <rPr>
        <rFont val="Fira Sans Extra Condensed"/>
        <color theme="1"/>
        <sz val="10.0"/>
      </rPr>
      <t xml:space="preserve">Búsqueda avanzada de esquema de firmas con </t>
    </r>
    <r>
      <rPr>
        <rFont val="Fira Sans Extra Condensed"/>
        <b/>
        <color theme="1"/>
        <sz val="10.0"/>
      </rPr>
      <t>usuario Maestro</t>
    </r>
  </si>
  <si>
    <r>
      <rPr>
        <rFont val="Fira Sans Extra Condensed"/>
        <color theme="1"/>
        <sz val="10.0"/>
      </rPr>
      <t xml:space="preserve">Mostrar las siguientes opciones de búsqueda:
</t>
    </r>
    <r>
      <rPr>
        <rFont val="Fira Sans Extra Condensed"/>
        <b/>
        <color theme="1"/>
        <sz val="10.0"/>
      </rPr>
      <t>Elemento “Buscar"</t>
    </r>
    <r>
      <rPr>
        <rFont val="Fira Sans Extra Condensed"/>
        <color theme="1"/>
        <sz val="10.0"/>
      </rPr>
      <t xml:space="preserve">: Al dar clic se debe habilitar una barra de búsqueda que permite al usuario ingresar el nombre del esquema, el canal debe actualizar los resultados de búsqueda teniendo en cuenta el texto ingresado, se debe habilitar un botón de “cancelar” en caso que el usuario quiera eliminar esta búsqueda. 
-En caso que el usuario ingrese un texto que no encuentre coincidencia el canal debe mostrar “La búsqueda de (texto ingresado) no presenta resultados.”
</t>
    </r>
    <r>
      <rPr>
        <rFont val="Fira Sans Extra Condensed"/>
        <b/>
        <color theme="1"/>
        <sz val="10.0"/>
      </rPr>
      <t xml:space="preserve">Elemento “Filtrar”: </t>
    </r>
    <r>
      <rPr>
        <rFont val="Fira Sans Extra Condensed"/>
        <color theme="1"/>
        <sz val="10.0"/>
      </rPr>
      <t xml:space="preserve">Debe contar con un elemento que permite  buscar productos con filtros específicos, al dar clic sobre el texto se sobrepone en la pantalla  la información detallando los filtros que se podrán aplicar para la búsqueda de productos así:
</t>
    </r>
    <r>
      <rPr>
        <rFont val="Fira Sans Extra Condensed"/>
        <b/>
        <color theme="1"/>
        <sz val="10.0"/>
      </rPr>
      <t>Título: Filtrar</t>
    </r>
    <r>
      <rPr>
        <rFont val="Fira Sans Extra Condensed"/>
        <color theme="1"/>
        <sz val="10.0"/>
      </rPr>
      <t xml:space="preserve">
</t>
    </r>
    <r>
      <rPr>
        <rFont val="Fira Sans Extra Condensed"/>
        <b/>
        <color theme="1"/>
        <sz val="10.0"/>
      </rPr>
      <t xml:space="preserve">Botón “x”: </t>
    </r>
    <r>
      <rPr>
        <rFont val="Fira Sans Extra Condensed"/>
        <color theme="1"/>
        <sz val="10.0"/>
      </rPr>
      <t xml:space="preserve">Regresa a la pantalla anterior. 
</t>
    </r>
    <r>
      <rPr>
        <rFont val="Fira Sans Extra Condensed"/>
        <b/>
        <color theme="1"/>
        <sz val="10.0"/>
      </rPr>
      <t>Texto:</t>
    </r>
    <r>
      <rPr>
        <rFont val="Fira Sans Extra Condensed"/>
        <color theme="1"/>
        <sz val="10.0"/>
      </rPr>
      <t xml:space="preserve"> Aplique las opciones de filtrado que desea:
</t>
    </r>
    <r>
      <rPr>
        <rFont val="Fira Sans Extra Condensed"/>
        <b/>
        <color theme="1"/>
        <sz val="10.0"/>
      </rPr>
      <t>Estado</t>
    </r>
    <r>
      <rPr>
        <rFont val="Fira Sans Extra Condensed"/>
        <color theme="1"/>
        <sz val="10.0"/>
      </rPr>
      <t>: Lista seleccionable con las opciones: Activo / Pendiente aprobación / Inconsistencia.</t>
    </r>
  </si>
  <si>
    <r>
      <rPr>
        <rFont val="Fira Sans Extra Condensed"/>
        <color theme="1"/>
        <sz val="10.0"/>
      </rPr>
      <t xml:space="preserve">Búsqueda avanzada de esquema de firmas con </t>
    </r>
    <r>
      <rPr>
        <rFont val="Fira Sans Extra Condensed"/>
        <b/>
        <color theme="1"/>
        <sz val="10.0"/>
      </rPr>
      <t>usuario Maestro</t>
    </r>
  </si>
  <si>
    <r>
      <rPr>
        <rFont val="Fira Sans Extra Condensed"/>
        <color theme="1"/>
        <sz val="10.0"/>
      </rPr>
      <t xml:space="preserve">En la parte inferior de la pantalla de búsqueda debe mostrar las siguientes opciones:
</t>
    </r>
    <r>
      <rPr>
        <rFont val="Fira Sans Extra Condensed"/>
        <b/>
        <color theme="1"/>
        <sz val="10.0"/>
      </rPr>
      <t>Botón “Borrar":</t>
    </r>
    <r>
      <rPr>
        <rFont val="Fira Sans Extra Condensed"/>
        <color theme="1"/>
        <sz val="10.0"/>
      </rPr>
      <t xml:space="preserve"> al dar clic debe eliminar los filtros de búsqueda ingresados por el usuario. 
</t>
    </r>
    <r>
      <rPr>
        <rFont val="Fira Sans Extra Condensed"/>
        <b/>
        <color theme="1"/>
        <sz val="10.0"/>
      </rPr>
      <t xml:space="preserve">Botón “Aplicar”: </t>
    </r>
    <r>
      <rPr>
        <rFont val="Fira Sans Extra Condensed"/>
        <color theme="1"/>
        <sz val="10.0"/>
      </rPr>
      <t xml:space="preserve">Al dar clic el canal actualiza la pantalla donde muestra los usuarios, mostrando como resultado únicamente los que cumplan con los criterios buscados,  en caso que el usuario requiera  seleccionar o eliminar alguna selección la podrá aplicar la novedad de manera manual. 
- En la parte superior del resultado se debe mostrar el nombre del filtro aplicado y una opción en el mismo texto que permita “eliminar” el filtro. 
- Adicional se debe habilitar el elemento de “borrar filtros” al dar clic elimina todos los filtros aplicados. </t>
    </r>
  </si>
  <si>
    <r>
      <rPr>
        <rFont val="Fira Sans Extra Condensed"/>
        <color theme="1"/>
        <sz val="10.0"/>
      </rPr>
      <t xml:space="preserve">Búsqueda avanzada de esquema de firmas con </t>
    </r>
    <r>
      <rPr>
        <rFont val="Fira Sans Extra Condensed"/>
        <b/>
        <color theme="1"/>
        <sz val="10.0"/>
      </rPr>
      <t>usuario Maestro</t>
    </r>
  </si>
  <si>
    <r>
      <rPr>
        <rFont val="Fira Sans Extra Condensed"/>
        <color theme="1"/>
        <sz val="10.0"/>
      </rPr>
      <t xml:space="preserve">Descarga de esquema de firmas con </t>
    </r>
    <r>
      <rPr>
        <rFont val="Fira Sans Extra Condensed"/>
        <b/>
        <color theme="1"/>
        <sz val="10.0"/>
      </rPr>
      <t>usuario Maestro</t>
    </r>
  </si>
  <si>
    <r>
      <rPr>
        <rFont val="Fira Sans Extra Condensed"/>
        <color theme="1"/>
        <sz val="10.0"/>
      </rPr>
      <t xml:space="preserve">El usuario al dar clic actualiza la pantalla y el canal muestra lo siguiente:
</t>
    </r>
    <r>
      <rPr>
        <rFont val="Fira Sans Extra Condensed"/>
        <b/>
        <color theme="1"/>
        <sz val="10.0"/>
      </rPr>
      <t xml:space="preserve">Titulo: </t>
    </r>
    <r>
      <rPr>
        <rFont val="Fira Sans Extra Condensed"/>
        <color theme="1"/>
        <sz val="10.0"/>
      </rPr>
      <t xml:space="preserve">Descargar Reporte
</t>
    </r>
    <r>
      <rPr>
        <rFont val="Fira Sans Extra Condensed"/>
        <b/>
        <color theme="1"/>
        <sz val="10.0"/>
      </rPr>
      <t>elemento de cerrar.</t>
    </r>
    <r>
      <rPr>
        <rFont val="Fira Sans Extra Condensed"/>
        <color theme="1"/>
        <sz val="10.0"/>
      </rPr>
      <t xml:space="preserve">
</t>
    </r>
    <r>
      <rPr>
        <rFont val="Fira Sans Extra Condensed"/>
        <b/>
        <color theme="1"/>
        <sz val="10.0"/>
      </rPr>
      <t>Descripción:</t>
    </r>
    <r>
      <rPr>
        <rFont val="Fira Sans Extra Condensed"/>
        <color theme="1"/>
        <sz val="10.0"/>
      </rPr>
      <t xml:space="preserve"> Si la descarga no se da de inmediato le enviaremos el archivo al buzón.
</t>
    </r>
    <r>
      <rPr>
        <rFont val="Fira Sans Extra Condensed"/>
        <b/>
        <color theme="1"/>
        <sz val="10.0"/>
      </rPr>
      <t xml:space="preserve">Texto: </t>
    </r>
    <r>
      <rPr>
        <rFont val="Fira Sans Extra Condensed"/>
        <color theme="1"/>
        <sz val="10.0"/>
      </rPr>
      <t xml:space="preserve">Elija el formato 
</t>
    </r>
    <r>
      <rPr>
        <rFont val="Fira Sans Extra Condensed"/>
        <b/>
        <color theme="1"/>
        <sz val="10.0"/>
      </rPr>
      <t xml:space="preserve">Excel  (.xlsx) 
PDF    (.pdf)
</t>
    </r>
    <r>
      <rPr>
        <rFont val="Fira Sans Extra Condensed"/>
        <color theme="1"/>
        <sz val="10.0"/>
      </rPr>
      <t xml:space="preserve">
</t>
    </r>
    <r>
      <rPr>
        <rFont val="Fira Sans Extra Condensed"/>
        <b/>
        <color theme="1"/>
        <sz val="10.0"/>
      </rPr>
      <t>Una vez el cliente seleccione un formato se habilita el botón de “Descargar”.</t>
    </r>
    <r>
      <rPr>
        <rFont val="Fira Sans Extra Condensed"/>
        <color theme="1"/>
        <sz val="10.0"/>
      </rPr>
      <t xml:space="preserve">
- La información descargada debe coincidir si fue aplicado un filtro. 
- El archivo descargado debe contener la información del total de resultados de todas las páginas que se muestran en el resultado. </t>
    </r>
  </si>
  <si>
    <r>
      <rPr>
        <rFont val="Fira Sans Extra Condensed"/>
        <color theme="1"/>
        <sz val="10.0"/>
      </rPr>
      <t xml:space="preserve">Descarga de esquema de firmas con </t>
    </r>
    <r>
      <rPr>
        <rFont val="Fira Sans Extra Condensed"/>
        <b/>
        <color theme="1"/>
        <sz val="10.0"/>
      </rPr>
      <t>usuario Maestro</t>
    </r>
  </si>
  <si>
    <r>
      <rPr>
        <rFont val="Fira Sans Extra Condensed"/>
        <b/>
        <color theme="1"/>
        <sz val="10.0"/>
      </rPr>
      <t xml:space="preserve">En el formato en PDF en canal debe mostrar:
</t>
    </r>
    <r>
      <rPr>
        <rFont val="Fira Sans Extra Condensed"/>
        <color theme="1"/>
        <sz val="10.0"/>
      </rPr>
      <t xml:space="preserve">
</t>
    </r>
    <r>
      <rPr>
        <rFont val="Fira Sans Extra Condensed"/>
        <b/>
        <color theme="1"/>
        <sz val="10.0"/>
      </rPr>
      <t>Nombre del banco en la parte superior</t>
    </r>
    <r>
      <rPr>
        <rFont val="Fira Sans Extra Condensed"/>
        <color theme="1"/>
        <sz val="10.0"/>
      </rPr>
      <t xml:space="preserve">
</t>
    </r>
    <r>
      <rPr>
        <rFont val="Fira Sans Extra Condensed"/>
        <b/>
        <color theme="1"/>
        <sz val="10.0"/>
      </rPr>
      <t>Fecha y hora descarga</t>
    </r>
    <r>
      <rPr>
        <rFont val="Fira Sans Extra Condensed"/>
        <color theme="1"/>
        <sz val="10.0"/>
      </rPr>
      <t xml:space="preserve"> en formato dd-mm-aaaa hh:mm am-pm
</t>
    </r>
    <r>
      <rPr>
        <rFont val="Fira Sans Extra Condensed"/>
        <b/>
        <color theme="1"/>
        <sz val="10.0"/>
      </rPr>
      <t>Título</t>
    </r>
    <r>
      <rPr>
        <rFont val="Fira Sans Extra Condensed"/>
        <color theme="1"/>
        <sz val="10.0"/>
      </rPr>
      <t xml:space="preserve">: Esquemas de Firma
</t>
    </r>
    <r>
      <rPr>
        <rFont val="Fira Sans Extra Condensed"/>
        <b/>
        <color theme="1"/>
        <sz val="10.0"/>
      </rPr>
      <t xml:space="preserve">Resultado:  </t>
    </r>
    <r>
      <rPr>
        <rFont val="Fira Sans Extra Condensed"/>
        <color theme="1"/>
        <sz val="10.0"/>
      </rPr>
      <t xml:space="preserve">contenido de la consulta en la parte inferior de manera ordenada y clara mostrando por registro la fecha de creación, nombre del esquema completo y estado del mismo. </t>
    </r>
  </si>
  <si>
    <r>
      <rPr>
        <rFont val="Fira Sans Extra Condensed"/>
        <color theme="1"/>
        <sz val="10.0"/>
      </rPr>
      <t xml:space="preserve">Descarga de esquema de firmas con </t>
    </r>
    <r>
      <rPr>
        <rFont val="Fira Sans Extra Condensed"/>
        <b/>
        <color theme="1"/>
        <sz val="10.0"/>
      </rPr>
      <t>usuario Maestro</t>
    </r>
  </si>
  <si>
    <r>
      <rPr>
        <rFont val="Fira Sans Extra Condensed"/>
        <b/>
        <color theme="1"/>
        <sz val="10.0"/>
      </rPr>
      <t>Mensajería:</t>
    </r>
    <r>
      <rPr>
        <rFont val="Fira Sans Extra Condensed"/>
        <color theme="1"/>
        <sz val="10.0"/>
      </rPr>
      <t xml:space="preserve">
- Si la descarga se realiza de manera satisfactoria actualiza la pantalla e informa en la parte superior “Descarga exitosa”
- Si la generación del reporte no se puede realizar en línea por el tamaño se debe mostrar el siguiente modal: “El reporte se enviará al buzón de notificaciones del módulo regional.”
- En caso que la descarga no se pueda generar por algún error se debe presentar mensaje: “Descarga fallida. Intente más tarde”  
- Si el usuario requiere realizar una descarga masiva debe seleccionar primero los checkbox y cuando tenga seleccionado al menos un registro el canal habilita la opción de “descargar selección”</t>
    </r>
  </si>
  <si>
    <r>
      <rPr>
        <rFont val="Fira Sans Extra Condensed"/>
        <color theme="1"/>
        <sz val="10.0"/>
      </rPr>
      <t xml:space="preserve">Ver detalle de esquema de firmas con </t>
    </r>
    <r>
      <rPr>
        <rFont val="Fira Sans Extra Condensed"/>
        <b/>
        <color theme="1"/>
        <sz val="10.0"/>
      </rPr>
      <t>usuario Maestro</t>
    </r>
  </si>
  <si>
    <r>
      <rPr>
        <rFont val="Fira Sans Extra Condensed"/>
        <b/>
        <color theme="1"/>
        <sz val="10.0"/>
      </rPr>
      <t>Ver Detalle Esquema de Firma</t>
    </r>
    <r>
      <rPr>
        <rFont val="Fira Sans Extra Condensed"/>
        <color theme="1"/>
        <sz val="10.0"/>
      </rPr>
      <t xml:space="preserve">:
Al dar clic sobre el registro en la consulta de esquemas de firmas permite tener la misma visual de cómo fue creado el esquema, la información que se visualiza será: 
</t>
    </r>
    <r>
      <rPr>
        <rFont val="Fira Sans Extra Condensed"/>
        <b/>
        <color theme="1"/>
        <sz val="10.0"/>
      </rPr>
      <t>Título header:</t>
    </r>
    <r>
      <rPr>
        <rFont val="Fira Sans Extra Condensed"/>
        <color theme="1"/>
        <sz val="10.0"/>
      </rPr>
      <t xml:space="preserve"> Detalle del esquema de firmas
</t>
    </r>
    <r>
      <rPr>
        <rFont val="Fira Sans Extra Condensed"/>
        <b/>
        <color theme="1"/>
        <sz val="10.0"/>
      </rPr>
      <t>Elemento para regresar</t>
    </r>
    <r>
      <rPr>
        <rFont val="Fira Sans Extra Condensed"/>
        <color theme="1"/>
        <sz val="10.0"/>
      </rPr>
      <t xml:space="preserve">
</t>
    </r>
    <r>
      <rPr>
        <rFont val="Fira Sans Extra Condensed"/>
        <b/>
        <color theme="1"/>
        <sz val="10.0"/>
      </rPr>
      <t xml:space="preserve">Elementos para: </t>
    </r>
    <r>
      <rPr>
        <rFont val="Fira Sans Extra Condensed"/>
        <color theme="1"/>
        <sz val="10.0"/>
      </rPr>
      <t xml:space="preserve">Editar / Eliminar / Descargar
</t>
    </r>
    <r>
      <rPr>
        <rFont val="Fira Sans Extra Condensed"/>
        <b/>
        <color theme="1"/>
        <sz val="10.0"/>
      </rPr>
      <t>Nombre del esquema:</t>
    </r>
    <r>
      <rPr>
        <rFont val="Fira Sans Extra Condensed"/>
        <color theme="1"/>
        <sz val="10.0"/>
      </rPr>
      <t xml:space="preserve"> Se muestra el nombre tal cual cómo fue creado.
</t>
    </r>
    <r>
      <rPr>
        <rFont val="Fira Sans Extra Condensed"/>
        <b/>
        <color theme="1"/>
        <sz val="10.0"/>
      </rPr>
      <t>Tipo de esquema: S</t>
    </r>
    <r>
      <rPr>
        <rFont val="Fira Sans Extra Condensed"/>
        <color theme="1"/>
        <sz val="10.0"/>
      </rPr>
      <t xml:space="preserve">e debe mostrar el nombre del esquema seleccionado.
</t>
    </r>
    <r>
      <rPr>
        <rFont val="Fira Sans Extra Condensed"/>
        <b/>
        <color theme="1"/>
        <sz val="10.0"/>
      </rPr>
      <t>Niveles de Aprobación:</t>
    </r>
    <r>
      <rPr>
        <rFont val="Fira Sans Extra Condensed"/>
        <color theme="1"/>
        <sz val="10.0"/>
      </rPr>
      <t xml:space="preserve"> Se debe mostrar en pantalla únicamente las opciones que asignó el usuario en la creación del esquema de firma, mostrando la información por nivel así: 
     - </t>
    </r>
    <r>
      <rPr>
        <rFont val="Fira Sans Extra Condensed"/>
        <b/>
        <color theme="1"/>
        <sz val="10.0"/>
      </rPr>
      <t xml:space="preserve">Nombre nivel: </t>
    </r>
    <r>
      <rPr>
        <rFont val="Fira Sans Extra Condensed"/>
        <color theme="1"/>
        <sz val="10.0"/>
      </rPr>
      <t xml:space="preserve">ejemplo “Nivel 1 / Nivel 2”
     - </t>
    </r>
    <r>
      <rPr>
        <rFont val="Fira Sans Extra Condensed"/>
        <b/>
        <color theme="1"/>
        <sz val="10.0"/>
      </rPr>
      <t>Autorizadores</t>
    </r>
    <r>
      <rPr>
        <rFont val="Fira Sans Extra Condensed"/>
        <color theme="1"/>
        <sz val="10.0"/>
      </rPr>
      <t xml:space="preserve">: Número de los usuarios que lo conforman. si lo despliega muestra el nombre de los usuarios
     - </t>
    </r>
    <r>
      <rPr>
        <rFont val="Fira Sans Extra Condensed"/>
        <b/>
        <color theme="1"/>
        <sz val="10.0"/>
      </rPr>
      <t>Autorizadores requeridos</t>
    </r>
    <r>
      <rPr>
        <rFont val="Fira Sans Extra Condensed"/>
        <color theme="1"/>
        <sz val="10.0"/>
      </rPr>
      <t>: Número seleccionado para el nivel en la creación.</t>
    </r>
  </si>
  <si>
    <r>
      <rPr>
        <rFont val="Fira Sans Extra Condensed"/>
        <color theme="1"/>
        <sz val="10.0"/>
      </rPr>
      <t xml:space="preserve">Ver detalle de esquema de firmas con </t>
    </r>
    <r>
      <rPr>
        <rFont val="Fira Sans Extra Condensed"/>
        <b/>
        <color theme="1"/>
        <sz val="10.0"/>
      </rPr>
      <t>usuario Maestro</t>
    </r>
  </si>
  <si>
    <r>
      <rPr>
        <rFont val="Fira Sans Extra Condensed"/>
        <b/>
        <color theme="1"/>
        <sz val="10.0"/>
      </rPr>
      <t xml:space="preserve">Transacciones y Límites: </t>
    </r>
    <r>
      <rPr>
        <rFont val="Fira Sans Extra Condensed"/>
        <color theme="1"/>
        <sz val="10.0"/>
      </rPr>
      <t xml:space="preserve">Aquí se debe mostrar las funcionalidades transaccionales del grupo regional, teniendo en cuenta que el MVP únicamente tiene la funcionalidad de “transferencias regionales” y de destinos autorizados, se mostrará las opciones cómo fue creado junto con los límites máximos registrados:
</t>
    </r>
    <r>
      <rPr>
        <rFont val="Fira Sans Extra Condensed"/>
        <b/>
        <color theme="1"/>
        <sz val="10.0"/>
      </rPr>
      <t xml:space="preserve">   - Transferencias regionales a cuentas propias.
   - Transferencias regionales a terceros.
   - Destinos autorizados.</t>
    </r>
  </si>
  <si>
    <r>
      <rPr>
        <rFont val="Fira Sans Extra Condensed"/>
        <color theme="1"/>
        <sz val="10.0"/>
      </rPr>
      <t xml:space="preserve">Ver detalle de esquema de firmas con </t>
    </r>
    <r>
      <rPr>
        <rFont val="Fira Sans Extra Condensed"/>
        <b/>
        <color theme="1"/>
        <sz val="10.0"/>
      </rPr>
      <t>usuario Maestro</t>
    </r>
  </si>
  <si>
    <r>
      <rPr>
        <rFont val="Fira Sans Extra Condensed"/>
        <b/>
        <color theme="1"/>
        <sz val="10.0"/>
      </rPr>
      <t>Grupo de Productos:</t>
    </r>
    <r>
      <rPr>
        <rFont val="Fira Sans Extra Condensed"/>
        <color theme="1"/>
        <sz val="10.0"/>
      </rPr>
      <t xml:space="preserve"> Se debe mostrar resumen general de los grupos de productos seleccionados en el paso anterior. Si la opción está desplegada da más detalle de cada uno.
</t>
    </r>
    <r>
      <rPr>
        <rFont val="Fira Sans Extra Condensed"/>
        <b/>
        <color theme="1"/>
        <sz val="10.0"/>
      </rPr>
      <t xml:space="preserve"> - Número de grupos
 - Países
 - Empresas
 - Productos</t>
    </r>
  </si>
  <si>
    <r>
      <rPr>
        <rFont val="Fira Sans Extra Condensed"/>
        <color theme="1"/>
        <sz val="10.0"/>
      </rPr>
      <t xml:space="preserve">Ver detalle de esquema de firmas con </t>
    </r>
    <r>
      <rPr>
        <rFont val="Fira Sans Extra Condensed"/>
        <b/>
        <color theme="1"/>
        <sz val="10.0"/>
      </rPr>
      <t>usuario Maestro</t>
    </r>
  </si>
  <si>
    <r>
      <rPr>
        <rFont val="Fira Sans Extra Condensed"/>
        <b/>
        <color theme="1"/>
        <sz val="10.0"/>
      </rPr>
      <t xml:space="preserve">Opciones en Pantalla: </t>
    </r>
    <r>
      <rPr>
        <rFont val="Fira Sans Extra Condensed"/>
        <color theme="1"/>
        <sz val="10.0"/>
      </rPr>
      <t xml:space="preserve">
</t>
    </r>
    <r>
      <rPr>
        <rFont val="Fira Sans Extra Condensed"/>
        <b/>
        <color theme="1"/>
        <sz val="10.0"/>
      </rPr>
      <t>-   Regresar:</t>
    </r>
    <r>
      <rPr>
        <rFont val="Fira Sans Extra Condensed"/>
        <color theme="1"/>
        <sz val="10.0"/>
      </rPr>
      <t xml:space="preserve"> Al dar clic lleva al usuario a la pantalla anterior.
</t>
    </r>
    <r>
      <rPr>
        <rFont val="Fira Sans Extra Condensed"/>
        <b/>
        <color theme="1"/>
        <sz val="10.0"/>
      </rPr>
      <t>-  Descargar:</t>
    </r>
    <r>
      <rPr>
        <rFont val="Fira Sans Extra Condensed"/>
        <color theme="1"/>
        <sz val="10.0"/>
      </rPr>
      <t xml:space="preserve"> Debe existir un elemento que le permita al usuario realizar la descarga del esquema, el usuario al dar clic actualiza la pantalla y el canal muestra:
</t>
    </r>
    <r>
      <rPr>
        <rFont val="Fira Sans Extra Condensed"/>
        <b/>
        <color theme="1"/>
        <sz val="10.0"/>
      </rPr>
      <t xml:space="preserve">Titulo: </t>
    </r>
    <r>
      <rPr>
        <rFont val="Fira Sans Extra Condensed"/>
        <color theme="1"/>
        <sz val="10.0"/>
      </rPr>
      <t xml:space="preserve">Descargar reporte
</t>
    </r>
    <r>
      <rPr>
        <rFont val="Fira Sans Extra Condensed"/>
        <b/>
        <color theme="1"/>
        <sz val="10.0"/>
      </rPr>
      <t>elemento de cerrar.</t>
    </r>
    <r>
      <rPr>
        <rFont val="Fira Sans Extra Condensed"/>
        <color theme="1"/>
        <sz val="10.0"/>
      </rPr>
      <t xml:space="preserve">
</t>
    </r>
    <r>
      <rPr>
        <rFont val="Fira Sans Extra Condensed"/>
        <b/>
        <color theme="1"/>
        <sz val="10.0"/>
      </rPr>
      <t>Descripción:</t>
    </r>
    <r>
      <rPr>
        <rFont val="Fira Sans Extra Condensed"/>
        <color theme="1"/>
        <sz val="10.0"/>
      </rPr>
      <t xml:space="preserve"> Si la descarga no se da de inmediato le enviaremos el archivo al buzón.
</t>
    </r>
    <r>
      <rPr>
        <rFont val="Fira Sans Extra Condensed"/>
        <b/>
        <color theme="1"/>
        <sz val="10.0"/>
      </rPr>
      <t>Texto: Elija el formato 
PDF    (.pdf)</t>
    </r>
    <r>
      <rPr>
        <rFont val="Fira Sans Extra Condensed"/>
        <color theme="1"/>
        <sz val="10.0"/>
      </rPr>
      <t xml:space="preserve">
</t>
    </r>
    <r>
      <rPr>
        <rFont val="Fira Sans Extra Condensed"/>
        <b/>
        <color theme="1"/>
        <sz val="10.0"/>
      </rPr>
      <t xml:space="preserve">
Una vez el cliente seleccione un formato se habilita el botón de “Descargar”.</t>
    </r>
    <r>
      <rPr>
        <rFont val="Fira Sans Extra Condensed"/>
        <color theme="1"/>
        <sz val="10.0"/>
      </rPr>
      <t xml:space="preserve">
- La información descargada debe coincidir si fue aplicado un filtro. 
- El archivo descargado debe contener la información del total de resultados de todas las páginas que se muestran en el resultado. </t>
    </r>
  </si>
  <si>
    <r>
      <rPr>
        <rFont val="Fira Sans Extra Condensed"/>
        <color theme="1"/>
        <sz val="10.0"/>
      </rPr>
      <t xml:space="preserve">Ver detalle de esquema de firmas con </t>
    </r>
    <r>
      <rPr>
        <rFont val="Fira Sans Extra Condensed"/>
        <b/>
        <color theme="1"/>
        <sz val="10.0"/>
      </rPr>
      <t>usuario Maestro</t>
    </r>
  </si>
  <si>
    <r>
      <rPr>
        <rFont val="Fira Sans Extra Condensed"/>
        <b/>
        <color theme="1"/>
        <sz val="10.0"/>
      </rPr>
      <t>En el formato en PDF en canal debe mostrar:</t>
    </r>
    <r>
      <rPr>
        <rFont val="Fira Sans Extra Condensed"/>
        <color theme="1"/>
        <sz val="10.0"/>
      </rPr>
      <t xml:space="preserve">
</t>
    </r>
    <r>
      <rPr>
        <rFont val="Fira Sans Extra Condensed"/>
        <b/>
        <color theme="1"/>
        <sz val="10.0"/>
      </rPr>
      <t>Nombre del banco en la parte superior
Fecha y hora de la descarga</t>
    </r>
    <r>
      <rPr>
        <rFont val="Fira Sans Extra Condensed"/>
        <color theme="1"/>
        <sz val="10.0"/>
      </rPr>
      <t xml:space="preserve"> en formato dd-mm-aaaa hh:mm am-pm
</t>
    </r>
    <r>
      <rPr>
        <rFont val="Fira Sans Extra Condensed"/>
        <b/>
        <color theme="1"/>
        <sz val="10.0"/>
      </rPr>
      <t>Título</t>
    </r>
    <r>
      <rPr>
        <rFont val="Fira Sans Extra Condensed"/>
        <color theme="1"/>
        <sz val="10.0"/>
      </rPr>
      <t xml:space="preserve">: Detalle del esquema de firma
</t>
    </r>
    <r>
      <rPr>
        <rFont val="Fira Sans Extra Condensed"/>
        <b/>
        <color theme="1"/>
        <sz val="10.0"/>
      </rPr>
      <t>Resultado:</t>
    </r>
    <r>
      <rPr>
        <rFont val="Fira Sans Extra Condensed"/>
        <color theme="1"/>
        <sz val="10.0"/>
      </rPr>
      <t xml:space="preserve"> Contenido de la consulta en la parte inferior de manera ordenada y clara con toda la información del esquema, nombre del esquema, tipo, niveles, aprobación directa (si aplica) transacciones y límites y grupos de </t>
    </r>
    <r>
      <rPr>
        <rFont val="Fira Sans Extra Condensed"/>
        <b/>
        <color theme="1"/>
        <sz val="10.0"/>
      </rPr>
      <t xml:space="preserve">productos </t>
    </r>
    <r>
      <rPr>
        <rFont val="Fira Sans Extra Condensed"/>
        <color theme="1"/>
        <sz val="10.0"/>
      </rPr>
      <t xml:space="preserve">(Cantidad de grupos, países, empresas y tipo de productos)
</t>
    </r>
    <r>
      <rPr>
        <rFont val="Fira Sans Extra Condensed"/>
        <b/>
        <color theme="1"/>
        <sz val="10.0"/>
      </rPr>
      <t>Mensajería:</t>
    </r>
    <r>
      <rPr>
        <rFont val="Fira Sans Extra Condensed"/>
        <color theme="1"/>
        <sz val="10.0"/>
      </rPr>
      <t xml:space="preserve">
- Si la descarga se realiza de manera satisfactoria actualiza la pantalla e informa en la parte superior “Descarga exitosa”
- Si la generación del reporte no se puede realizar en línea por el tamaño se debe mostrar el siguiente modal: “El reporte se enviará al buzón de notificaciones del módulo regional.”
- En caso que la descarga no se pueda generar por algún error se debe presentar mensaje: “Descarga fallida. Intente más tarde”  
- Si el usuario requiere realizar una descarga masiva debe seleccionar primero los checkbox y cuando tenga seleccionado al menos un registro el canal habilita la opción de “descargar selección”</t>
    </r>
  </si>
  <si>
    <r>
      <rPr>
        <rFont val="Fira Sans Extra Condensed"/>
        <color theme="1"/>
        <sz val="10.0"/>
      </rPr>
      <t xml:space="preserve">Mensaje de inconsistencia en esquema de firmas con </t>
    </r>
    <r>
      <rPr>
        <rFont val="Fira Sans Extra Condensed"/>
        <b/>
        <color theme="1"/>
        <sz val="10.0"/>
      </rPr>
      <t>usuario Maestro</t>
    </r>
  </si>
  <si>
    <r>
      <rPr>
        <rFont val="Fira Sans Extra Condensed"/>
        <color theme="1"/>
        <sz val="10.0"/>
      </rPr>
      <t xml:space="preserve">Mensaje de inconsistencia en esquema de firmas con </t>
    </r>
    <r>
      <rPr>
        <rFont val="Fira Sans Extra Condensed"/>
        <b/>
        <color theme="1"/>
        <sz val="10.0"/>
      </rPr>
      <t>usuario Maestro</t>
    </r>
  </si>
  <si>
    <r>
      <rPr>
        <rFont val="Fira Sans Extra Condensed"/>
        <b/>
        <color theme="1"/>
        <sz val="10.0"/>
      </rPr>
      <t>Razones por las que un esquema puede presentar inconsistencia:
Inconsistencia eliminación de usuario requerido</t>
    </r>
    <r>
      <rPr>
        <rFont val="Fira Sans Extra Condensed"/>
        <color theme="1"/>
        <sz val="10.0"/>
      </rPr>
      <t xml:space="preserve">: En un esquema de firma donde se elimina un usuario que se encontraba ligado a un nivel de autorización y afecta la lógica del número de “autorizadores requeridos” debe generar una alerta visual, ejemplo: El grupo regional tiene un esquema de firma con un Nivel de autorización y tiene dos usuarios por nivel y dos firmas requeridas por nivel, en caso que elimine un usuario que esté ligado al nivel de autorización teniendo en cuenta que el esquema queda incompleto. 
</t>
    </r>
    <r>
      <rPr>
        <rFont val="Fira Sans Extra Condensed"/>
        <b/>
        <color theme="1"/>
        <sz val="10.0"/>
      </rPr>
      <t>Debe tener el icono de alerta, y se visualizará mensaje:</t>
    </r>
    <r>
      <rPr>
        <rFont val="Fira Sans Extra Condensed"/>
        <color theme="1"/>
        <sz val="10.0"/>
      </rPr>
      <t xml:space="preserve"> “Inconsistencia: un usuario fue eliminado del nivel de aprobación” adicional desde el nivel debe informar “usuario eliminado” lo anterior con el objetivo que le permita a  el usuario Administrador  visualizar desde la consulta general la inconsistencia y editar la misma para ajustarla.
Al dar clic para desplegar las opciones del Nivel debe visualizar los nombres de los usuarios e informa cuál de los registros fue eliminado. con el objetivo que le permita visualizar y editar la información. </t>
    </r>
  </si>
  <si>
    <r>
      <rPr>
        <rFont val="Fira Sans Extra Condensed"/>
        <color theme="1"/>
        <sz val="10.0"/>
      </rPr>
      <t xml:space="preserve">Mensaje de inconsistencia en esquema de firmas con </t>
    </r>
    <r>
      <rPr>
        <rFont val="Fira Sans Extra Condensed"/>
        <b/>
        <color theme="1"/>
        <sz val="10.0"/>
      </rPr>
      <t>usuario Maestro</t>
    </r>
  </si>
  <si>
    <r>
      <rPr>
        <rFont val="Fira Sans Extra Condensed"/>
        <b/>
        <color theme="1"/>
        <sz val="10.0"/>
      </rPr>
      <t>Inconsistencia eliminación de Grupo de producto requerido</t>
    </r>
    <r>
      <rPr>
        <rFont val="Fira Sans Extra Condensed"/>
        <color theme="1"/>
        <sz val="10.0"/>
      </rPr>
      <t xml:space="preserve">: En un esquema de firma donde se eliminan todos o el único grupo de productos que tiene ligado el esquema de firma y tiene al menos una funcionalidad transaccional, se debe generar un icono de alerta en la consulta general para indicar al administrador que el esquema tiene una inconsistencia, ejemplo: a un esquema de firma creado posterior eliminan el único un “grupo de productos” que se encontraba asociado al esquema, y tiene funcionalidades asignadas en las que se requiere tener definido los “grupos de productos” debe generar la alerta visual en el detalle. 
</t>
    </r>
    <r>
      <rPr>
        <rFont val="Fira Sans Extra Condensed"/>
        <b/>
        <color theme="1"/>
        <sz val="10.0"/>
      </rPr>
      <t>Presentar mensaje: “Inconsistencia: Se eliminaron grupos de productos del esquema”</t>
    </r>
    <r>
      <rPr>
        <rFont val="Fira Sans Extra Condensed"/>
        <color theme="1"/>
        <sz val="10.0"/>
      </rPr>
      <t xml:space="preserve"> adicional debe generar una alerta en la parte de “grupos de productos” de esta forma permite al usuario Administrador visualizar y obtener detalle desde la consulta acerca de la inconsistencia y editar la misma. Adicional si el usuario despliega el detalle le permite ver el nombre del grupo de productos eliminado</t>
    </r>
  </si>
  <si>
    <r>
      <rPr>
        <rFont val="Fira Sans Extra Condensed"/>
        <color theme="1"/>
        <sz val="10.0"/>
      </rPr>
      <t xml:space="preserve">Mensaje de inconsistencia en esquema de firmas con </t>
    </r>
    <r>
      <rPr>
        <rFont val="Fira Sans Extra Condensed"/>
        <b/>
        <color theme="1"/>
        <sz val="10.0"/>
      </rPr>
      <t>usuario Maestro</t>
    </r>
  </si>
  <si>
    <r>
      <rPr>
        <rFont val="Fira Sans Extra Condensed"/>
        <b/>
        <color theme="1"/>
        <sz val="10.0"/>
      </rPr>
      <t>Inconsistencia eliminación de Grupo de producto y Usuario requerido:</t>
    </r>
    <r>
      <rPr>
        <rFont val="Fira Sans Extra Condensed"/>
        <color theme="1"/>
        <sz val="10.0"/>
      </rPr>
      <t xml:space="preserve"> En un esquema de firma donde se elimina el único o todos los grupo de productos y un usuario que afecta el número de “autorizadores requeridos” se debe generar un icono de alerta en la consulta general para indicar al usuario que el esquema tiene inconsistencias. Al ingresar al detalle del esquema de firma creado el usuario visualizará dónde se encuentran las inconsistencias sobre la sección de usuarios y esquemas de firmas.
</t>
    </r>
    <r>
      <rPr>
        <rFont val="Fira Sans Extra Condensed"/>
        <b/>
        <color theme="1"/>
        <sz val="10.0"/>
      </rPr>
      <t xml:space="preserve">Mensaje de alerta: “Inconsistencia: </t>
    </r>
    <r>
      <rPr>
        <rFont val="Fira Sans Extra Condensed"/>
        <color theme="1"/>
        <sz val="10.0"/>
      </rPr>
      <t>Se eliminaron usuarios del nivel de aprobación y grupos de productos del esquema” adicional debe generar una alerta visual en la parte de “Niveles” y  “grupos de productos” de esta forma permite al usuario Administrador visualizar y obtener detalle desde la consulta acerca de la inconsistencia y editar la misma. Adicional si el usuario despliega el detalle le permite ver el nombre del grupo de productos eliminado y el nombre de los usuarios eliminados.</t>
    </r>
  </si>
  <si>
    <r>
      <rPr>
        <rFont val="Fira Sans Extra Condensed"/>
        <color theme="1"/>
        <sz val="10.0"/>
      </rPr>
      <t xml:space="preserve">Modificación a esquema de firmas con </t>
    </r>
    <r>
      <rPr>
        <rFont val="Fira Sans Extra Condensed"/>
        <b/>
        <color theme="1"/>
        <sz val="10.0"/>
      </rPr>
      <t>usuario Maestro</t>
    </r>
  </si>
  <si>
    <r>
      <rPr>
        <rFont val="Fira Sans Extra Condensed"/>
        <color theme="1"/>
        <sz val="10.0"/>
      </rPr>
      <t xml:space="preserve">Modificación a esquema de firmas con </t>
    </r>
    <r>
      <rPr>
        <rFont val="Fira Sans Extra Condensed"/>
        <b/>
        <color theme="1"/>
        <sz val="10.0"/>
      </rPr>
      <t>usuario Maestro</t>
    </r>
  </si>
  <si>
    <r>
      <rPr>
        <rFont val="Fira Sans Extra Condensed"/>
        <color theme="1"/>
        <sz val="10.0"/>
      </rPr>
      <t xml:space="preserve">Eliminación a esquema de firmas </t>
    </r>
    <r>
      <rPr>
        <rFont val="Fira Sans Extra Condensed"/>
        <b/>
        <color theme="1"/>
        <sz val="10.0"/>
      </rPr>
      <t>usuario Maestro</t>
    </r>
  </si>
  <si>
    <t>La eliminación de los esquemas de firmas desde Canal será de forma individual</t>
  </si>
  <si>
    <t>Gestión con estado pendiente de autorización si el esquema es DUAL.
- Se aprobará el cambio de forma exitosa si el esquema administrativo es único</t>
  </si>
  <si>
    <r>
      <rPr>
        <rFont val="Fira Sans Extra Condensed"/>
        <color theme="1"/>
        <sz val="10.0"/>
      </rPr>
      <t xml:space="preserve">Eliminación a esquema de firmas </t>
    </r>
    <r>
      <rPr>
        <rFont val="Fira Sans Extra Condensed"/>
        <b/>
        <color theme="1"/>
        <sz val="10.0"/>
      </rPr>
      <t>usuario Maestro</t>
    </r>
  </si>
  <si>
    <r>
      <rPr>
        <rFont val="Fira Sans Extra Condensed"/>
        <color theme="1"/>
        <sz val="10.0"/>
      </rPr>
      <t>Una vez el usuario de clic a “eliminar” debe actualizar un pop up así:</t>
    </r>
    <r>
      <rPr>
        <rFont val="Fira Sans Extra Condensed"/>
        <b/>
        <color theme="1"/>
        <sz val="10.0"/>
      </rPr>
      <t xml:space="preserve"> “¿Quiere eliminar el esquema de firmas?</t>
    </r>
    <r>
      <rPr>
        <rFont val="Fira Sans Extra Condensed"/>
        <color theme="1"/>
        <sz val="10.0"/>
      </rPr>
      <t xml:space="preserve">
Mostrar opciones de “volver” y “eliminar”.
Una vez de clic en “eliminar”  el canal debe validar si el grupo regional tiene administración única o dual, posterior se debe actualizar la pantalla y sobre poner una opción en donde a el usuario le permite ingresar el código de confirmación de Soft Token en caso que el usuario esté en CAM o Hard token si está en Colombia, este espacio únicamente debe permitir ingresar números, adicional debe tener un botón de “Cancelar”  y un botón de “Aprobar” una vez el usuario de clic debe validar el código ingresado y mostrará la siguiente mensajería según aplique de acuerdo a la H.U. Autorizaciones Transversal</t>
    </r>
  </si>
  <si>
    <r>
      <rPr>
        <rFont val="Fira Sans Extra Condensed"/>
        <color theme="1"/>
        <sz val="10.0"/>
      </rPr>
      <t xml:space="preserve">Eliminación a esquema de firmas </t>
    </r>
    <r>
      <rPr>
        <rFont val="Fira Sans Extra Condensed"/>
        <b/>
        <color theme="1"/>
        <sz val="10.0"/>
      </rPr>
      <t>usuario Maestro</t>
    </r>
  </si>
  <si>
    <r>
      <rPr>
        <rFont val="Fira Sans Extra Condensed"/>
        <b/>
        <color theme="1"/>
        <sz val="10.0"/>
      </rPr>
      <t xml:space="preserve">Resultado de la eliminación del esquema de firmas: </t>
    </r>
    <r>
      <rPr>
        <rFont val="Fira Sans Extra Condensed"/>
        <color theme="1"/>
        <sz val="10.0"/>
      </rPr>
      <t xml:space="preserve">La información que aquí se muestra dependerá del tipo de administración que tenga parametrizada el grupo Regional así:
</t>
    </r>
    <r>
      <rPr>
        <rFont val="Fira Sans Extra Condensed"/>
        <b/>
        <color theme="1"/>
        <sz val="10.0"/>
      </rPr>
      <t xml:space="preserve">Administración Sencilla:  </t>
    </r>
    <r>
      <rPr>
        <rFont val="Fira Sans Extra Condensed"/>
        <color theme="1"/>
        <sz val="10.0"/>
      </rPr>
      <t xml:space="preserve">Una vez aprobada la eliminación del esquema de firmas, en la parte superior  presentará el siguiente mensaje: “ Esquema eliminado exitosamente” y actualiza la pantalla de la consulta sin mostrar el grupo que acaba de ser eliminado. </t>
    </r>
  </si>
  <si>
    <r>
      <rPr>
        <rFont val="Fira Sans Extra Condensed"/>
        <color theme="1"/>
        <sz val="10.0"/>
      </rPr>
      <t xml:space="preserve">Eliminación a esquema de firmas </t>
    </r>
    <r>
      <rPr>
        <rFont val="Fira Sans Extra Condensed"/>
        <b/>
        <color theme="1"/>
        <sz val="10.0"/>
      </rPr>
      <t>usuario Maestro</t>
    </r>
  </si>
  <si>
    <r>
      <rPr>
        <rFont val="Fira Sans Extra Condensed"/>
        <b/>
        <color theme="1"/>
        <sz val="10.0"/>
      </rPr>
      <t xml:space="preserve">Administración Dual: </t>
    </r>
    <r>
      <rPr>
        <rFont val="Fira Sans Extra Condensed"/>
        <color theme="1"/>
        <sz val="10.0"/>
      </rPr>
      <t xml:space="preserve"> Una vez aprobada la eliminación del esquema de firma en la parte superior presentará el siguiente mensaje: “Pendiente autorización”, en la consulta el resultado debe continuar apareciendo y para finalizar el proceso eliminación el otro administrador deberá revisar y aprobar la solicitud por el módulo de autorizaciones, una vez aprobada no se debe visualizar por el módulo de consultas. 
</t>
    </r>
  </si>
  <si>
    <r>
      <rPr>
        <rFont val="Fira Sans Extra Condensed"/>
        <color theme="1"/>
        <sz val="10.0"/>
      </rPr>
      <t xml:space="preserve">Eliminación a esquema de firmas </t>
    </r>
    <r>
      <rPr>
        <rFont val="Fira Sans Extra Condensed"/>
        <b/>
        <color theme="1"/>
        <sz val="10.0"/>
      </rPr>
      <t>usuario Maestro</t>
    </r>
  </si>
  <si>
    <r>
      <rPr>
        <rFont val="Fira Sans Extra Condensed"/>
        <b/>
        <color theme="1"/>
        <sz val="10.0"/>
      </rPr>
      <t xml:space="preserve">Escenario Eliminación de todos los esquemas de firmas:
</t>
    </r>
    <r>
      <rPr>
        <rFont val="Fira Sans Extra Condensed"/>
        <color theme="1"/>
        <sz val="10.0"/>
      </rPr>
      <t>En caso que el usuario elimine todos los esquemas de firmas, se debe mostrar el mensaje: “ Quiere eliminar el esquema de firmas? Hay grupos de productos y roles que se asocian exclusivamente a este esquema. Si lo elimina, esos grupos o roles no funcionarán dentro del módulo regional. Para que puedan usar el módulo, debe crearles un nuevo esquema”</t>
    </r>
  </si>
  <si>
    <r>
      <rPr>
        <rFont val="Fira Sans Extra Condensed"/>
        <color theme="1"/>
        <sz val="10.0"/>
      </rPr>
      <t xml:space="preserve">Eliminación a esquema de firmas </t>
    </r>
    <r>
      <rPr>
        <rFont val="Fira Sans Extra Condensed"/>
        <b/>
        <color theme="1"/>
        <sz val="10.0"/>
      </rPr>
      <t>usuario Maestro</t>
    </r>
  </si>
  <si>
    <r>
      <rPr>
        <rFont val="Fira Sans Extra Condensed"/>
        <color theme="1"/>
        <sz val="10.0"/>
      </rPr>
      <t xml:space="preserve">Eliminación a esquema de firmas </t>
    </r>
    <r>
      <rPr>
        <rFont val="Fira Sans Extra Condensed"/>
        <b/>
        <color theme="1"/>
        <sz val="10.0"/>
      </rPr>
      <t>usuario Maestro</t>
    </r>
  </si>
  <si>
    <r>
      <rPr>
        <rFont val="Fira Sans Extra Condensed"/>
        <color theme="1"/>
        <sz val="10.0"/>
      </rPr>
      <t xml:space="preserve">Eliminación a esquema de firmas </t>
    </r>
    <r>
      <rPr>
        <rFont val="Fira Sans Extra Condensed"/>
        <b/>
        <color theme="1"/>
        <sz val="10.0"/>
      </rPr>
      <t>usuario Maestro</t>
    </r>
  </si>
  <si>
    <r>
      <rPr>
        <rFont val="Fira Sans Extra Condensed"/>
        <b/>
        <color theme="1"/>
        <sz val="10.0"/>
      </rPr>
      <t xml:space="preserve">Escenario Eliminación esquema de Firma y existen procesos pendientes de Autorización:
</t>
    </r>
    <r>
      <rPr>
        <rFont val="Fira Sans Extra Condensed"/>
        <color theme="1"/>
        <sz val="10.0"/>
      </rPr>
      <t xml:space="preserve">Si el usuario primero elimina el esquema de firma y luego quiere autorizar el traslado, el traslado no podrá ser autorizado teniendo en cuenta que no tienen un esquema de firma vigente al momento de realizar la aprobación. aplica la mensajería definida para el Módulo de Autorización.  </t>
    </r>
  </si>
  <si>
    <r>
      <rPr>
        <rFont val="Fira Sans Extra Condensed"/>
        <color theme="1"/>
        <sz val="10.0"/>
      </rPr>
      <t xml:space="preserve">Eliminación a esquema de firmas </t>
    </r>
    <r>
      <rPr>
        <rFont val="Fira Sans Extra Condensed"/>
        <b/>
        <color theme="1"/>
        <sz val="10.0"/>
      </rPr>
      <t>usuario Maestro</t>
    </r>
  </si>
  <si>
    <r>
      <rPr>
        <rFont val="Fira Sans Extra Condensed"/>
        <b/>
        <color theme="1"/>
        <sz val="10.0"/>
      </rPr>
      <t>Seguridad de los logs:</t>
    </r>
    <r>
      <rPr>
        <rFont val="Fira Sans Extra Condensed"/>
        <color theme="1"/>
        <sz val="10.0"/>
      </rPr>
      <t xml:space="preserve"> Los logs deben ser almacenados de forma segura y protegida contra accesos no autorizados. </t>
    </r>
  </si>
  <si>
    <t>Consulta de logs mostrará información de entrada y salida de los registros ejecutados por usuarios operadores, maestros y aprobadores únicos en el canal</t>
  </si>
  <si>
    <r>
      <rPr>
        <rFont val="Fira Sans Extra Condensed"/>
        <b/>
        <color theme="1"/>
        <sz val="10.0"/>
      </rPr>
      <t xml:space="preserve">Retención y disponibilidad de los logs: </t>
    </r>
    <r>
      <rPr>
        <rFont val="Fira Sans Extra Condensed"/>
        <color theme="1"/>
        <sz val="10.0"/>
      </rPr>
      <t>Los logs generados deben ser retenidos durante el tiempo necesario para cumplir con las regulaciones locales y las políticas internas del banco. Además, los logs deben estar disponibles para su consulta y análisis por parte del personal autorizado en caso de necesidad, utilizando las herramientas y procedimientos adecuados.</t>
    </r>
  </si>
  <si>
    <t>Consulta de logs mostrará información de entrada y salida de los registros ejecutados por el usuario BO y usuarios operadores, maestros y aprobadores únicos en el canal</t>
  </si>
  <si>
    <r>
      <rPr>
        <rFont val="Fira Sans Extra Condensed"/>
        <b/>
        <color theme="1"/>
        <sz val="10.0"/>
      </rPr>
      <t>Integridad y calidad de los logs:</t>
    </r>
    <r>
      <rPr>
        <rFont val="Fira Sans Extra Condensed"/>
        <color theme="1"/>
        <sz val="10.0"/>
      </rPr>
      <t xml:space="preserve"> Los logs generados deben ser precisos, completos y confiables, garantizando la integridad y calidad de la información registrada. Esto incluye la verificación de la correcta captura de datos, la validación de la consistencia de la información, y la corrección de cualquier error o inconsistencia detectada en los logs.</t>
    </r>
  </si>
  <si>
    <r>
      <rPr>
        <rFont val="Fira Sans Extra Condensed"/>
        <b/>
        <color theme="1"/>
        <sz val="10.0"/>
      </rPr>
      <t xml:space="preserve">Registro de eventos relevantes: </t>
    </r>
    <r>
      <rPr>
        <rFont val="Fira Sans Extra Condensed"/>
        <color theme="1"/>
        <sz val="10.0"/>
      </rPr>
      <t>Los logs deben registrar todos los eventos relevantes relacionados con novedades del módulo de administración, incluyendo la información del usuario que creó la novedad, usuario que la aprobó, horas, fechas, ip, datos de los usuarios que intervienen, país y tipo de novedad.
La herramienta debe permitir realizar la descarga de la información en formato pdf, excel y texto.</t>
    </r>
  </si>
  <si>
    <t>Creación de esquema de firmas en idioma inglés</t>
  </si>
  <si>
    <t>Tener en idioma inglés el canal</t>
  </si>
  <si>
    <t>Realizar proceso de creación de esquema de firmas en idioma inglés con usuario Operador, aprobador, maestro o usuario de aprobación directa.</t>
  </si>
  <si>
    <t>Ejecutar prueba en idioma inglés y valdiar la funcionalidad en el flujo completo</t>
  </si>
  <si>
    <t>Canal debe estar en idioma inglés</t>
  </si>
  <si>
    <t>Modificación de esquema de firmas en idioma inglés</t>
  </si>
  <si>
    <t>Realizar proceso de Modificación de esquema de firmas en idioma inglés con usuario Operador, aprobador, maestro o usuario de aprobación directa.</t>
  </si>
  <si>
    <t>Eliminación de esquema de firmas en idioma inglés</t>
  </si>
  <si>
    <t>Realizar proceso de eliminación de esquema de firmas en idioma inglés con usuario Operador, aprobador, maestro o usuario de aprobación directa.</t>
  </si>
  <si>
    <t xml:space="preserve">Transferencias entre cuentas propias CAM </t>
  </si>
  <si>
    <t>Criterio 1 - Transferencias Regionales</t>
  </si>
  <si>
    <t>Ingresar al modulo regional con usuario autoirzador</t>
  </si>
  <si>
    <t xml:space="preserve">Las transferenicas entre cuentas propias son aquellas que nuestros clientes en Panamá, Honduras, El Salvador y Costa Rica, podrán realizar en tiempo real dentro de sus cuentas o cuentas de terceros dentro del ecosistema Davivienda. Se deben crear dos opciones de menú dentro del menú de transferencias llamadas “Transferencias regionales propias” y “Transferencias regionales a terceros”. </t>
  </si>
  <si>
    <r>
      <rPr>
        <rFont val="Fira Sans Extra Condensed"/>
        <color theme="1"/>
      </rPr>
      <t>Validar que en el menu se muestren 2 opciones:</t>
    </r>
    <r>
      <rPr>
        <rFont val="Fira Sans Extra Condensed"/>
        <b/>
        <color theme="1"/>
      </rPr>
      <t xml:space="preserve"> "Menú dentro del menú de transferencias llamadas “Transferencias regionales propias” y “Transferencias regionales a terceros”.</t>
    </r>
  </si>
  <si>
    <t xml:space="preserve">Em el menu se deben de mostrar de mostrar las 2 opciones “Transferencias regionales propias” y “Transferencias regionales a terceros”. </t>
  </si>
  <si>
    <t>Criterio 3 - Contratación del servicio Transferencias regionales propias:</t>
  </si>
  <si>
    <t xml:space="preserve">Acceder al modulo regional con usuario rol Consultor </t>
  </si>
  <si>
    <r>
      <rPr>
        <rFont val="Fira Sans Extra Condensed"/>
        <color theme="1"/>
      </rPr>
      <t xml:space="preserve">El servicio de transferencias regionales propias debe ser una opción que se pueda contratar desde el sitio administrativo del Banco a solicitud del cliente. El servicio a contratar debe contemplar las siguientes condiciones: 
</t>
    </r>
    <r>
      <rPr>
        <rFont val="Fira Sans Extra Condensed"/>
        <b/>
        <color theme="1"/>
      </rPr>
      <t>Rol Consultor:</t>
    </r>
    <r>
      <rPr>
        <rFont val="Fira Sans Extra Condensed"/>
        <color theme="1"/>
      </rPr>
      <t xml:space="preserve"> Usuarios con el rol Preparador que tengan habilitada la funcionalidad de transferencias o destinos autorizados visualizarán el siguiente Submódulo: 
Transferir: (Habilitada)
- Consultas (Deshabilitada hasta que tenga algo que consultar)
Destinos Autorizados. (Habilitada)
- Consultas (Deshabilitada hasta que tenga algo que consultar)</t>
    </r>
  </si>
  <si>
    <t>Validar que tenga acceso solo a las funcionalidades que le haya dado acceso el usuario administrador</t>
  </si>
  <si>
    <t xml:space="preserve">- El servicio de Transferencias Regionales propias únicamente debe ser visible para usuarios que tengan la funcionalidad asignada previamente por el administrador del módulo regional. 
- Los usuarios que tengan asignada la funcionalidad de Transferencias Regionales podrá visualizar el módulo, los accesos que tengan a la aplicación dependerá del rol que tenga asignado el usuario
- El sistema debe controlar los límites transaccionales, acceso a cuentas (grupo de productos)  y esquemas de firma parametrizados previamente por el usuario administrador. </t>
  </si>
  <si>
    <t>Visualizar en el canal las funcionalidades a las que brindaron el acceso</t>
  </si>
  <si>
    <t xml:space="preserve">Acceder al modulo regional con usuario rol Preparador </t>
  </si>
  <si>
    <r>
      <rPr>
        <rFont val="Fira Sans Extra Condensed"/>
        <color theme="1"/>
      </rPr>
      <t xml:space="preserve">El servicio de transferencias regionales propias debe ser una opción que se pueda contratar desde el sitio administrativo del Banco a solicitud del cliente. El servicio a contratar debe contemplar las siguientes condiciones: 
</t>
    </r>
    <r>
      <rPr>
        <rFont val="Fira Sans Extra Condensed"/>
        <b/>
        <color theme="1"/>
      </rPr>
      <t xml:space="preserve">Rol Preparador: </t>
    </r>
    <r>
      <rPr>
        <rFont val="Fira Sans Extra Condensed"/>
        <color theme="1"/>
      </rPr>
      <t xml:space="preserve"> Usuarios con el rol Preparador que tengan habilitada la funcionalidad de transferencias o destinos autorizados visualizarán el siguiente Submódulo: 
Transferir: (Habilitada)
- Crear transferencias regionales de cuentas propias. (Depende de funcionalidad asignada)
- Crear transferencias regionales a cuentas a terceros. (Depende de funcionalidad asignada)
- Consultas (Deshabilitada hasta que tenga algo que consultar)
Programar Transferencia. (Habilitada)
Destinos Autorizados. (Habilitada si tiene la funcionalidad asignada)
- Consultas (Deshabilitada hasta que tenga algo que consultar)</t>
    </r>
  </si>
  <si>
    <t>Acceder al modulo regional con usuario rol Autorizador</t>
  </si>
  <si>
    <r>
      <rPr>
        <rFont val="Fira Sans Extra Condensed"/>
        <b/>
        <color theme="1"/>
      </rPr>
      <t>Rol Autorizador</t>
    </r>
    <r>
      <rPr>
        <rFont val="Fira Sans Extra Condensed"/>
        <color theme="1"/>
      </rPr>
      <t>: Usuarios con el rol autorizador que tengan habilitada la funcionalidad de transferencias o destinos autorizados visualizarán el siguiente Submódulo: 
Transferir: (Habilitada)
- Crear transferencias regionales de cuentas propias. (Únicamente se muestra si tiene habilitada la opción de preparar transferencias)
- Crear transferencias regionales a cuentas a terceros. (Únicamente se muestra si tiene habilitada la opción de preparar transferencias)
- Consultas (Habilitada hasta que exista un proceso por consultar)
Programar Transferencia. (Habilitada únicamente si tiene habilitada la opción de preparar transferencias)
Destinos Autorizados. (Habilitada si tiene la funcionalidad asignada)
- Consultas (Deshabilitada hasta que tenga algo que consultar)</t>
    </r>
  </si>
  <si>
    <t xml:space="preserve">- El servicio de Transferencias Regionales propias únicamente debe ser visible para usuarios que tengan la funcionalidad asignada previamente por el administrador del módulo regional. 
- Los usuarios que tengan asignada la funcionalidad de Transferencias Regionales podrá visualizar el módulo, los accesos que tengan a la aplicación dependerá del rol que tenga asignado el usuario
- El sistema debe controlar los límites transaccionales, acceso a cuentas (grupo de productos)  y esquemas de firma parametrizados previamente por el usuario administrador.  </t>
  </si>
  <si>
    <t>Acceder al modulo regional con usuario rol Admistrador</t>
  </si>
  <si>
    <r>
      <rPr>
        <rFont val="Fira Sans Extra Condensed"/>
        <b/>
        <color theme="1"/>
      </rPr>
      <t>Rol Administrador</t>
    </r>
    <r>
      <rPr>
        <rFont val="Fira Sans Extra Condensed"/>
        <color theme="1"/>
      </rPr>
      <t>: Usuarios con el rol administrador que tengan habilitada la funcionalidad de transferencias o destinos autorizados visualizarán el siguiente Submódulo: 
Transferir: (Habilitada)
- Crear transferencias regionales de cuentas propias. (Únicamente se muestra si tiene habilitada la opción de preparar transferencias)
- Crear transferencias regionales a cuentas a terceros. (Únicamente se muestra si tiene habilitada la opción de preparar transferencias)
- Consultas (Habilitada hasta que exista un proceso por consultar)
Programar Transferencia. (Habilitada únicamente si tiene habilitada la opción de preparar transferencias)
Destinos Autorizados. (Habilitada si tiene la funcionalidad asignada)
- Consultas (Deshabilitada hasta que tenga algo que consultar</t>
    </r>
  </si>
  <si>
    <t>Criterio 4 - Transferencias Regionales entre cuentas propias</t>
  </si>
  <si>
    <t>Se debe crear una opción de Menú llamada “Transferencias / Regionales cuentas propias”. Una vez el usuario de clic a la opción Regionales propias se debe presentar la siguiente información (ver prototipo): 
- Título de la pantalla “Transferir - Entre cuentas propias”.</t>
  </si>
  <si>
    <r>
      <rPr>
        <rFont val="Fira Sans Extra Condensed"/>
        <color theme="1"/>
      </rPr>
      <t xml:space="preserve">Criterio 4 - Transferencias Regionales entre cuentas propias - </t>
    </r>
    <r>
      <rPr>
        <rFont val="Fira Sans Extra Condensed"/>
        <b/>
        <color theme="1"/>
      </rPr>
      <t>Modales de error</t>
    </r>
  </si>
  <si>
    <t>En caso que no se pueda presentar  la  información en pantalla se debe presentar un modal con el texto:  “Intente más tarde, en estos momentos no podemos atender su solicitud.</t>
  </si>
  <si>
    <r>
      <rPr>
        <rFont val="Fira Sans Extra Condensed"/>
        <color theme="1"/>
      </rPr>
      <t xml:space="preserve">Se debe de solicitar que bajen los servicios para que al no mostrar informacion se visualice el mensaje </t>
    </r>
    <r>
      <rPr>
        <rFont val="Fira Sans Extra Condensed"/>
        <b/>
        <color theme="1"/>
      </rPr>
      <t>“Intente más tarde, en estos momentos no podemos atender su solicitud.”</t>
    </r>
  </si>
  <si>
    <t xml:space="preserve">El mensaje que error se mostrara unicamente si hay una falla general del canal o del core de cada pais </t>
  </si>
  <si>
    <r>
      <rPr>
        <rFont val="Fira Sans Extra Condensed"/>
        <color theme="1"/>
      </rPr>
      <t xml:space="preserve">Criterio 4 - Transferencias Regionales entre cuentas propias - </t>
    </r>
    <r>
      <rPr>
        <rFont val="Fira Sans Extra Condensed"/>
        <b/>
        <color theme="1"/>
      </rPr>
      <t>Modales de error</t>
    </r>
  </si>
  <si>
    <t>En caso que el usuario intente ingresar un día no habilitado, se debe presentar el siguiente modal: “Acceso denegado, Usted no tiene permisos de acceso por el día de hoy, contacte a su administrador para más información.</t>
  </si>
  <si>
    <t xml:space="preserve">CASO PENDIENTE DE VALIDAR CON DIEGO FELIPE </t>
  </si>
  <si>
    <r>
      <rPr>
        <rFont val="Fira Sans Extra Condensed"/>
        <color theme="1"/>
      </rPr>
      <t xml:space="preserve">Criterio 4 - Transferencias Regionales entre cuentas propias - </t>
    </r>
    <r>
      <rPr>
        <rFont val="Fira Sans Extra Condensed"/>
        <b/>
        <color theme="1"/>
      </rPr>
      <t>Modales de error</t>
    </r>
  </si>
  <si>
    <t>Acceder al modulo regional con usuario rol operador</t>
  </si>
  <si>
    <t>Si un usuario intenta realizar la creación de una transferencia pero no tiene acceso de acuerdo al rol y permisos debe informar: ”Acceso denegado, el usuario no está autorizado para crear transacciones, contacte a su administrador para más información.”</t>
  </si>
  <si>
    <r>
      <rPr>
        <rFont val="Fira Sans Extra Condensed"/>
        <color theme="1"/>
      </rPr>
      <t xml:space="preserve">El usuario NO debe de tener acceso a la creacion de transferencias 
al intentar crear una transferencia se debe de mostrar el mensaje </t>
    </r>
    <r>
      <rPr>
        <rFont val="Fira Sans Extra Condensed"/>
        <b/>
        <color theme="1"/>
      </rPr>
      <t>”Acceso denegado el usuario no está autorizado para crear transacciones, contacte a su administrador para más información.”</t>
    </r>
  </si>
  <si>
    <t>Si el usuario posee permisos para crear transferencias no se debe de mostrar el menajse</t>
  </si>
  <si>
    <t>Se debe de mostrar el mensaje y no debe de permitir al usuario creaar la transferencia</t>
  </si>
  <si>
    <r>
      <rPr>
        <rFont val="Fira Sans Extra Condensed"/>
        <color theme="1"/>
      </rPr>
      <t xml:space="preserve">Criterio 4 - Transferencias Regionales entre cuentas propias - </t>
    </r>
    <r>
      <rPr>
        <rFont val="Fira Sans Extra Condensed"/>
        <b/>
        <color theme="1"/>
      </rPr>
      <t>Modales de error</t>
    </r>
  </si>
  <si>
    <t>En caso que el usuario tenga la funcionalidad asignada pero le hayan quitado o no tenga asignados permisos de grupo de productos al intentar crear una transferencia el canal debe informar:  “Opción no disponible, no tiene grupo de productos asignados, contacte a su administrador para más información.</t>
  </si>
  <si>
    <r>
      <rPr>
        <rFont val="Fira Sans Extra Condensed"/>
        <color theme="1"/>
      </rPr>
      <t xml:space="preserve">El usuario NO debe de tener permisos asigandos al grupo de productos
al intentar crear una transferencia se debe de mostrar el mensaje </t>
    </r>
    <r>
      <rPr>
        <rFont val="Fira Sans Extra Condensed"/>
        <b/>
        <color theme="1"/>
      </rPr>
      <t>“Opción no disponible, no tiene grupo de productos asignados, contacte a su administrador para más información.</t>
    </r>
  </si>
  <si>
    <r>
      <rPr>
        <rFont val="Fira Sans Extra Condensed"/>
        <color theme="1"/>
      </rPr>
      <t xml:space="preserve">Criterio 4 - Transferencias Regionales entre cuentas propias - </t>
    </r>
    <r>
      <rPr>
        <rFont val="Fira Sans Extra Condensed"/>
        <b/>
        <color theme="1"/>
      </rPr>
      <t>Modales de error</t>
    </r>
  </si>
  <si>
    <t>Si el usuario intenta crear una transferencia en un horario no hábil el canal debe mostrar:  “Intente más tarde, En este momento no tenemos habilitadas las transacciones monetarias, debido a que estamos actualizando información, intente nuevamente ejemplo entre 11:59 pm y 5:00 am</t>
  </si>
  <si>
    <t>No debe de permitir crear ni autorizar transferencias cuando se encuentre en cierre el core</t>
  </si>
  <si>
    <t>El horario de cierre depende del core de cada pais SV, HN,PA, CR</t>
  </si>
  <si>
    <t>Se debe de mostrar el mensaje "“Intente más tarde"  y no debe de permitir al usuario creaar o autorizar la transferencia</t>
  </si>
  <si>
    <r>
      <rPr>
        <rFont val="Fira Sans Extra Condensed"/>
        <color theme="1"/>
      </rPr>
      <t xml:space="preserve">Criterio 4 - Transferencias Regionales entre cuentas propias - </t>
    </r>
    <r>
      <rPr>
        <rFont val="Fira Sans Extra Condensed"/>
        <b/>
        <color theme="1"/>
      </rPr>
      <t>Modales de error</t>
    </r>
  </si>
  <si>
    <r>
      <rPr>
        <rFont val="Fira Sans Extra Condensed"/>
        <color theme="1"/>
      </rPr>
      <t xml:space="preserve">OffCanvas mostrando información relevante que el usuario debe tener en cuenta antes de realizar transferencias así:
</t>
    </r>
    <r>
      <rPr>
        <rFont val="Fira Sans Extra Condensed"/>
        <b/>
        <color theme="1"/>
      </rPr>
      <t xml:space="preserve">Título: Requisitos y alcance
Elemento de cerrar: Debe existir un elemento que le permita al usuario cerrar y volver. 
Descripción: Antes de realizar una transferencia debe conocer lo siguiente: 
- “Estos destinos son solo para transferencias regionales. Las locales se deben realizar en la Banca en Línea.”
- “Es necesario que una de las dos cuentas, ya sea la de origen o destino tenga dólares americanos (USD) cómo su moneda principal”.
- “Esta funcionalidad permite realizar transferencias entre productos de Panamá, Costa Rica, Honduras y El Salvador” </t>
    </r>
    <r>
      <rPr>
        <rFont val="Fira Sans Extra Condensed"/>
        <color theme="1"/>
      </rPr>
      <t xml:space="preserve">
En la parte inferior debe estar habilitado el botón de “Aceptar” una vez el usuario de clic debe actualizar la pantalla donde inicia la confección de la transacción. </t>
    </r>
  </si>
  <si>
    <t>Validar que antes de realizar una transferencia se muestren los requisitos y el alcance</t>
  </si>
  <si>
    <t>Se debe de mostrar habilitado el botón de “Aceptar”</t>
  </si>
  <si>
    <t>Criterio 5 - Creación - Origen</t>
  </si>
  <si>
    <t>Acceder al modulo regional con usuario autoirzador</t>
  </si>
  <si>
    <r>
      <rPr>
        <rFont val="Fira Sans Extra Condensed"/>
        <b/>
        <color theme="1"/>
      </rPr>
      <t>i. Origen: Filtrar por país y empresa
País Origen:</t>
    </r>
    <r>
      <rPr>
        <rFont val="Fira Sans Extra Condensed"/>
        <b val="0"/>
        <color theme="1"/>
      </rPr>
      <t xml:space="preserve"> es una lista desplegable con las opciones (Honduras, Panamá, Costa Rica y El Salvador  junto con la imagen de la bandera de cada país.)</t>
    </r>
  </si>
  <si>
    <t>Se debe de validar que muestre la lista desplegable y que permita seleccionar la cuenta de los paises SV,HN,PA,CR y se muestre la imagen de la bandera correspondiente</t>
  </si>
  <si>
    <t>El usuario debe de tener asignadas las funcionalidades para poder crear transferencias entre ciuentas propias</t>
  </si>
  <si>
    <t>Que le permita desplegar la lista y le muestre las cuentas de los paises a los que tiene acceso</t>
  </si>
  <si>
    <r>
      <rPr>
        <rFont val="Fira Sans Extra Condensed"/>
        <b/>
        <color theme="1"/>
      </rPr>
      <t>ii. Empresa</t>
    </r>
    <r>
      <rPr>
        <rFont val="Fira Sans Extra Condensed"/>
        <color theme="1"/>
      </rPr>
      <t>: Es una lista desplegable que debe presentar las empresas sobre las cuales el usuario tiene acceso para realizar transferencias regionales.</t>
    </r>
  </si>
  <si>
    <t>Se debe de validar que muestre la lista desplegable y se muestren las empresas a las que tiene acceso el usuario</t>
  </si>
  <si>
    <t>Que le permita desplegar la lista y le muestre las empresas de los paises a los que tiene acceso</t>
  </si>
  <si>
    <r>
      <rPr>
        <rFont val="Fira Sans Extra Condensed"/>
        <b/>
        <color theme="1"/>
      </rPr>
      <t xml:space="preserve">iii. Tipo de cuenta:  </t>
    </r>
    <r>
      <rPr>
        <rFont val="Fira Sans Extra Condensed"/>
        <color theme="1"/>
      </rPr>
      <t>Permite seleccionar el tipo de cuenta origen, aparece texto: “Elija el tipo de cuenta” posterior se habilitan los tipos de cuenta de acuerdo al país origen así:
Tipología de cuentas por país:
El Salvador: Ahorro / Corriente
Costa Rica: Ahorro / Corriente  / Ahorro Maestra
Honduras: Ahorro / Corriente
Panamá: Ahorro / Corriente</t>
    </r>
  </si>
  <si>
    <t>Debe de permitir seleccionar el tipo de cuenta origen de acuerdo al pais seleccionado</t>
  </si>
  <si>
    <t>Se muestren los tipos de cuenta y permita seleccionarlo</t>
  </si>
  <si>
    <r>
      <rPr>
        <rFont val="Fira Sans Extra Condensed"/>
        <b/>
        <color theme="1"/>
      </rPr>
      <t>iv. Cuenta origen</t>
    </r>
    <r>
      <rPr>
        <rFont val="Fira Sans Extra Condensed"/>
        <color theme="1"/>
      </rPr>
      <t xml:space="preserve">: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Si el usuario tiene marcado la opción de ver saldos, se debe mostrar el saldo de la cuenta de lo contrario no se debe presentar, La información que se muestra por producto es:
</t>
    </r>
    <r>
      <rPr>
        <rFont val="Fira Sans Extra Condensed"/>
        <b/>
        <color theme="1"/>
      </rPr>
      <t>Texto</t>
    </r>
    <r>
      <rPr>
        <rFont val="Fira Sans Extra Condensed"/>
        <color theme="1"/>
      </rPr>
      <t xml:space="preserve">: Escoja la cuenta de débito, solo se muestran cuentas activas.
</t>
    </r>
    <r>
      <rPr>
        <rFont val="Fira Sans Extra Condensed"/>
        <b/>
        <color theme="1"/>
      </rPr>
      <t>Barra de búsqueda:</t>
    </r>
    <r>
      <rPr>
        <rFont val="Fira Sans Extra Condensed"/>
        <color theme="1"/>
      </rPr>
      <t xml:space="preserve">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la búsqueda realizada no presenta resultados)
</t>
    </r>
    <r>
      <rPr>
        <rFont val="Fira Sans Extra Condensed"/>
        <b/>
        <color theme="1"/>
      </rPr>
      <t>Resultado:</t>
    </r>
    <r>
      <rPr>
        <rFont val="Fira Sans Extra Condensed"/>
        <color theme="1"/>
      </rPr>
      <t xml:space="preserve"> Debe mostrar la siguiente información por cada producto. 
</t>
    </r>
    <r>
      <rPr>
        <rFont val="Fira Sans Extra Condensed"/>
        <b/>
        <color theme="1"/>
      </rPr>
      <t xml:space="preserve">- Nombre de cuenta o alias: Se debe presentar el nombre de la cuenta o alias asignado.
- Número de cuenta:  enmascarado
- Divisa: Debe mostrar el nombre de la moneda de apertura. 
- Saldo Total: Opción disponible únicamente si tiene la funcionalidad de consultar productos.
</t>
    </r>
    <r>
      <rPr>
        <rFont val="Fira Sans Extra Condensed"/>
        <color theme="1"/>
      </rPr>
      <t xml:space="preserve">
Una vez seleccionada la cuenta actualiza la pantalla con el resumen del producto seleccionado. (Nombre, número de cuenta, divisa y saldo si aplica) y debe habilitar un elemento que permita “editar” la información, al dar clic vuelve a la opción para realizar la selección del producto origen.</t>
    </r>
  </si>
  <si>
    <t>- El usuario debe de validar que se muestre la informacion por cada producto
- Una vez seleccionada la cuenta y se actualice la pantalla se debe de habilitar un boton que permita editar la informacion</t>
  </si>
  <si>
    <t>- Si el usuario tiene marcado la opción de ver saldos, se debe mostrar el saldo de la cuenta de lo contrario no se debe de mostrar
- Texto: Escoja la cuenta de débito, solo se muestran cuentas activas.</t>
  </si>
  <si>
    <t>Criterio 5 - Creación - Destino</t>
  </si>
  <si>
    <r>
      <rPr>
        <rFont val="Fira Sans Extra Condensed"/>
        <b/>
        <color theme="1"/>
      </rPr>
      <t>v. País Destino</t>
    </r>
    <r>
      <rPr>
        <rFont val="Fira Sans Extra Condensed"/>
        <color theme="1"/>
      </rPr>
      <t>: es una lista desplegable con las opciones (Honduras, Panamá, Costa Rica y El Salvador  junto con la imagen de la bandera de cada país.) No debe presentar el país que fue seleccionado en el campo “País Origen</t>
    </r>
  </si>
  <si>
    <r>
      <rPr>
        <rFont val="Fira Sans Extra Condensed"/>
        <b/>
        <color theme="1"/>
        <sz val="10.0"/>
      </rPr>
      <t>vi. Empresa:</t>
    </r>
    <r>
      <rPr>
        <rFont val="Fira Sans Extra Condensed"/>
        <color theme="1"/>
        <sz val="10.0"/>
      </rPr>
      <t xml:space="preserve"> Es una lista desplegable que debe presentar las empresas sobre las cuales el usuario tiene acceso para realizar transferencias regionales.</t>
    </r>
  </si>
  <si>
    <r>
      <rPr>
        <rFont val="Fira Sans Extra Condensed"/>
        <b/>
        <color theme="1"/>
      </rPr>
      <t>vii. Tipo de cuenta*</t>
    </r>
    <r>
      <rPr>
        <rFont val="Fira Sans Extra Condensed"/>
        <color theme="1"/>
      </rPr>
      <t xml:space="preserve"> Permite seleccionar el tipo de cuenta origen (Ahorro, Corriente, Ahorro maestra) 
Tipología de cuentas por país:
El Salvador: Ahorro / Corriente
Costa Rica: Ahorro / Corriente  / Ahorro Maestra
Honduras: Ahorro / Corriente
Panamá: Ahorro / Corriente</t>
    </r>
  </si>
  <si>
    <r>
      <rPr>
        <rFont val="Fira Sans Extra Condensed"/>
        <color theme="1"/>
      </rPr>
      <t xml:space="preserve">viii. Cuenta destino: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La información que se muestra por producto es:
Texto: Escoja la cuenta a acreditar, solo se muestran cuentas activas.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Resultado: Debe mostrar la siguiente información por cada producto. 
- Nombre de Empresa o alias: Se debe presentar el nombre de la cuenta o alias asignado.
- Número de cuenta:  enmascarado
- Divisa: Debe mostrar el nombre de la moneda de apertura. 
Una vez seleccionada la cuenta actualiza la pantalla con el resumen del producto seleccionado. El canal deberá enviar una consulta desde el producto origen y destino al centralizador de listas restrictivas, en caso que encuentre coincidencia con algún registro no debe permitir continuar con la creación e informar la causal ya parametrizada. 
</t>
    </r>
    <r>
      <rPr>
        <rFont val="Fira Sans Extra Condensed"/>
        <b/>
        <color theme="1"/>
      </rPr>
      <t xml:space="preserve">Escenario cuenta origen divisa diferente a USD:
</t>
    </r>
    <r>
      <rPr>
        <rFont val="Fira Sans Extra Condensed"/>
        <color theme="1"/>
      </rPr>
      <t>Debe mostrar en esta opción únicamente productos aperturados con divisa USD, no debe permitir seleccionar tener en cuenta las divisas de las cuentas destino a las cuales puede transferir según lo descrito en el punto 4 del criterio 2. para este caso de debe habilitar un helper text así: “Únicamente se muestran cuentas activas aperturadas en USD”</t>
    </r>
  </si>
  <si>
    <t>- El usuario debe de validar que se muestre la informacion por cada producto, sin crear la transferencia
- Una vez seleccionada la cuenta y se actualice la pantalla se debe de habilitar un boton que permita editar la informacion</t>
  </si>
  <si>
    <r>
      <rPr>
        <rFont val="Fira Sans Extra Condensed"/>
        <b/>
        <color theme="1"/>
      </rPr>
      <t>ix. Negociación (Opcional) 
Deal Ticket</t>
    </r>
    <r>
      <rPr>
        <rFont val="Fira Sans Extra Condensed"/>
        <color theme="1"/>
      </rPr>
      <t xml:space="preserve">: Aplica únicamente para producto origen en Costa Rica con divisa Colones, es un espacio que permite al usuario ingresar el número con longitud de hasta 9 caracteres, con un contador que valida que la información ingresada sea correcta la cual  es la referencia de la negociación en caso que la divisa de origen sea “Colones” una vez ingresado el número de negociación el canal debe buscar coincidencia para encontrar la negociación realizada por el cliente, (Helper Text: El deal ticket es un número de 9 dígitos asignado a la negociación con la mesa de servicio) Una vez ingresado y sea válido debe actualizar la pantalla de acuerdo a la negociación mostrando de manera no editable los valores de:
</t>
    </r>
    <r>
      <rPr>
        <rFont val="Fira Sans Extra Condensed"/>
        <b/>
        <color theme="1"/>
      </rPr>
      <t>Envía: Monto a debitar, negociado en colones.
Recibe: Monto a acreditar en USD 
Tasa de cambio: Se informa la tasa negociada
Fecha: se muestra la fecha de la negociación.
Costo de la transacción: se muestra el cobro de la transferencia.</t>
    </r>
    <r>
      <rPr>
        <rFont val="Fira Sans Extra Condensed"/>
        <color theme="1"/>
      </rPr>
      <t xml:space="preserve">
En caso que el número de deal ticket no encuentra coincidencia con uno válido el canal debe mostrar el mensaje “Número de deal ticket no existe, verifique los datos ingresados”  seguido del botón de continuar donde permite al usuario volver a ingresar el número. </t>
    </r>
  </si>
  <si>
    <t>Deal Ticket: Aplica únicamente para producto origen en Costa Rica con divisa Colones</t>
  </si>
  <si>
    <r>
      <rPr>
        <rFont val="Fira Sans Extra Condensed"/>
        <b/>
        <color theme="1"/>
      </rPr>
      <t>ix. Negociación (Opcional) 
Deal Ticket</t>
    </r>
    <r>
      <rPr>
        <rFont val="Fira Sans Extra Condensed"/>
        <color theme="1"/>
      </rPr>
      <t xml:space="preserve">: Aplica únicamente para producto origen en Costa Rica con divisa Colones, es un espacio que permite al usuario ingresar el número con longitud de hasta 9 caracteres, con un contador que valida que la información ingresada sea correcta la cual  es la referencia de la negociación en caso que la divisa de origen sea “Colones” una vez ingresado el número de negociación el canal debe buscar coincidencia para encontrar la negociación realizada por el cliente, (Helper Text: El deal ticket es un número de 9 dígitos asignado a la negociación con la mesa de servicio) Una vez ingresado y sea válido debe actualizar la pantalla de acuerdo a la negociación mostrando de manera no editable los valores de:
</t>
    </r>
    <r>
      <rPr>
        <rFont val="Fira Sans Extra Condensed"/>
        <b/>
        <color theme="1"/>
      </rPr>
      <t>Envía: Monto a debitar, negociado en colones.
Recibe: Monto a acreditar en USD 
Tasa de cambio: Se informa la tasa negociada
Fecha: se muestra la fecha de la negociación.
Costo de la transacción: se muestra el cobro de la transferencia.</t>
    </r>
    <r>
      <rPr>
        <rFont val="Fira Sans Extra Condensed"/>
        <color theme="1"/>
      </rPr>
      <t xml:space="preserve">
En caso que el número de deal ticket no encuentra coincidencia con uno válido el canal debe mostrar el mensaje “Número de deal ticket no existe, verifique los datos ingresados”  seguido del botón de continuar donde permite al usuario volver a ingresar el número. </t>
    </r>
  </si>
  <si>
    <t>Colocar incompleto el numero de deal ticet y al dar click en confirmar se debe de mostrar un mensaje "El deal ticket no exitste"</t>
  </si>
  <si>
    <t xml:space="preserve">Se debe de mostrar el mensaje "El deal ticket no exitste" con exito </t>
  </si>
  <si>
    <r>
      <rPr>
        <rFont val="Fira Sans Extra Condensed"/>
        <b/>
        <color theme="1"/>
      </rPr>
      <t>x. Monto</t>
    </r>
    <r>
      <rPr>
        <rFont val="Fira Sans Extra Condensed"/>
        <color theme="1"/>
      </rPr>
      <t xml:space="preserve">: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Si la cuenta origen y destino no tienen la misma moneda se debe presentar dos campos:
</t>
    </r>
    <r>
      <rPr>
        <rFont val="Fira Sans Extra Condensed"/>
        <b/>
        <color theme="1"/>
      </rPr>
      <t>1- Envía</t>
    </r>
    <r>
      <rPr>
        <rFont val="Fira Sans Extra Condensed"/>
        <color theme="1"/>
      </rPr>
      <t xml:space="preserve">: Se debe mostrar las iniciales de la moneda origen con el símbolo de la divisa según aplique ( dólares, colones, lempiras) y espacio para que el usuario pueda ingresar el monto.
</t>
    </r>
    <r>
      <rPr>
        <rFont val="Fira Sans Extra Condensed"/>
        <b/>
        <color theme="1"/>
      </rPr>
      <t>2- Recibe:</t>
    </r>
    <r>
      <rPr>
        <rFont val="Fira Sans Extra Condensed"/>
        <color theme="1"/>
      </rPr>
      <t xml:space="preserve"> Se debe mostrar las iniciales de la moneda origen con el símbolo de la divisa según aplique ( dólares, colones, lempiras) y espacio para que el usuario pueda ingresar el monto.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 </t>
    </r>
  </si>
  <si>
    <r>
      <rPr>
        <rFont val="Fira Sans Extra Condensed"/>
        <color theme="1"/>
      </rPr>
      <t xml:space="preserve">- Validar que cuenta origen y destino es aperturada en dólares americanos USD se debe habilitar el campo “monto a transferir”
- Si la cuenta origen y destino no tienen la misma moneda se debe presentar dos campos : </t>
    </r>
    <r>
      <rPr>
        <rFont val="Fira Sans Extra Condensed"/>
        <b/>
        <color theme="1"/>
      </rPr>
      <t>Envia y Recibe</t>
    </r>
  </si>
  <si>
    <t>Debe de permitir elegir moneda ( dólares, colones, lempiras) y espacio para que el usuario pueda ingresar el monto.</t>
  </si>
  <si>
    <r>
      <rPr>
        <rFont val="Fira Sans Extra Condensed"/>
        <b/>
        <color theme="1"/>
      </rPr>
      <t>xi. Tasa de cambio:</t>
    </r>
    <r>
      <rPr>
        <rFont val="Fira Sans Extra Condensed"/>
        <color theme="1"/>
      </rPr>
      <t xml:space="preserve"> es un campo de salida y únicamente se debe presentar si la moneda origen es diferente a USD. Muestra la tasa de conversión desde y/o hacia la moneda local y su equivalencia al dólar americano. </t>
    </r>
  </si>
  <si>
    <r>
      <rPr>
        <rFont val="Fira Sans Extra Condensed"/>
        <color theme="1"/>
      </rPr>
      <t xml:space="preserve">Se debe de seleccionar moneda origen </t>
    </r>
    <r>
      <rPr>
        <rFont val="Fira Sans Extra Condensed"/>
        <b/>
        <color theme="1"/>
      </rPr>
      <t>Lempira</t>
    </r>
    <r>
      <rPr>
        <rFont val="Fira Sans Extra Condensed"/>
        <color theme="1"/>
      </rPr>
      <t xml:space="preserve"> y validar que se muestre la tasa de conversión desde y/o hacia la moneda local y su equivalencia al dólar americano</t>
    </r>
  </si>
  <si>
    <t>Si la moneda origen es en USD no se debe de mostrar la tasa de cambio</t>
  </si>
  <si>
    <t>Validar que NO se muestre la tasa de cambio con exito</t>
  </si>
  <si>
    <t>Acceder al modulo regional con usuario operador</t>
  </si>
  <si>
    <r>
      <rPr>
        <rFont val="Fira Sans Extra Condensed"/>
        <b/>
        <color theme="1"/>
      </rPr>
      <t>xi. Tasa de cambio:</t>
    </r>
    <r>
      <rPr>
        <rFont val="Fira Sans Extra Condensed"/>
        <color theme="1"/>
      </rPr>
      <t xml:space="preserve"> es un campo de salida y únicamente se debe presentar si la moneda origen es diferente a USD. Muestra la tasa de conversión desde y/o hacia la moneda local y su equivalencia al dólar americano. </t>
    </r>
  </si>
  <si>
    <r>
      <rPr>
        <rFont val="Fira Sans Extra Condensed"/>
        <color theme="1"/>
      </rPr>
      <t xml:space="preserve">Se debe de seleccionar moneda origen </t>
    </r>
    <r>
      <rPr>
        <rFont val="Fira Sans Extra Condensed"/>
        <b/>
        <color theme="1"/>
      </rPr>
      <t>Colones</t>
    </r>
    <r>
      <rPr>
        <rFont val="Fira Sans Extra Condensed"/>
        <color theme="1"/>
      </rPr>
      <t xml:space="preserve"> y validar que se muestre la tasa de conversión desde y/o hacia la moneda local y su equivalencia al dólar americano</t>
    </r>
  </si>
  <si>
    <t>Acceder al modulo regional y usuario con  aprobacion directa</t>
  </si>
  <si>
    <r>
      <rPr>
        <rFont val="Fira Sans Extra Condensed"/>
        <b/>
        <color theme="1"/>
      </rPr>
      <t>xi. Tasa de cambio:</t>
    </r>
    <r>
      <rPr>
        <rFont val="Fira Sans Extra Condensed"/>
        <color theme="1"/>
      </rPr>
      <t xml:space="preserve"> es un campo de salida y únicamente se debe presentar si la moneda origen es diferente a USD. Muestra la tasa de conversión desde y/o hacia la moneda local y su equivalencia al dólar americano. </t>
    </r>
  </si>
  <si>
    <r>
      <rPr>
        <rFont val="Fira Sans Extra Condensed"/>
        <color theme="1"/>
      </rPr>
      <t xml:space="preserve">Se debe de seleccionar moneda origen </t>
    </r>
    <r>
      <rPr>
        <rFont val="Fira Sans Extra Condensed"/>
        <b/>
        <color theme="1"/>
      </rPr>
      <t>dolares</t>
    </r>
    <r>
      <rPr>
        <rFont val="Fira Sans Extra Condensed"/>
        <color theme="1"/>
      </rPr>
      <t xml:space="preserve"> y validar que NO se muestre la tasa de conversión desde y/o hacia la moneda local y su equivalencia al dólar americano</t>
    </r>
  </si>
  <si>
    <r>
      <rPr>
        <rFont val="Fira Sans Extra Condensed"/>
        <b/>
        <color theme="1"/>
      </rPr>
      <t>xii. Costo de la transacción</t>
    </r>
    <r>
      <rPr>
        <rFont val="Fira Sans Extra Condensed"/>
        <color theme="1"/>
      </rPr>
      <t>: Se debe mostrar el costo de la transferencia en USD. El cual debe estar alineado a lo establecido para el cliente.</t>
    </r>
  </si>
  <si>
    <t>Al realizar una transferencia validar el costo se muestre en dolares de acuerdo a lo establecido con el cliente</t>
  </si>
  <si>
    <t>Que se muetsre el costo de la trasaccion en USD</t>
  </si>
  <si>
    <r>
      <rPr>
        <rFont val="Fira Sans Extra Condensed"/>
        <b/>
        <color theme="1"/>
      </rPr>
      <t xml:space="preserve">xiii. Notificación: </t>
    </r>
    <r>
      <rPr>
        <rFont val="Fira Sans Extra Condensed"/>
        <color theme="1"/>
      </rPr>
      <t xml:space="preserve">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Debe tener un elemento que permita eliminar un registro ya ingresado, adicional debe validar que la información ingresada antes de habilitar el elemento de “Continuar” </t>
    </r>
  </si>
  <si>
    <t xml:space="preserve">Colocar 3 correos electronicos y validar que se habilite el boton de agregar,  a la vez verificar que los usuarios reciban la notificaion del traslado de fondos </t>
  </si>
  <si>
    <t xml:space="preserve">- El campo para agregar correo electronico es opcional
- Debe de permitir ingresar un maximo de 6 correos </t>
  </si>
  <si>
    <t>Validar que permita colocar hasta 6 correos con exito</t>
  </si>
  <si>
    <r>
      <rPr>
        <rFont val="Fira Sans Extra Condensed"/>
        <b/>
        <color theme="1"/>
      </rPr>
      <t xml:space="preserve">xiii. Notificación: </t>
    </r>
    <r>
      <rPr>
        <rFont val="Fira Sans Extra Condensed"/>
        <color theme="1"/>
      </rPr>
      <t xml:space="preserve">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Debe tener un elemento que permita eliminar un registro ya ingresado, adicional debe validar que la información ingresada antes de habilitar el elemento de “Continuar” </t>
    </r>
  </si>
  <si>
    <t>Al realizar la transferencia no se debe de colocar correo electronico</t>
  </si>
  <si>
    <t xml:space="preserve">- El campo para agregar correo electronico es opcional
- Al no colocar correo debe de permitir continuar con el proceso y finalizar la transferencia </t>
  </si>
  <si>
    <t>La transferencia se debe de finalizar con exito</t>
  </si>
  <si>
    <r>
      <rPr>
        <rFont val="Fira Sans Extra Condensed"/>
        <b/>
        <color theme="1"/>
      </rPr>
      <t xml:space="preserve">xiii. Notificación: </t>
    </r>
    <r>
      <rPr>
        <rFont val="Fira Sans Extra Condensed"/>
        <color theme="1"/>
      </rPr>
      <t xml:space="preserve">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Debe tener un elemento que permita eliminar un registro ya ingresado, adicional debe validar que la información ingresada antes de habilitar el elemento de “Continuar” </t>
    </r>
  </si>
  <si>
    <t>Colocar 6 correos electronicos, y validar que que se muestre un boton para eliminar un registro ya ingresado</t>
  </si>
  <si>
    <t xml:space="preserve">Se debe validar la información ingresada antes de habilitar el elemento de “Continuar” </t>
  </si>
  <si>
    <t>Debe de permitir eliminar el registro de correo con exito</t>
  </si>
  <si>
    <r>
      <rPr>
        <rFont val="Fira Sans Extra Condensed"/>
        <b/>
        <color theme="1"/>
      </rPr>
      <t>xiv. Detalle de la transacción:</t>
    </r>
    <r>
      <rPr>
        <rFont val="Fira Sans Extra Condensed"/>
        <color theme="1"/>
      </rPr>
      <t xml:space="preserve"> es un campo alfanumérico de 140 caracteres. Campo obligatorio, mínimo de 15 caracteres y no debe permitir caracteres especiales, Aquí el usuario puede colocar a criterio la descripción que desee incluir dentro de la transacción. Una vez el usuario de clic en el botón continuar se debe mostrar el siguiente paso. </t>
    </r>
  </si>
  <si>
    <t>Colocar menos de 14 caracteres en el detalle de la transaccion</t>
  </si>
  <si>
    <t xml:space="preserve">No debe de permitir continuar con el proceso </t>
  </si>
  <si>
    <t>Se debe de mostrar un mensaje que indique "campo alfanumérico de 140 caracteres. Campo obligatorio, mínimo de 15 caracteres"</t>
  </si>
  <si>
    <r>
      <rPr>
        <rFont val="Fira Sans Extra Condensed"/>
        <b/>
        <color theme="1"/>
      </rPr>
      <t>xiv. Detalle de la transacción:</t>
    </r>
    <r>
      <rPr>
        <rFont val="Fira Sans Extra Condensed"/>
        <color theme="1"/>
      </rPr>
      <t xml:space="preserve"> es un campo alfanumérico de 140 caracteres. Campo obligatorio, mínimo de 15 caracteres y no debe permitir caracteres especiales, Aquí el usuario puede colocar a criterio la descripción que desee incluir dentro de la transacción. Una vez el usuario de clic en el botón continuar se debe mostrar el siguiente paso. </t>
    </r>
  </si>
  <si>
    <t>Colocar mas de 14o caracteres en el detalle de la transaccion</t>
  </si>
  <si>
    <r>
      <rPr>
        <rFont val="Fira Sans Extra Condensed"/>
        <b/>
        <color theme="1"/>
      </rPr>
      <t>xiv. Detalle de la transacción:</t>
    </r>
    <r>
      <rPr>
        <rFont val="Fira Sans Extra Condensed"/>
        <color theme="1"/>
      </rPr>
      <t xml:space="preserve"> es un campo alfanumérico de 140 caracteres. Campo obligatorio, mínimo de 15 caracteres y no debe permitir caracteres especiales, Aquí el usuario puede colocar a criterio la descripción que desee incluir dentro de la transacción. Una vez el usuario de clic en el botón continuar se debe mostrar el siguiente paso. </t>
    </r>
  </si>
  <si>
    <t>Colocar caracteres especiales, en el detalle de la transaccion</t>
  </si>
  <si>
    <r>
      <rPr>
        <rFont val="Fira Sans Extra Condensed"/>
        <b/>
        <color theme="1"/>
      </rPr>
      <t>xiv. Detalle de la transacción:</t>
    </r>
    <r>
      <rPr>
        <rFont val="Fira Sans Extra Condensed"/>
        <color theme="1"/>
      </rPr>
      <t xml:space="preserve"> es un campo alfanumérico de 140 caracteres. Campo obligatorio, mínimo de 15 caracteres y no debe permitir caracteres especiales, Aquí el usuario puede colocar a criterio la descripción que desee incluir dentro de la transacción. Una vez el usuario de clic en el botón continuar se debe mostrar el siguiente paso. </t>
    </r>
  </si>
  <si>
    <t>En detalle de la transaccion se debe de colocar de 16 a 140 caracteres</t>
  </si>
  <si>
    <t xml:space="preserve">Debe de permitir continuar con el preceso de transaccion </t>
  </si>
  <si>
    <t>Debe de permitir finalizar la transferencia con exito</t>
  </si>
  <si>
    <r>
      <rPr>
        <rFont val="Fira Sans Extra Condensed"/>
        <b/>
        <color theme="1"/>
      </rPr>
      <t>Declaración de Divisas: (Obligatorio)</t>
    </r>
    <r>
      <rPr>
        <rFont val="Fira Sans Extra Condensed"/>
        <color theme="1"/>
      </rPr>
      <t xml:space="preserve"> Si la transferencia se realiza desde una cuenta aperturada en El Salvador de debe habilitar en la parte inferior de la pantalla donde el canal debe solicitar ingresar la información de “Declaración de Divisas” así:
</t>
    </r>
    <r>
      <rPr>
        <rFont val="Fira Sans Extra Condensed"/>
        <b/>
        <color theme="1"/>
      </rPr>
      <t xml:space="preserve">- Persona que proporciona la información: Se debe mostrar en pantalla de manera no editable el nombre del usuario que realiza la creación del traslado. 
- Fecha: Se debe mostrar en pantalla de manera no editable la fecha del día en el que se prepara la transferencia. dd-mm-aaaa
- Concepto: Lista desplegable con las posibles opciones para la declaración de divisas en El Salvador. Campo obligatorio. Detalle de conceptos
- Comentario: Espacio para ingresar hasta 100 caracteres alfanuméricos con un mínimo de 15 caracteres.-
- Una vez ingresada la información, se debe habilitar el botón de “continuar” </t>
    </r>
  </si>
  <si>
    <t>Al realizar una operacion origen SV se muestre el campo para ingresar la información de “Declaración de Divisas
y validar que en los campos donde se muestre los siguientes datos y algunos de ellos no sean editables 
- Persona que proporciona la información: nombre del usuario que realiza la creación del traslado (No editable)
- Fecha: echa del día en el que se prepara la transferencia. dd-mm-aaaa  (No editable)
- Concepto: Lista desplegable (Campo obligatorio)
- Comentario: Espacio para ingresar hasta 100 caracteres alfanuméricos con un mínimo de 15 caracteres</t>
  </si>
  <si>
    <t xml:space="preserve">- Aplica solo para El Salvador
- Una vez ingresada la información, se debe habilitar el botón de “continuar” </t>
  </si>
  <si>
    <t>Acceder al modulo regional con usuario  operador</t>
  </si>
  <si>
    <r>
      <rPr>
        <rFont val="Fira Sans Extra Condensed"/>
        <b/>
        <color theme="1"/>
      </rPr>
      <t>Declaración de Divisas: (Obligatorio)</t>
    </r>
    <r>
      <rPr>
        <rFont val="Fira Sans Extra Condensed"/>
        <color theme="1"/>
      </rPr>
      <t xml:space="preserve"> Si la transferencia se realiza desde una cuenta aperturada en El Salvador de debe habilitar en la parte inferior de la pantalla donde el canal debe solicitar ingresar la información de “Declaración de Divisas” así:
</t>
    </r>
    <r>
      <rPr>
        <rFont val="Fira Sans Extra Condensed"/>
        <b/>
        <color theme="1"/>
      </rPr>
      <t xml:space="preserve">- Persona que proporciona la información: Se debe mostrar en pantalla de manera no editable el nombre del usuario que realiza la creación del traslado. 
- Fecha: Se debe mostrar en pantalla de manera no editable la fecha del día en el que se prepara la transferencia. dd-mm-aaaa
- Concepto: Lista desplegable con las posibles opciones para la declaración de divisas en El Salvador. Campo obligatorio. Detalle de conceptos
- Comentario: Espacio para ingresar hasta 100 caracteres alfanuméricos con un mínimo de 15 caracteres.-
- Una vez ingresada la información, se debe habilitar el botón de “continuar” </t>
    </r>
  </si>
  <si>
    <t>Al realizar la transferencia no seleccionar concepto</t>
  </si>
  <si>
    <t>Debe de permitir continuar con el preceso de transaccion</t>
  </si>
  <si>
    <t>No debe de permitir finalizar la transferencia</t>
  </si>
  <si>
    <t xml:space="preserve">Criterio 6 - Confirmación: 
</t>
  </si>
  <si>
    <t>Acceder al modulo regional con usuario  autorzante</t>
  </si>
  <si>
    <r>
      <rPr>
        <rFont val="Fira Sans Extra Condensed"/>
        <color theme="1"/>
      </rPr>
      <t xml:space="preserve">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en esta pantalla se debe mostrar la siguiente información de manera no editable: 
</t>
    </r>
    <r>
      <rPr>
        <rFont val="Fira Sans Extra Condensed"/>
        <b/>
        <color theme="1"/>
      </rPr>
      <t>a. Monto a enviar:</t>
    </r>
    <r>
      <rPr>
        <rFont val="Fira Sans Extra Condensed"/>
        <color theme="1"/>
      </rPr>
      <t xml:space="preserve"> Se debe mostrar el valor del monto de la transferencia. 
</t>
    </r>
    <r>
      <rPr>
        <rFont val="Fira Sans Extra Condensed"/>
        <b/>
        <color theme="1"/>
      </rPr>
      <t>b. Monto a debitar</t>
    </r>
    <r>
      <rPr>
        <rFont val="Fira Sans Extra Condensed"/>
        <color theme="1"/>
      </rPr>
      <t xml:space="preserve">: solo se debe presentar si se mostró en el paso anterior.
</t>
    </r>
    <r>
      <rPr>
        <rFont val="Fira Sans Extra Condensed"/>
        <b/>
        <color theme="1"/>
      </rPr>
      <t>c. Tasa de cambio:</t>
    </r>
    <r>
      <rPr>
        <rFont val="Fira Sans Extra Condensed"/>
        <color theme="1"/>
      </rPr>
      <t xml:space="preserve"> solo se debe presentar si se mostró en el paso 1.
</t>
    </r>
    <r>
      <rPr>
        <rFont val="Fira Sans Extra Condensed"/>
        <b/>
        <color theme="1"/>
      </rPr>
      <t>d. Fecha</t>
    </r>
    <r>
      <rPr>
        <rFont val="Fira Sans Extra Condensed"/>
        <color theme="1"/>
      </rPr>
      <t xml:space="preserve">: Se debe mostrar la fecha del día. 
</t>
    </r>
    <r>
      <rPr>
        <rFont val="Fira Sans Extra Condensed"/>
        <b/>
        <color theme="1"/>
      </rPr>
      <t>e. Costo de la transacción</t>
    </r>
    <r>
      <rPr>
        <rFont val="Fira Sans Extra Condensed"/>
        <color theme="1"/>
      </rPr>
      <t xml:space="preserve">: Se debe incluir el campo Costo de transacción (Comisión) este valor viene en USD ejm: 5 usd 
</t>
    </r>
    <r>
      <rPr>
        <rFont val="Fira Sans Extra Condensed"/>
        <b/>
        <color theme="1"/>
      </rPr>
      <t>f. Deal ticket</t>
    </r>
    <r>
      <rPr>
        <rFont val="Fira Sans Extra Condensed"/>
        <color theme="1"/>
      </rPr>
      <t xml:space="preserve">: Aplica únicamente para CR y debe mostrar el número si fue ingresado por el usuario.
</t>
    </r>
    <r>
      <rPr>
        <rFont val="Fira Sans Extra Condensed"/>
        <b/>
        <color theme="1"/>
      </rPr>
      <t>g. País Origen</t>
    </r>
    <r>
      <rPr>
        <rFont val="Fira Sans Extra Condensed"/>
        <color theme="1"/>
      </rPr>
      <t xml:space="preserve">: Se debe mostrar el país seleccionado en el paso 1. 
</t>
    </r>
    <r>
      <rPr>
        <rFont val="Fira Sans Extra Condensed"/>
        <b/>
        <color theme="1"/>
      </rPr>
      <t>h. Empresa Origen</t>
    </r>
    <r>
      <rPr>
        <rFont val="Fira Sans Extra Condensed"/>
        <color theme="1"/>
      </rPr>
      <t xml:space="preserve">: se debe mostrar el nombre de la Empresa seleccionada en el paso 1. 
</t>
    </r>
    <r>
      <rPr>
        <rFont val="Fira Sans Extra Condensed"/>
        <b/>
        <color theme="1"/>
      </rPr>
      <t>i. Tipo de Cuenta</t>
    </r>
    <r>
      <rPr>
        <rFont val="Fira Sans Extra Condensed"/>
        <color theme="1"/>
      </rPr>
      <t xml:space="preserve">: Se debe mostrar el tipo de cuenta seleccionado.
</t>
    </r>
    <r>
      <rPr>
        <rFont val="Fira Sans Extra Condensed"/>
        <b/>
        <color theme="1"/>
      </rPr>
      <t>j. Cuenta origen</t>
    </r>
    <r>
      <rPr>
        <rFont val="Fira Sans Extra Condensed"/>
        <color theme="1"/>
      </rPr>
      <t xml:space="preserve">: se debe mostrar el número de la cuenta seleccionada en el paso 1 (con la divisa y número enmascarado)
</t>
    </r>
    <r>
      <rPr>
        <rFont val="Fira Sans Extra Condensed"/>
        <b/>
        <color theme="1"/>
      </rPr>
      <t>k. Empresa destino:</t>
    </r>
    <r>
      <rPr>
        <rFont val="Fira Sans Extra Condensed"/>
        <color theme="1"/>
      </rPr>
      <t xml:space="preserve"> se debe mostrar el nombre de la Empresa seleccionada
</t>
    </r>
    <r>
      <rPr>
        <rFont val="Fira Sans Extra Condensed"/>
        <b/>
        <color theme="1"/>
      </rPr>
      <t>l. País destino:</t>
    </r>
    <r>
      <rPr>
        <rFont val="Fira Sans Extra Condensed"/>
        <color theme="1"/>
      </rPr>
      <t xml:space="preserve"> se debe mostrar el seleccionado en el paso 1.
</t>
    </r>
    <r>
      <rPr>
        <rFont val="Fira Sans Extra Condensed"/>
        <b/>
        <color theme="1"/>
      </rPr>
      <t>m. Tipo de Cuenta</t>
    </r>
    <r>
      <rPr>
        <rFont val="Fira Sans Extra Condensed"/>
        <color theme="1"/>
      </rPr>
      <t xml:space="preserve">: Se debe mostrar el tipo de cuenta seleccionado.
</t>
    </r>
    <r>
      <rPr>
        <rFont val="Fira Sans Extra Condensed"/>
        <b/>
        <color theme="1"/>
      </rPr>
      <t>n. Cuenta destino</t>
    </r>
    <r>
      <rPr>
        <rFont val="Fira Sans Extra Condensed"/>
        <color theme="1"/>
      </rPr>
      <t xml:space="preserve">: se debe presentar el número de cuenta seleccionada en el paso. ( divisa y número enmascarado)
</t>
    </r>
    <r>
      <rPr>
        <rFont val="Fira Sans Extra Condensed"/>
        <b/>
        <color theme="1"/>
      </rPr>
      <t>o. Notificación</t>
    </r>
    <r>
      <rPr>
        <rFont val="Fira Sans Extra Condensed"/>
        <color theme="1"/>
      </rPr>
      <t xml:space="preserve">: debe mostrar la información si fue ingresada en el paso 1.
</t>
    </r>
    <r>
      <rPr>
        <rFont val="Fira Sans Extra Condensed"/>
        <b/>
        <color theme="1"/>
      </rPr>
      <t>p. Detalle de la transacción:</t>
    </r>
    <r>
      <rPr>
        <rFont val="Fira Sans Extra Condensed"/>
        <color theme="1"/>
      </rPr>
      <t xml:space="preserve"> se debe presentar la información que ingresó el usuario en el paso 1. 
</t>
    </r>
    <r>
      <rPr>
        <rFont val="Fira Sans Extra Condensed"/>
        <b/>
        <color theme="1"/>
      </rPr>
      <t>q. Persona que proporciona la información</t>
    </r>
    <r>
      <rPr>
        <rFont val="Fira Sans Extra Condensed"/>
        <color theme="1"/>
      </rPr>
      <t xml:space="preserve">: solo se debe presentar si se mostró en el paso 1. (Aplica únicamente para cuentas origen en El Salvador)
</t>
    </r>
    <r>
      <rPr>
        <rFont val="Fira Sans Extra Condensed"/>
        <b/>
        <color theme="1"/>
      </rPr>
      <t>r. Fecha</t>
    </r>
    <r>
      <rPr>
        <rFont val="Fira Sans Extra Condensed"/>
        <color theme="1"/>
      </rPr>
      <t xml:space="preserve">: solo se debe presentar si se mostró en el paso 1. (Aplica únicamente para cuentas origen en El Salvador)
</t>
    </r>
    <r>
      <rPr>
        <rFont val="Fira Sans Extra Condensed"/>
        <b/>
        <color theme="1"/>
      </rPr>
      <t>s. Concepto</t>
    </r>
    <r>
      <rPr>
        <rFont val="Fira Sans Extra Condensed"/>
        <color theme="1"/>
      </rPr>
      <t xml:space="preserve">: solo se debe presentar si se seleccionó en el paso 1. (Aplica únicamente para cuentas origen en El Salvador)
</t>
    </r>
    <r>
      <rPr>
        <rFont val="Fira Sans Extra Condensed"/>
        <b/>
        <color theme="1"/>
      </rPr>
      <t>t. Comentario</t>
    </r>
    <r>
      <rPr>
        <rFont val="Fira Sans Extra Condensed"/>
        <color theme="1"/>
      </rPr>
      <t>: solo se debe presentar si se ingresó en el paso 1. (Aplica únicamente para cuentas origen en El Salvador)</t>
    </r>
  </si>
  <si>
    <t>Validar que se muestren la informacion correcta y que no permita modificar los datos ya ingresados</t>
  </si>
  <si>
    <t xml:space="preserve"> - Botón Continuar: se muestra dependerá del Rol y permisos que tenga parametrizado el usuario</t>
  </si>
  <si>
    <t>Se debe de mostrar el boton para confirmar la transferencia</t>
  </si>
  <si>
    <t xml:space="preserve">Criterio 7 Resultado: </t>
  </si>
  <si>
    <r>
      <rPr>
        <rFont val="Fira Sans Extra Condensed"/>
        <color theme="1"/>
      </rPr>
      <t xml:space="preserve">Al dar clic en el botón de “confirmar” se actualiza el tracker e informa que el usuario se encuentra en el paso “resultado” y la información que aquí se muestra dependerá del Rol que tenga parametrizado y tendremos las siguientes respuestas transversales:
</t>
    </r>
    <r>
      <rPr>
        <rFont val="Fira Sans Extra Condensed"/>
        <b/>
        <color theme="1"/>
      </rPr>
      <t>- En caso de una caída y no pueda ejecutar el traslado deberá informar: “ Intente más tarde” En estos momentos no podemos atender su solicitud.</t>
    </r>
  </si>
  <si>
    <t>Se debe de solicitar bajar los servicios para validar que se muestre el mensaje de error “ Intente más tarde” a la vez se debe de verificar la cuenta origen para validar si se debito la cuenta origen</t>
  </si>
  <si>
    <t>No se deberia de realizar el debito en la cuenta origen</t>
  </si>
  <si>
    <t xml:space="preserve">No realizar nuevamente la operacion por que podría generar una duplicidad. 
</t>
  </si>
  <si>
    <r>
      <rPr>
        <rFont val="Fira Sans Extra Condensed"/>
        <color theme="1"/>
      </rPr>
      <t xml:space="preserve">Al dar clic en el botón de “confirmar” se actualiza el tracker e informa que el usuario se encuentra en el paso “resultado” y la información que aquí se muestra dependerá del Rol que tenga parametrizado y tendremos las siguientes respuestas transversales
</t>
    </r>
    <r>
      <rPr>
        <rFont val="Fira Sans Extra Condensed"/>
        <b/>
        <color theme="1"/>
      </rPr>
      <t xml:space="preserve">- En caso que el canal presente demora en la respuesta por parte del core de país origen y/o destino, si el tiempo es superior a x segundos se debe implementar la funcionalidad del DME 269 que hace referencia que el proceso queda en estado “En ejecución” adicional el usuario debe recibir una notificación a su bandeja de notificaciones donde se informe que la operación se encuentra en proceso, lo anterior para que el usuario no la realice nuevamente que podría generar una duplicidad. </t>
    </r>
  </si>
  <si>
    <t>Se debe de valdiar que muestre el error “En ejecución” a la vez se debe de verificar la cuenta origen para validar si se debito la cuenta origen</t>
  </si>
  <si>
    <t xml:space="preserve">No se realizar nuevamente la operacion por que podría generar una duplicidad. 
</t>
  </si>
  <si>
    <r>
      <rPr>
        <rFont val="Fira Sans Extra Condensed"/>
        <color theme="1"/>
      </rPr>
      <t xml:space="preserve">Al dar clic en el botón de “confirmar” se actualiza el tracker e informa que el usuario se encuentra en el paso “resultado” y la información que aquí se muestra dependerá del Rol que tenga parametrizado y tendremos las siguientes respuestas transversales
</t>
    </r>
    <r>
      <rPr>
        <rFont val="Fira Sans Extra Condensed"/>
        <b/>
        <color theme="1"/>
      </rPr>
      <t>- En el caso que la operación sea superior a los límites establecidos por el usuario administrador el canal debe presentar un mensaje claro sobre el error presentado ejemplo “La operación no puede ser creada debido a que supera el límite monetario, comuníquese con su administrador”, la operación no debe ser creada y quedará registrada dentro de la base de datos como fallida y también en el histórico de transacciones del cliente con el motivo de rechazo</t>
    </r>
    <r>
      <rPr>
        <rFont val="Fira Sans Extra Condensed"/>
        <color theme="1"/>
      </rPr>
      <t xml:space="preserve">
</t>
    </r>
  </si>
  <si>
    <t>Realizar una operacion que supere el limite que el cliente posee</t>
  </si>
  <si>
    <t>La operación no debe ser creada y quedará registrada dentro de la base de datos como fallida y también en el histórico de transacciones del cliente con el motivo de rechazo</t>
  </si>
  <si>
    <t>“La operación no puede ser creada debido a que supera el límite monetario, comuníquese con su administrador”</t>
  </si>
  <si>
    <t>- La respuesta que visualizarán los usuarios en este módulo de acuerdo al rol que tenga asignado</t>
  </si>
  <si>
    <r>
      <rPr>
        <rFont val="Fira Sans Extra Condensed"/>
        <b/>
        <color theme="1"/>
      </rPr>
      <t>7.1 Rol Preparador</t>
    </r>
    <r>
      <rPr>
        <rFont val="Fira Sans Extra Condensed"/>
        <color theme="1"/>
      </rPr>
      <t xml:space="preserve">: Una vez el usuario de clic para confirmar el canal debe mostrar mensaje: “La transacción se envió para aprobación. Quedará en estado pendiente hasta que el esquema de firmas se complete.” posterior debe mostrar:
Información de la Operación
</t>
    </r>
    <r>
      <rPr>
        <rFont val="Fira Sans Extra Condensed"/>
        <b/>
        <color theme="1"/>
      </rPr>
      <t>Estado</t>
    </r>
    <r>
      <rPr>
        <rFont val="Fira Sans Extra Condensed"/>
        <color theme="1"/>
      </rPr>
      <t xml:space="preserve">: será “Pendiente”
</t>
    </r>
    <r>
      <rPr>
        <rFont val="Fira Sans Extra Condensed"/>
        <b/>
        <color theme="1"/>
      </rPr>
      <t>Monto</t>
    </r>
    <r>
      <rPr>
        <rFont val="Fira Sans Extra Condensed"/>
        <color theme="1"/>
      </rPr>
      <t xml:space="preserve"> </t>
    </r>
    <r>
      <rPr>
        <rFont val="Fira Sans Extra Condensed"/>
        <b/>
        <color theme="1"/>
      </rPr>
      <t>a enviar</t>
    </r>
    <r>
      <rPr>
        <rFont val="Fira Sans Extra Condensed"/>
        <color theme="1"/>
      </rPr>
      <t xml:space="preserve">: Se debe mostrar el valor a enviar
</t>
    </r>
    <r>
      <rPr>
        <rFont val="Fira Sans Extra Condensed"/>
        <b/>
        <color theme="1"/>
      </rPr>
      <t>Monto a debitar</t>
    </r>
    <r>
      <rPr>
        <rFont val="Fira Sans Extra Condensed"/>
        <color theme="1"/>
      </rPr>
      <t xml:space="preserve">: se muestra el valor debitado de la cuenta origen.
</t>
    </r>
    <r>
      <rPr>
        <rFont val="Fira Sans Extra Condensed"/>
        <b/>
        <color theme="1"/>
      </rPr>
      <t>Costo de la transacción</t>
    </r>
    <r>
      <rPr>
        <rFont val="Fira Sans Extra Condensed"/>
        <color theme="1"/>
      </rPr>
      <t xml:space="preserve">: Se muestra el valor de cobro de la transacción.
</t>
    </r>
    <r>
      <rPr>
        <rFont val="Fira Sans Extra Condensed"/>
        <b/>
        <color theme="1"/>
      </rPr>
      <t>Fecha y hora</t>
    </r>
    <r>
      <rPr>
        <rFont val="Fira Sans Extra Condensed"/>
        <color theme="1"/>
      </rPr>
      <t xml:space="preserve">: Se debe mostrar la fecha y hora de creación.
</t>
    </r>
    <r>
      <rPr>
        <rFont val="Fira Sans Extra Condensed"/>
        <b/>
        <color theme="1"/>
      </rPr>
      <t>Número de transacción</t>
    </r>
    <r>
      <rPr>
        <rFont val="Fira Sans Extra Condensed"/>
        <color theme="1"/>
      </rPr>
      <t xml:space="preserve">: debe mostrar el número único de identificación de la Tx en el canal
</t>
    </r>
    <r>
      <rPr>
        <rFont val="Fira Sans Extra Condensed"/>
        <b/>
        <color theme="1"/>
      </rPr>
      <t>Finalizar</t>
    </r>
    <r>
      <rPr>
        <rFont val="Fira Sans Extra Condensed"/>
        <color theme="1"/>
      </rPr>
      <t xml:space="preserve">: Al dar clic actualiza la pantalla y lo redirecciona a la pantalla del submódulo de Transferencias donde puede crear una nueva o realizar consultas si aplica de acuerdo a las funcionalidades asignadas.
</t>
    </r>
    <r>
      <rPr>
        <rFont val="Fira Sans Extra Condensed"/>
        <b/>
        <color theme="1"/>
      </rPr>
      <t>Nueva Transferencia</t>
    </r>
    <r>
      <rPr>
        <rFont val="Fira Sans Extra Condensed"/>
        <color theme="1"/>
      </rPr>
      <t>: Al dar clic inicia el flujo para crear una nueva operación.</t>
    </r>
  </si>
  <si>
    <t>Validar que la operacion quede pendiente de aprobacion</t>
  </si>
  <si>
    <t>La transferencia quede pendiente de aprobacion</t>
  </si>
  <si>
    <r>
      <rPr>
        <rFont val="Fira Sans Extra Condensed"/>
        <b/>
        <color theme="1"/>
      </rPr>
      <t>7.2 Rol Autorizador</t>
    </r>
    <r>
      <rPr>
        <rFont val="Fira Sans Extra Condensed"/>
        <color theme="1"/>
      </rPr>
      <t xml:space="preserve">: la pantalla que aquí se muestra depende del esquema de firma que tenga definida la empresa, así: 
Si la transacción no finaliza con está autorización de acuerdo al esquema de firma definido  el canal debe informar “ Autorización exitosa, la solicitud fue enviada para aprobación de acuerdo al esquema de firma definido.” posterior debe mostrar el resultado cómo en el criterio 7.1
</t>
    </r>
    <r>
      <rPr>
        <rFont val="Fira Sans Extra Condensed"/>
        <b/>
        <color theme="1"/>
      </rPr>
      <t xml:space="preserve">
Si el esquema de firma finaliza con la autorización del usuario, se actualiza la pantalla y el canal debe informar el estado así:</t>
    </r>
    <r>
      <rPr>
        <rFont val="Fira Sans Extra Condensed"/>
        <color theme="1"/>
      </rPr>
      <t xml:space="preserve"> Si la operación es exitosa actualiza la pantalla y muestra: 
</t>
    </r>
    <r>
      <rPr>
        <rFont val="Fira Sans Extra Condensed"/>
        <b/>
        <color theme="1"/>
      </rPr>
      <t>Estado</t>
    </r>
    <r>
      <rPr>
        <rFont val="Fira Sans Extra Condensed"/>
        <color theme="1"/>
      </rPr>
      <t xml:space="preserve">: será  “Aprobada” 
</t>
    </r>
    <r>
      <rPr>
        <rFont val="Fira Sans Extra Condensed"/>
        <b/>
        <color theme="1"/>
      </rPr>
      <t>Monto a enviar:</t>
    </r>
    <r>
      <rPr>
        <rFont val="Fira Sans Extra Condensed"/>
        <color theme="1"/>
      </rPr>
      <t xml:space="preserve"> Se debe mostrar el valor a enviar
</t>
    </r>
    <r>
      <rPr>
        <rFont val="Fira Sans Extra Condensed"/>
        <b/>
        <color theme="1"/>
      </rPr>
      <t>Monto a debitar</t>
    </r>
    <r>
      <rPr>
        <rFont val="Fira Sans Extra Condensed"/>
        <color theme="1"/>
      </rPr>
      <t xml:space="preserve">: se muestra el valor debitado de la cuenta origen.
</t>
    </r>
    <r>
      <rPr>
        <rFont val="Fira Sans Extra Condensed"/>
        <b/>
        <color theme="1"/>
      </rPr>
      <t>Costo de la transacción</t>
    </r>
    <r>
      <rPr>
        <rFont val="Fira Sans Extra Condensed"/>
        <color theme="1"/>
      </rPr>
      <t xml:space="preserve">: Se muestra el valor de cobro de la transacción.
</t>
    </r>
    <r>
      <rPr>
        <rFont val="Fira Sans Extra Condensed"/>
        <b/>
        <color theme="1"/>
      </rPr>
      <t>Fecha y hora:</t>
    </r>
    <r>
      <rPr>
        <rFont val="Fira Sans Extra Condensed"/>
        <color theme="1"/>
      </rPr>
      <t xml:space="preserve"> Se debe mostrar la fecha y hora de creación.
</t>
    </r>
    <r>
      <rPr>
        <rFont val="Fira Sans Extra Condensed"/>
        <b/>
        <color theme="1"/>
      </rPr>
      <t>Número de transacción</t>
    </r>
    <r>
      <rPr>
        <rFont val="Fira Sans Extra Condensed"/>
        <color theme="1"/>
      </rPr>
      <t xml:space="preserve">: debe mostrar el número único de identificación de la Tx en el canal
</t>
    </r>
    <r>
      <rPr>
        <rFont val="Fira Sans Extra Condensed"/>
        <b/>
        <color theme="1"/>
      </rPr>
      <t>Finalizar</t>
    </r>
    <r>
      <rPr>
        <rFont val="Fira Sans Extra Condensed"/>
        <color theme="1"/>
      </rPr>
      <t xml:space="preserve">: Al dar clic actualiza la pantalla y lo redirecciona al Home. 
</t>
    </r>
    <r>
      <rPr>
        <rFont val="Fira Sans Extra Condensed"/>
        <b/>
        <color theme="1"/>
      </rPr>
      <t>Comprobante</t>
    </r>
    <r>
      <rPr>
        <rFont val="Fira Sans Extra Condensed"/>
        <color theme="1"/>
      </rPr>
      <t xml:space="preserve">: Una vez finalizada la transacción de manera exitosa debe mostrar el resumen de la misma y un elemento que haga referencia a que el usuario puede realizar descarga del comprobante de la operación en formato PDF. 
Si la operación es rechazada una vez el usuario ingrese la clave de confirmación el canal debe mostrar un modal informando:  Transferencia Rechazada, seguido de la causal de rechazo. posterior estará el botón de “Continuar” al dar clic vuelve al menú de transferencias donde podrá crear una nueva o consultar el estado.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</si>
  <si>
    <t>- Si el esquema de firma es simple la transferencia debe de enviarse con exito
- Si el esquema de firma es doble autorizacion debe de quedar pendiente de autorizacion</t>
  </si>
  <si>
    <r>
      <rPr>
        <rFont val="Fira Sans Extra Condensed"/>
        <color theme="1"/>
      </rPr>
      <t xml:space="preserve">Acceder al modulo regional con usuario </t>
    </r>
    <r>
      <rPr>
        <rFont val="Fira Sans Extra Condensed"/>
        <b/>
        <color theme="1"/>
      </rPr>
      <t>operador</t>
    </r>
  </si>
  <si>
    <r>
      <rPr>
        <rFont val="Fira Sans Extra Condensed"/>
        <b/>
        <color theme="1"/>
      </rPr>
      <t xml:space="preserve">Rol Operador: </t>
    </r>
    <r>
      <rPr>
        <rFont val="Fira Sans Extra Condensed"/>
        <b val="0"/>
        <color theme="1"/>
      </rPr>
      <t xml:space="preserve">Crear una transferenica con un monto mayor al saldo disponible en la cuenta </t>
    </r>
  </si>
  <si>
    <t>Al autorizar la operacion debe de mostrar un mensaje "Rechazo"</t>
  </si>
  <si>
    <t>La operacion no debe de ejecutarse por fondos insuficientes en la cuenta</t>
  </si>
  <si>
    <t xml:space="preserve">Transferencias entre cuentas propias </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</si>
  <si>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</si>
  <si>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SV -destino HN
Cuenta Origen SV -Ahorros
Cuenta Destino Honduras USD- Corriente</t>
  </si>
  <si>
    <t>- Al momento de confirmar la transaccion se debe de mostrar la opción en donde el usuario le permite ingresar el código de Soft Token, para continuar con el proceso. 
-La transferencia no debe de quedar pendiente de autorizacion</t>
  </si>
  <si>
    <t>- Para cualquier transferencia regional, una de las cuentas o las dos (origen o destino) debe estar en dólares americanos (USD).
- Las opciones que los usuarios visualizan depende del rol y funcionalidades asignadas
- Los títulos que tengan asterisco * son de carácter obligatorio</t>
  </si>
  <si>
    <t>Transferencia sea enviada con éxito</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</si>
  <si>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</si>
  <si>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SV -destino HN
Cuenta Origen SV -Corriente
Cuenta Destino Honduras USD- Ahorros</t>
  </si>
  <si>
    <t>- Al momento de confirmar la transaccion se debe de mostrar la opción en donde el usuario le permite ingresar el código de Soft Token, para continuar con el proceso. 
- La transferencia no debe de quedar pendiente de autorizacion</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</si>
  <si>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</si>
  <si>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SV -destino HN
Cuenta Origen SV -Ahorros
Cuenta Destino Honduras LPS-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</si>
  <si>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</si>
  <si>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SV -destino HN
Cuenta Origen SV -Corriente
 Cuenta Destino Honduras LPS-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</si>
  <si>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</si>
  <si>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 xml:space="preserve">Usuario autorizador debe de crear una Transferencia entre cuentas propias Regional origen SV -destino PA
Cuenta Origen SV -Ahorros
Cuenta Destino PA- Corriente
</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</si>
  <si>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</si>
  <si>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SV -destino PA
Cuenta Origen SV -Corriente
Cuenta Destino PA-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</si>
  <si>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</si>
  <si>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SV -destino CR
Cuenta Origen SV -Ahorros
Cuenta Destino CR USD-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</si>
  <si>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</si>
  <si>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SV -destino CR
Cuenta Origen SV -Corriente
Cuenta Destino CR USD-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</si>
  <si>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</si>
  <si>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SV -destino CR
Cuenta Origen SV -Ahorros
Cuenta Destino CR Colones-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</si>
  <si>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</si>
  <si>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SV -destino CR
Cuenta Origen SV -Corriente
   Cuenta Destino CR Colones-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</si>
  <si>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</si>
  <si>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 Al momento de confirmar la transaccion se debe de mostrar la opción en donde el usuario le permite ingresar el código de Soft Token, para continuar con el proceso. 
- El usuario autorizador debe de visulaizar la tx pendiente y aprobarla</t>
  </si>
  <si>
    <t>Transferencia sea enviada con éxito al ser autorizada por el usuario aprobador</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</si>
  <si>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</si>
  <si>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SV -destino HN
Cuenta Origen SV -Ahorros
Cuenta Destino Honduras USD-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</si>
  <si>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</si>
  <si>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SV -destino HN
Cuenta Origen SV -Corriente
Cuenta Destino Honduras USD-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</si>
  <si>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</si>
  <si>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SV -destino HN
Cuenta Origen SV -Ahorros
Cuenta Destino Honduras LPS-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</si>
  <si>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</si>
  <si>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SV -destino HN
Cuenta Origen SV -Corriente
 Cuenta Destino Honduras LPS-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</si>
  <si>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</si>
  <si>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 xml:space="preserve">Usuario operador debe de crear una Transferencia entre cuentas propias Regional origen SV -destino PA
Cuenta Origen SV -Ahorros
Cuenta Destino PA- Corriente
</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</si>
  <si>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</si>
  <si>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SV -destino PA
Cuenta Origen SV -Corriente
Cuenta Destino PA-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</si>
  <si>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</si>
  <si>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SV -destino CR
Cuenta Origen SV -Ahorros
Cuenta Destino CR USD-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</si>
  <si>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</si>
  <si>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SV -destino CR
Cuenta Origen SV -Corriente
Cuenta Destino CR USD-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</si>
  <si>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</si>
  <si>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SV -destino CR
Cuenta Origen SV -Ahorros
Cuenta Destino CR Colones-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</si>
  <si>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</si>
  <si>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SV -destino CR
Cuenta Origen SV -Corriente
   Cuenta Destino CR Colones-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</si>
  <si>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</si>
  <si>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</si>
  <si>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t>- Al momento de confirmar la transaccion se debe de mostrar la opción en donde el usuario le permite ingresar el código de Soft Token, para continuar con el proceso. 
- Los usuariso autorizadores deben de visulaizar la tx pendiente y aprobarla</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</si>
  <si>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</si>
  <si>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</si>
  <si>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</si>
  <si>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</si>
  <si>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</si>
  <si>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</si>
  <si>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</si>
  <si>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</si>
  <si>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</si>
  <si>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t>los usuariso autorizadores deben de visulaizar la tx pendiente y aprobarla</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</si>
  <si>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</si>
  <si>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</si>
  <si>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t>Usuario autorizante debe de crear una Transferencia entre cuentas propias Regional origen SV -destino HN
Cuenta Origen SV -Ahorros
Cuenta Destino Honduras USD- Corriente</t>
  </si>
  <si>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</si>
  <si>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</si>
  <si>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</si>
  <si>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</si>
  <si>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</si>
  <si>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t>Usuario autorizador debe de crear una Transferencia entre cuentas propias Regional origen SV -destino PA
Cuenta Origen SV -Ahorros
Cuenta Destino PA- Corriente</t>
  </si>
  <si>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</si>
  <si>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</si>
  <si>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</si>
  <si>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</si>
  <si>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</si>
  <si>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</si>
  <si>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</si>
  <si>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Al momento de confirmar la transaccion se debe de mostrar la opción en donde el usuario le permite ingresar el código de Soft Token, para continuar con el proceso. 
- El</t>
    </r>
    <r>
      <rPr>
        <rFont val="Fira Sans Extra Condensed"/>
        <b/>
        <color theme="1"/>
      </rPr>
      <t xml:space="preserve"> Usuario con aprobación directa</t>
    </r>
    <r>
      <rPr>
        <rFont val="Fira Sans Extra Condensed"/>
        <color theme="1"/>
      </rPr>
      <t xml:space="preserve"> debe de autorizar la TX ( no quedará pendiente de autorización)</t>
    </r>
  </si>
  <si>
    <t>La transferencia debe de quedar pendiente de aprobacion</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</si>
  <si>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</si>
  <si>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</si>
  <si>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</si>
  <si>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</si>
  <si>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</si>
  <si>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</si>
  <si>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</si>
  <si>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</si>
  <si>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</si>
  <si>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</si>
  <si>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</si>
  <si>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</si>
  <si>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</si>
  <si>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</si>
  <si>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</si>
  <si>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</si>
  <si>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</si>
  <si>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</si>
  <si>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</si>
  <si>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</si>
  <si>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</si>
  <si>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</si>
  <si>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t>Acceder al modulo regional - Usuario con aprobación directa y esquema de firma 2 niveles</t>
  </si>
  <si>
    <t>Usuario con aprobacion directa debe de crear una Transferencia entre cuentas propias Regional origen SV -destino HN
Cuenta Origen SV -Ahorros
Cuenta Destino Honduras USD- Corriente</t>
  </si>
  <si>
    <t>Usuario con aprobacion directa debe de crear una Transferencia entre cuentas propias Regional origen SV -destino HN
Cuenta Origen SV -Corriente
Cuenta Destino Honduras USD- Ahorros</t>
  </si>
  <si>
    <t>Usuario con aprobacion directa debe de crear una Transferencia entre cuentas propias Regional origen SV -destino HN
Cuenta Origen SV -Ahorros
Cuenta Destino Honduras LPS- Corriente</t>
  </si>
  <si>
    <t>Usuario con aprobacion directa debe de crear una Transferencia entre cuentas propias Regional origen SV -destino HN
Cuenta Origen SV -Corriente
 Cuenta Destino Honduras LPS- Ahorros</t>
  </si>
  <si>
    <t xml:space="preserve">Usuario con aprobacion directa debe de crear una Transferencia entre cuentas propias Regional origen SV -destino PA
Cuenta Origen SV -Ahorros
Cuenta Destino PA- Corriente
</t>
  </si>
  <si>
    <t>Usuario con aprobacion directa debe de crear una Transferencia entre cuentas propias Regional origen SV -destino PA
Cuenta Origen SV -Corriente
Cuenta Destino PA- Ahorros</t>
  </si>
  <si>
    <t>Usuario con aprobacion directa debe de crear una Transferencia entre cuentas propias Regional origen SV -destino CR
Cuenta Origen SV -Ahorros
Cuenta Destino CR USD- Corriente</t>
  </si>
  <si>
    <t>Usuario con aprobacion directa debe de crear una Transferencia entre cuentas propias Regional origen SV -destino CR
Cuenta Origen SV -Corriente
Cuenta Destino CR USD- Corriente</t>
  </si>
  <si>
    <t>Usuario con aprobacion directa debe de crear una Transferencia entre cuentas propias Regional origen SV -destino CR
Cuenta Origen SV -Ahorros
Cuenta Destino CR Colones- Corriente</t>
  </si>
  <si>
    <t>Usuario con aprobacion directa debe de crear una Transferencia entre cuentas propias Regional origen SV -destino CR
Cuenta Origen SV -Corriente
Cuenta Destino CR Colones- Ahorros</t>
  </si>
  <si>
    <t>Usuario con aprobacion directa debe de crear una Transferencia entre cuentas propias Regional origen SV -destino HN</t>
  </si>
  <si>
    <t>El usuario debe de colocar un token erroneo</t>
  </si>
  <si>
    <t>Campo obligatorio</t>
  </si>
  <si>
    <t>Debe de mostrar un mensaje de error y no debe de permitir continuar con el preoceso</t>
  </si>
  <si>
    <t>Usuario operador debe de crear una Transferencia entre cuentas propias Regional origen SV -destino PA</t>
  </si>
  <si>
    <t>Debe de dejar vacio el metodo de auntenticacion (Soft token)</t>
  </si>
  <si>
    <t>Transferencias entre cuentas propias  - programada</t>
  </si>
  <si>
    <r>
      <rPr>
        <rFont val="Fira Sans Extra Condensed"/>
        <color theme="1"/>
      </rPr>
      <t xml:space="preserve">En el módulo regional se habilitara un nuevo modulo que permita a los usuarios programar transferencias regionales para la funcionalidad de cuentas propias permitiendo seleccionar la fecha y la hora en la que se requiere se ejecute la transferencia junto con la recurrencia. 
Desde el menu se debe de ingresar en la opcion </t>
    </r>
    <r>
      <rPr>
        <rFont val="Fira Sans Extra Condensed"/>
        <b/>
        <color theme="1"/>
      </rPr>
      <t>Transferir - Programar transferencia - Entre cuentas propias regionales</t>
    </r>
  </si>
  <si>
    <t>Validar que se despliegue una lista que permita seleccionar fecha y hora para programar una transferencia</t>
  </si>
  <si>
    <t>Los horarios en los que se programa una transferencia deben ser los horarios habilitados para el canal (7am a 7pm hora Centroamerica</t>
  </si>
  <si>
    <t>La transferencia debe de quedar programada con exito</t>
  </si>
  <si>
    <r>
      <rPr>
        <rFont val="Fira Sans Extra Condensed"/>
        <color theme="1"/>
      </rPr>
      <t xml:space="preserve">En el módulo regional se habilitara un nuevo modulo que permita a los usuarios programar transferencias regionales para la funcionalidad de cuentas propias permitiendo seleccionar la fecha y la hora en la que se requiere se ejecute la transferencia junto con la recurrencia. 
Desde el menu se debe de ingresar en la opcion </t>
    </r>
    <r>
      <rPr>
        <rFont val="Fira Sans Extra Condensed"/>
        <b/>
        <color theme="1"/>
      </rPr>
      <t>Transferir - Programar transferencia - Entre cuentas propias regionales</t>
    </r>
  </si>
  <si>
    <t xml:space="preserve">El usuario aprobador debe de autorizar la transferencia posterior a la hora programada </t>
  </si>
  <si>
    <t>Se debe de mostrar un mensaje de error y no se debe de procesar la operacion</t>
  </si>
  <si>
    <t>La transferencia programada no sea enviada</t>
  </si>
  <si>
    <t>Acceder al modulo regional con usuario autorizante</t>
  </si>
  <si>
    <t>Se debe de programar 3 transferencias entre cuentas propias regionales, en fechas y horarios diferentes</t>
  </si>
  <si>
    <t>El usuario debe de eliminar una transferencia programada</t>
  </si>
  <si>
    <t>Una Transferencia regional programada podrá ser eliminada antes de la fecha y hora de ejecución.</t>
  </si>
  <si>
    <t>La transferencia programada sea eliminada con exito</t>
  </si>
  <si>
    <t>Se debe de realizar una transferencia y validar que se muestre de forma correcta el idioma ingles</t>
  </si>
  <si>
    <t>El cambio de idioma lo pueden realizar todos los usuarios con acceso al modulo regional</t>
  </si>
  <si>
    <t>Se debe de realizar una transferencia y validar que se muestre de forma correcta el idioma español</t>
  </si>
  <si>
    <t xml:space="preserve">Crear una transferencia entrte cuentas propias regionales origen SV destino HN/ PA/ CR, con usuario autorizante </t>
  </si>
  <si>
    <t>Elegir una cuenta que NO posea fondos</t>
  </si>
  <si>
    <t>Al realizar una transferencia entre cuentas propias regiional con una cuenta que NO posea fondos, debe de ser rechazada por fondos insuficientes</t>
  </si>
  <si>
    <t>La transferecia  no debe de realizarse por fondos insuficientes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</si>
  <si>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</si>
  <si>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 -destino SV
Cuenta Origen HN -Ahorros
Cuenta Destino SV - USD-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</si>
  <si>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</si>
  <si>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SV
Cuenta Origen HN- Corriente
Cuenta Destino SV - USD-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</si>
  <si>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</si>
  <si>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SV
Cuenta Origen HN- LPS Ahorros
Cuenta Destino SV-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</si>
  <si>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</si>
  <si>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SV
Cuenta Origen HN-LPS Corriente
 Cuenta Destino SV -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</si>
  <si>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</si>
  <si>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 -destino PA
Cuenta Origen HN -Ahorros
Cuenta Destino PA- USD-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</si>
  <si>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</si>
  <si>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PA
Cuenta Origen HN- Corriente
Cuenta Destino PA- USD-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</si>
  <si>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</si>
  <si>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PA
Cuenta Origen HN- LPS Ahorros
Cuenta Destino PA-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</si>
  <si>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</si>
  <si>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PA
Cuenta Origen HN-LPS Corriente
 Cuenta Destino PA-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</si>
  <si>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</si>
  <si>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CR
Cuenta Origen HN-Ahorros
Cuenta Destino CR Colones-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</si>
  <si>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</si>
  <si>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CR
Cuenta Origen HN-Corriente
   Cuenta Destino CR Colones-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</si>
  <si>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</si>
  <si>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CR
Cuenta Origen HN- LPS Corriente
Cuenta Destino CR  USD-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</si>
  <si>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</si>
  <si>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CR
Cuenta Origen HN- LPS Corriente
Cuenta Destino CR USD -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</si>
  <si>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</si>
  <si>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</si>
  <si>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HN-destino SV
Cuenta Origen HN- Corriente
Cuenta Destino SV - USD-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</si>
  <si>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</si>
  <si>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HN-destino SV
Cuenta Origen HN- LPS Ahorros
Cuenta Destino SV-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</si>
  <si>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</si>
  <si>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HN-destino SV
Cuenta Origen HN-LPS Corriente
 Cuenta Destino SV -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</si>
  <si>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</si>
  <si>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HN -destino PA
Cuenta Origen HN -Ahorros
Cuenta Destino PA- USD-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</si>
  <si>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</si>
  <si>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HN-destino PA
Cuenta Origen HN- Corriente
Cuenta Destino PA- USD-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</si>
  <si>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</si>
  <si>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HN-destino PA
Cuenta Origen HN- LPS Ahorros
Cuenta Destino PA-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</si>
  <si>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</si>
  <si>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HN-destino PA
Cuenta Origen HN-LPS Corriente
 Cuenta Destino PA-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</si>
  <si>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</si>
  <si>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HN-destino CR
Cuenta Origen HN-Ahorros
Cuenta Destino CR Colones-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</si>
  <si>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</si>
  <si>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HN-destino CR
Cuenta Origen HN-Corriente
   Cuenta Destino CR Colones-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</si>
  <si>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</si>
  <si>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HN-destino CR
Cuenta Origen HN- LPS Corriente
Cuenta Destino CR  USD-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</si>
  <si>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</si>
  <si>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HN-destino CR
Cuenta Origen HN- LPS Corriente
Cuenta Destino CR USD -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</si>
  <si>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</si>
  <si>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t>Transferencia sea enviada con éxito al ser autorizada por el segundo usuario aprobador</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</si>
  <si>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</si>
  <si>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</si>
  <si>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</si>
  <si>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</si>
  <si>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</si>
  <si>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</si>
  <si>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</si>
  <si>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</si>
  <si>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</si>
  <si>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</si>
  <si>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</si>
  <si>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</si>
  <si>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</si>
  <si>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</si>
  <si>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</si>
  <si>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</si>
  <si>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</si>
  <si>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</si>
  <si>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</si>
  <si>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</si>
  <si>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</si>
  <si>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</si>
  <si>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</si>
  <si>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</si>
  <si>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</si>
  <si>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t>Transferencia sea enviada con éxito, al ser autorizada por el usuario con aprobacion directa</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</si>
  <si>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</si>
  <si>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</si>
  <si>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</si>
  <si>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</si>
  <si>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</si>
  <si>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</si>
  <si>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</si>
  <si>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</si>
  <si>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</si>
  <si>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</si>
  <si>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</si>
  <si>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</si>
  <si>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</si>
  <si>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</si>
  <si>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</si>
  <si>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</si>
  <si>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</si>
  <si>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t>Usuario operador debe de crear una Transferencia entre cuentas propias Regional origen HN-destino CR
Cuenta Origen HN-Corriente
Cuenta Destino CR Colones- Ahorros</t>
  </si>
  <si>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</si>
  <si>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</si>
  <si>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</si>
  <si>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</si>
  <si>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</si>
  <si>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Acceder al modulo regional -</t>
    </r>
    <r>
      <rPr>
        <rFont val="Fira Sans Extra Condensed"/>
        <b/>
        <color theme="1"/>
      </rPr>
      <t xml:space="preserve"> Usuario con aprobación directa</t>
    </r>
    <r>
      <rPr>
        <rFont val="Fira Sans Extra Condensed"/>
        <color theme="1"/>
      </rPr>
      <t xml:space="preserve"> y esquema de firma 2 niveles</t>
    </r>
  </si>
  <si>
    <t>Usuario con aprobacion directa debe de crear una Transferencia entre cuentas propias Regional origen HN -destino SV
Cuenta Origen HN -Ahorros
Cuenta Destino SV - USD- Corriente</t>
  </si>
  <si>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</si>
  <si>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t>Usuario con aprobacion directa debe de crear una Transferencia entre cuentas propias Regional origen HN-destino SV
Cuenta Origen HN- Corriente
Cuenta Destino SV - USD- Ahorros</t>
  </si>
  <si>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</si>
  <si>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t>Usuario con aprobacion directa debe de crear una Transferencia entre cuentas propias Regional origen HN-destino SV
Cuenta Origen HN- LPS Ahorros
Cuenta Destino SV- Corriente</t>
  </si>
  <si>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</si>
  <si>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t>Usuario con aprobacion directa debe de crear una Transferencia entre cuentas propias Regional origen HN-destino SV
Cuenta Origen HN-LPS Corriente
 Cuenta Destino SV - Ahorros</t>
  </si>
  <si>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</si>
  <si>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t>Usuario con aprobacion directa debe de crear una Transferencia entre cuentas propias Regional origen HN -destino PA
Cuenta Origen HN -Ahorros
Cuenta Destino PA- USD- Corriente</t>
  </si>
  <si>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</si>
  <si>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t>Usuario con aprobacion directa debe de crear una Transferencia entre cuentas propias Regional origen HN-destino PA
Cuenta Origen HN- Corriente
Cuenta Destino PA- USD- Ahorros</t>
  </si>
  <si>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</si>
  <si>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t>Usuario con aprobacion directa debe de crear una Transferencia entre cuentas propias Regional origen HN-destino PA
Cuenta Origen HN- LPS Ahorros
Cuenta Destino PA- Corriente</t>
  </si>
  <si>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</si>
  <si>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t>Usuario con aprobacion directa debe de crear una Transferencia entre cuentas propias Regional origen HN-destino PA
Cuenta Origen HN-LPS Corriente
 Cuenta Destino PA- Ahorros</t>
  </si>
  <si>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</si>
  <si>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t>Usuario con aprobacion directa debe de crear una Transferencia entre cuentas propias Regional origen HN-destino CR
Cuenta Origen HN-Ahorros
Cuenta Destino CR Colones- Corriente</t>
  </si>
  <si>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</si>
  <si>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t>Usuario con aprobacion directa debe de crear una Transferencia entre cuentas propias Regional origen HN-destino CR
Cuenta Origen HN-Corriente
Cuenta Destino CR Colones- Ahorros</t>
  </si>
  <si>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</si>
  <si>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t>Usuario con aprobacion directa debe de crear una Transferencia entre cuentas propias Regional origen HN-destino CR
Cuenta Origen HN- LPS Corriente
Cuenta Destino CR  USD- Ahorros</t>
  </si>
  <si>
    <r>
      <rPr>
        <rFont val="Fira Sans Extra Condensed"/>
        <color theme="1"/>
      </rPr>
      <t>Acceder al modulo regional -</t>
    </r>
    <r>
      <rPr>
        <rFont val="Fira Sans Extra Condensed"/>
        <b/>
        <color theme="1"/>
      </rPr>
      <t xml:space="preserve"> Usuario con aprobación directa</t>
    </r>
    <r>
      <rPr>
        <rFont val="Fira Sans Extra Condensed"/>
        <color theme="1"/>
      </rPr>
      <t xml:space="preserve"> y esquema de firma 2 niveles</t>
    </r>
  </si>
  <si>
    <t>Usuario con aprobacion directa debe de crear una Transferencia entre cuentas propias Regional origen HN-destino CR
Cuenta Origen HN- LPS Corriente
Cuenta Destino CR USD - Ahorros</t>
  </si>
  <si>
    <r>
      <rPr>
        <rFont val="Fira Sans Extra Condensed"/>
        <color theme="1"/>
      </rPr>
      <t xml:space="preserve">Acceder al modulo regional con usuario </t>
    </r>
    <r>
      <rPr>
        <rFont val="Fira Sans Extra Condensed"/>
        <b/>
        <color theme="1"/>
      </rPr>
      <t>operador</t>
    </r>
  </si>
  <si>
    <t>Usuario operador debe de crear una Transferencia entre cuentas propias Regional origen HN-destino SV/ PA/ CR</t>
  </si>
  <si>
    <t xml:space="preserve">Crear una transferencia entrte cuentas propias regionales origen HN destino SV/ PA/ CR, con usuario autorizante </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</si>
  <si>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</si>
  <si>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CR -destino SV
Cuenta Origen CR-Ahorros
Cuenta Destino SV - USD-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</si>
  <si>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</si>
  <si>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CR -destino SV
Cuenta Origen CR- Corriente
Cuenta Destino SV - USD-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</si>
  <si>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</si>
  <si>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CR -destino SV
Cuenta Origen CR- Colones Ahorros
Cuenta Destino SV-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</si>
  <si>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</si>
  <si>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CR-destino SV
Cuenta Origen CR-Colones Corriente
 Cuenta Destino SV -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</si>
  <si>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</si>
  <si>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CR-destino PA
Cuenta Origen CR-Ahorros
Cuenta Destino PA- USD-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</si>
  <si>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</si>
  <si>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CR -destino PA
Cuenta Origen CR- Corriente
Cuenta Destino PA- USD-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</si>
  <si>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</si>
  <si>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PA
Cuenta Origen CR- Colones  Ahorros
Cuenta Destino PA-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</si>
  <si>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</si>
  <si>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HN-destino PA
Cuenta Origen CR -Colones Corriente
 Cuenta Destino PA-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</si>
  <si>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</si>
  <si>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CR-destino HN
Cuenta Origen CR -Ahorros
Cuenta Destino HN -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</si>
  <si>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</si>
  <si>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CR-destino HN
Cuenta Origen CR-Corriente
   Cuenta Destino HN-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</si>
  <si>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</si>
  <si>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CR-destino HN
Cuenta Origen CR- Colones Corriente
Cuenta Destino HN USD-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</si>
  <si>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</si>
  <si>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CR-destino HN
Cuenta Origen CR Colones Corriente
Cuenta Destino HN USD -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</si>
  <si>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</si>
  <si>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 -destino SV
Cuenta Origen CR-Ahorros
Cuenta Destino SV - USD-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</si>
  <si>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</si>
  <si>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 -destino SV
Cuenta Origen CR- Corriente
Cuenta Destino SV - USD-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</si>
  <si>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</si>
  <si>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 -destino SV
Cuenta Origen CR- Colones Ahorros
Cuenta Destino SV-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</si>
  <si>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</si>
  <si>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CR-destino SV
Cuenta Origen CR-Colones Corriente
 Cuenta Destino SV -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</si>
  <si>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</si>
  <si>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CR-destino PA
Cuenta Origen CR-Ahorros
Cuenta Destino PA- USD-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</si>
  <si>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</si>
  <si>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 -destino PA
Cuenta Origen CR- Corriente
Cuenta Destino PA- USD-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</si>
  <si>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</si>
  <si>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 -destino PA
Cuenta Origen CR- Colones  Ahorros
Cuenta Destino PA-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</si>
  <si>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</si>
  <si>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CR-destino PA
Cuenta Origen CR -Colones Corriente
 Cuenta Destino PA-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</si>
  <si>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</si>
  <si>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CR-destino HN
Cuenta Origen CR -Ahorros
Cuenta Destino HN -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</si>
  <si>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</si>
  <si>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CR-destino HN
Cuenta Origen CR-Corriente
   Cuenta Destino HN-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</si>
  <si>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</si>
  <si>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CR-destino HN
Cuenta Origen CR- Colones Corriente
Cuenta Destino HN USD-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</si>
  <si>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</si>
  <si>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CR-destino HN
Cuenta Origen CR Colones Corriente
Cuenta Destino HN USD -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</si>
  <si>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</si>
  <si>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</si>
  <si>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</si>
  <si>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</si>
  <si>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</si>
  <si>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</si>
  <si>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</si>
  <si>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t>Usuario operador debe de crear una Transferencia entre cuentas propias Regional origen HN-destino PA
Cuenta Origen CR- Colones  Ahorros
Cuenta Destino PA-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</si>
  <si>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</si>
  <si>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t>Usuario operador debe de crear una Transferencia entre cuentas propias Regional origen HN-destino PA
Cuenta Origen CR -Colones Corriente
 Cuenta Destino PA-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</si>
  <si>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</si>
  <si>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</si>
  <si>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</si>
  <si>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</si>
  <si>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</si>
  <si>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</si>
  <si>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</si>
  <si>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</si>
  <si>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</si>
  <si>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</si>
  <si>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</si>
  <si>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</si>
  <si>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</si>
  <si>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</si>
  <si>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</si>
  <si>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</si>
  <si>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t>Acceder al modulo regional con usuario operador y esquema de firma 2 niveles</t>
  </si>
  <si>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</si>
  <si>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</si>
  <si>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</si>
  <si>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</si>
  <si>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</si>
  <si>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</si>
  <si>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</si>
  <si>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</si>
  <si>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</si>
  <si>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</si>
  <si>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</si>
  <si>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</si>
  <si>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</si>
  <si>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</si>
  <si>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t>Usuario Usuario con aprobacion directa debe de crear una Transferencia entre cuentas propias Regional origen CR -destino SV
Cuenta Origen CR-Ahorros
Cuenta Destino SV - USD- Corriente</t>
  </si>
  <si>
    <t>Usuario Usuario con aprobacion directa debe de crear una Transferencia entre cuentas propias Regional origen CR -destino SV
Cuenta Origen CR- Corriente
Cuenta Destino SV - USD- Ahorros</t>
  </si>
  <si>
    <t>Usuario Usuario con aprobacion directa debe de crear una Transferencia entre cuentas propias Regional origen CR -destino SV
Cuenta Origen CR- Colones Ahorros
Cuenta Destino SV- Corriente</t>
  </si>
  <si>
    <t>Usuario Usuario con aprobacion directa debe de crear una Transferencia entre cuentas propias Regional origen CR-destino SV
Cuenta Origen CR-Colones Corriente
 Cuenta Destino SV - Ahorros</t>
  </si>
  <si>
    <t>Usuario Usuario con aprobacion directa debe de crear una Transferencia entre cuentas propias Regional origen CR-destino PA
Cuenta Origen CR-Ahorros
Cuenta Destino PA- USD- Corriente</t>
  </si>
  <si>
    <t>Usuario Usuario con aprobacion directa debe de crear una Transferencia entre cuentas propias Regional origen CR -destino PA
Cuenta Origen CR- Corriente
Cuenta Destino PA- USD- Ahorros</t>
  </si>
  <si>
    <t>Usuario Usuario con aprobacion directa debe de crear una Transferencia entre cuentas propias Regional origen HN-destino PA
Cuenta Origen CR- Colones  Ahorros
Cuenta Destino PA- Corriente</t>
  </si>
  <si>
    <t>Usuario Usuario con aprobacion directa debe de crear una Transferencia entre cuentas propias Regional origen HN-destino PA
Cuenta Origen CR -Colones Corriente
 Cuenta Destino PA- Ahorros</t>
  </si>
  <si>
    <t>Usuario Usuario con aprobacion directa debe de crear una Transferencia entre cuentas propias Regional origen CR-destino HN
Cuenta Origen CR -Ahorros
Cuenta Destino HN - Corriente</t>
  </si>
  <si>
    <t>Usuario Usuario con aprobacion directa debe de crear una Transferencia entre cuentas propias Regional origen CR-destino HN
Cuenta Origen CR-Corriente
   Cuenta Destino HN- Ahorros</t>
  </si>
  <si>
    <t>Usuario Usuario con aprobacion directa debe de crear una Transferencia entre cuentas propias Regional origen CR-destino HN
Cuenta Origen CR- Colones Corriente
Cuenta Destino HN USD- Ahorros</t>
  </si>
  <si>
    <r>
      <rPr>
        <rFont val="Fira Sans Extra Condensed"/>
        <color theme="1"/>
      </rPr>
      <t>Acceder al modulo regional -</t>
    </r>
    <r>
      <rPr>
        <rFont val="Fira Sans Extra Condensed"/>
        <b/>
        <color theme="1"/>
      </rPr>
      <t xml:space="preserve"> Usuario con aprobación directa</t>
    </r>
    <r>
      <rPr>
        <rFont val="Fira Sans Extra Condensed"/>
        <color theme="1"/>
      </rPr>
      <t xml:space="preserve"> y esquema de firma 2 niveles</t>
    </r>
  </si>
  <si>
    <t>Usuario Usuario con aprobacion directa debe de crear una Transferencia entre cuentas propias Regional origen CR-destino HN
Cuenta Origen CR Colones Corriente
Cuenta Destino HN USD - Ahorros</t>
  </si>
  <si>
    <t>Usuario operador debe de crear una Transferencia entre cuentas propias Regional origen CR-destino SV/ PA/ HN</t>
  </si>
  <si>
    <t xml:space="preserve">Crear una transferencia entrte cuentas propias regionales origen CR destino HN/ PA/ SV, con usuario autorizante </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</si>
  <si>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</si>
  <si>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 -destino SV
Cuenta Origen PA-Ahorros
Cuenta Destino SV - USD-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</si>
  <si>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</si>
  <si>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 -destino SV
Cuenta Origen PA - Corriente
Cuenta Destino SV - USD-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</si>
  <si>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</si>
  <si>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PA-destino SV
Cuenta Origen PA-  USD Corriente
Cuenta Destino SV- USD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</si>
  <si>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</si>
  <si>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PA-destino SV
Cuenta Origen PA-  USD Ahorro
Cuenta Destino SV- USD Ahorro</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</si>
  <si>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</si>
  <si>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PA-destino HN
Cuenta Origen PA- USD Ahorros
Cuenta Destino HN- USD-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</si>
  <si>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</si>
  <si>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 -destino HN
Cuenta Origen PA - USD Corriente
Cuenta Destino HN- USD-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</si>
  <si>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</si>
  <si>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 -destino HN
Cuenta Origen PA- Corriente
Cuenta Destino HN -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</si>
  <si>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</si>
  <si>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 -destino HN
Cuenta Origen PA - Ahorros
 Cuenta Destino HN-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</si>
  <si>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</si>
  <si>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 -destino CR
Cuenta Origen PA-Ahorros
Cuenta Destino CR Colones-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</si>
  <si>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</si>
  <si>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PA-destino CR
Cuenta Origen PA-Corriente
   Cuenta Destino CR Colones- Ahorros</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</si>
  <si>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</si>
  <si>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PA-destino CR
Cuenta Origen PA-  Corriente
Cuenta Destino CR  Corriente</t>
  </si>
  <si>
    <r>
      <rPr>
        <rFont val="Fira Sans Extra Condensed"/>
        <color theme="1"/>
      </rPr>
      <t xml:space="preserve">Acceder al modulo regional con usuario </t>
    </r>
    <r>
      <rPr>
        <rFont val="Fira Sans Extra Condensed"/>
        <b/>
        <color theme="1"/>
      </rPr>
      <t xml:space="preserve">autoirzador </t>
    </r>
    <r>
      <rPr>
        <rFont val="Fira Sans Extra Condensed"/>
        <color theme="1"/>
      </rPr>
      <t>y esquema de firma simple</t>
    </r>
  </si>
  <si>
    <t>Usuario autorizador debe de crear una Transferencia entre cuentas propias Regional origen PA -destino CR
Cuenta Origen PA- Ahorro
Cuenta Destino CR USD -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</si>
  <si>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</si>
  <si>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 -destino SV
Cuenta Origen PA-Ahorros
Cuenta Destino SV - USD-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</si>
  <si>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</si>
  <si>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 -destino SV
Cuenta Origen PA - Corriente
Cuenta Destino SV - USD-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</si>
  <si>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</si>
  <si>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PA-destino SV
Cuenta Origen PA-  USD Corriente
Cuenta Destino SV- USD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</si>
  <si>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</si>
  <si>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PA-destino SV
Cuenta Origen PA-  USD Ahorro
Cuenta Destino SV- USD Ahorro</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</si>
  <si>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</si>
  <si>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PA-destino HN
Cuenta Origen PA- USD Ahorros
Cuenta Destino HN- USD-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</si>
  <si>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</si>
  <si>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 -destino HN
Cuenta Origen PA - USD Corriente
Cuenta Destino HN- USD-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</si>
  <si>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</si>
  <si>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 -destino HN
Cuenta Origen PA- Corriente
Cuenta Destino HN -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</si>
  <si>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</si>
  <si>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 -destino HN
Cuenta Origen PA - Ahorros
 Cuenta Destino HN-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</si>
  <si>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</si>
  <si>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 -destino CR
Cuenta Origen PA-Ahorros
Cuenta Destino CR Colones-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</si>
  <si>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</si>
  <si>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PA-destino CR
Cuenta Origen PA-Corriente
   Cuenta Destino CR Colones-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</si>
  <si>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</si>
  <si>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PA-destino CR
Cuenta Origen PA-  Corriente
Cuenta Destino CR  Corriente</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</si>
  <si>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1 nivel</t>
    </r>
  </si>
  <si>
    <t>Usuario operador debe de crear una Transferencia entre cuentas propias Regional origen PA -destino CR
Cuenta Origen PA- Ahorro
Cuenta Destino CR USD - Ahorros</t>
  </si>
  <si>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</si>
  <si>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</si>
  <si>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</si>
  <si>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</si>
  <si>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</si>
  <si>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</si>
  <si>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</si>
  <si>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</si>
  <si>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</si>
  <si>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</si>
  <si>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</si>
  <si>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</si>
  <si>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</si>
  <si>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</si>
  <si>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</si>
  <si>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</si>
  <si>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</si>
  <si>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</si>
  <si>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</si>
  <si>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</si>
  <si>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</si>
  <si>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</si>
  <si>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</si>
  <si>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Acceder al modulo regional con usuario </t>
    </r>
    <r>
      <rPr>
        <rFont val="Fira Sans Extra Condensed"/>
        <b/>
        <color theme="1"/>
      </rPr>
      <t xml:space="preserve">autoirzante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</si>
  <si>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</si>
  <si>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</si>
  <si>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</si>
  <si>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</si>
  <si>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t>
    </r>
    <r>
      <rPr>
        <rFont val="Fira Sans Extra Condensed"/>
        <b/>
        <color theme="1"/>
      </rPr>
      <t>El 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</si>
  <si>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</si>
  <si>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</si>
  <si>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</si>
  <si>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</si>
  <si>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</si>
  <si>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</si>
  <si>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</si>
  <si>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</si>
  <si>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r>
      <rPr>
        <rFont val="Fira Sans Extra Condensed"/>
        <color theme="1"/>
      </rPr>
      <t xml:space="preserve">Acceder al modulo regional con usuario </t>
    </r>
    <r>
      <rPr>
        <rFont val="Fira Sans Extra Condensed"/>
        <b/>
        <color theme="1"/>
      </rPr>
      <t xml:space="preserve">operador </t>
    </r>
    <r>
      <rPr>
        <rFont val="Fira Sans Extra Condensed"/>
        <color theme="1"/>
      </rPr>
      <t>y esquema de firma 2 niveles</t>
    </r>
  </si>
  <si>
    <r>
      <rPr>
        <rFont val="Fira Sans Extra Condensed"/>
        <color theme="1"/>
      </rPr>
      <t xml:space="preserve">- Al momento de confirmar la transaccion se debe de mostrar la opción en donde el usuario le permite ingresar el código de Soft Token, para continuar con el proceso. 
- El </t>
    </r>
    <r>
      <rPr>
        <rFont val="Fira Sans Extra Condensed"/>
        <b/>
        <color theme="1"/>
      </rPr>
      <t>Usuario con aprobación directa</t>
    </r>
    <r>
      <rPr>
        <rFont val="Fira Sans Extra Condensed"/>
        <color theme="1"/>
      </rPr>
      <t xml:space="preserve"> debe de autorizar la TX ( no quedará pendiente de autorización)</t>
    </r>
  </si>
  <si>
    <t>Usuario Usuario con aprobacion directa debe de crear una Transferencia entre cuentas propias Regional origen PA -destino SV
Cuenta Origen PA-Ahorros
Cuenta Destino SV - USD- Corriente</t>
  </si>
  <si>
    <t>Usuario Usuario con aprobacion directa debe de crear una Transferencia entre cuentas propias Regional origen PA -destino SV
Cuenta Origen PA - Corriente
Cuenta Destino SV - USD- Ahorros</t>
  </si>
  <si>
    <t>Usuario Usuario con aprobacion directa debe de crear una Transferencia entre cuentas propias Regional origen PA-destino SV
Cuenta Origen PA-  USD Corriente
Cuenta Destino SV- USD Corriente</t>
  </si>
  <si>
    <t>Usuario Usuario con aprobacion directa debe de crear una Transferencia entre cuentas propias Regional origen PA-destino SV
Cuenta Origen PA-  USD Ahorro
Cuenta Destino SV- USD Ahorro</t>
  </si>
  <si>
    <t>Usuario Usuario con aprobacion directa debe de crear una Transferencia entre cuentas propias Regional origen PA-destino HN
Cuenta Origen PA- USD Ahorros
Cuenta Destino HN- USD- Corriente</t>
  </si>
  <si>
    <t>Usuario Usuario con aprobacion directa debe de crear una Transferencia entre cuentas propias Regional origen PA -destino HN
Cuenta Origen PA - USD Corriente
Cuenta Destino HN- USD- Ahorros</t>
  </si>
  <si>
    <t>Usuario Usuario con aprobacion directa debe de crear una Transferencia entre cuentas propias Regional origen PA -destino HN
Cuenta Origen PA- Corriente
Cuenta Destino HN - Corriente</t>
  </si>
  <si>
    <t>Usuario Usuario con aprobacion directa debe de crear una Transferencia entre cuentas propias Regional origen PA -destino HN
Cuenta Origen PA - Ahorros
 Cuenta Destino HN- Ahorros</t>
  </si>
  <si>
    <t>Usuario Usuario con aprobacion directa debe de crear una Transferencia entre cuentas propias Regional origen PA -destino CR
Cuenta Origen PA-Ahorros
Cuenta Destino CR Colones- Corriente</t>
  </si>
  <si>
    <t>Usuario Usuario con aprobacion directa debe de crear una Transferencia entre cuentas propias Regional origen PA-destino CR
Cuenta Origen PA-Corriente
   Cuenta Destino CR Colones- Ahorros</t>
  </si>
  <si>
    <r>
      <rPr>
        <rFont val="Fira Sans Extra Condensed"/>
        <color theme="1"/>
      </rPr>
      <t xml:space="preserve">Acceder al modulo regional - </t>
    </r>
    <r>
      <rPr>
        <rFont val="Fira Sans Extra Condensed"/>
        <b/>
        <color theme="1"/>
      </rPr>
      <t>Usuario con aprobación directa</t>
    </r>
    <r>
      <rPr>
        <rFont val="Fira Sans Extra Condensed"/>
        <color theme="1"/>
      </rPr>
      <t xml:space="preserve"> y esquema de firma 2 niveles</t>
    </r>
  </si>
  <si>
    <t>Usuario Usuario con aprobacion directa debe de crear una Transferencia entre cuentas propias Regional origen PA-destino CR
Cuenta Origen PA-  Corriente
Cuenta Destino CR  Corriente</t>
  </si>
  <si>
    <r>
      <rPr>
        <rFont val="Fira Sans Extra Condensed"/>
        <color theme="1"/>
      </rPr>
      <t>Acceder al modulo regional -</t>
    </r>
    <r>
      <rPr>
        <rFont val="Fira Sans Extra Condensed"/>
        <b/>
        <color theme="1"/>
      </rPr>
      <t xml:space="preserve"> Usuario con aprobación directa</t>
    </r>
    <r>
      <rPr>
        <rFont val="Fira Sans Extra Condensed"/>
        <color theme="1"/>
      </rPr>
      <t xml:space="preserve"> y esquema de firma 2 niveles</t>
    </r>
  </si>
  <si>
    <t>Usuario Usuario con aprobacion directa debe de crear una Transferencia entre cuentas propias Regional origen PA -destino CR
Cuenta Origen PA- Ahorro
Cuenta Destino CR USD - Ahorros</t>
  </si>
  <si>
    <r>
      <rPr>
        <rFont val="Fira Sans Extra Condensed"/>
        <color theme="1"/>
      </rPr>
      <t xml:space="preserve">Acceder al modulo regional con usuario </t>
    </r>
    <r>
      <rPr>
        <rFont val="Fira Sans Extra Condensed"/>
        <b/>
        <color theme="1"/>
      </rPr>
      <t>operador</t>
    </r>
  </si>
  <si>
    <t>Usuario operador debe de crear una Transferencia entre cuentas propias Regional origen PA-destino SV/ HN/ CR</t>
  </si>
  <si>
    <t xml:space="preserve">Crear una transferencia entrte cuentas propias regionales origen PAdestino HN/ SV/ CR, con usuario autorizante </t>
  </si>
  <si>
    <t>Transferencias Regionales CAM / Consultas</t>
  </si>
  <si>
    <t>Criterio 1 - Características</t>
  </si>
  <si>
    <t xml:space="preserve">Ingresar al modulo con usuario autoirzador con la funcionalidad de  transferencias / consultas </t>
  </si>
  <si>
    <t>El usuario debe ingresar al menú de consultas de  transferencias enviadas, Transferencias / Consultar Transferencias a través de la siguiente  ruta: Módulo - Transferencias / Consultar Transferencias</t>
  </si>
  <si>
    <t>El usuario debe de ingresar desde la posicion consolidada y seleccionar el producto del cual quiere visualizar el detalle, mientras se carga la información que se mostrará en pantalla, se debe mostrar el “Skeleton” de las funcionalidades</t>
  </si>
  <si>
    <t xml:space="preserve">- Al usuario se le mostrara la informacion dependiendo el idioma que tenga seleccionado
- Los diseños deben adaptarse a una versión responsive. </t>
  </si>
  <si>
    <t xml:space="preserve">Permitir realizar consultas de transferencias regionales Davivienda entre cuentas propias y terceros realizadas por los países de Panamá, Costa Rica, Honduras y El Salvador.
</t>
  </si>
  <si>
    <t>Criterio 2 - Consultas</t>
  </si>
  <si>
    <t>Usuarios debe tener el servicio de transferencias Regionales asignado</t>
  </si>
  <si>
    <t>El usuario debe poder autogestionar la consulta de las transferencias regionales de los últimos 12 meses en un rango de 15 días segun movimientos realizados desde el mas reciente al mas antiguo por producto seleccionado</t>
  </si>
  <si>
    <t>- Al usuario se le mostrara la informacion dependiendo el idioma que tenga seleccionado
- Usuario solo tendrá acceso a la consulta de movimientos de transferencias solamente a las sociedades donde se encuentre vinculado</t>
  </si>
  <si>
    <t>Permitir realizar la consulta de las transferencias regionales de los últimos 12 meses en un rango de 15 días segun movimientos realizados</t>
  </si>
  <si>
    <t xml:space="preserve">Criterio 3 - Resultado- Títulos por columnas del resultado: </t>
  </si>
  <si>
    <r>
      <rPr>
        <rFont val="Fira Sans Extra Condensed"/>
        <color theme="1"/>
      </rPr>
      <t xml:space="preserve">Filtrar los resultador a través desde las siguientes opciones:
</t>
    </r>
    <r>
      <rPr>
        <rFont val="Fira Sans Extra Condensed"/>
        <b/>
        <color theme="1"/>
      </rPr>
      <t>Fecha</t>
    </r>
    <r>
      <rPr>
        <rFont val="Fira Sans Extra Condensed"/>
        <color theme="1"/>
      </rPr>
      <t xml:space="preserve">: El canal debe mostrar la fecha en la que se procesó la transferencia. por default se presentará de la más reciente a la más antigua.
</t>
    </r>
    <r>
      <rPr>
        <rFont val="Fira Sans Extra Condensed"/>
        <b/>
        <color theme="1"/>
      </rPr>
      <t>País</t>
    </r>
    <r>
      <rPr>
        <rFont val="Fira Sans Extra Condensed"/>
        <color theme="1"/>
      </rPr>
      <t xml:space="preserve"> </t>
    </r>
    <r>
      <rPr>
        <rFont val="Fira Sans Extra Condensed"/>
        <b/>
        <color theme="1"/>
      </rPr>
      <t>Origen</t>
    </r>
    <r>
      <rPr>
        <rFont val="Fira Sans Extra Condensed"/>
        <color theme="1"/>
      </rPr>
      <t xml:space="preserve">: Se debe mostrar el nombre y la bandera del país origen de la operación.
</t>
    </r>
    <r>
      <rPr>
        <rFont val="Fira Sans Extra Condensed"/>
        <b/>
        <color theme="1"/>
      </rPr>
      <t>Tipo</t>
    </r>
    <r>
      <rPr>
        <rFont val="Fira Sans Extra Condensed"/>
        <color theme="1"/>
      </rPr>
      <t xml:space="preserve"> </t>
    </r>
    <r>
      <rPr>
        <rFont val="Fira Sans Extra Condensed"/>
        <b/>
        <color theme="1"/>
      </rPr>
      <t>de</t>
    </r>
    <r>
      <rPr>
        <rFont val="Fira Sans Extra Condensed"/>
        <color theme="1"/>
      </rPr>
      <t xml:space="preserve"> </t>
    </r>
    <r>
      <rPr>
        <rFont val="Fira Sans Extra Condensed"/>
        <b/>
        <color theme="1"/>
      </rPr>
      <t>Transferencia</t>
    </r>
    <r>
      <rPr>
        <rFont val="Fira Sans Extra Condensed"/>
        <color theme="1"/>
      </rPr>
      <t xml:space="preserve">: Se debe mostrar el tipo de operación según corresponda ( Cuentas propias /  cuentas de terceros) 
</t>
    </r>
    <r>
      <rPr>
        <rFont val="Fira Sans Extra Condensed"/>
        <b/>
        <color theme="1"/>
      </rPr>
      <t>Número</t>
    </r>
    <r>
      <rPr>
        <rFont val="Fira Sans Extra Condensed"/>
        <color theme="1"/>
      </rPr>
      <t xml:space="preserve"> </t>
    </r>
    <r>
      <rPr>
        <rFont val="Fira Sans Extra Condensed"/>
        <b/>
        <color theme="1"/>
      </rPr>
      <t>de</t>
    </r>
    <r>
      <rPr>
        <rFont val="Fira Sans Extra Condensed"/>
        <color theme="1"/>
      </rPr>
      <t xml:space="preserve"> </t>
    </r>
    <r>
      <rPr>
        <rFont val="Fira Sans Extra Condensed"/>
        <b/>
        <color theme="1"/>
      </rPr>
      <t>Transacción</t>
    </r>
    <r>
      <rPr>
        <rFont val="Fira Sans Extra Condensed"/>
        <color theme="1"/>
      </rPr>
      <t xml:space="preserve">: Se debe mostrar el número único de identificación de la operación a nivel del canal. 
</t>
    </r>
    <r>
      <rPr>
        <rFont val="Fira Sans Extra Condensed"/>
        <b/>
        <color theme="1"/>
      </rPr>
      <t>Estado</t>
    </r>
    <r>
      <rPr>
        <rFont val="Fira Sans Extra Condensed"/>
        <color theme="1"/>
      </rPr>
      <t xml:space="preserve">: Estado actual de la operación (Exitosa, pendiente de aprobación, rechazada, anulada)
</t>
    </r>
    <r>
      <rPr>
        <rFont val="Fira Sans Extra Condensed"/>
        <b/>
        <color theme="1"/>
      </rPr>
      <t>Monto</t>
    </r>
    <r>
      <rPr>
        <rFont val="Fira Sans Extra Condensed"/>
        <color theme="1"/>
      </rPr>
      <t xml:space="preserve">: Se debe mostrar el valor y el tipo de la moneda por el cual se generó la transacción.
</t>
    </r>
  </si>
  <si>
    <t>Permitir realizar la consulta de las transferencias regionales exitosamente segun filtros seleccionados</t>
  </si>
  <si>
    <t>Criterio 3 - Resultado- Título Botón Ordenar</t>
  </si>
  <si>
    <t xml:space="preserve">Ordenar los resultados desde los filtros fecha y monto  y al volver al dar clic ordena de menor a mayor. 
</t>
  </si>
  <si>
    <t>Permitir ordenar la consulta de las transferencias regionales exitosamente segun filtros seleccionados</t>
  </si>
  <si>
    <t>Criterio 3 - Resultado- Título Botón “Buscar”</t>
  </si>
  <si>
    <t>Se habilita una barra de búsqueda que permite al usuario ingresar el “Número de transacción”, el canal debe actualizar los resultados de búsqueda teniendo en cuenta el texto ingresado, a la vez, se debe habilitar un botón de “cancelar” en caso que el usuario quiera eliminar la búsqueda.</t>
  </si>
  <si>
    <t xml:space="preserve">La búsqueda del (texto ingresado)  presenta o no resultados.
</t>
  </si>
  <si>
    <t>Se debe habilitar  el botón de “cancelar” con exito</t>
  </si>
  <si>
    <t>Criterio 4 - Elemento para “Filtrar”</t>
  </si>
  <si>
    <t>Busqueda de grupos con filtros especificos</t>
  </si>
  <si>
    <t>Consulta de información a través de filtros específicos, al dar clic sobre el texto se sobrepone en la pantalla un menú donde se detalla la información con los filtros que se podrán aplicar para la búsqueda de productos</t>
  </si>
  <si>
    <r>
      <rPr>
        <rFont val="Fira Sans Extra Condensed"/>
        <color theme="1"/>
      </rPr>
      <t xml:space="preserve">Aplicar las opciones de filtrado permitidas para la busqueda deseada:
</t>
    </r>
    <r>
      <rPr>
        <rFont val="Fira Sans Extra Condensed"/>
        <b/>
        <color theme="1"/>
      </rPr>
      <t>País Origen:</t>
    </r>
    <r>
      <rPr>
        <rFont val="Fira Sans Extra Condensed"/>
        <color theme="1"/>
      </rPr>
      <t xml:space="preserve"> la lista desplegada permite seleccionar uno o todos los países (Hn, Sv, Pa y CR), la opción que aquí se muestre dependerá de donde el grupo tenga presencia mostrando únicamente los países donde tiene productos.</t>
    </r>
  </si>
  <si>
    <t xml:space="preserve"> </t>
  </si>
  <si>
    <t>Permitir ingresar la información del filtros seleccionado</t>
  </si>
  <si>
    <r>
      <rPr>
        <rFont val="Fira Sans Extra Condensed"/>
        <color theme="1"/>
      </rPr>
      <t xml:space="preserve">Aplicar las opciones de filtrado permitidas para la busqueda deseada:
</t>
    </r>
    <r>
      <rPr>
        <rFont val="Fira Sans Extra Condensed"/>
        <b/>
        <color theme="1"/>
      </rPr>
      <t>Fecha por rango:</t>
    </r>
    <r>
      <rPr>
        <rFont val="Fira Sans Extra Condensed"/>
        <color theme="1"/>
      </rPr>
      <t xml:space="preserve"> El canal debe permitir realizar filtro de fecha por rango desde hasta. (Una vez se de clic a esta opción se debe mostrar un calendario mostrando el mes en curso, en caso que el usuario ingrese una fecha posterior a 12 meses se debe presentar un modal con mensaje: “Solo puede consultar los procesos de los últimos 12 meses”
</t>
    </r>
  </si>
  <si>
    <r>
      <rPr>
        <rFont val="Fira Sans Extra Condensed"/>
        <color theme="1"/>
      </rPr>
      <t xml:space="preserve">Aplicar las opciones de filtrado permitidas para la busqueda deseada:
</t>
    </r>
    <r>
      <rPr>
        <rFont val="Fira Sans Extra Condensed"/>
        <b/>
        <color theme="1"/>
      </rPr>
      <t>Tipo de Operación</t>
    </r>
    <r>
      <rPr>
        <rFont val="Fira Sans Extra Condensed"/>
        <color theme="1"/>
      </rPr>
      <t xml:space="preserve">: Permite seleccionar las opciones: (Cuentas propias / Cuentas de terceros) </t>
    </r>
  </si>
  <si>
    <r>
      <rPr>
        <rFont val="Fira Sans Extra Condensed"/>
        <color theme="1"/>
      </rPr>
      <t xml:space="preserve">Aplicar las opciones de filtrado permitidas para la busqueda deseada:
</t>
    </r>
    <r>
      <rPr>
        <rFont val="Fira Sans Extra Condensed"/>
        <b/>
        <color theme="1"/>
      </rPr>
      <t>Monto por rango:</t>
    </r>
    <r>
      <rPr>
        <rFont val="Fira Sans Extra Condensed"/>
        <color theme="1"/>
      </rPr>
      <t xml:space="preserve"> El canal debe permitir realizar filtro por monto por rango desde hasta.
 </t>
    </r>
  </si>
  <si>
    <r>
      <rPr>
        <rFont val="Fira Sans Extra Condensed"/>
        <color theme="1"/>
      </rPr>
      <t xml:space="preserve">Aplicar las opciones de filtrado permitidas para la busqueda deseada:
</t>
    </r>
    <r>
      <rPr>
        <rFont val="Fira Sans Extra Condensed"/>
        <b/>
        <color theme="1"/>
      </rPr>
      <t>Estado</t>
    </r>
    <r>
      <rPr>
        <rFont val="Fira Sans Extra Condensed"/>
        <color theme="1"/>
      </rPr>
      <t xml:space="preserve">: Lista desplegable con las opciones (Exitosa, pendiente de aprobación, rechazada, anulada)
 </t>
    </r>
  </si>
  <si>
    <t>Permitir validar las operaciones en sus diferentes estados</t>
  </si>
  <si>
    <r>
      <rPr>
        <rFont val="Fira Sans Extra Condensed"/>
        <color theme="1"/>
      </rPr>
      <t xml:space="preserve">Aplicar las opciones de filtrado permitidas para la busqueda deseada:
</t>
    </r>
    <r>
      <rPr>
        <rFont val="Fira Sans Extra Condensed"/>
        <b/>
        <color theme="1"/>
      </rPr>
      <t xml:space="preserve">Botón aplicar  </t>
    </r>
    <r>
      <rPr>
        <rFont val="Fira Sans Extra Condensed"/>
        <color theme="1"/>
      </rPr>
      <t>(En la parte superior del resultado se debe mostrar el nombre del filtro aplicado y una opción en el mismo texto que permita “eliminar” el filtro.</t>
    </r>
    <r>
      <rPr>
        <rFont val="Fira Sans Extra Condensed"/>
        <b/>
        <color theme="1"/>
      </rPr>
      <t xml:space="preserve">/borrar </t>
    </r>
    <r>
      <rPr>
        <rFont val="Fira Sans Extra Condensed"/>
        <color theme="1"/>
      </rPr>
      <t xml:space="preserve">(al dar clic debe eliminar los filtros de búsqueda ingresados por el usuario) </t>
    </r>
  </si>
  <si>
    <t>Permitir aplicar o borrar flitros de valores de la busqueda</t>
  </si>
  <si>
    <t>Criterio 3.5 - Paginación</t>
  </si>
  <si>
    <t>Paginación</t>
  </si>
  <si>
    <t>Se debe mostrar la paginación con el número de páginas totales que arroja el resultado</t>
  </si>
  <si>
    <t>Se presentará hasta 50 registros por página, de acuerdo la información obtenida del resultado de la consulta</t>
  </si>
  <si>
    <t>Mostrar los resultados de la búsqueda y hasta 50 resultados por pagina</t>
  </si>
  <si>
    <t>3.6 Descargar Reporte</t>
  </si>
  <si>
    <t>Realizar la descarga resumen de todas las transacciones ejecutadas por cana</t>
  </si>
  <si>
    <t>El usuario debe ingresar al menú de consultas de  transferencias enviadas, Transferencias / Consultar Transferencias a través de la siguiente  ruta: Módulo - Transferencias / Consultar Transferencias/ Descarga de reportes</t>
  </si>
  <si>
    <t>Usuario debe de seleccionar el formato en el cual desea descargar el reporte  con el registro de transacciones</t>
  </si>
  <si>
    <t>En el formato en PDF debe mostrar:
Nombre del banco en la parte superior
Título: Consulta de transferencias
Rango de fecha: aplica si fue filtrado por el usuario, se muestra el rango según aplique.
Resultado: Contenido de la consulta en la parte inferior de manera ordenada y clara. (Fecha, país, Tipo de transferencia, Número de proceso, Estado, Monto en USD)</t>
  </si>
  <si>
    <t>Permitir la descarga del reporte en PDF y La información descargada debe coincidir si fue aplicado un filtro.</t>
  </si>
  <si>
    <t>Realizar la descarga resumen de todas las transacciones ejecutadas por canal</t>
  </si>
  <si>
    <t>Permitir la descarga del reporte en Excel y La información descargada debe coincidir si fue aplicado un filtro.</t>
  </si>
  <si>
    <t>Descarga de reporte masiva</t>
  </si>
  <si>
    <t xml:space="preserve">El usuario debe ingresar al menú de consultas de  transferencias enviadas, Transferencias / Consultar Transferencias a través de la siguiente  ruta: Módulo - Transferencias / Consultar Transferencias/ Descarga de reportes
</t>
  </si>
  <si>
    <t>La generación del reporte de descarga masiva se puede realizar en línea y mostrará el siguiente modal: “El reporte se enviará al buzón de notificaciones del módulo regional.”</t>
  </si>
  <si>
    <t>En el formato en PDF debe mostrar:
Nombre del banco en la parte superior
Título: Consulta de transferencias
Rango de fecha: aplica si fue filtrado por el usuario, se muestra el rango según aplique.
Resultado: Contenido de la consulta en la parte inferior de manera ordenada y clara. (Fecha, país, Tipo de transferencia, Número de proceso, Estado, Monto en USD)</t>
  </si>
  <si>
    <t>Criterio 4 - Detalle Transferencias a cuentas propias Davivienda</t>
  </si>
  <si>
    <t>Usuario con perfil de consulta de transferencias Regionales asignado</t>
  </si>
  <si>
    <t>Al dar clic sobre el registro en la consulta de las operaciones ejecutadas de manera exitosa se mostrará el resumen de la misma y el usuario podrá realizar descarga del comprobante de la operación en formato PDF.</t>
  </si>
  <si>
    <r>
      <rPr>
        <rFont val="Fira Sans Extra Condensed"/>
        <color theme="1"/>
      </rPr>
      <t xml:space="preserve">Visualizar el detalle de la transferencia y realizar descarga del comprobante de la operación en formato PDF.
Detalle de transacción: (Debajo del elemento se debe de mostar el boton de retorno)
Estado
</t>
    </r>
    <r>
      <rPr>
        <rFont val="Fira Sans Extra Condensed"/>
        <b/>
        <color theme="1"/>
      </rPr>
      <t xml:space="preserve">Tipo de Transaferencia
</t>
    </r>
    <r>
      <rPr>
        <rFont val="Fira Sans Extra Condensed"/>
        <color theme="1"/>
      </rPr>
      <t xml:space="preserve">Numero de transacción
Fecha y hora
Estado
</t>
    </r>
    <r>
      <rPr>
        <rFont val="Fira Sans Extra Condensed"/>
        <b/>
        <color theme="1"/>
      </rPr>
      <t xml:space="preserve">Detalle del origen
</t>
    </r>
    <r>
      <rPr>
        <rFont val="Fira Sans Extra Condensed"/>
        <color theme="1"/>
      </rPr>
      <t xml:space="preserve">Pais
Empresa
Producto
Nombre producto
Número de prodcuto
Monto a debitar
</t>
    </r>
    <r>
      <rPr>
        <rFont val="Fira Sans Extra Condensed"/>
        <b/>
        <color theme="1"/>
      </rPr>
      <t>Detalle del destino</t>
    </r>
    <r>
      <rPr>
        <rFont val="Fira Sans Extra Condensed"/>
        <color theme="1"/>
      </rPr>
      <t xml:space="preserve">
Pais 
Titular del producto
Producto
Alias del destino
Numero de producto
Tasa de cambio
Tasa de referecia
</t>
    </r>
    <r>
      <rPr>
        <rFont val="Fira Sans Extra Condensed"/>
        <b/>
        <color theme="1"/>
      </rPr>
      <t>Notificación</t>
    </r>
    <r>
      <rPr>
        <rFont val="Fira Sans Extra Condensed"/>
        <color theme="1"/>
      </rPr>
      <t xml:space="preserve">
Persona que proporciona la información
Fecha
Concepto
Comentario</t>
    </r>
  </si>
  <si>
    <t xml:space="preserve">Visualizar el detalle de la transferencia y realizar descarga del comprobante de la operación en formato PDF.
</t>
  </si>
  <si>
    <t>Criterio 4 - Detalle Transferencias a cuentas propias Davivienda rechazada</t>
  </si>
  <si>
    <r>
      <rPr>
        <rFont val="Fira Sans Extra Condensed"/>
        <color theme="1"/>
      </rPr>
      <t xml:space="preserve">Visualizar el detalle de la transferencia y el motivo del rechazo de la misma
Detalle de transacción: (Debajo del elemento se debe de mostar el boton de retorno)
Estado
</t>
    </r>
    <r>
      <rPr>
        <rFont val="Fira Sans Extra Condensed"/>
        <b/>
        <color theme="1"/>
      </rPr>
      <t xml:space="preserve">Tipo de Transaferencia
</t>
    </r>
    <r>
      <rPr>
        <rFont val="Fira Sans Extra Condensed"/>
        <color theme="1"/>
      </rPr>
      <t xml:space="preserve">Numero de transacción
Fecha y hora
Estado
</t>
    </r>
    <r>
      <rPr>
        <rFont val="Fira Sans Extra Condensed"/>
        <b/>
        <color theme="1"/>
      </rPr>
      <t xml:space="preserve">Detalle del origen
</t>
    </r>
    <r>
      <rPr>
        <rFont val="Fira Sans Extra Condensed"/>
        <color theme="1"/>
      </rPr>
      <t xml:space="preserve">Pais
Empresa
Producto
Nombre producto
Número de prodcuto
Monto a debitar
</t>
    </r>
    <r>
      <rPr>
        <rFont val="Fira Sans Extra Condensed"/>
        <b/>
        <color theme="1"/>
      </rPr>
      <t>Detalle del destino</t>
    </r>
    <r>
      <rPr>
        <rFont val="Fira Sans Extra Condensed"/>
        <color theme="1"/>
      </rPr>
      <t xml:space="preserve">
Pais 
Titular del producto
Producto
Alias del destino
Numero de producto
Tasa de cambio
Tasa de referecia
</t>
    </r>
    <r>
      <rPr>
        <rFont val="Fira Sans Extra Condensed"/>
        <b/>
        <color theme="1"/>
      </rPr>
      <t>Notificación</t>
    </r>
    <r>
      <rPr>
        <rFont val="Fira Sans Extra Condensed"/>
        <color theme="1"/>
      </rPr>
      <t xml:space="preserve">
Persona que proporciona la información
Fecha
Concepto
Comentario</t>
    </r>
  </si>
  <si>
    <t xml:space="preserve">El canal debe permitir visualizar la causal ingresada por el usuario dentro del esquema de firma.
</t>
  </si>
  <si>
    <t>Criterio 4 - Detalle Detalle Transferencias a cuentas de terceros Davivienda</t>
  </si>
  <si>
    <r>
      <rPr>
        <rFont val="Fira Sans Extra Condensed"/>
        <color theme="1"/>
      </rPr>
      <t xml:space="preserve">Visualizar el detalle de la transferencia y realizar descarga del comprobante de la operación en formato PDF.
Detalle de transacción: (Debajo del elemento se debe de mostar el boton de retorno)
Estado
</t>
    </r>
    <r>
      <rPr>
        <rFont val="Fira Sans Extra Condensed"/>
        <b/>
        <color theme="1"/>
      </rPr>
      <t xml:space="preserve">Tipo de Transaferencia
</t>
    </r>
    <r>
      <rPr>
        <rFont val="Fira Sans Extra Condensed"/>
        <color theme="1"/>
      </rPr>
      <t xml:space="preserve">Numero de transacción
Fecha y hora
Estado
</t>
    </r>
    <r>
      <rPr>
        <rFont val="Fira Sans Extra Condensed"/>
        <b/>
        <color theme="1"/>
      </rPr>
      <t xml:space="preserve">Detalle del origen
</t>
    </r>
    <r>
      <rPr>
        <rFont val="Fira Sans Extra Condensed"/>
        <color theme="1"/>
      </rPr>
      <t xml:space="preserve">Pais
Empresa
Producto
Nombre producto
Número de prodcuto
Monto a debitar
</t>
    </r>
    <r>
      <rPr>
        <rFont val="Fira Sans Extra Condensed"/>
        <b/>
        <color theme="1"/>
      </rPr>
      <t>Detalle del destino</t>
    </r>
    <r>
      <rPr>
        <rFont val="Fira Sans Extra Condensed"/>
        <color theme="1"/>
      </rPr>
      <t xml:space="preserve">
Pais 
Titular del producto
Producto
Alias del destino
Numero de producto
Tasa de cambio
Tasa de referecia
</t>
    </r>
    <r>
      <rPr>
        <rFont val="Fira Sans Extra Condensed"/>
        <b/>
        <color theme="1"/>
      </rPr>
      <t>Notificación</t>
    </r>
    <r>
      <rPr>
        <rFont val="Fira Sans Extra Condensed"/>
        <color theme="1"/>
      </rPr>
      <t xml:space="preserve">
Persona que proporciona la información
Fecha
Concepto
Comentario</t>
    </r>
  </si>
  <si>
    <r>
      <rPr>
        <rFont val="Fira Sans Extra Condensed"/>
        <color theme="1"/>
      </rPr>
      <t xml:space="preserve">Visualizar el detalle de la transferencia y el motivo del rechazo de la misma
Detalle de transacción: (Debajo del elemento se debe de mostar el boton de retorno)
Estado
</t>
    </r>
    <r>
      <rPr>
        <rFont val="Fira Sans Extra Condensed"/>
        <b/>
        <color theme="1"/>
      </rPr>
      <t xml:space="preserve">Tipo de Transaferencia
</t>
    </r>
    <r>
      <rPr>
        <rFont val="Fira Sans Extra Condensed"/>
        <color theme="1"/>
      </rPr>
      <t xml:space="preserve">Numero de transacción
Fecha y hora
Estado
</t>
    </r>
    <r>
      <rPr>
        <rFont val="Fira Sans Extra Condensed"/>
        <b/>
        <color theme="1"/>
      </rPr>
      <t xml:space="preserve">Detalle del origen
</t>
    </r>
    <r>
      <rPr>
        <rFont val="Fira Sans Extra Condensed"/>
        <color theme="1"/>
      </rPr>
      <t xml:space="preserve">Pais
Empresa
Producto
Nombre producto
Número de prodcuto
Monto a debitar
</t>
    </r>
    <r>
      <rPr>
        <rFont val="Fira Sans Extra Condensed"/>
        <b/>
        <color theme="1"/>
      </rPr>
      <t>Detalle del destino</t>
    </r>
    <r>
      <rPr>
        <rFont val="Fira Sans Extra Condensed"/>
        <color theme="1"/>
      </rPr>
      <t xml:space="preserve">
Pais 
Titular del producto
Producto
Alias del destino
Numero de producto
Tasa de cambio
Tasa de referecia
</t>
    </r>
    <r>
      <rPr>
        <rFont val="Fira Sans Extra Condensed"/>
        <b/>
        <color theme="1"/>
      </rPr>
      <t>Notificación</t>
    </r>
    <r>
      <rPr>
        <rFont val="Fira Sans Extra Condensed"/>
        <color theme="1"/>
      </rPr>
      <t xml:space="preserve">
Persona que proporciona la información
Fecha
Concepto
Comentario</t>
    </r>
  </si>
  <si>
    <t>El canal debe permitir visualizar la causal ingresada por el usuario dentro del esquema de firma.</t>
  </si>
  <si>
    <r>
      <rPr>
        <rFont val="Fira Sans Extra Condensed"/>
        <b/>
        <color theme="1"/>
      </rPr>
      <t>Esta Informacion se debe de mostrar unicamente para SV
Teléfono del beneficiario</t>
    </r>
    <r>
      <rPr>
        <rFont val="Fira Sans Extra Condensed"/>
        <color theme="1"/>
      </rPr>
      <t xml:space="preserve">: Debe permitir visualizar la información ingresada en la confección.
</t>
    </r>
    <r>
      <rPr>
        <rFont val="Fira Sans Extra Condensed"/>
        <b/>
        <color theme="1"/>
      </rPr>
      <t>Tipo de beneficiario</t>
    </r>
    <r>
      <rPr>
        <rFont val="Fira Sans Extra Condensed"/>
        <color theme="1"/>
      </rPr>
      <t xml:space="preserve">: Se debe mostrar la información seleccionada por el usuario.
</t>
    </r>
    <r>
      <rPr>
        <rFont val="Fira Sans Extra Condensed"/>
        <b/>
        <color theme="1"/>
      </rPr>
      <t>Natural</t>
    </r>
    <r>
      <rPr>
        <rFont val="Fira Sans Extra Condensed"/>
        <color theme="1"/>
      </rPr>
      <t xml:space="preserve">: Seguido de la opción ingresada “Es familiar” / “Otros”
</t>
    </r>
    <r>
      <rPr>
        <rFont val="Fira Sans Extra Condensed"/>
        <b/>
        <color theme="1"/>
      </rPr>
      <t>Jurídico</t>
    </r>
    <r>
      <rPr>
        <rFont val="Fira Sans Extra Condensed"/>
        <color theme="1"/>
      </rPr>
      <t xml:space="preserve">: Pertenece al mismo grupo empresarial “Si” o “No”
</t>
    </r>
    <r>
      <rPr>
        <rFont val="Fira Sans Extra Condensed"/>
        <b/>
        <color theme="1"/>
      </rPr>
      <t>Declaración de Divisas</t>
    </r>
    <r>
      <rPr>
        <rFont val="Fira Sans Extra Condensed"/>
        <color theme="1"/>
      </rPr>
      <t xml:space="preserve">
</t>
    </r>
    <r>
      <rPr>
        <rFont val="Fira Sans Extra Condensed"/>
        <b/>
        <color theme="1"/>
      </rPr>
      <t>Persona que proporciona la información</t>
    </r>
    <r>
      <rPr>
        <rFont val="Fira Sans Extra Condensed"/>
        <color theme="1"/>
      </rPr>
      <t xml:space="preserve">: solo se debe presentar si se mostró. (Aplica únicamente para cuentas origen en El Salvador)
</t>
    </r>
    <r>
      <rPr>
        <rFont val="Fira Sans Extra Condensed"/>
        <b/>
        <color theme="1"/>
      </rPr>
      <t>Fecha</t>
    </r>
    <r>
      <rPr>
        <rFont val="Fira Sans Extra Condensed"/>
        <color theme="1"/>
      </rPr>
      <t xml:space="preserve">: solo se debe presentar si se mostró (Aplica únicamente para cuentas origen en El Salvador)
</t>
    </r>
    <r>
      <rPr>
        <rFont val="Fira Sans Extra Condensed"/>
        <b/>
        <color theme="1"/>
      </rPr>
      <t>Comentario</t>
    </r>
    <r>
      <rPr>
        <rFont val="Fira Sans Extra Condensed"/>
        <color theme="1"/>
      </rPr>
      <t xml:space="preserve">: solo se debe presentar si se ingresó. (Aplica únicamente para cuentas origen en El Salvador)
</t>
    </r>
    <r>
      <rPr>
        <rFont val="Fira Sans Extra Condensed"/>
        <b/>
        <color theme="1"/>
      </rPr>
      <t>Concepto</t>
    </r>
    <r>
      <rPr>
        <rFont val="Fira Sans Extra Condensed"/>
        <color theme="1"/>
      </rPr>
      <t>: solo se debe presentar si se seleccionó. (Aplica únicamente para cuentas origen en El Salvador)</t>
    </r>
  </si>
  <si>
    <t xml:space="preserve">Los datos se muestren unicamente para las cuentas de El Salvador </t>
  </si>
  <si>
    <t>Criterio 4- Descarga comprobante</t>
  </si>
  <si>
    <t>Las operaciones ejecutadas de manera exitosa deben mostrar el resumen de la misma y un elemento que haga referencia a que el usuario puede realizar descarga del comprobante de la transferencia en formato PDF</t>
  </si>
  <si>
    <t xml:space="preserve">Una vez se selecciones el formato de para obtener el archivo se habilita el botón de “Descargar”.
La información descargada debe coincidir si fue aplicado un filtro. El archivo descargado debe contener la información del total de resultados de todas las páginas que se muestran en el resultado. </t>
  </si>
  <si>
    <t xml:space="preserve">En el formato en PDF en canal debe mostrar:
Nombre del banco en la parte superior
Título: Detalle de la Transferencia
Resultado:  Contenido de la consulta en la parte inferior de manera ordenada y clara de acuerdo a la información registrada como en el criterio.
</t>
  </si>
  <si>
    <t>Permitir la descarga del reporte en PDF</t>
  </si>
  <si>
    <t>Criterio 4- Descarga masiva de comprobante</t>
  </si>
  <si>
    <t>Permitir la descarga del reporte en PDF desde el modal modal: “Buzón de notificaciones del módulo regional.”</t>
  </si>
  <si>
    <t xml:space="preserve">Usuario con perfil de consulta de transferencias Regionales asignado presenta inconveniente en la descarga </t>
  </si>
  <si>
    <t xml:space="preserve">Una vez se selecciones el formato de para obtener el archivo se habilita el botón de “Descargar”.
En el escenario que la descarga no se pueda generar por algún error se debe presentar mensaje: “Descarga fallida. Intente más tarde”  </t>
  </si>
  <si>
    <t xml:space="preserve">Mostar mensaje: “Descarga fallida. Intente más tarde” </t>
  </si>
  <si>
    <t>Criterio 5 - Seguridad y privacidad</t>
  </si>
  <si>
    <t xml:space="preserve">Solicitar la ofuscación en los servicios
</t>
  </si>
  <si>
    <t>Cumplir con  estándares de seguridad y privacidad para proteger la información financiera de los usuarios y garantizar la integridad de las transacciones</t>
  </si>
  <si>
    <t>La notificación al correo eléctronico adicionado en la confección, si pertenece a una notificación del estado de la operación esta debe ser perfilada fuera del módulo para activar o desactivar según el usuario lo solicite y debe ser independiente de cada uno de los usuarios.</t>
  </si>
  <si>
    <t xml:space="preserve">Los usuarios deben recibir notificaciones o confirmaciones por correo electrónico una vez que se haya realizado con éxito una transferencia, la cual debe ser perfilada fuera del módulo para activar o desactivar según el usuario lo solicite y debe ser independiente de cada uno de los usuarios.
para notificar el estado de la operación  </t>
  </si>
  <si>
    <t>Criterio 6 - Logs</t>
  </si>
  <si>
    <t>Todo servicio debe quedar almacenado para posterior consulta</t>
  </si>
  <si>
    <t xml:space="preserve">Toda interacción que se realice en el módulo de Transferencias debe quedar almacenada para posterior consulta de los usuarios del control Center con el servicio asignado, quienes podrán consultar y visualizar Logs y descarga de informes del   Registro completo de cualquier novedad realizada desde el módulo regional, El sistema debe generar y registrar de forma completa y precisa toda la información relacionados con la creación o cualquier novedad realizada, incluyendo toda la información detallada de los datos de entrada y salida, y cualquier error o excepción que se produzca durante el proceso.
</t>
  </si>
  <si>
    <t>Los logs generados deben ser retenidos durante el tiempo necesario para cumplir con las regulaciones locales y las políticas internas del banco. Además, los logs deben estar disponibles para su consulta y análisis por parte del personal autorizado en caso de necesidad, utilizando las herramientas y procedimientos adecuados.
Los logs deben registrar todos los eventos relevantes relacionados con la creación de una empresa en el canal virtual regional, incluyendo la información del usuario que creó la novedad, usuario que la aprobó, horas, fechas, ip, datos de los usuarios que intervienen desde el creador hasta el autorizante y deben ser detallados con fecha y hora de la acción., país y tipo de novedad. La herramienta debe permitir realizar la descarga de la información en formato pdf.</t>
  </si>
  <si>
    <t>Usuario Back Oficce consulte a través del visualizador la consulta de los servicios invocados por los usuarios en el canal donde visualiará el response y request</t>
  </si>
  <si>
    <t>La herramienta debe permitir realizar la descarga de la información en formato pdf y consulta HTML</t>
  </si>
  <si>
    <t xml:space="preserve"> Transferencias Regionales CAM / Programadas
</t>
  </si>
  <si>
    <t>Usuarios que posean asignada la funcionalidad y rol asociado a preparar transferencia entre cuentas propias.</t>
  </si>
  <si>
    <r>
      <rPr>
        <rFont val="Fira Sans Extra Condensed"/>
        <color rgb="FF000000"/>
        <sz val="10.0"/>
      </rPr>
      <t xml:space="preserve">Los usuarios con acceso a esta funcionalidad pueden </t>
    </r>
    <r>
      <rPr>
        <rFont val="Fira Sans Extra Condensed"/>
        <b/>
        <color rgb="FF000000"/>
        <sz val="10.0"/>
      </rPr>
      <t xml:space="preserve">crear </t>
    </r>
    <r>
      <rPr>
        <rFont val="Fira Sans Extra Condensed"/>
        <color rgb="FF000000"/>
        <sz val="10.0"/>
      </rPr>
      <t>una transferencia programada antes de su ejecución teniendo en cuenta el rol y esquema de firma definido por el grupo.</t>
    </r>
  </si>
  <si>
    <t>La autorización de las transferencias programadas deben seguir el flujo de esquema de firmas definido para el cliente</t>
  </si>
  <si>
    <t xml:space="preserve">La funcionalidad de transferencias programadas únicamente podrá ser confeccionada si la cuenta origen y destino corresponden a la divisa de dólares americanos. 
</t>
  </si>
  <si>
    <t xml:space="preserve">Confeccion exitosa si la cuenta origen y destino corresponden a la divisa de dólares americanos. </t>
  </si>
  <si>
    <r>
      <rPr>
        <rFont val="Fira Sans Extra Condensed"/>
        <color rgb="FF000000"/>
        <sz val="10.0"/>
      </rPr>
      <t xml:space="preserve">Los usuarios con acceso a esta funcionalidad puede </t>
    </r>
    <r>
      <rPr>
        <rFont val="Fira Sans Extra Condensed"/>
        <b/>
        <color rgb="FF000000"/>
        <sz val="10.0"/>
      </rPr>
      <t xml:space="preserve">editar </t>
    </r>
    <r>
      <rPr>
        <rFont val="Fira Sans Extra Condensed"/>
        <color rgb="FF000000"/>
        <sz val="10.0"/>
      </rPr>
      <t>una transferencia programada antes de su ejecución teniendo en cuenta el rol y esquema de firma definido por el grupo.</t>
    </r>
  </si>
  <si>
    <t xml:space="preserve">Editar exitosamente si la cuenta origen y destino corresponden a la divisa de dólares americanos. 
</t>
  </si>
  <si>
    <r>
      <rPr>
        <rFont val="Fira Sans Extra Condensed"/>
        <color rgb="FF000000"/>
        <sz val="10.0"/>
      </rPr>
      <t xml:space="preserve">Los usuarios con acceso a esta funcionalidad pueden </t>
    </r>
    <r>
      <rPr>
        <rFont val="Fira Sans Extra Condensed"/>
        <b/>
        <color rgb="FF000000"/>
        <sz val="10.0"/>
      </rPr>
      <t xml:space="preserve">eliminar </t>
    </r>
    <r>
      <rPr>
        <rFont val="Fira Sans Extra Condensed"/>
        <color rgb="FF000000"/>
        <sz val="10.0"/>
      </rPr>
      <t>una transferencia programada antes de su ejecución teniendo en cuenta el rol y esquema de firma definido por el grupo.</t>
    </r>
  </si>
  <si>
    <t xml:space="preserve">Eliminar de forma exitosa si la cuenta origen y destino corresponden a la divisa de dólares americanos. 
</t>
  </si>
  <si>
    <t>Criterio 2 - Programación- Error</t>
  </si>
  <si>
    <t>Dentro del Menú debe existir el apartado de “Transferir / Programar Transferencia”</t>
  </si>
  <si>
    <t>En caso que no se pueda presentar la información en pantalla se debe presentar un modal con el texto: “Intente más tarde, en estos momentos no podemos atender su solicitud.”</t>
  </si>
  <si>
    <t>Se muestre el mensaje en pantalla  “Intente más tarde, en estos momentos no podemos atender su solicitud.”</t>
  </si>
  <si>
    <t>Muestre mensaje de error</t>
  </si>
  <si>
    <t>usuario operador o autorizante debe de  intentar realizar la creación de una programación de transferencia pero no tiene acceso de acuerdo al rol se debe mostrar mensaje en pantalla</t>
  </si>
  <si>
    <t>Mostrar  ”Acceso denegado, el usuario no está autorizado para crear transacciones, contacte a su administrador para más información.”</t>
  </si>
  <si>
    <t>En caso que el usuario tenga la funcionalidad asignada pero le hayan quitado o no tenga asignados permisos de grupo de productos al intentar crear una transferencia el canal debe informar con un mensaje "Opción no disponible "</t>
  </si>
  <si>
    <t xml:space="preserve">Mostrar “Opción no disponible, no tiene grupo de productos asignados, contacte a su administrador para más información.”
</t>
  </si>
  <si>
    <t>Criterio 2 - Programación- OffCanvas</t>
  </si>
  <si>
    <t>Notificación desplegable para mostrar información relevante que el usuario debe tener en cuenta antes de realizar programación de transferencias:
“Recuerde que las transferencias locales deben ser realizadas desde su banca en línea o portal empresarial.”
“Para programar transferencias regionales la cuenta origen y destino deben estar aperturadas en dólares americanos”
“Para programar las cuentas deben estar en estado “activo”
“Esta funcionalidad permite programar transferencias entre productos de Panamá, Costa Rica, Honduras y El Salvador” 
Si la cuenta origen es de Costa Rica en divisa Colones no se habilitará  la funcionalidad de “Dealticket” 
Una Transferencia regional programada podrá ser eliminada antes de la fecha y hora de ejecución.
Los horarios en los que se programa una transferencia deben ser los horarios habilitados para el canal (7am a 7pm hora Centroamerica)</t>
  </si>
  <si>
    <t>El canal debe de permitir mostrar la notificacion de Offcanvas</t>
  </si>
  <si>
    <t>Muestre ventana con  los requisitos y alcances de la Programación de transferecias</t>
  </si>
  <si>
    <t>Criterio 2 - Programación-  Tipo de programación</t>
  </si>
  <si>
    <r>
      <rPr>
        <rFont val="Fira Sans Extra Condensed"/>
        <color rgb="FF000000"/>
        <sz val="10.0"/>
      </rPr>
      <t xml:space="preserve">
-Usuario </t>
    </r>
    <r>
      <rPr>
        <rFont val="Fira Sans Extra Condensed"/>
        <b/>
        <color rgb="FF000000"/>
        <sz val="10.0"/>
      </rPr>
      <t xml:space="preserve">operador </t>
    </r>
    <r>
      <rPr>
        <rFont val="Fira Sans Extra Condensed"/>
        <color rgb="FF000000"/>
        <sz val="10.0"/>
      </rPr>
      <t>cree la Transferencia programada y usuario autorizador brinde aprobación - esquema 1 nivel
- Seleccionar tipo de programación</t>
    </r>
  </si>
  <si>
    <t xml:space="preserve">Transferencias programada única vez, debe permite seleccionar la fecha y hora en la que una transferencia podrá ser ejecutada de manera puntual máximo hasta en 30 días. </t>
  </si>
  <si>
    <t>se debe habilitar en pantalla una opción para que el usuario Seleccione la Fecha y hora de Ejecución.
El canal debe sugerir al usuario seleccionar una de las dos opciones habilitadas para realizar la creación de la transferencias regionales:
- Regional entre cuentas propias
- Regional a cuentas de terceros</t>
  </si>
  <si>
    <t>Muestre botón con exito</t>
  </si>
  <si>
    <r>
      <rPr>
        <rFont val="Fira Sans Extra Condensed"/>
        <color rgb="FF000000"/>
        <sz val="10.0"/>
      </rPr>
      <t xml:space="preserve">
-Usuario </t>
    </r>
    <r>
      <rPr>
        <rFont val="Fira Sans Extra Condensed"/>
        <b/>
        <color rgb="FF000000"/>
        <sz val="10.0"/>
      </rPr>
      <t xml:space="preserve">operador </t>
    </r>
    <r>
      <rPr>
        <rFont val="Fira Sans Extra Condensed"/>
        <color rgb="FF000000"/>
        <sz val="10.0"/>
      </rPr>
      <t xml:space="preserve">cree la Transferencia programada y usuario autorizador brinde aprobación - esquema 1 nivel
- Seleccionar tipo de programación
</t>
    </r>
  </si>
  <si>
    <t>Transferencia programada Recurrente, debe permitir seleccionar el tipo de recurrencia y/o frecuencia en la que se ejecutará de manera repetitiva máximo hasta en 90 días.</t>
  </si>
  <si>
    <t>se debe habilitar en pantalla una opción para que el usuario Seleccione la Fecha y hora de Ejecución  y una opción para que el usuario Seleccionar:
- Con fecha Fin
- Cantidad de Repeticiones
El canal debe sugerir al usuario seleccionar una de las dos opciones habilitadas para realizar la creación de la transferencias regionales:
- Regional entre cuentas propias
- Regional a cuentas de terceros</t>
  </si>
  <si>
    <t xml:space="preserve">
-Usuario operador cree la Transferencia programada y usuario autorizador brinde aprobación - esquema 1 nivel
- Seleccionar tipo de programación
</t>
  </si>
  <si>
    <t>No permitir programar una transferencia Recurrente si el producto es en moneda de colones costaricenses</t>
  </si>
  <si>
    <t>No se debe habilitar en pantalla una opción para que el usuario Seleccione la Fecha y hora de Ejecución.</t>
  </si>
  <si>
    <t>No Muestre botón con exito</t>
  </si>
  <si>
    <t xml:space="preserve">
-Usuario autorizador cree la transferencia programada y brinde aprobación - esquema 1 nivel
- Seleccionar tipo de programación
</t>
  </si>
  <si>
    <t xml:space="preserve">Transferencias programada única vez, debe permite seleccionar la fecha y hora en la que una transferencia podrá ser ejecutada de manera puntual máximo hasta en 30 días y donde visualizará el listado de horas desde las 06:00 am hasta las 09:00 pm con intervalos de 15 minutos </t>
  </si>
  <si>
    <t xml:space="preserve">se debe habilitar en pantalla una opción para que el usuario Seleccione la Fecha y hora de Ejecución.
El canal debe sugerir al usuario seleccionar una de las dos opciones habilitadas para realizar la creación de la transferencias regionales:
- Regional entre cuentas propias
- Regional a cuentas de terceros
</t>
  </si>
  <si>
    <t>Transferencia programada Recurrente, debe permitir seleccionar el tipo de recurrencia y/o frecuencia en la que se ejecutará de manera repetitiva máximo hasta en 90 días y donde visualizará el listado de horas desde las 06:00 am hasta las 09:00 pm con intervalos de 15 minutos</t>
  </si>
  <si>
    <t xml:space="preserve">se debe habilitar en pantalla una opción para que el usuario Seleccione la Fecha y hora de Ejecución  y una opción para que el usuario Seleccionar:
- Con fecha Fin
- Cantidad de Repeticiones
El canal debe sugerir al usuario seleccionar una de las dos opciones habilitadas para realizar la creación de la transferencias regionales:
- Regional entre cuentas propias
- Regional a cuentas de terceros
</t>
  </si>
  <si>
    <t xml:space="preserve">No se debe habilitar en pantalla una opción para que el usuario Seleccione la Fecha y hora de Ejecución.
</t>
  </si>
  <si>
    <t xml:space="preserve">
-Usuario operador cree la Transferencia programada y usuarios autorizador brinde aprobación - esquema 2 nivel
- Seleccionar tipo de programación
</t>
  </si>
  <si>
    <t>No permitir programar una transferencia en un día no habil</t>
  </si>
  <si>
    <t xml:space="preserve">El canal deberá mostrar el mensaje: “Fecha no válida, recuerde que debe ser un día hábil para el país origen y destino” 
</t>
  </si>
  <si>
    <t>No permita programar la transferencia regional</t>
  </si>
  <si>
    <t xml:space="preserve">
-Usuario operador cree la Transferencia programada y usuario autorizador brinde aprobación posterior al horario establecido- esquema 1 nivel
- Seleccionar tipo de programación
</t>
  </si>
  <si>
    <t>Progranar transferencia regional seleccionando la fecha y hora en la que la transferencia podrá ser ejecutada de manera puntual máximo hasta en 30 días y donde visualizará el listado de horas desde las 06:00 am hasta las 09:00 pm con intervalos de 15 minutos  y brindar la autorización posterior al horario establecido</t>
  </si>
  <si>
    <t>La transferencia no deberá procesarse ya que no se autorizó dentro del horario seleccionado</t>
  </si>
  <si>
    <t>El canal no debe permitir prcoesar la transferencia regional</t>
  </si>
  <si>
    <t>Criterio 3 - Programación Transferencias a cuentas propias</t>
  </si>
  <si>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</si>
  <si>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t>Todos los campos son obligartorios y se deben de completar</t>
  </si>
  <si>
    <t xml:space="preserve">-La funcionalidad de transferencias programadas únicamente podrá ser confeccionada si la cuenta origen y destino corresponden a la divisa de dólares americanos. </t>
  </si>
  <si>
    <t>La confeccion de la transferencia regional sea exitosa y quede con estado pendiente de aprobación</t>
  </si>
  <si>
    <t xml:space="preserve">
-Usuario operador cree la Transferencia programada y usuario autorizador brinde aprobación - esquema 2 nivel
- Seleccionar tipo de programación
</t>
  </si>
  <si>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</si>
  <si>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t xml:space="preserve">
-Usuario autorizador brinde aprobación - esquema 2 nivel
- Seleccionar tipo de programación
-Dejar uno de los campos vacios</t>
  </si>
  <si>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</si>
  <si>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t>La confeccion y aprobación de la transferencia regional sea exitosa y quede con estado programacion pendiente</t>
  </si>
  <si>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</si>
  <si>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t>Quel el canal indique el campo que hace falta completar</t>
  </si>
  <si>
    <t>No permitir pasar de la confeccion de la transferencia regional mientras se completen todos los campos</t>
  </si>
  <si>
    <t xml:space="preserve">
Criterio 4 - Programación Transferencias a cuentas de terceros sin destino Autorizado
</t>
  </si>
  <si>
    <t>Para las transferencias regionales a terceros sin destino autorizado el usuario tendrá la siguiente visual o tracker de la transacción. Se deben crear los siguientes pasos para guiar al cliente en el proceso de elaboración de la transacción. 
Paso 1. Creación. En esta sección se deben mostrar los siguientes campos: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es un campo alfanumérico de 140 caracteres. Campo obligatorio, mínimo de 15 caracteres y no debe permitir caracteres especiales, Aquí el usuario puede colocar a criterio la descripción que desee incluir dentro de la transacción. 
Concepto.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</si>
  <si>
    <t>-La funcionalidad de transferencias programadas únicamente podrá ser confeccionada si la cuenta origen y destino corresponden a la divisa de dólares americanos. 
- El canal valida la información del paso anterior en caso que la información de la cuenta destino esté errada o no encuentre coincidencias en el core destino el canal debe informar:“Número de cuenta destino inválida” y no permitir continuar al paso de confirmación</t>
  </si>
  <si>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</si>
  <si>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</si>
  <si>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</si>
  <si>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t xml:space="preserve">
Criterio 5 - Programación Transferencias a cuentas de terceros con destino autorizado.
</t>
  </si>
  <si>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</si>
  <si>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</si>
  <si>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</si>
  <si>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t xml:space="preserve">
-Usuario operador cree la Transferencia programada y usuario autorizador brinde aprobación - esquema 1 nivel
- Seleccionar tipo de programación
-La funcionalidad de transferencias programadas únicamente podrá ser confeccionada si la cuenta origen y destino corresponden a la divisa de dólares americanos. 
</t>
  </si>
  <si>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</si>
  <si>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t>Quel el canal indique que no es posible seleccionar cuenta en Colones costarricesnes ya sea origen o destino</t>
  </si>
  <si>
    <t>No permitir pasar de la confeccion de la transferencia al seleccionar cuenta en colones costarricenses</t>
  </si>
  <si>
    <t xml:space="preserve">
-Usuario operador cree la Transferencia programada y usuario autorizador brinde aprobación - esquema 1 nivel
- Seleccionar tipo de programación
-La funcionalidad de transferencias programadas únicamente podrá ser confeccionada si la cuenta origen y destino corresponden a la divisa de dólares americanos. 
</t>
  </si>
  <si>
    <r>
      <rPr>
        <rFont val="Fira Sans Extra Condensed"/>
        <color theme="1"/>
        <sz val="10.0"/>
      </rPr>
      <t xml:space="preserve">Se deben crear los siguientes pasos para guiar al cliente en el proceso de elaboración de la transacción. 
País Origen:  lista desplegable con los valores HN, PA, CR y SV junto con la imagen de la bandera de cada país. 
Empresa: lista desplegable que debe presentar las empresas sobre las cuales el usuario tiene acceso para realizar transferencias regionales.
Cuenta origen: Se debe habilitar una búsqueda sencilla para “buscar” y seleccionar una única cuenta, en la que se debe visualizar toda la información relevante del producto, se debe mostrar la divisa de la cuenta origen, las cuentas que aquí se presenten debe ser las que el usuario tiene asociadas en su grupo de productos con estado “activas”,Se debe mostrar la divisa de la cuenta, por lo que en esta visual podrán existir cuentas de varios países y divisas, tener en cuenta las divisas de las cuentas destino a las cuales puede transferir.
País Destino: lista desplegable con los valores HN, PA, CR y SV junto con la imagen de la bandera de cada país.
Cuenta destino: lista desplegable en donde se deben presentar las cuentas de las empresas sobre las cuales tiene acceso el usuario que está realizando la transacción. El sistema debe presentar únicamente las cuentas habilitadas para recibir el dinero según la cuenta origen seleccionada
Monto a transferir: campo con dos valores obligatorios:
El primer campo es una lista desplegable con el símbolo de la divisa a transferir  USD, CRC y HNL. Este campo por defecto siempre debe venir en USD. Sin embargo, el usuario podrá seleccionar la moneda en la que desee aplicar la transferencia (HNL o CRC según la cuenta origen y destino)
Monto a debitar:  campo de salida y únicamente se debe mostrar si la cuenta origen de la transferencia no es USD, se debe mostrar el valor a debitar por la transacción en la moneda origen de la cuenta ya sea en colones o lempiras.  
Tasa de cambio:  es un campo de salida y únicamente se debe presentar si la moneda origen es diferente a USD.
Notificación: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Detalle de la transacción: campo alfanumérico de 140 caracteres. mínimo de 15 caracteres y no debe permitir caracteres especiales, Aquí el usuario puede colocar a criterio la descripción que desee incluir dentro de la transacción. 
</t>
    </r>
    <r>
      <rPr>
        <rFont val="Fira Sans Extra Condensed"/>
        <b/>
        <color theme="1"/>
        <sz val="10.0"/>
      </rPr>
      <t>Concepto.</t>
    </r>
    <r>
      <rPr>
        <rFont val="Fira Sans Extra Condensed"/>
        <color theme="1"/>
        <sz val="10.0"/>
      </rPr>
      <t xml:space="preserve">
Si la transferencia se realiza desde una cuenta origen SV debe habilitar en la parte inferior de la pantalla donde el canal debe solicitar ingresar la información de “Declaración de Divisas” así:
Persona que proporciona la información: Se debe mostrar en pantalla de manera no editable el nombre del usuario que realiza la creación del traslado. 
Fecha: Se debe mostrar en pantalla de manera no editable la fecha del día en el que se prepara la transferencia.
Comentario: Espacio para ingresar hasta 100 caracteres alfanuméricos con un mínimo de 15 caracteres Campo obligatorio
Concepto: Lista desplegable con las posibles opciones para la declaración de divisas en El Salvador. Campo obligatorio.
Boton continuar</t>
    </r>
  </si>
  <si>
    <t>Quel el canal indique que no es posible seleccionar cuenta en LPS ya sea origen o destino</t>
  </si>
  <si>
    <t>No permitir pasar de la confeccion de la transferencia al seleccionar cuenta en  LPS</t>
  </si>
  <si>
    <t xml:space="preserve">Transferencias Regionales CAM / Programadas
</t>
  </si>
  <si>
    <t>Criterio 6 - Confirmación.</t>
  </si>
  <si>
    <r>
      <rPr>
        <rFont val="Fira Sans Extra Condensed"/>
        <color theme="1"/>
      </rPr>
      <t xml:space="preserve">En esta sección se deben mostrar los siguientes campos de salida. No se pueden modificar. Si el usuario desea modificar la información debe dar clic en el botón “Regresar”. 
</t>
    </r>
    <r>
      <rPr>
        <rFont val="Fira Sans Extra Condensed"/>
        <b/>
        <color theme="1"/>
      </rPr>
      <t xml:space="preserve">Tipo de Programación: </t>
    </r>
    <r>
      <rPr>
        <rFont val="Fira Sans Extra Condensed"/>
        <color theme="1"/>
      </rPr>
      <t>Se debe mostrar si es transferencia única o recurrente
- Si la programación es única se debe mostrar la fecha y hora de programación.
- Si la programación es recurrente se debe mostrar el tipo de recurrencia si es con “fecha fin” o por “cantidad de repeticiones”</t>
    </r>
  </si>
  <si>
    <t>Programar una transferencia única y validar que se muestre la fecha y hora de programación.</t>
  </si>
  <si>
    <t>En el campo de salida. No se pueden modificar los datos, Si el usuario desea modificar la información debe dar clic en el botón “Regresar”.</t>
  </si>
  <si>
    <t>Se debe de mostrar el tipo de programacion unica con fecha y hora de aplicacion</t>
  </si>
  <si>
    <r>
      <rPr>
        <rFont val="Fira Sans Extra Condensed"/>
        <color theme="1"/>
      </rPr>
      <t xml:space="preserve">En esta sección se deben mostrar los siguientes campos de salida. No se pueden modificar. Si el usuario desea modificar la información debe dar clic en el botón “Regresar”. 
</t>
    </r>
    <r>
      <rPr>
        <rFont val="Fira Sans Extra Condensed"/>
        <b/>
        <color theme="1"/>
      </rPr>
      <t xml:space="preserve">Tipo de Programación: </t>
    </r>
    <r>
      <rPr>
        <rFont val="Fira Sans Extra Condensed"/>
        <color theme="1"/>
      </rPr>
      <t>Se debe mostrar si es transferencia única o recurrente
- Si la programación es única se debe mostrar la fecha y hora de programación.
- Si la programación es recurrente se debe mostrar el tipo de recurrencia si es con “fecha fin” o por “cantidad de repeticiones”</t>
    </r>
  </si>
  <si>
    <t>Programar una transferencia recurrente  y colocar una "fecha fin"</t>
  </si>
  <si>
    <t>Se debe de mostrar el tipo de programacion recurrente "fecha fin"</t>
  </si>
  <si>
    <r>
      <rPr>
        <rFont val="Fira Sans Extra Condensed"/>
        <color theme="1"/>
      </rPr>
      <t xml:space="preserve">En esta sección se deben mostrar los siguientes campos de salida. No se pueden modificar. Si el usuario desea modificar la información debe dar clic en el botón “Regresar”. 
</t>
    </r>
    <r>
      <rPr>
        <rFont val="Fira Sans Extra Condensed"/>
        <b/>
        <color theme="1"/>
      </rPr>
      <t xml:space="preserve">Tipo de Programación: </t>
    </r>
    <r>
      <rPr>
        <rFont val="Fira Sans Extra Condensed"/>
        <color theme="1"/>
      </rPr>
      <t>Se debe mostrar si es transferencia única o recurrente
- Si la programación es única se debe mostrar la fecha y hora de programación.
- Si la programación es recurrente se debe mostrar el tipo de recurrencia si es con “fecha fin” o por “cantidad de repeticiones”</t>
    </r>
  </si>
  <si>
    <t>Programar una transferencia recurrente  y colocar una fecha con "cantidad de repeticiones"</t>
  </si>
  <si>
    <t>Se debe de mostrar el tipo de programacion recurrente "cantidad de repeticiones"</t>
  </si>
  <si>
    <r>
      <rPr>
        <rFont val="Fira Sans Extra Condensed"/>
        <color theme="1"/>
      </rPr>
      <t xml:space="preserve">En esta sección se deben mostrar los siguientes campos de salida. No se pueden modificar. Si el usuario desea modificar la información debe dar clic en el botón “Regresar”. 
</t>
    </r>
    <r>
      <rPr>
        <rFont val="Fira Sans Extra Condensed"/>
        <b/>
        <color theme="1"/>
      </rPr>
      <t>Tipo de Programación:</t>
    </r>
    <r>
      <rPr>
        <rFont val="Fira Sans Extra Condensed"/>
        <color theme="1"/>
      </rPr>
      <t xml:space="preserve"> Se debe mostrar si es transferencia única o recurrente
</t>
    </r>
    <r>
      <rPr>
        <rFont val="Fira Sans Extra Condensed"/>
        <b/>
        <color theme="1"/>
      </rPr>
      <t>- Si la programación es única se debe mostrar la fecha y hora de programación.
- Si la programación es recurrente se debe mostrar el tipo de recurrencia si es con “fecha fin” o por “cantidad de repeticiones”</t>
    </r>
    <r>
      <rPr>
        <rFont val="Fira Sans Extra Condensed"/>
        <color theme="1"/>
      </rPr>
      <t xml:space="preserve">
</t>
    </r>
    <r>
      <rPr>
        <rFont val="Fira Sans Extra Condensed"/>
        <b/>
        <color theme="1"/>
      </rPr>
      <t>Fecha Inicio</t>
    </r>
    <r>
      <rPr>
        <rFont val="Fira Sans Extra Condensed"/>
        <color theme="1"/>
      </rPr>
      <t xml:space="preserve">: Se debe mostrar la fecha de inicio seleccionada en el paso 1.
</t>
    </r>
    <r>
      <rPr>
        <rFont val="Fira Sans Extra Condensed"/>
        <b/>
        <color theme="1"/>
      </rPr>
      <t>Hora Ejecución</t>
    </r>
    <r>
      <rPr>
        <rFont val="Fira Sans Extra Condensed"/>
        <color theme="1"/>
      </rPr>
      <t xml:space="preserve">: Se debe mostrar la hora de ejecución ingresada en el paso 1. 
</t>
    </r>
    <r>
      <rPr>
        <rFont val="Fira Sans Extra Condensed"/>
        <b/>
        <color theme="1"/>
      </rPr>
      <t>Regularidad</t>
    </r>
    <r>
      <rPr>
        <rFont val="Fira Sans Extra Condensed"/>
        <color theme="1"/>
      </rPr>
      <t xml:space="preserve">: Se debe mostrar la regularidad seleccionada diaria / Semanal / Quincenal / Mensual 
</t>
    </r>
    <r>
      <rPr>
        <rFont val="Fira Sans Extra Condensed"/>
        <b/>
        <color theme="1"/>
      </rPr>
      <t>Fecha Fin</t>
    </r>
    <r>
      <rPr>
        <rFont val="Fira Sans Extra Condensed"/>
        <color theme="1"/>
      </rPr>
      <t xml:space="preserve">: Se muestra la fecha en la que se realiza la última transferencia. de acuerdo a la información ingresada en el paso 1 (aplica únicamente si la es una programación con fecha fin)
</t>
    </r>
    <r>
      <rPr>
        <rFont val="Fira Sans Extra Condensed"/>
        <b/>
        <color theme="1"/>
      </rPr>
      <t>Cantidad Repeticiones</t>
    </r>
    <r>
      <rPr>
        <rFont val="Fira Sans Extra Condensed"/>
        <color theme="1"/>
      </rPr>
      <t xml:space="preserve">: Se debe mostrar la cantidad de repeticiones que tendrá esta programación de acuerdo la información ingresada en el paso 1.(aplica únicamente si la es una programación con repeticiones)  
</t>
    </r>
    <r>
      <rPr>
        <rFont val="Fira Sans Extra Condensed"/>
        <b/>
        <color theme="1"/>
      </rPr>
      <t>Tipo de Tx: Se debe mostrar el tipo de transferencia (a cuentas propias - a terceros)
País origen</t>
    </r>
    <r>
      <rPr>
        <rFont val="Fira Sans Extra Condensed"/>
        <color theme="1"/>
      </rPr>
      <t xml:space="preserve">: se debe mostrar el país seleccionado en el paso 1. 
</t>
    </r>
    <r>
      <rPr>
        <rFont val="Fira Sans Extra Condensed"/>
        <b/>
        <color theme="1"/>
      </rPr>
      <t>Empresa</t>
    </r>
    <r>
      <rPr>
        <rFont val="Fira Sans Extra Condensed"/>
        <color theme="1"/>
      </rPr>
      <t xml:space="preserve">: se debe mostrar el nombre de la Empresa seleccionada en el paso 1. 
</t>
    </r>
    <r>
      <rPr>
        <rFont val="Fira Sans Extra Condensed"/>
        <b/>
        <color theme="1"/>
      </rPr>
      <t>Cuenta origen</t>
    </r>
    <r>
      <rPr>
        <rFont val="Fira Sans Extra Condensed"/>
        <color theme="1"/>
      </rPr>
      <t xml:space="preserve">: se debe mostrar el número de la cuenta seleccionada en el paso 1. 
</t>
    </r>
    <r>
      <rPr>
        <rFont val="Fira Sans Extra Condensed"/>
        <b/>
        <color theme="1"/>
      </rPr>
      <t>País destino</t>
    </r>
    <r>
      <rPr>
        <rFont val="Fira Sans Extra Condensed"/>
        <color theme="1"/>
      </rPr>
      <t xml:space="preserve">: se debe mostrar el seleccionado en el paso 1.
</t>
    </r>
    <r>
      <rPr>
        <rFont val="Fira Sans Extra Condensed"/>
        <b/>
        <color theme="1"/>
      </rPr>
      <t>Tipo de cuenta</t>
    </r>
    <r>
      <rPr>
        <rFont val="Fira Sans Extra Condensed"/>
        <color theme="1"/>
      </rPr>
      <t xml:space="preserve">: se debe mostrar el informado en el paso 1.
</t>
    </r>
    <r>
      <rPr>
        <rFont val="Fira Sans Extra Condensed"/>
        <b/>
        <color theme="1"/>
      </rPr>
      <t>Cuenta destin</t>
    </r>
    <r>
      <rPr>
        <rFont val="Fira Sans Extra Condensed"/>
        <color theme="1"/>
      </rPr>
      <t xml:space="preserve">o: se debe presentar el número de cuenta seleccionada en el paso 1.
</t>
    </r>
    <r>
      <rPr>
        <rFont val="Fira Sans Extra Condensed"/>
        <b/>
        <color theme="1"/>
      </rPr>
      <t>Divisa</t>
    </r>
    <r>
      <rPr>
        <rFont val="Fira Sans Extra Condensed"/>
        <color theme="1"/>
      </rPr>
      <t xml:space="preserve">: Se debe presentar el nombre de la divisa de apertura del producto destino.
</t>
    </r>
    <r>
      <rPr>
        <rFont val="Fira Sans Extra Condensed"/>
        <b/>
        <color theme="1"/>
      </rPr>
      <t>Alias</t>
    </r>
    <r>
      <rPr>
        <rFont val="Fira Sans Extra Condensed"/>
        <color theme="1"/>
      </rPr>
      <t xml:space="preserve">: Se debe mostrar el nombre si fue registrado. 
</t>
    </r>
    <r>
      <rPr>
        <rFont val="Fira Sans Extra Condensed"/>
        <b/>
        <color theme="1"/>
      </rPr>
      <t>Titular</t>
    </r>
    <r>
      <rPr>
        <rFont val="Fira Sans Extra Condensed"/>
        <color theme="1"/>
      </rPr>
      <t xml:space="preserve">: Se debe mostrar el nombre del titular del producto.  
</t>
    </r>
    <r>
      <rPr>
        <rFont val="Fira Sans Extra Condensed"/>
        <b/>
        <color theme="1"/>
      </rPr>
      <t>Monto a transferir</t>
    </r>
    <r>
      <rPr>
        <rFont val="Fira Sans Extra Condensed"/>
        <color theme="1"/>
      </rPr>
      <t xml:space="preserve">: se debe presentar la moneda seleccionada y el valor ingresado en el paso 1. 
</t>
    </r>
    <r>
      <rPr>
        <rFont val="Fira Sans Extra Condensed"/>
        <b/>
        <color theme="1"/>
      </rPr>
      <t>Monto a debitar</t>
    </r>
    <r>
      <rPr>
        <rFont val="Fira Sans Extra Condensed"/>
        <color theme="1"/>
      </rPr>
      <t xml:space="preserve">: solo se debe presentar si se mostró en el paso 1.
</t>
    </r>
    <r>
      <rPr>
        <rFont val="Fira Sans Extra Condensed"/>
        <b/>
        <color theme="1"/>
      </rPr>
      <t>Tasa de cambio</t>
    </r>
    <r>
      <rPr>
        <rFont val="Fira Sans Extra Condensed"/>
        <color theme="1"/>
      </rPr>
      <t xml:space="preserve">: solo se debe presentar si se mostró en el paso 1. 
</t>
    </r>
    <r>
      <rPr>
        <rFont val="Fira Sans Extra Condensed"/>
        <b/>
        <color theme="1"/>
      </rPr>
      <t>Notificación</t>
    </r>
    <r>
      <rPr>
        <rFont val="Fira Sans Extra Condensed"/>
        <color theme="1"/>
      </rPr>
      <t xml:space="preserve">: debe mostrar la información si fue ingresada en el paso 1.
</t>
    </r>
    <r>
      <rPr>
        <rFont val="Fira Sans Extra Condensed"/>
        <b/>
        <color theme="1"/>
      </rPr>
      <t>Detalle de la transacción</t>
    </r>
    <r>
      <rPr>
        <rFont val="Fira Sans Extra Condensed"/>
        <color theme="1"/>
      </rPr>
      <t xml:space="preserve">: se debe presentar la información que ingresó el usuario en el paso 1. Si no ingresó información el campo se mostrará en blanco. 
</t>
    </r>
    <r>
      <rPr>
        <rFont val="Fira Sans Extra Condensed"/>
        <b/>
        <color theme="1"/>
      </rPr>
      <t>Costo de la transacción</t>
    </r>
    <r>
      <rPr>
        <rFont val="Fira Sans Extra Condensed"/>
        <color theme="1"/>
      </rPr>
      <t xml:space="preserve">: Se debe incluir el campo Costo de transacción (Comisión) este valor viene en USD ejm: 5 usd .
</t>
    </r>
    <r>
      <rPr>
        <rFont val="Fira Sans Extra Condensed"/>
        <b/>
        <color theme="1"/>
      </rPr>
      <t>Programación</t>
    </r>
    <r>
      <rPr>
        <rFont val="Fira Sans Extra Condensed"/>
        <color theme="1"/>
      </rPr>
      <t xml:space="preserve">: Se debe mostrar la fecha y hora de la programación de acuerdo a la información ingresada. </t>
    </r>
  </si>
  <si>
    <t>Persona que proporciona la información: solo se debe presentar si se mostró en el paso 1. (Aplica únicamente para cuentas origen en El Salvador)
Fecha: solo se debe presentar si se mostró en el paso 1. (Aplica únicamente para cuentas origen en El Salvador)
Comentario: solo se debe presentar si se ingresó en el paso 1. (Aplica únicamente para cuentas origen en El Salvador)
Concepto: solo se debe presentar si se seleccionó en el paso 1. (Aplica únicamente para cuentas origen en El Salvador)</t>
  </si>
  <si>
    <r>
      <rPr>
        <rFont val="Fira Sans Extra Condensed"/>
        <b/>
        <color theme="1"/>
      </rPr>
      <t>Confirmar</t>
    </r>
    <r>
      <rPr>
        <rFont val="Fira Sans Extra Condensed"/>
        <color theme="1"/>
      </rPr>
      <t>: Debe existir un botón que se llame “confirmar” la información que aquí se muestra dependerá del Rol y permisos que tenga parametrizado el usuario que realiza la novedad así:
Una vez el usuario de clic a “confirmar” se debe actualizar la pantalla y sobre poner una opción en donde al usuario le permite ingresar el código de confirmación de Soft Token, de acuerdo a lo descrito en la historia de usuario</t>
    </r>
  </si>
  <si>
    <t>Validar que se muestre lamopcion de colocar el código de confirmación de Soft Token</t>
  </si>
  <si>
    <t>la información que aquí se muestra dependerá del Rol y permisos que tenga parametrizado el usuario que realiza la novedad</t>
  </si>
  <si>
    <t>Al confirmar la transaccion programada debe de quedar pendiente de aplicacion</t>
  </si>
  <si>
    <r>
      <rPr>
        <rFont val="Fira Sans Extra Condensed"/>
        <b/>
        <color theme="1"/>
      </rPr>
      <t>Confirmar</t>
    </r>
    <r>
      <rPr>
        <rFont val="Fira Sans Extra Condensed"/>
        <color theme="1"/>
      </rPr>
      <t>: Debe existir un botón que se llame “confirmar” la información que aquí se muestra dependerá del Rol y permisos que tenga parametrizado el usuario que realiza la novedad así:
Una vez el usuario de clic a “confirmar” se debe actualizar la pantalla y sobre poner una opción en donde al usuario le permite ingresar el código de confirmación de Soft Token, de acuerdo a lo descrito en la historia de usuario</t>
    </r>
  </si>
  <si>
    <t>Colicar un token erroneo</t>
  </si>
  <si>
    <t>No debe de permitir continuar con el proceso</t>
  </si>
  <si>
    <t>Se debe de mostrar un mensaje de error dependiendo a la respuesta de cada core</t>
  </si>
  <si>
    <r>
      <rPr>
        <rFont val="Fira Sans Extra Condensed"/>
        <b/>
        <color theme="1"/>
      </rPr>
      <t>Confirmar</t>
    </r>
    <r>
      <rPr>
        <rFont val="Fira Sans Extra Condensed"/>
        <color theme="1"/>
      </rPr>
      <t>: Debe existir un botón que se llame “confirmar” la información que aquí se muestra dependerá del Rol y permisos que tenga parametrizado el usuario que realiza la novedad así:
Una vez el usuario de clic a “confirmar” se debe actualizar la pantalla y sobre poner una opción en donde al usuario le permite ingresar el código de confirmación de Soft Token, de acuerdo a lo descrito en la historia de usuario</t>
    </r>
  </si>
  <si>
    <t>Dejar la caja de desafio vacia (no colocar token )</t>
  </si>
  <si>
    <r>
      <rPr>
        <rFont val="Fira Sans Extra Condensed"/>
        <color theme="1"/>
      </rPr>
      <t xml:space="preserve">Al dar clic en el botón de “confirmar” se actualiza el tracker e informa que el usuario se encuentra en el paso “resultado” y la información que aquí se muestra dependerá del Rol que tenga parametrizado y tendremos las siguientes respuestas transversales:
</t>
    </r>
    <r>
      <rPr>
        <rFont val="Fira Sans Extra Condensed"/>
        <b/>
        <color theme="1"/>
      </rPr>
      <t>- En caso de una caída y no pueda ejecutar el traslado deberá informar: “ Intente más tarde” En estos momentos no podemos atender su solicitud.</t>
    </r>
  </si>
  <si>
    <r>
      <rPr>
        <rFont val="Fira Sans Extra Condensed"/>
        <color theme="1"/>
      </rPr>
      <t xml:space="preserve">Al dar clic en el botón de “confirmar” se actualiza el tracker e informa que el usuario se encuentra en el paso “resultado” y la información que aquí se muestra dependerá del Rol que tenga parametrizado y tendremos las siguientes respuestas transversales
</t>
    </r>
    <r>
      <rPr>
        <rFont val="Fira Sans Extra Condensed"/>
        <b/>
        <color theme="1"/>
      </rPr>
      <t xml:space="preserve">- En caso que el canal presente demora en la respuesta por parte del core de país origen y/o destino, si el tiempo es superior a x segundos se debe implementar la funcionalidad del DME 269 que hace referencia que el proceso queda en estado “En ejecución” adicional el usuario debe recibir una notificación a su bandeja de notificaciones donde se informe que la operación se encuentra en proceso, lo anterior para que el usuario no la realice nuevamente que podría generar una duplicidad. </t>
    </r>
  </si>
  <si>
    <r>
      <rPr>
        <rFont val="Fira Sans Extra Condensed"/>
        <color theme="1"/>
      </rPr>
      <t xml:space="preserve">Al dar clic en el botón de “confirmar” se actualiza el tracker e informa que el usuario se encuentra en el paso “resultado” y la información que aquí se muestra dependerá del Rol que tenga parametrizado y tendremos las siguientes respuestas transversales
</t>
    </r>
    <r>
      <rPr>
        <rFont val="Fira Sans Extra Condensed"/>
        <b/>
        <color theme="1"/>
      </rPr>
      <t>- En el caso que la operación sea superior a los límites establecidos por el usuario administrador el canal debe presentar un mensaje claro sobre el error presentado ejemplo “La operación no puede ser creada debido a que supera el límite monetario, comuníquese con su administrador”, la operación no debe ser creada y quedará registrada dentro de la base de datos como fallida y también en el histórico de transacciones del cliente con el motivo de rechazo</t>
    </r>
  </si>
  <si>
    <t>Programar una operacion que supere el limite que el cliente posee</t>
  </si>
  <si>
    <t xml:space="preserve">Al finalizar la fecha de pogramacion se debe de mostrar un mensaje de error </t>
  </si>
  <si>
    <r>
      <rPr>
        <rFont val="Fira Sans Extra Condensed"/>
        <b/>
        <color theme="1"/>
      </rPr>
      <t>Rol Preparador:</t>
    </r>
    <r>
      <rPr>
        <rFont val="Fira Sans Extra Condensed"/>
        <color theme="1"/>
      </rPr>
      <t xml:space="preserve"> Una vez el usuario de clic para confirmar el canal debe mostrar mensaje: “Proceso creado exitosamente, la solicitud fue enviada para aprobación de acuerdo al esquema de firma definido.” posterior debe mostrar:
</t>
    </r>
    <r>
      <rPr>
        <rFont val="Fira Sans Extra Condensed"/>
        <b/>
        <color theme="1"/>
      </rPr>
      <t>Estado: será</t>
    </r>
    <r>
      <rPr>
        <rFont val="Fira Sans Extra Condensed"/>
        <color theme="1"/>
      </rPr>
      <t xml:space="preserve"> “Pendiente autorización”
</t>
    </r>
    <r>
      <rPr>
        <rFont val="Fira Sans Extra Condensed"/>
        <b/>
        <color theme="1"/>
      </rPr>
      <t xml:space="preserve">Número de transacción: </t>
    </r>
    <r>
      <rPr>
        <rFont val="Fira Sans Extra Condensed"/>
        <color theme="1"/>
      </rPr>
      <t>debe mostrar el número único de identificación a nivel del canal.
posterior resumen de la información ingresada como en el paso anterior de manera no editable. adicional esta pantalla debe tener los siguientes accionables:
Finalizar: Al dar clic actualiza la pantalla y lo redirecciona al Home.</t>
    </r>
  </si>
  <si>
    <r>
      <rPr>
        <rFont val="Fira Sans Extra Condensed"/>
        <b/>
        <color theme="1"/>
      </rPr>
      <t>Rol Autorizador</t>
    </r>
    <r>
      <rPr>
        <rFont val="Fira Sans Extra Condensed"/>
        <color theme="1"/>
      </rPr>
      <t xml:space="preserve">: la pantalla que aquí se muestra depende del esquema de firma que tenga definida la empresa, así: 
Si la transacción no finaliza con está autorización de la OTP de acuerdo al esquema de firma definido  el canal debe informar “ Autorización exitosa, la solicitud fue enviada para aprobación de acuerdo al esquema de firma definido.” posterior debe mostrar:
</t>
    </r>
    <r>
      <rPr>
        <rFont val="Fira Sans Extra Condensed"/>
        <b/>
        <color theme="1"/>
      </rPr>
      <t>Estado</t>
    </r>
    <r>
      <rPr>
        <rFont val="Fira Sans Extra Condensed"/>
        <color theme="1"/>
      </rPr>
      <t xml:space="preserve">: Será “Pendiente autorización”
</t>
    </r>
    <r>
      <rPr>
        <rFont val="Fira Sans Extra Condensed"/>
        <b/>
        <color theme="1"/>
      </rPr>
      <t>Número de transacción:</t>
    </r>
    <r>
      <rPr>
        <rFont val="Fira Sans Extra Condensed"/>
        <color theme="1"/>
      </rPr>
      <t xml:space="preserve"> debe mostrar el número único de identificación del canal.
</t>
    </r>
    <r>
      <rPr>
        <rFont val="Fira Sans Extra Condensed"/>
        <b/>
        <color theme="1"/>
      </rPr>
      <t>Número de Comprobante</t>
    </r>
    <r>
      <rPr>
        <rFont val="Fira Sans Extra Condensed"/>
        <color theme="1"/>
      </rPr>
      <t xml:space="preserve">: El canal debe mostrar el número único de identificación del core.
Posterior resumen de la información ingresada como en el paso 2 de manera no editable. adicional esta pantalla debe tener los siguientes accionables:
</t>
    </r>
    <r>
      <rPr>
        <rFont val="Fira Sans Extra Condensed"/>
        <b/>
        <color theme="1"/>
      </rPr>
      <t>Finalizar</t>
    </r>
    <r>
      <rPr>
        <rFont val="Fira Sans Extra Condensed"/>
        <color theme="1"/>
      </rPr>
      <t xml:space="preserve">: Al dar clic actualiza la pantalla y lo redirecciona al Home. </t>
    </r>
  </si>
  <si>
    <t>Si el esquema de firma finaliza con la autorización del usuario de la OTP, se actualiza la pantalla y el canal debe informar el estado así: 
- Estado: si es exitoso mostrará “Programada”; Si fue rechazado debe mostrar el el Texto “Rechazado” seguida de las causales adjuntas Detalle Mensajería 
- Número de transacción: debe mostrar el número único de identificación.</t>
  </si>
  <si>
    <t>Validar que se muetsre el mensaje de acuerdo al estado de la transaccion programada</t>
  </si>
  <si>
    <t>Debe mostrar el comprobante de la operación</t>
  </si>
  <si>
    <r>
      <rPr>
        <rFont val="Fira Sans Extra Condensed"/>
        <b/>
        <color theme="1"/>
      </rPr>
      <t>Programación</t>
    </r>
    <r>
      <rPr>
        <rFont val="Fira Sans Extra Condensed"/>
        <color theme="1"/>
      </rPr>
      <t xml:space="preserve"> Se debe mostrar la fecha y hora y recurrencia según aplique de la programación de acuerdo a la información ingresada. 
posterior debe mostrar un resumen general del proceso, adicional el canal debe tener  una opción que le permita al usuario imprimir un comprobante. adicional esta pantalla debe tener los siguientes accionables:
Finalizar: Al dar clic actualiza la pantalla y lo redirecciona al Home. </t>
    </r>
  </si>
  <si>
    <t>Validar que muestre la fecha hora y recurrencia de acuerdo a la programacion realizada por el usuario</t>
  </si>
  <si>
    <t>Debe mostrar un resumen general del proceso, adicional el canal debe tener  una opción que le permita al usuario imprimir un comprobante.</t>
  </si>
  <si>
    <t xml:space="preserve">Cambio de idioma </t>
  </si>
  <si>
    <t>- Se debe de validar que al realizar el cambio de idioma no afecte los productos que se muestran en la pocion consolidada</t>
  </si>
  <si>
    <t xml:space="preserve">Validar que al programar una transferencia se muestre de forma correcta en idioma ingles y los textos del canal deben corresponder </t>
  </si>
  <si>
    <t xml:space="preserve">- Se debe de validar que al realizar el cambio de idioma no afecte los productos que se muestran en la pocion consolidada </t>
  </si>
  <si>
    <t xml:space="preserve">Validar que al programar una transferencia se muestre de forma correcta en idioma español y los textos del canal deben corresponder </t>
  </si>
  <si>
    <t>Criterio 8 - Logs</t>
  </si>
  <si>
    <t>Autorizaciones transversal</t>
  </si>
  <si>
    <t>Criterio - Reglas y Mensajería Soft token (Creacion de transferencias entre cuentas propias regionales, usuario preparador)</t>
  </si>
  <si>
    <t>Crear una Crear transferencia entre cuentas propias regionales con usuario operador con Soft Token</t>
  </si>
  <si>
    <t>Crear transferencia entre cuentas propias regionales origen SV-HN-CR-PA con esquema de firmas 1 grupo A y usuario operador con Soft Token</t>
  </si>
  <si>
    <t>Crear transferencia con usuario operador que no pertenezca al esquema de firmas</t>
  </si>
  <si>
    <t>- Al momento de confirmar debe de mostrar un mensaje  "Ingrese Código de Seguridad o clave dinámica
- Usuario debe ingresar token correcto dentro de los primeros 30s de haberlo generado</t>
  </si>
  <si>
    <t>- Permita crear la transferencia  y quede con estado pendiente de autorización</t>
  </si>
  <si>
    <t>Crear una Crear transferencia entre cuentas propias regionales con usuario operador y metodo de auntenticacion Soft Token</t>
  </si>
  <si>
    <t>- Al momento de confirmar debe de mostrar un mensaje  "Ingrese Código de Seguridad o clave dinámica
- Usuario debe ingresar token erroneo</t>
  </si>
  <si>
    <r>
      <rPr>
        <rFont val="Fira Sans Extra Condensed"/>
        <color theme="1"/>
      </rPr>
      <t xml:space="preserve">Debe de mostrar un mensaje </t>
    </r>
    <r>
      <rPr>
        <rFont val="Fira Sans Extra Condensed"/>
        <b/>
        <color theme="1"/>
      </rPr>
      <t>“Código ingresado errado</t>
    </r>
    <r>
      <rPr>
        <rFont val="Fira Sans Extra Condensed"/>
        <color theme="1"/>
      </rPr>
      <t>” y habilita un elemento de “aceptar”</t>
    </r>
  </si>
  <si>
    <t>- Al momento de confirmar debe de mostrar un mensaje  "Ingrese Código de Seguridad o clave dinámica
- Usuario debe ingresar 2 veces un Soft token erroneo</t>
  </si>
  <si>
    <r>
      <rPr>
        <rFont val="Fira Sans Extra Condensed"/>
        <color theme="1"/>
      </rPr>
      <t xml:space="preserve">El canal debe de mostrar un mensaje informarmando </t>
    </r>
    <r>
      <rPr>
        <rFont val="Fira Sans Extra Condensed"/>
        <b/>
        <color theme="1"/>
      </rPr>
      <t>“ Lo invitamos a solicitar un nuevo código”</t>
    </r>
  </si>
  <si>
    <t>- Al momento de confirmar debe de mostrar un mensaje  "Ingrese Código de Seguridad o clave dinámica
- Usuario debe ingresar 3 veces un codigo de Soft token erroneo</t>
  </si>
  <si>
    <r>
      <rPr>
        <rFont val="Fira Sans Extra Condensed"/>
        <color theme="1"/>
      </rPr>
      <t xml:space="preserve">- Validar que la </t>
    </r>
    <r>
      <rPr>
        <rFont val="Fira Sans Extra Condensed"/>
        <b/>
        <color theme="1"/>
      </rPr>
      <t xml:space="preserve">transacción </t>
    </r>
    <r>
      <rPr>
        <rFont val="Fira Sans Extra Condensed"/>
        <color theme="1"/>
      </rPr>
      <t xml:space="preserve">sea bloqueada, hasta que codigo de token sea ingresado de manera correcta. </t>
    </r>
  </si>
  <si>
    <t xml:space="preserve">Costa Rica </t>
  </si>
  <si>
    <t xml:space="preserve">- Al momento de confirmar debe de mostrar un mensaje  "Ingrese Código de Seguridad o clave dinámica
- El usuario debe de ingresar un token vencido </t>
  </si>
  <si>
    <r>
      <rPr>
        <rFont val="Fira Sans Extra Condensed"/>
        <color theme="1"/>
      </rPr>
      <t xml:space="preserve">Validar que muestre mensaje: </t>
    </r>
    <r>
      <rPr>
        <rFont val="Fira Sans Extra Condensed"/>
        <b/>
        <color theme="1"/>
      </rPr>
      <t>“ Código ingresado expiró, lo invitamos a ingresar un nuevo código”</t>
    </r>
  </si>
  <si>
    <r>
      <rPr>
        <rFont val="Fira Sans Extra Condensed"/>
        <color theme="1"/>
        <sz val="10.0"/>
      </rPr>
      <t xml:space="preserve">- Al momento de confirmar debe de mostrar un mensaje  "Ingrese Código de Seguridad o clave dinámica 
- El usuario podrá ingresar la clave dinámica generada a través de la app de Soft token hasta tres veces de manera errada sin presentar errores o bloqueos, si el usuario ingresa la clave de manera errada una cuarta vez, se bloquea el </t>
    </r>
    <r>
      <rPr>
        <rFont val="Fira Sans Extra Condensed"/>
        <b/>
        <color theme="1"/>
        <sz val="10.0"/>
      </rPr>
      <t xml:space="preserve">usuario </t>
    </r>
    <r>
      <rPr>
        <rFont val="Fira Sans Extra Condensed"/>
        <color theme="1"/>
        <sz val="10.0"/>
      </rPr>
      <t>de Soft token</t>
    </r>
  </si>
  <si>
    <t>Validar que al ingresar la clave de manera errada una cuarta vez,  el usuario de Soft token sea bloqueado</t>
  </si>
  <si>
    <r>
      <rPr>
        <rFont val="Fira Sans Extra Condensed"/>
        <color theme="1"/>
        <sz val="10.0"/>
      </rPr>
      <t>Criterio - Reglas y Mensajería Soft token (</t>
    </r>
    <r>
      <rPr>
        <rFont val="Fira Sans Extra Condensed"/>
        <b/>
        <color theme="1"/>
        <sz val="10.0"/>
      </rPr>
      <t>Mensaje para usuarios en Colombia, Panamá, Costa Rica, Salvador</t>
    </r>
    <r>
      <rPr>
        <rFont val="Fira Sans Extra Condensed"/>
        <color theme="1"/>
        <sz val="10.0"/>
      </rPr>
      <t>)</t>
    </r>
  </si>
  <si>
    <t xml:space="preserve">- Al momento de confirmar debe de mostrar un mensaje  "Ingrese Código de Seguridad o clave dinámica 
- El usuario debe de colocar 4 veces el token de manera erronea </t>
  </si>
  <si>
    <r>
      <rPr>
        <rFont val="Fira Sans Extra Condensed"/>
        <color theme="1"/>
      </rPr>
      <t xml:space="preserve">- Validar que al ingrrsar la clave dinamica una cuarta vez el usuario sea bloqueado
- Validar que se muestre el mensaje, </t>
    </r>
    <r>
      <rPr>
        <rFont val="Fira Sans Extra Condensed"/>
        <b/>
        <color theme="1"/>
      </rPr>
      <t>“Validación errada, comuníquese con la línea de soporte empresarial”</t>
    </r>
    <r>
      <rPr>
        <rFont val="Fira Sans Extra Condensed"/>
        <color theme="1"/>
      </rPr>
      <t xml:space="preserve">
- Validar que el usuario pueda seguir navegando por el canal pero no le permite realizar autorizaciones</t>
    </r>
  </si>
  <si>
    <r>
      <rPr>
        <rFont val="Fira Sans Extra Condensed"/>
        <color theme="1"/>
        <sz val="10.0"/>
      </rPr>
      <t>Criterio - Reglas y Mensajería Soft token (</t>
    </r>
    <r>
      <rPr>
        <rFont val="Fira Sans Extra Condensed"/>
        <b/>
        <color theme="1"/>
        <sz val="10.0"/>
      </rPr>
      <t>Mensaje para usuarios Honduras</t>
    </r>
    <r>
      <rPr>
        <rFont val="Fira Sans Extra Condensed"/>
        <color theme="1"/>
        <sz val="10.0"/>
      </rPr>
      <t>)</t>
    </r>
  </si>
  <si>
    <r>
      <rPr>
        <rFont val="Fira Sans Extra Condensed"/>
        <color theme="1"/>
      </rPr>
      <t xml:space="preserve">- Validar que al ingresar la clave dinamica una cuarta vez el usuario sea bloqueado
- Validar que se muestre el mensaje, </t>
    </r>
    <r>
      <rPr>
        <rFont val="Fira Sans Extra Condensed"/>
        <b/>
        <color theme="1"/>
      </rPr>
      <t>“Validación errada, comuníquese con el equipo de Implementaciones”</t>
    </r>
    <r>
      <rPr>
        <rFont val="Fira Sans Extra Condensed"/>
        <color theme="1"/>
      </rPr>
      <t xml:space="preserve">
- Validar que el usuario pueda seguir navegando por el canal pero no le permite realizar autorizaciones</t>
    </r>
  </si>
  <si>
    <t>Criterio - Reglas y Mensajería Soft token (Creacion de transferencias a terceros regionales, usuario preparador)</t>
  </si>
  <si>
    <t>Crear una Crear transferencia a terceros regionales con usuario operador con Soft Token</t>
  </si>
  <si>
    <t>Crear transferencia a terceros regionales origen SV-HN-CR-PA con esquema de firmas 1 grupo A y usuario operador con Soft Token</t>
  </si>
  <si>
    <t>Crear una Crear transferencia a terceros regionales con usuario operador y metodo de auntenticacion Soft Token</t>
  </si>
  <si>
    <r>
      <rPr>
        <rFont val="Fira Sans Extra Condensed"/>
        <color theme="1"/>
      </rPr>
      <t xml:space="preserve">Debe de mostrar un mensaje </t>
    </r>
    <r>
      <rPr>
        <rFont val="Fira Sans Extra Condensed"/>
        <b/>
        <color theme="1"/>
      </rPr>
      <t>“Código ingresado errado</t>
    </r>
    <r>
      <rPr>
        <rFont val="Fira Sans Extra Condensed"/>
        <color theme="1"/>
      </rPr>
      <t>” y habilita un elemento de “aceptar”</t>
    </r>
  </si>
  <si>
    <r>
      <rPr>
        <rFont val="Fira Sans Extra Condensed"/>
        <color theme="1"/>
      </rPr>
      <t xml:space="preserve">El canal debe de mostrar un mensaje informarmando </t>
    </r>
    <r>
      <rPr>
        <rFont val="Fira Sans Extra Condensed"/>
        <b/>
        <color theme="1"/>
      </rPr>
      <t>“ Lo invitamos a solicitar un nuevo código”</t>
    </r>
  </si>
  <si>
    <r>
      <rPr>
        <rFont val="Fira Sans Extra Condensed"/>
        <color theme="1"/>
      </rPr>
      <t xml:space="preserve">- Validar que la </t>
    </r>
    <r>
      <rPr>
        <rFont val="Fira Sans Extra Condensed"/>
        <b/>
        <color theme="1"/>
      </rPr>
      <t xml:space="preserve">transacción </t>
    </r>
    <r>
      <rPr>
        <rFont val="Fira Sans Extra Condensed"/>
        <color theme="1"/>
      </rPr>
      <t xml:space="preserve">sea bloqueada, hasta que codigo de token sea ingresado de manera correcta. </t>
    </r>
  </si>
  <si>
    <r>
      <rPr>
        <rFont val="Fira Sans Extra Condensed"/>
        <color theme="1"/>
      </rPr>
      <t xml:space="preserve">Validar que muestre mensaje: </t>
    </r>
    <r>
      <rPr>
        <rFont val="Fira Sans Extra Condensed"/>
        <b/>
        <color theme="1"/>
      </rPr>
      <t>“ Código ingresado expiró, lo invitamos a ingresar un nuevo código”</t>
    </r>
  </si>
  <si>
    <r>
      <rPr>
        <rFont val="Fira Sans Extra Condensed"/>
        <color theme="1"/>
        <sz val="10.0"/>
      </rPr>
      <t xml:space="preserve">- Al momento de confirmar debe de mostrar un mensaje  "Ingrese Código de Seguridad o clave dinámica 
- El usuario podrá ingresar la clave dinámica generada a través de la app de Soft token hasta tres veces de manera errada sin presentar errores o bloqueos, si el usuario ingresa la clave de manera errada una cuarta vez, se bloquea el </t>
    </r>
    <r>
      <rPr>
        <rFont val="Fira Sans Extra Condensed"/>
        <b/>
        <color theme="1"/>
        <sz val="10.0"/>
      </rPr>
      <t xml:space="preserve">usuario </t>
    </r>
    <r>
      <rPr>
        <rFont val="Fira Sans Extra Condensed"/>
        <color theme="1"/>
        <sz val="10.0"/>
      </rPr>
      <t>de Soft token</t>
    </r>
  </si>
  <si>
    <r>
      <rPr>
        <rFont val="Fira Sans Extra Condensed"/>
        <color theme="1"/>
        <sz val="10.0"/>
      </rPr>
      <t>Criterio - Reglas y Mensajería Soft token (</t>
    </r>
    <r>
      <rPr>
        <rFont val="Fira Sans Extra Condensed"/>
        <b/>
        <color theme="1"/>
        <sz val="10.0"/>
      </rPr>
      <t>Mensaje para usuarios en Colombia, Panamá, Costa Rica, Salvador</t>
    </r>
    <r>
      <rPr>
        <rFont val="Fira Sans Extra Condensed"/>
        <color theme="1"/>
        <sz val="10.0"/>
      </rPr>
      <t>)</t>
    </r>
  </si>
  <si>
    <r>
      <rPr>
        <rFont val="Fira Sans Extra Condensed"/>
        <color theme="1"/>
        <sz val="10.0"/>
      </rPr>
      <t xml:space="preserve">Crear una Crear transferencia a terceros regionales con usuario </t>
    </r>
    <r>
      <rPr>
        <rFont val="Fira Sans Extra Condensed"/>
        <b/>
        <color theme="1"/>
        <sz val="10.0"/>
      </rPr>
      <t xml:space="preserve">operador </t>
    </r>
    <r>
      <rPr>
        <rFont val="Fira Sans Extra Condensed"/>
        <color theme="1"/>
        <sz val="10.0"/>
      </rPr>
      <t>y metodo de auntenticacion Soft Token</t>
    </r>
  </si>
  <si>
    <t>Crear transferencia a tercero regional origen SV-HN-CR-PA con esquema de firmas 1 grupo A y usuario operador con Soft Token</t>
  </si>
  <si>
    <r>
      <rPr>
        <rFont val="Fira Sans Extra Condensed"/>
        <color theme="1"/>
      </rPr>
      <t xml:space="preserve">- Validar que al ingrrsar la clave dinamica una cuarta vez el usuario sea bloqueado
- Validar que se muestre el mensaje, </t>
    </r>
    <r>
      <rPr>
        <rFont val="Fira Sans Extra Condensed"/>
        <b/>
        <color theme="1"/>
      </rPr>
      <t>“Validación errada, comuníquese con la línea de soporte empresarial”</t>
    </r>
    <r>
      <rPr>
        <rFont val="Fira Sans Extra Condensed"/>
        <color theme="1"/>
      </rPr>
      <t xml:space="preserve">
- Validar que el usuario pueda seguir navegando por el canal pero no le permite realizar autorizaciones</t>
    </r>
  </si>
  <si>
    <r>
      <rPr>
        <rFont val="Fira Sans Extra Condensed"/>
        <color theme="1"/>
        <sz val="10.0"/>
      </rPr>
      <t>Criterio - Reglas y Mensajería Soft token (</t>
    </r>
    <r>
      <rPr>
        <rFont val="Fira Sans Extra Condensed"/>
        <b/>
        <color theme="1"/>
        <sz val="10.0"/>
      </rPr>
      <t>Mensaje para usuarios Honduras</t>
    </r>
    <r>
      <rPr>
        <rFont val="Fira Sans Extra Condensed"/>
        <color theme="1"/>
        <sz val="10.0"/>
      </rPr>
      <t>)</t>
    </r>
  </si>
  <si>
    <r>
      <rPr>
        <rFont val="Fira Sans Extra Condensed"/>
        <color theme="1"/>
        <sz val="10.0"/>
      </rPr>
      <t xml:space="preserve">Crear una Crear transferencia a terceros regionales con usuario </t>
    </r>
    <r>
      <rPr>
        <rFont val="Fira Sans Extra Condensed"/>
        <b/>
        <color theme="1"/>
        <sz val="10.0"/>
      </rPr>
      <t xml:space="preserve">operador </t>
    </r>
    <r>
      <rPr>
        <rFont val="Fira Sans Extra Condensed"/>
        <color theme="1"/>
        <sz val="10.0"/>
      </rPr>
      <t>y metodo de auntenticacion Soft Token</t>
    </r>
  </si>
  <si>
    <t>Crear transferencia a tercero regionales origen SV-HN-CR-PA con esquema de firmas 1 grupo A y usuario operador con Soft Token</t>
  </si>
  <si>
    <r>
      <rPr>
        <rFont val="Fira Sans Extra Condensed"/>
        <color theme="1"/>
      </rPr>
      <t xml:space="preserve">- Validar que al ingresar la clave dinamica una cuarta vez el usuario sea bloqueado
- Validar que se muestre el mensaje, </t>
    </r>
    <r>
      <rPr>
        <rFont val="Fira Sans Extra Condensed"/>
        <b/>
        <color theme="1"/>
      </rPr>
      <t>“Validación errada, comuníquese con el equipo de Implementaciones”</t>
    </r>
    <r>
      <rPr>
        <rFont val="Fira Sans Extra Condensed"/>
        <color theme="1"/>
      </rPr>
      <t xml:space="preserve">
- Validar que el usuario pueda seguir navegando por el canal pero no le permite realizar autorizaciones</t>
    </r>
  </si>
  <si>
    <t>Criterio - Reglas y Mensajería Soft token ( creacion de destinos autorizados )</t>
  </si>
  <si>
    <r>
      <rPr>
        <rFont val="Fira Sans Extra Condensed"/>
        <color theme="1"/>
        <sz val="10.0"/>
      </rPr>
      <t xml:space="preserve">Crear un destino autorizado con usuario </t>
    </r>
    <r>
      <rPr>
        <rFont val="Fira Sans Extra Condensed"/>
        <b/>
        <color theme="1"/>
        <sz val="10.0"/>
      </rPr>
      <t xml:space="preserve">operador </t>
    </r>
    <r>
      <rPr>
        <rFont val="Fira Sans Extra Condensed"/>
        <color theme="1"/>
        <sz val="10.0"/>
      </rPr>
      <t>con metodo de autenticacion Soft token</t>
    </r>
  </si>
  <si>
    <t>Crear un destino autorizado  origen SV-HN-CR-PA con esquema de firmas 1 grupo A y usuario operador con Soft Token</t>
  </si>
  <si>
    <t>El Usuario operador no debe de pertener al esquema de firmas</t>
  </si>
  <si>
    <t>- El destino autorizado quede con estado pendiente de autorización</t>
  </si>
  <si>
    <r>
      <rPr>
        <rFont val="Fira Sans Extra Condensed"/>
        <color theme="1"/>
        <sz val="10.0"/>
      </rPr>
      <t xml:space="preserve">Crear un destino autorizado con usuario </t>
    </r>
    <r>
      <rPr>
        <rFont val="Fira Sans Extra Condensed"/>
        <b/>
        <color theme="1"/>
        <sz val="10.0"/>
      </rPr>
      <t xml:space="preserve">operador </t>
    </r>
    <r>
      <rPr>
        <rFont val="Fira Sans Extra Condensed"/>
        <color theme="1"/>
        <sz val="10.0"/>
      </rPr>
      <t>con metodo de autenticacion Soft token</t>
    </r>
  </si>
  <si>
    <t>Crear un destino autorizado origen SV-HN-CR-PA con esquema de firmas 1 grupo A y usuario operador con Soft Token</t>
  </si>
  <si>
    <r>
      <rPr>
        <rFont val="Fira Sans Extra Condensed"/>
        <color theme="1"/>
      </rPr>
      <t xml:space="preserve">Debe de mostrar un mensaje </t>
    </r>
    <r>
      <rPr>
        <rFont val="Fira Sans Extra Condensed"/>
        <b/>
        <color theme="1"/>
      </rPr>
      <t>“Código ingresado errado</t>
    </r>
    <r>
      <rPr>
        <rFont val="Fira Sans Extra Condensed"/>
        <color theme="1"/>
      </rPr>
      <t>” y habilita un elemento de “aceptar”</t>
    </r>
  </si>
  <si>
    <r>
      <rPr>
        <rFont val="Fira Sans Extra Condensed"/>
        <color theme="1"/>
        <sz val="10.0"/>
      </rPr>
      <t xml:space="preserve">Crear un destino autorizado con usuario </t>
    </r>
    <r>
      <rPr>
        <rFont val="Fira Sans Extra Condensed"/>
        <b/>
        <color theme="1"/>
        <sz val="10.0"/>
      </rPr>
      <t xml:space="preserve">operador </t>
    </r>
    <r>
      <rPr>
        <rFont val="Fira Sans Extra Condensed"/>
        <color theme="1"/>
        <sz val="10.0"/>
      </rPr>
      <t>con metodo de autenticacion Soft token</t>
    </r>
  </si>
  <si>
    <r>
      <rPr>
        <rFont val="Fira Sans Extra Condensed"/>
        <color theme="1"/>
      </rPr>
      <t xml:space="preserve">El canal debe de mostrar un mensaje informarmando </t>
    </r>
    <r>
      <rPr>
        <rFont val="Fira Sans Extra Condensed"/>
        <b/>
        <color theme="1"/>
      </rPr>
      <t>“ Lo invitamos a solicitar un nuevo código”</t>
    </r>
  </si>
  <si>
    <r>
      <rPr>
        <rFont val="Fira Sans Extra Condensed"/>
        <color theme="1"/>
        <sz val="10.0"/>
      </rPr>
      <t xml:space="preserve">Crear un destino autorizado con usuario </t>
    </r>
    <r>
      <rPr>
        <rFont val="Fira Sans Extra Condensed"/>
        <b/>
        <color theme="1"/>
        <sz val="10.0"/>
      </rPr>
      <t xml:space="preserve">operador </t>
    </r>
    <r>
      <rPr>
        <rFont val="Fira Sans Extra Condensed"/>
        <color theme="1"/>
        <sz val="10.0"/>
      </rPr>
      <t>con metodo de autenticacion Soft token</t>
    </r>
  </si>
  <si>
    <r>
      <rPr>
        <rFont val="Fira Sans Extra Condensed"/>
        <color theme="1"/>
      </rPr>
      <t xml:space="preserve">- Validar que la </t>
    </r>
    <r>
      <rPr>
        <rFont val="Fira Sans Extra Condensed"/>
        <b/>
        <color theme="1"/>
      </rPr>
      <t xml:space="preserve">transacción </t>
    </r>
    <r>
      <rPr>
        <rFont val="Fira Sans Extra Condensed"/>
        <color theme="1"/>
      </rPr>
      <t xml:space="preserve">sea bloqueada, hasta que codigo de token sea ingresado de manera correcta. </t>
    </r>
  </si>
  <si>
    <r>
      <rPr>
        <rFont val="Fira Sans Extra Condensed"/>
        <color theme="1"/>
        <sz val="10.0"/>
      </rPr>
      <t xml:space="preserve">Crear un destino autorizado con usuario </t>
    </r>
    <r>
      <rPr>
        <rFont val="Fira Sans Extra Condensed"/>
        <b/>
        <color theme="1"/>
        <sz val="10.0"/>
      </rPr>
      <t xml:space="preserve">operador </t>
    </r>
    <r>
      <rPr>
        <rFont val="Fira Sans Extra Condensed"/>
        <color theme="1"/>
        <sz val="10.0"/>
      </rPr>
      <t>con metodo de autenticacion Soft token</t>
    </r>
  </si>
  <si>
    <r>
      <rPr>
        <rFont val="Fira Sans Extra Condensed"/>
        <color theme="1"/>
      </rPr>
      <t xml:space="preserve">Validar que muestre mensaje: </t>
    </r>
    <r>
      <rPr>
        <rFont val="Fira Sans Extra Condensed"/>
        <b/>
        <color theme="1"/>
      </rPr>
      <t>“ Código ingresado expiró, lo invitamos a ingresar un nuevo código”</t>
    </r>
  </si>
  <si>
    <r>
      <rPr>
        <rFont val="Fira Sans Extra Condensed"/>
        <color theme="1"/>
        <sz val="10.0"/>
      </rPr>
      <t xml:space="preserve">Crear un destino autorizado con usuario </t>
    </r>
    <r>
      <rPr>
        <rFont val="Fira Sans Extra Condensed"/>
        <b/>
        <color theme="1"/>
        <sz val="10.0"/>
      </rPr>
      <t xml:space="preserve">operador </t>
    </r>
    <r>
      <rPr>
        <rFont val="Fira Sans Extra Condensed"/>
        <color theme="1"/>
        <sz val="10.0"/>
      </rPr>
      <t>con metodo de autenticacion Soft token</t>
    </r>
  </si>
  <si>
    <r>
      <rPr>
        <rFont val="Fira Sans Extra Condensed"/>
        <color theme="1"/>
        <sz val="10.0"/>
      </rPr>
      <t xml:space="preserve">- Al momento de confirmar debe de mostrar un mensaje  "Ingrese Código de Seguridad o clave dinámica 
- El usuario podrá ingresar la clave dinámica generada a través de la app de Soft token hasta tres veces de manera errada sin presentar errores o bloqueos, si el usuario ingresa la clave de manera errada una cuarta vez, se bloquea el </t>
    </r>
    <r>
      <rPr>
        <rFont val="Fira Sans Extra Condensed"/>
        <b/>
        <color theme="1"/>
        <sz val="10.0"/>
      </rPr>
      <t xml:space="preserve">usuario </t>
    </r>
    <r>
      <rPr>
        <rFont val="Fira Sans Extra Condensed"/>
        <color theme="1"/>
        <sz val="10.0"/>
      </rPr>
      <t>de Soft token</t>
    </r>
  </si>
  <si>
    <r>
      <rPr>
        <rFont val="Fira Sans Extra Condensed"/>
        <color theme="1"/>
        <sz val="10.0"/>
      </rPr>
      <t xml:space="preserve">Crear un destino autorizado con usuario </t>
    </r>
    <r>
      <rPr>
        <rFont val="Fira Sans Extra Condensed"/>
        <b/>
        <color theme="1"/>
        <sz val="10.0"/>
      </rPr>
      <t xml:space="preserve">operador </t>
    </r>
    <r>
      <rPr>
        <rFont val="Fira Sans Extra Condensed"/>
        <color theme="1"/>
        <sz val="10.0"/>
      </rPr>
      <t>con metodo de autenticacion Soft token</t>
    </r>
  </si>
  <si>
    <r>
      <rPr>
        <rFont val="Fira Sans Extra Condensed"/>
        <color theme="1"/>
      </rPr>
      <t xml:space="preserve">- Validar que al ingrrsar la clave dinamica una cuarta vez el usuario sea bloqueado
- Validar que se muestre el mensaje, </t>
    </r>
    <r>
      <rPr>
        <rFont val="Fira Sans Extra Condensed"/>
        <b/>
        <color theme="1"/>
      </rPr>
      <t>“Validación errada, comuníquese con la línea de soporte empresarial”</t>
    </r>
    <r>
      <rPr>
        <rFont val="Fira Sans Extra Condensed"/>
        <color theme="1"/>
      </rPr>
      <t xml:space="preserve">
- Validar que el usuario pueda seguir navegando por el canal pero no le permite realizar autorizaciones</t>
    </r>
  </si>
  <si>
    <t>Criterio - Reglas y Mensajería Soft token (Mensaje para usuarios Honduras)</t>
  </si>
  <si>
    <r>
      <rPr>
        <rFont val="Fira Sans Extra Condensed"/>
        <color theme="1"/>
        <sz val="10.0"/>
      </rPr>
      <t xml:space="preserve">Crear un destino autorizado con usuario </t>
    </r>
    <r>
      <rPr>
        <rFont val="Fira Sans Extra Condensed"/>
        <b/>
        <color theme="1"/>
        <sz val="10.0"/>
      </rPr>
      <t xml:space="preserve">operador </t>
    </r>
    <r>
      <rPr>
        <rFont val="Fira Sans Extra Condensed"/>
        <color theme="1"/>
        <sz val="10.0"/>
      </rPr>
      <t>con metodo de autenticacion Soft token</t>
    </r>
  </si>
  <si>
    <r>
      <rPr>
        <rFont val="Fira Sans Extra Condensed"/>
        <color theme="1"/>
      </rPr>
      <t xml:space="preserve">- Validar que al ingresar la clave dinamica una cuarta vez el usuario sea bloqueado
- Validar que se muestre el mensaje, </t>
    </r>
    <r>
      <rPr>
        <rFont val="Fira Sans Extra Condensed"/>
        <b/>
        <color theme="1"/>
      </rPr>
      <t>“Validación errada, comuníquese con el equipo de Implementaciones”</t>
    </r>
    <r>
      <rPr>
        <rFont val="Fira Sans Extra Condensed"/>
        <color theme="1"/>
      </rPr>
      <t xml:space="preserve">
- Validar que el usuario pueda seguir navegando por el canal pero no le permite realizar autorizaciones</t>
    </r>
  </si>
  <si>
    <t>Criterio - Reglas y Mensajería Soft token ( Modificacion de destinos autorizados )</t>
  </si>
  <si>
    <r>
      <rPr>
        <rFont val="Fira Sans Extra Condensed"/>
        <color theme="1"/>
        <sz val="10.0"/>
      </rPr>
      <t xml:space="preserve">modificar un destino autorizado con usuario </t>
    </r>
    <r>
      <rPr>
        <rFont val="Fira Sans Extra Condensed"/>
        <b/>
        <color theme="1"/>
        <sz val="10.0"/>
      </rPr>
      <t xml:space="preserve">operador </t>
    </r>
    <r>
      <rPr>
        <rFont val="Fira Sans Extra Condensed"/>
        <color theme="1"/>
        <sz val="10.0"/>
      </rPr>
      <t>con metodo de autenticacion Soft token</t>
    </r>
  </si>
  <si>
    <t>modificar un destino autorizado  origen SV-HN-CR-PA con esquema de firmas 1 grupo A y usuario operador con Soft Token</t>
  </si>
  <si>
    <t>- La modificaion del destino autrizado quede con estado pendiente de autorización</t>
  </si>
  <si>
    <r>
      <rPr>
        <rFont val="Fira Sans Extra Condensed"/>
        <color theme="1"/>
        <sz val="10.0"/>
      </rPr>
      <t xml:space="preserve">modificar un destino autorizado con usuario </t>
    </r>
    <r>
      <rPr>
        <rFont val="Fira Sans Extra Condensed"/>
        <b/>
        <color theme="1"/>
        <sz val="10.0"/>
      </rPr>
      <t xml:space="preserve">operador </t>
    </r>
    <r>
      <rPr>
        <rFont val="Fira Sans Extra Condensed"/>
        <color theme="1"/>
        <sz val="10.0"/>
      </rPr>
      <t>con metodo de autenticacion Soft token</t>
    </r>
  </si>
  <si>
    <t>modificar un destino autorizado origen SV-HN-CR-PA con esquema de firmas 1 grupo A y usuario operador con Soft Token</t>
  </si>
  <si>
    <r>
      <rPr>
        <rFont val="Fira Sans Extra Condensed"/>
        <color theme="1"/>
      </rPr>
      <t xml:space="preserve">Debe de mostrar un mensaje </t>
    </r>
    <r>
      <rPr>
        <rFont val="Fira Sans Extra Condensed"/>
        <b/>
        <color theme="1"/>
      </rPr>
      <t>“Código ingresado errado</t>
    </r>
    <r>
      <rPr>
        <rFont val="Fira Sans Extra Condensed"/>
        <color theme="1"/>
      </rPr>
      <t>” y habilita un elemento de “aceptar”</t>
    </r>
  </si>
  <si>
    <r>
      <rPr>
        <rFont val="Fira Sans Extra Condensed"/>
        <color theme="1"/>
        <sz val="10.0"/>
      </rPr>
      <t xml:space="preserve">modificar un destino autorizado con usuario </t>
    </r>
    <r>
      <rPr>
        <rFont val="Fira Sans Extra Condensed"/>
        <b/>
        <color theme="1"/>
        <sz val="10.0"/>
      </rPr>
      <t xml:space="preserve">operador </t>
    </r>
    <r>
      <rPr>
        <rFont val="Fira Sans Extra Condensed"/>
        <color theme="1"/>
        <sz val="10.0"/>
      </rPr>
      <t>con metodo de autenticacion Soft token</t>
    </r>
  </si>
  <si>
    <r>
      <rPr>
        <rFont val="Fira Sans Extra Condensed"/>
        <color theme="1"/>
      </rPr>
      <t xml:space="preserve">El canal debe de mostrar un mensaje informarmando </t>
    </r>
    <r>
      <rPr>
        <rFont val="Fira Sans Extra Condensed"/>
        <b/>
        <color theme="1"/>
      </rPr>
      <t>“ Lo invitamos a solicitar un nuevo código”</t>
    </r>
  </si>
  <si>
    <r>
      <rPr>
        <rFont val="Fira Sans Extra Condensed"/>
        <color theme="1"/>
        <sz val="10.0"/>
      </rPr>
      <t xml:space="preserve">modificar un destino autorizado con usuario </t>
    </r>
    <r>
      <rPr>
        <rFont val="Fira Sans Extra Condensed"/>
        <b/>
        <color theme="1"/>
        <sz val="10.0"/>
      </rPr>
      <t xml:space="preserve">operador </t>
    </r>
    <r>
      <rPr>
        <rFont val="Fira Sans Extra Condensed"/>
        <color theme="1"/>
        <sz val="10.0"/>
      </rPr>
      <t>con metodo de autenticacion Soft token</t>
    </r>
  </si>
  <si>
    <r>
      <rPr>
        <rFont val="Fira Sans Extra Condensed"/>
        <color theme="1"/>
      </rPr>
      <t xml:space="preserve">- Validar que la </t>
    </r>
    <r>
      <rPr>
        <rFont val="Fira Sans Extra Condensed"/>
        <b/>
        <color theme="1"/>
      </rPr>
      <t xml:space="preserve">transacción </t>
    </r>
    <r>
      <rPr>
        <rFont val="Fira Sans Extra Condensed"/>
        <color theme="1"/>
      </rPr>
      <t xml:space="preserve">sea bloqueada, hasta que codigo de token sea ingresado de manera correcta. </t>
    </r>
  </si>
  <si>
    <r>
      <rPr>
        <rFont val="Fira Sans Extra Condensed"/>
        <color theme="1"/>
        <sz val="10.0"/>
      </rPr>
      <t xml:space="preserve">modificar un destino autorizado con usuario </t>
    </r>
    <r>
      <rPr>
        <rFont val="Fira Sans Extra Condensed"/>
        <b/>
        <color theme="1"/>
        <sz val="10.0"/>
      </rPr>
      <t xml:space="preserve">operador </t>
    </r>
    <r>
      <rPr>
        <rFont val="Fira Sans Extra Condensed"/>
        <color theme="1"/>
        <sz val="10.0"/>
      </rPr>
      <t>con metodo de autenticacion Soft token</t>
    </r>
  </si>
  <si>
    <r>
      <rPr>
        <rFont val="Fira Sans Extra Condensed"/>
        <color theme="1"/>
      </rPr>
      <t xml:space="preserve">Validar que muestre mensaje: </t>
    </r>
    <r>
      <rPr>
        <rFont val="Fira Sans Extra Condensed"/>
        <b/>
        <color theme="1"/>
      </rPr>
      <t>“ Código ingresado expiró, lo invitamos a ingresar un nuevo código”</t>
    </r>
  </si>
  <si>
    <t>modificar un destino autorizado con usuario operador con metodo de autenticacion Soft token</t>
  </si>
  <si>
    <r>
      <rPr>
        <rFont val="Fira Sans Extra Condensed"/>
        <color theme="1"/>
        <sz val="10.0"/>
      </rPr>
      <t xml:space="preserve">- Al momento de confirmar debe de mostrar un mensaje  "Ingrese Código de Seguridad o clave dinámica 
- El usuario podrá ingresar la clave dinámica generada a través de la app de Soft token hasta tres veces de manera errada sin presentar errores o bloqueos, si el usuario ingresa la clave de manera errada una cuarta vez, se bloquea el </t>
    </r>
    <r>
      <rPr>
        <rFont val="Fira Sans Extra Condensed"/>
        <b/>
        <color theme="1"/>
        <sz val="10.0"/>
      </rPr>
      <t xml:space="preserve">usuario </t>
    </r>
    <r>
      <rPr>
        <rFont val="Fira Sans Extra Condensed"/>
        <color theme="1"/>
        <sz val="10.0"/>
      </rPr>
      <t>de Soft token</t>
    </r>
  </si>
  <si>
    <t>modificar un destino autorizado  origen SV-CR-PA- MIA, con esquema de firmas 1 grupo A y usuario operador con Soft Token</t>
  </si>
  <si>
    <r>
      <rPr>
        <rFont val="Fira Sans Extra Condensed"/>
        <color theme="1"/>
      </rPr>
      <t xml:space="preserve">- Validar que al ingrrsar la clave dinamica una cuarta vez el usuario sea bloqueado
- Validar que se muestre el mensaje, </t>
    </r>
    <r>
      <rPr>
        <rFont val="Fira Sans Extra Condensed"/>
        <b/>
        <color theme="1"/>
      </rPr>
      <t>“Validación errada, comuníquese con la línea de soporte empresarial”</t>
    </r>
    <r>
      <rPr>
        <rFont val="Fira Sans Extra Condensed"/>
        <color theme="1"/>
      </rPr>
      <t xml:space="preserve">
- Validar que el usuario pueda seguir navegando por el canal pero no le permite realizar autorizaciones</t>
    </r>
  </si>
  <si>
    <t>modificar un destino autorizado  origen HN con esquema de firmas 1 grupo A y usuario operador con Soft Token</t>
  </si>
  <si>
    <r>
      <rPr>
        <rFont val="Fira Sans Extra Condensed"/>
        <color theme="1"/>
      </rPr>
      <t xml:space="preserve">- Validar que al ingresar la clave dinamica una cuarta vez el usuario sea bloqueado
- Validar que se muestre el mensaje, </t>
    </r>
    <r>
      <rPr>
        <rFont val="Fira Sans Extra Condensed"/>
        <b/>
        <color theme="1"/>
      </rPr>
      <t>“Validación errada, comuníquese con el equipo de Implementaciones”</t>
    </r>
    <r>
      <rPr>
        <rFont val="Fira Sans Extra Condensed"/>
        <color theme="1"/>
      </rPr>
      <t xml:space="preserve">
- Validar que el usuario pueda seguir navegando por el canal pero no le permite realizar autorizaciones</t>
    </r>
  </si>
  <si>
    <t>Criterio - Reglas y Mensajería Soft token ( Eliminacion de destinos autorizados )</t>
  </si>
  <si>
    <t>Eliminar un destino autorizado con usuario operador con metodo de autenticacion Soft token</t>
  </si>
  <si>
    <t>Eliminar un destino autorizado  origen SV-HN-CR-PA con esquema de firmas 1 grupo A y usuario operador con Soft Token</t>
  </si>
  <si>
    <t>- El destino autorizado quede con estado pendiente de eliminacion</t>
  </si>
  <si>
    <t>Eliminar un destino autorizado origen SV-HN-CR-PA con esquema de firmas 1 grupo A y usuario operador con Soft Token</t>
  </si>
  <si>
    <r>
      <rPr>
        <rFont val="Fira Sans Extra Condensed"/>
        <color theme="1"/>
      </rPr>
      <t xml:space="preserve">Debe de mostrar un mensaje </t>
    </r>
    <r>
      <rPr>
        <rFont val="Fira Sans Extra Condensed"/>
        <b/>
        <color theme="1"/>
      </rPr>
      <t>“Código ingresado errado</t>
    </r>
    <r>
      <rPr>
        <rFont val="Fira Sans Extra Condensed"/>
        <color theme="1"/>
      </rPr>
      <t>” y habilita un elemento de “aceptar”</t>
    </r>
  </si>
  <si>
    <t>- El Usuario operador no debe de pertener al esquema de firmas
- Al momento de confirmar debe de mostrar un mensaje  "Ingrese Código de Seguridad o clave dinámica</t>
  </si>
  <si>
    <r>
      <rPr>
        <rFont val="Fira Sans Extra Condensed"/>
        <color theme="1"/>
      </rPr>
      <t xml:space="preserve">El canal debe de mostrar un mensaje informarmando </t>
    </r>
    <r>
      <rPr>
        <rFont val="Fira Sans Extra Condensed"/>
        <b/>
        <color theme="1"/>
      </rPr>
      <t>“ Lo invitamos a solicitar un nuevo código”</t>
    </r>
  </si>
  <si>
    <r>
      <rPr>
        <rFont val="Fira Sans Extra Condensed"/>
        <color theme="1"/>
      </rPr>
      <t xml:space="preserve">- Validar que la </t>
    </r>
    <r>
      <rPr>
        <rFont val="Fira Sans Extra Condensed"/>
        <b/>
        <color theme="1"/>
      </rPr>
      <t xml:space="preserve">transacción </t>
    </r>
    <r>
      <rPr>
        <rFont val="Fira Sans Extra Condensed"/>
        <color theme="1"/>
      </rPr>
      <t xml:space="preserve">sea bloqueada, hasta que codigo de token sea ingresado de manera correcta. </t>
    </r>
  </si>
  <si>
    <r>
      <rPr>
        <rFont val="Fira Sans Extra Condensed"/>
        <color theme="1"/>
      </rPr>
      <t xml:space="preserve">Validar que muestre mensaje: </t>
    </r>
    <r>
      <rPr>
        <rFont val="Fira Sans Extra Condensed"/>
        <b/>
        <color theme="1"/>
      </rPr>
      <t>“ Código ingresado expiró, lo invitamos a ingresar un nuevo código”</t>
    </r>
  </si>
  <si>
    <r>
      <rPr>
        <rFont val="Fira Sans Extra Condensed"/>
        <color theme="1"/>
        <sz val="10.0"/>
      </rPr>
      <t xml:space="preserve">- Al momento de confirmar debe de mostrar un mensaje  "Ingrese Código de Seguridad o clave dinámica 
- El usuario podrá ingresar la clave dinámica generada a través de la app de Soft token hasta tres veces de manera errada sin presentar errores o bloqueos, si el usuario ingresa la clave de manera errada una cuarta vez, se bloquea el </t>
    </r>
    <r>
      <rPr>
        <rFont val="Fira Sans Extra Condensed"/>
        <b/>
        <color theme="1"/>
        <sz val="10.0"/>
      </rPr>
      <t xml:space="preserve">usuario </t>
    </r>
    <r>
      <rPr>
        <rFont val="Fira Sans Extra Condensed"/>
        <color theme="1"/>
        <sz val="10.0"/>
      </rPr>
      <t>de Soft token</t>
    </r>
  </si>
  <si>
    <r>
      <rPr>
        <rFont val="Fira Sans Extra Condensed"/>
        <color theme="1"/>
      </rPr>
      <t xml:space="preserve">- Validar que al ingrrsar la clave dinamica una cuarta vez el usuario sea bloqueado
- Validar que se muestre el mensaje, </t>
    </r>
    <r>
      <rPr>
        <rFont val="Fira Sans Extra Condensed"/>
        <b/>
        <color theme="1"/>
      </rPr>
      <t>“Validación errada, comuníquese con la línea de soporte empresarial”</t>
    </r>
    <r>
      <rPr>
        <rFont val="Fira Sans Extra Condensed"/>
        <color theme="1"/>
      </rPr>
      <t xml:space="preserve">
- Validar que el usuario pueda seguir navegando por el canal pero no le permite realizar autorizaciones</t>
    </r>
  </si>
  <si>
    <r>
      <rPr>
        <rFont val="Fira Sans Extra Condensed"/>
        <color theme="1"/>
      </rPr>
      <t xml:space="preserve">- Validar que al ingresar la clave dinamica una cuarta vez el usuario sea bloqueado
- Validar que se muestre el mensaje, </t>
    </r>
    <r>
      <rPr>
        <rFont val="Fira Sans Extra Condensed"/>
        <b/>
        <color theme="1"/>
      </rPr>
      <t>“Validación errada, comuníquese con el equipo de Implementaciones”</t>
    </r>
    <r>
      <rPr>
        <rFont val="Fira Sans Extra Condensed"/>
        <color theme="1"/>
      </rPr>
      <t xml:space="preserve">
- Validar que el usuario pueda seguir navegando por el canal pero no le permite realizar autorizaciones</t>
    </r>
  </si>
  <si>
    <t>Criterio - Reglas y Mensajería Soft token (Autorizaciones administrativas)</t>
  </si>
  <si>
    <t>Crear una transferencia entre cuentas propias regionales con esquema administrativo simple y usuario que posea soft token</t>
  </si>
  <si>
    <r>
      <rPr>
        <rFont val="Fira Sans Extra Condensed"/>
        <color theme="1"/>
        <sz val="10.0"/>
      </rPr>
      <t xml:space="preserve">Crear una transferencia entre cuentas propias regionales con </t>
    </r>
    <r>
      <rPr>
        <rFont val="Fira Sans Extra Condensed"/>
        <b/>
        <color theme="1"/>
        <sz val="10.0"/>
      </rPr>
      <t>Usuario con aprobación directa</t>
    </r>
    <r>
      <rPr>
        <rFont val="Fira Sans Extra Condensed"/>
        <color theme="1"/>
        <sz val="10.0"/>
      </rPr>
      <t xml:space="preserve"> y metodo de autenticacion Soft token</t>
    </r>
  </si>
  <si>
    <t>La transferencia debe de ser enviada con exito</t>
  </si>
  <si>
    <t>Crear una transferencia a terceros regionales con esquema administrativo simple y usuario que posea soft token</t>
  </si>
  <si>
    <r>
      <rPr>
        <rFont val="Fira Sans Extra Condensed"/>
        <color theme="1"/>
        <sz val="10.0"/>
      </rPr>
      <t xml:space="preserve">Crear una transferencia a tercero regional con </t>
    </r>
    <r>
      <rPr>
        <rFont val="Fira Sans Extra Condensed"/>
        <b/>
        <color theme="1"/>
        <sz val="10.0"/>
      </rPr>
      <t>Usuario con aprobación directa</t>
    </r>
    <r>
      <rPr>
        <rFont val="Fira Sans Extra Condensed"/>
        <color theme="1"/>
        <sz val="10.0"/>
      </rPr>
      <t xml:space="preserve"> y metodo de autenticacion Soft token</t>
    </r>
  </si>
  <si>
    <r>
      <rPr>
        <rFont val="Fira Sans Extra Condensed"/>
        <color theme="1"/>
      </rPr>
      <t xml:space="preserve">Debe de mostrar un mensaje </t>
    </r>
    <r>
      <rPr>
        <rFont val="Fira Sans Extra Condensed"/>
        <b/>
        <color theme="1"/>
      </rPr>
      <t>“Código ingresado errado</t>
    </r>
    <r>
      <rPr>
        <rFont val="Fira Sans Extra Condensed"/>
        <color theme="1"/>
      </rPr>
      <t>” y habilita un elemento de “aceptar”</t>
    </r>
  </si>
  <si>
    <t>Crear un destino autorizado con esquema administrativo simple y usuario que posea soft token</t>
  </si>
  <si>
    <r>
      <rPr>
        <rFont val="Fira Sans Extra Condensed"/>
        <color theme="1"/>
        <sz val="10.0"/>
      </rPr>
      <t xml:space="preserve">Crear un destino autorizado con </t>
    </r>
    <r>
      <rPr>
        <rFont val="Fira Sans Extra Condensed"/>
        <b/>
        <color theme="1"/>
        <sz val="10.0"/>
      </rPr>
      <t>Usuario con aprobación directa</t>
    </r>
    <r>
      <rPr>
        <rFont val="Fira Sans Extra Condensed"/>
        <color theme="1"/>
        <sz val="10.0"/>
      </rPr>
      <t xml:space="preserve"> y metodo de autenticacion Soft token</t>
    </r>
  </si>
  <si>
    <r>
      <rPr>
        <rFont val="Fira Sans Extra Condensed"/>
        <color theme="1"/>
      </rPr>
      <t xml:space="preserve">El canal debe de mostrar un mensaje informarmando </t>
    </r>
    <r>
      <rPr>
        <rFont val="Fira Sans Extra Condensed"/>
        <b/>
        <color theme="1"/>
      </rPr>
      <t>“ Lo invitamos a solicitar un nuevo código”</t>
    </r>
  </si>
  <si>
    <t>modificar un destino autorizado con esquema administrativo dual y usuario que posea soft token</t>
  </si>
  <si>
    <r>
      <rPr>
        <rFont val="Fira Sans Extra Condensed"/>
        <color theme="1"/>
        <sz val="10.0"/>
      </rPr>
      <t xml:space="preserve">Modificar un destino autorizado con </t>
    </r>
    <r>
      <rPr>
        <rFont val="Fira Sans Extra Condensed"/>
        <b/>
        <color theme="1"/>
        <sz val="10.0"/>
      </rPr>
      <t>Usuario con aprobación directa</t>
    </r>
    <r>
      <rPr>
        <rFont val="Fira Sans Extra Condensed"/>
        <color theme="1"/>
        <sz val="10.0"/>
      </rPr>
      <t xml:space="preserve"> y metodo de autenticacion Soft token</t>
    </r>
  </si>
  <si>
    <r>
      <rPr>
        <rFont val="Fira Sans Extra Condensed"/>
        <color theme="1"/>
      </rPr>
      <t xml:space="preserve">- Validar que la </t>
    </r>
    <r>
      <rPr>
        <rFont val="Fira Sans Extra Condensed"/>
        <b/>
        <color theme="1"/>
      </rPr>
      <t xml:space="preserve">transacción </t>
    </r>
    <r>
      <rPr>
        <rFont val="Fira Sans Extra Condensed"/>
        <color theme="1"/>
      </rPr>
      <t xml:space="preserve">sea bloqueada, hasta que codigo de token sea ingresado de manera correcta. </t>
    </r>
  </si>
  <si>
    <t>Eliminar un destino autorizado con esquema administrativo simple y usuario que posea soft token</t>
  </si>
  <si>
    <r>
      <rPr>
        <rFont val="Fira Sans Extra Condensed"/>
        <color theme="1"/>
        <sz val="10.0"/>
      </rPr>
      <t xml:space="preserve">Eliminar un destino autorizado con </t>
    </r>
    <r>
      <rPr>
        <rFont val="Fira Sans Extra Condensed"/>
        <b/>
        <color theme="1"/>
        <sz val="10.0"/>
      </rPr>
      <t>Usuario con aprobación directa</t>
    </r>
    <r>
      <rPr>
        <rFont val="Fira Sans Extra Condensed"/>
        <color theme="1"/>
        <sz val="10.0"/>
      </rPr>
      <t xml:space="preserve"> y metodo de autenticacion Soft token</t>
    </r>
  </si>
  <si>
    <r>
      <rPr>
        <rFont val="Fira Sans Extra Condensed"/>
        <color theme="1"/>
      </rPr>
      <t xml:space="preserve">Validar que muestre mensaje: </t>
    </r>
    <r>
      <rPr>
        <rFont val="Fira Sans Extra Condensed"/>
        <b/>
        <color theme="1"/>
      </rPr>
      <t>“ Código ingresado expiró, lo invitamos a ingresar un nuevo código”</t>
    </r>
  </si>
  <si>
    <t>Crear un esquema de firma con esquema administrativo simple y usuario que posea soft token</t>
  </si>
  <si>
    <r>
      <rPr>
        <rFont val="Fira Sans Extra Condensed"/>
        <color theme="1"/>
        <sz val="10.0"/>
      </rPr>
      <t xml:space="preserve">Crear un esquema de firma con </t>
    </r>
    <r>
      <rPr>
        <rFont val="Fira Sans Extra Condensed"/>
        <b/>
        <color theme="1"/>
        <sz val="10.0"/>
      </rPr>
      <t>Usuario con aprobación directa</t>
    </r>
    <r>
      <rPr>
        <rFont val="Fira Sans Extra Condensed"/>
        <color theme="1"/>
        <sz val="10.0"/>
      </rPr>
      <t xml:space="preserve"> y metodo de autenticacion Soft token</t>
    </r>
  </si>
  <si>
    <r>
      <rPr>
        <rFont val="Fira Sans Extra Condensed"/>
        <color theme="1"/>
        <sz val="10.0"/>
      </rPr>
      <t xml:space="preserve">- Al momento de confirmar debe de mostrar un mensaje  "Ingrese Código de Seguridad o clave dinámica 
- El usuario podrá ingresar la clave dinámica generada a través de la app de Soft token hasta tres veces de manera errada sin presentar errores o bloqueos, si el usuario ingresa la clave de manera errada una cuarta vez, se bloquea el </t>
    </r>
    <r>
      <rPr>
        <rFont val="Fira Sans Extra Condensed"/>
        <b/>
        <color theme="1"/>
        <sz val="10.0"/>
      </rPr>
      <t xml:space="preserve">usuario </t>
    </r>
    <r>
      <rPr>
        <rFont val="Fira Sans Extra Condensed"/>
        <color theme="1"/>
        <sz val="10.0"/>
      </rPr>
      <t>de Soft token</t>
    </r>
  </si>
  <si>
    <t>Modificar un esquema de firma con esquema administrativo simple y usuario que posea soft token</t>
  </si>
  <si>
    <r>
      <rPr>
        <rFont val="Fira Sans Extra Condensed"/>
        <color theme="1"/>
        <sz val="10.0"/>
      </rPr>
      <t xml:space="preserve">Modificar un esquema de firma con </t>
    </r>
    <r>
      <rPr>
        <rFont val="Fira Sans Extra Condensed"/>
        <b/>
        <color theme="1"/>
        <sz val="10.0"/>
      </rPr>
      <t>Usuario con aprobación directa</t>
    </r>
    <r>
      <rPr>
        <rFont val="Fira Sans Extra Condensed"/>
        <color theme="1"/>
        <sz val="10.0"/>
      </rPr>
      <t xml:space="preserve"> y metodo de autenticacion Soft token</t>
    </r>
  </si>
  <si>
    <r>
      <rPr>
        <rFont val="Fira Sans Extra Condensed"/>
        <color theme="1"/>
      </rPr>
      <t xml:space="preserve">- Validar que al ingrrsar la clave dinamica una cuarta vez el usuario sea bloqueado
- Validar que se muestre el mensaje, </t>
    </r>
    <r>
      <rPr>
        <rFont val="Fira Sans Extra Condensed"/>
        <b/>
        <color theme="1"/>
      </rPr>
      <t>“Validación errada, comuníquese con la línea de soporte empresarial”</t>
    </r>
    <r>
      <rPr>
        <rFont val="Fira Sans Extra Condensed"/>
        <color theme="1"/>
      </rPr>
      <t xml:space="preserve">
- Validar que el usuario pueda seguir navegando por el canal pero no le permite realizar autorizaciones</t>
    </r>
  </si>
  <si>
    <t>Eliminar un esquema de firma con esquema administrativo simple y usuario que posea soft token</t>
  </si>
  <si>
    <r>
      <rPr>
        <rFont val="Fira Sans Extra Condensed"/>
        <color theme="1"/>
        <sz val="10.0"/>
      </rPr>
      <t xml:space="preserve">Eliminar un esquema de firma con </t>
    </r>
    <r>
      <rPr>
        <rFont val="Fira Sans Extra Condensed"/>
        <b/>
        <color theme="1"/>
        <sz val="10.0"/>
      </rPr>
      <t>Usuario con aprobación directa</t>
    </r>
    <r>
      <rPr>
        <rFont val="Fira Sans Extra Condensed"/>
        <color theme="1"/>
        <sz val="10.0"/>
      </rPr>
      <t xml:space="preserve"> y metodo de autenticacion Soft token</t>
    </r>
  </si>
  <si>
    <r>
      <rPr>
        <rFont val="Fira Sans Extra Condensed"/>
        <color theme="1"/>
      </rPr>
      <t xml:space="preserve">- Validar que al ingresar la clave dinamica una cuarta vez el usuario sea bloqueado
- Validar que se muestre el mensaje, </t>
    </r>
    <r>
      <rPr>
        <rFont val="Fira Sans Extra Condensed"/>
        <b/>
        <color theme="1"/>
      </rPr>
      <t>“Validación errada, comuníquese con el equipo de Implementaciones”</t>
    </r>
    <r>
      <rPr>
        <rFont val="Fira Sans Extra Condensed"/>
        <color theme="1"/>
      </rPr>
      <t xml:space="preserve">
- Validar que el usuario pueda seguir navegando por el canal pero no le permite realizar autorizaciones</t>
    </r>
  </si>
  <si>
    <t>Criterio - Confirmación  (Botón Confirmar)</t>
  </si>
  <si>
    <r>
      <rPr>
        <rFont val="Fira Sans Extra Condensed"/>
        <color theme="1"/>
      </rPr>
      <t xml:space="preserve">Ingresar al módulo regional  desde la banca en linea </t>
    </r>
    <r>
      <rPr>
        <rFont val="Fira Sans Extra Condensed"/>
        <b/>
        <color theme="1"/>
      </rPr>
      <t>SV</t>
    </r>
    <r>
      <rPr>
        <rFont val="Fira Sans Extra Condensed"/>
        <color theme="1"/>
      </rPr>
      <t xml:space="preserve">, con usuario aprobador </t>
    </r>
  </si>
  <si>
    <t>Usuario aprobador debe de ingresar en el menu autorizaciones</t>
  </si>
  <si>
    <t>Se deben de mostrar operaciones monetarias y administrativas pendientes de autorizar</t>
  </si>
  <si>
    <t>- Validar que el espacio designado para colocar el token, este inhabilitado en color gris claro
- Validar que al colcoar información en el espacio designado para el token se muestre en color rojo oscuro cuando se ingresen los 6 caracteres numéricos</t>
  </si>
  <si>
    <t>Al accionar el boton de confirmar el sistema debe de mostrar exitoso o fallido</t>
  </si>
  <si>
    <r>
      <rPr>
        <rFont val="Fira Sans Extra Condensed"/>
        <color theme="1"/>
      </rPr>
      <t xml:space="preserve">Ingresar al módulo regional  desde la banca en linea </t>
    </r>
    <r>
      <rPr>
        <rFont val="Fira Sans Extra Condensed"/>
        <b/>
        <color theme="1"/>
      </rPr>
      <t>PA</t>
    </r>
    <r>
      <rPr>
        <rFont val="Fira Sans Extra Condensed"/>
        <color theme="1"/>
      </rPr>
      <t xml:space="preserve">, con usuario aprobador </t>
    </r>
  </si>
  <si>
    <r>
      <rPr>
        <rFont val="Fira Sans Extra Condensed"/>
        <color theme="1"/>
      </rPr>
      <t xml:space="preserve">Ingresar al módulo regional  desde la banca en linea </t>
    </r>
    <r>
      <rPr>
        <rFont val="Fira Sans Extra Condensed"/>
        <b/>
        <color theme="1"/>
      </rPr>
      <t>HN</t>
    </r>
    <r>
      <rPr>
        <rFont val="Fira Sans Extra Condensed"/>
        <color theme="1"/>
      </rPr>
      <t xml:space="preserve">, con usuario aprobador </t>
    </r>
  </si>
  <si>
    <r>
      <rPr>
        <rFont val="Fira Sans Extra Condensed"/>
        <color theme="1"/>
      </rPr>
      <t xml:space="preserve">Ingresar al módulo regional  desde la banca en linea </t>
    </r>
    <r>
      <rPr>
        <rFont val="Fira Sans Extra Condensed"/>
        <b/>
        <color theme="1"/>
      </rPr>
      <t>CR</t>
    </r>
    <r>
      <rPr>
        <rFont val="Fira Sans Extra Condensed"/>
        <color theme="1"/>
      </rPr>
      <t xml:space="preserve">, con usuario aprobador </t>
    </r>
  </si>
  <si>
    <r>
      <rPr>
        <rFont val="Fira Sans Extra Condensed"/>
        <color theme="1"/>
      </rPr>
      <t xml:space="preserve">Ingresar al módulo regional  desde la banca en linea </t>
    </r>
    <r>
      <rPr>
        <rFont val="Fira Sans Extra Condensed"/>
        <b/>
        <color theme="1"/>
      </rPr>
      <t>COL</t>
    </r>
    <r>
      <rPr>
        <rFont val="Fira Sans Extra Condensed"/>
        <color theme="1"/>
      </rPr>
      <t xml:space="preserve">, con usuario aprobador </t>
    </r>
  </si>
  <si>
    <r>
      <rPr>
        <rFont val="Fira Sans Extra Condensed"/>
        <color theme="1"/>
      </rPr>
      <t xml:space="preserve">Ingresar al módulo regional  desde la banca en linea </t>
    </r>
    <r>
      <rPr>
        <rFont val="Fira Sans Extra Condensed"/>
        <b/>
        <color theme="1"/>
      </rPr>
      <t>MIA</t>
    </r>
    <r>
      <rPr>
        <rFont val="Fira Sans Extra Condensed"/>
        <color theme="1"/>
      </rPr>
      <t xml:space="preserve">, con usuario aprobador </t>
    </r>
  </si>
  <si>
    <t>Criterio - Confirmación ( Botón Confirmar)</t>
  </si>
  <si>
    <r>
      <rPr>
        <rFont val="Fira Sans Extra Condensed"/>
        <color theme="1"/>
      </rPr>
      <t xml:space="preserve">Ingresar al módulo regional  desde la banca en linea </t>
    </r>
    <r>
      <rPr>
        <rFont val="Fira Sans Extra Condensed"/>
        <b/>
        <color theme="1"/>
      </rPr>
      <t>SV</t>
    </r>
    <r>
      <rPr>
        <rFont val="Fira Sans Extra Condensed"/>
        <color theme="1"/>
      </rPr>
      <t xml:space="preserve">, con usuario aprobador </t>
    </r>
  </si>
  <si>
    <t xml:space="preserve"> Usuario aprobador debe de ingresar en el menu autorizaciones, 
- Seleccionar una transaccion monetaria pendiente de autorizacion
- En el campo de “confirmación” deben ingresar el código que genera la aplicación de Soft Token</t>
  </si>
  <si>
    <t>- Validar que la longitud sea de 6 caracteres numéricos (longitud paramétrica) 
- No debe permitir caracteres alfabéticos ni especiales 
- Validar que no se visualice el número en pantalla en ningún momento.</t>
  </si>
  <si>
    <t>- Si el esquema de firma es 1 grupo A debe de permitir autorizar la transaccion con exito
- Si el esuqema de firma es 2 grupo A debe de quedar pendiente de autorizacion</t>
  </si>
  <si>
    <r>
      <rPr>
        <rFont val="Fira Sans Extra Condensed"/>
        <color theme="1"/>
      </rPr>
      <t xml:space="preserve">Ingresar al módulo regional  desde la banca en linea </t>
    </r>
    <r>
      <rPr>
        <rFont val="Fira Sans Extra Condensed"/>
        <b/>
        <color theme="1"/>
      </rPr>
      <t>PA</t>
    </r>
    <r>
      <rPr>
        <rFont val="Fira Sans Extra Condensed"/>
        <color theme="1"/>
      </rPr>
      <t xml:space="preserve">, con usuario aprobador </t>
    </r>
  </si>
  <si>
    <r>
      <rPr>
        <rFont val="Fira Sans Extra Condensed"/>
        <b/>
        <color theme="1"/>
      </rPr>
      <t xml:space="preserve"> Usuario aprobador</t>
    </r>
    <r>
      <rPr>
        <rFont val="Fira Sans Extra Condensed"/>
        <color theme="1"/>
      </rPr>
      <t xml:space="preserve"> debe de ingresar en el menu autorizaciones, en el campo de “confirmación” deben ingresar el código que genera la aplicación de Soft Token
- Debe de seleccionar una transaccion monetaria </t>
    </r>
  </si>
  <si>
    <r>
      <rPr>
        <rFont val="Fira Sans Extra Condensed"/>
        <color theme="1"/>
      </rPr>
      <t xml:space="preserve">Ingresar al módulo regional  desde la banca en linea </t>
    </r>
    <r>
      <rPr>
        <rFont val="Fira Sans Extra Condensed"/>
        <b/>
        <color theme="1"/>
      </rPr>
      <t>HN</t>
    </r>
    <r>
      <rPr>
        <rFont val="Fira Sans Extra Condensed"/>
        <color theme="1"/>
      </rPr>
      <t xml:space="preserve">, con usuario aprobador </t>
    </r>
  </si>
  <si>
    <r>
      <rPr>
        <rFont val="Fira Sans Extra Condensed"/>
        <b/>
        <color theme="1"/>
      </rPr>
      <t xml:space="preserve"> Usuario aprobador</t>
    </r>
    <r>
      <rPr>
        <rFont val="Fira Sans Extra Condensed"/>
        <color theme="1"/>
      </rPr>
      <t xml:space="preserve"> debe de ingresar en el menu autorizaciones, en el campo de “confirmación” deben ingresar el código que genera la aplicación de Soft Token
- Debe de seleccionar una transaccion monetaria </t>
    </r>
  </si>
  <si>
    <r>
      <rPr>
        <rFont val="Fira Sans Extra Condensed"/>
        <color theme="1"/>
      </rPr>
      <t xml:space="preserve">Ingresar al módulo regional  desde la banca en linea </t>
    </r>
    <r>
      <rPr>
        <rFont val="Fira Sans Extra Condensed"/>
        <b/>
        <color theme="1"/>
      </rPr>
      <t>CR</t>
    </r>
    <r>
      <rPr>
        <rFont val="Fira Sans Extra Condensed"/>
        <color theme="1"/>
      </rPr>
      <t xml:space="preserve">, con usuario aprobador </t>
    </r>
  </si>
  <si>
    <r>
      <rPr>
        <rFont val="Fira Sans Extra Condensed"/>
        <b/>
        <color theme="1"/>
      </rPr>
      <t xml:space="preserve"> Usuario aprobador</t>
    </r>
    <r>
      <rPr>
        <rFont val="Fira Sans Extra Condensed"/>
        <color theme="1"/>
      </rPr>
      <t xml:space="preserve"> debe de ingresar en el menu autorizaciones, en el campo de “confirmación” deben ingresar el código que genera la aplicación de Soft Token
- Debe de seleccionar una transaccion monetaria </t>
    </r>
  </si>
  <si>
    <r>
      <rPr>
        <rFont val="Fira Sans Extra Condensed"/>
        <color theme="1"/>
      </rPr>
      <t xml:space="preserve">Ingresar al módulo regional  desde la banca en linea </t>
    </r>
    <r>
      <rPr>
        <rFont val="Fira Sans Extra Condensed"/>
        <b/>
        <color theme="1"/>
      </rPr>
      <t>SV</t>
    </r>
    <r>
      <rPr>
        <rFont val="Fira Sans Extra Condensed"/>
        <color theme="1"/>
      </rPr>
      <t xml:space="preserve">, con usuario aprobador </t>
    </r>
  </si>
  <si>
    <r>
      <rPr>
        <rFont val="Fira Sans Extra Condensed"/>
        <b/>
        <color theme="1"/>
      </rPr>
      <t xml:space="preserve"> Usuario aprobador</t>
    </r>
    <r>
      <rPr>
        <rFont val="Fira Sans Extra Condensed"/>
        <color theme="1"/>
      </rPr>
      <t xml:space="preserve"> debe de ingresar en el menu autorizaciones, en el campo de “confirmación” deben ingresar el código que genera la aplicación de Soft Token
- Debe de seleccionar una transaccion monetaria </t>
    </r>
  </si>
  <si>
    <t>El usuario debe de seleccionar el boton de Regresar: Al dar clic debe llevar a la pantalla anterior. Es importante mencionar que una vez se de clic no se debe duplicar el proceso.</t>
  </si>
  <si>
    <r>
      <rPr>
        <rFont val="Fira Sans Extra Condensed"/>
        <color theme="1"/>
        <sz val="10.0"/>
      </rPr>
      <t xml:space="preserve">El proceso de la transaccion </t>
    </r>
    <r>
      <rPr>
        <rFont val="Fira Sans Extra Condensed"/>
        <b/>
        <color theme="1"/>
        <sz val="10.0"/>
      </rPr>
      <t xml:space="preserve">NO </t>
    </r>
    <r>
      <rPr>
        <rFont val="Fira Sans Extra Condensed"/>
        <color theme="1"/>
        <sz val="10.0"/>
      </rPr>
      <t xml:space="preserve">debe de ser duplicado </t>
    </r>
  </si>
  <si>
    <t>Criterio - Confirmación (Elemento para  Regresar)</t>
  </si>
  <si>
    <r>
      <rPr>
        <rFont val="Fira Sans Extra Condensed"/>
        <color theme="1"/>
      </rPr>
      <t xml:space="preserve">Ingresar al módulo regional  desde la banca en linea </t>
    </r>
    <r>
      <rPr>
        <rFont val="Fira Sans Extra Condensed"/>
        <b/>
        <color theme="1"/>
      </rPr>
      <t>PA</t>
    </r>
    <r>
      <rPr>
        <rFont val="Fira Sans Extra Condensed"/>
        <color theme="1"/>
      </rPr>
      <t xml:space="preserve">, con usuario aprobador </t>
    </r>
  </si>
  <si>
    <r>
      <rPr>
        <rFont val="Fira Sans Extra Condensed"/>
        <b/>
        <color theme="1"/>
      </rPr>
      <t xml:space="preserve"> Usuario aprobador</t>
    </r>
    <r>
      <rPr>
        <rFont val="Fira Sans Extra Condensed"/>
        <color theme="1"/>
      </rPr>
      <t xml:space="preserve"> debe de ingresar en el menu autorizaciones, en el campo de “confirmación” deben ingresar el código que genera la aplicación de Soft Token
- Debe de seleccionar una transaccion monetaria </t>
    </r>
  </si>
  <si>
    <r>
      <rPr>
        <rFont val="Fira Sans Extra Condensed"/>
        <color theme="1"/>
        <sz val="10.0"/>
      </rPr>
      <t xml:space="preserve">El proceso de la transaccion </t>
    </r>
    <r>
      <rPr>
        <rFont val="Fira Sans Extra Condensed"/>
        <b/>
        <color theme="1"/>
        <sz val="10.0"/>
      </rPr>
      <t xml:space="preserve">NO </t>
    </r>
    <r>
      <rPr>
        <rFont val="Fira Sans Extra Condensed"/>
        <color theme="1"/>
        <sz val="10.0"/>
      </rPr>
      <t xml:space="preserve">debe de ser duplicado </t>
    </r>
  </si>
  <si>
    <r>
      <rPr>
        <rFont val="Fira Sans Extra Condensed"/>
        <color theme="1"/>
      </rPr>
      <t xml:space="preserve">Ingresar al módulo regional  desde la banca en linea </t>
    </r>
    <r>
      <rPr>
        <rFont val="Fira Sans Extra Condensed"/>
        <b/>
        <color theme="1"/>
      </rPr>
      <t>HN</t>
    </r>
    <r>
      <rPr>
        <rFont val="Fira Sans Extra Condensed"/>
        <color theme="1"/>
      </rPr>
      <t xml:space="preserve">, con usuario aprobador </t>
    </r>
  </si>
  <si>
    <r>
      <rPr>
        <rFont val="Fira Sans Extra Condensed"/>
        <b/>
        <color theme="1"/>
      </rPr>
      <t xml:space="preserve"> Usuario aprobador</t>
    </r>
    <r>
      <rPr>
        <rFont val="Fira Sans Extra Condensed"/>
        <color theme="1"/>
      </rPr>
      <t xml:space="preserve"> debe de ingresar en el menu autorizaciones, en el campo de “confirmación” deben ingresar el código que genera la aplicación de Soft Token
- Debe de seleccionar una transaccion monetaria </t>
    </r>
  </si>
  <si>
    <r>
      <rPr>
        <rFont val="Fira Sans Extra Condensed"/>
        <color theme="1"/>
        <sz val="10.0"/>
      </rPr>
      <t xml:space="preserve">El proceso de la transaccion </t>
    </r>
    <r>
      <rPr>
        <rFont val="Fira Sans Extra Condensed"/>
        <b/>
        <color theme="1"/>
        <sz val="10.0"/>
      </rPr>
      <t xml:space="preserve">NO </t>
    </r>
    <r>
      <rPr>
        <rFont val="Fira Sans Extra Condensed"/>
        <color theme="1"/>
        <sz val="10.0"/>
      </rPr>
      <t xml:space="preserve">debe de ser duplicado </t>
    </r>
  </si>
  <si>
    <r>
      <rPr>
        <rFont val="Fira Sans Extra Condensed"/>
        <color theme="1"/>
      </rPr>
      <t xml:space="preserve">Ingresar al módulo regional  desde la banca en linea </t>
    </r>
    <r>
      <rPr>
        <rFont val="Fira Sans Extra Condensed"/>
        <b/>
        <color theme="1"/>
      </rPr>
      <t>CR</t>
    </r>
    <r>
      <rPr>
        <rFont val="Fira Sans Extra Condensed"/>
        <color theme="1"/>
      </rPr>
      <t xml:space="preserve">, con usuario aprobador </t>
    </r>
  </si>
  <si>
    <r>
      <rPr>
        <rFont val="Fira Sans Extra Condensed"/>
        <b/>
        <color theme="1"/>
      </rPr>
      <t xml:space="preserve"> Usuario aprobador</t>
    </r>
    <r>
      <rPr>
        <rFont val="Fira Sans Extra Condensed"/>
        <color theme="1"/>
      </rPr>
      <t xml:space="preserve"> debe de ingresar en el menu autorizaciones, en el campo de “confirmación” deben ingresar el código que genera la aplicación de Soft Token
- Debe de seleccionar una transaccion monetaria </t>
    </r>
  </si>
  <si>
    <r>
      <rPr>
        <rFont val="Fira Sans Extra Condensed"/>
        <color theme="1"/>
        <sz val="10.0"/>
      </rPr>
      <t xml:space="preserve">El proceso de la transaccion </t>
    </r>
    <r>
      <rPr>
        <rFont val="Fira Sans Extra Condensed"/>
        <b/>
        <color theme="1"/>
        <sz val="10.0"/>
      </rPr>
      <t xml:space="preserve">NO </t>
    </r>
    <r>
      <rPr>
        <rFont val="Fira Sans Extra Condensed"/>
        <color theme="1"/>
        <sz val="10.0"/>
      </rPr>
      <t xml:space="preserve">debe de ser duplicado </t>
    </r>
  </si>
  <si>
    <r>
      <rPr>
        <rFont val="Fira Sans Extra Condensed"/>
        <color theme="1"/>
      </rPr>
      <t xml:space="preserve">Ingresar al módulo regional  desde la banca en linea </t>
    </r>
    <r>
      <rPr>
        <rFont val="Fira Sans Extra Condensed"/>
        <b/>
        <color theme="1"/>
      </rPr>
      <t>COL</t>
    </r>
    <r>
      <rPr>
        <rFont val="Fira Sans Extra Condensed"/>
        <color theme="1"/>
      </rPr>
      <t xml:space="preserve">, con usuario aprobador </t>
    </r>
  </si>
  <si>
    <r>
      <rPr>
        <rFont val="Fira Sans Extra Condensed"/>
        <b/>
        <color theme="1"/>
      </rPr>
      <t xml:space="preserve"> Usuario aprobador</t>
    </r>
    <r>
      <rPr>
        <rFont val="Fira Sans Extra Condensed"/>
        <color theme="1"/>
      </rPr>
      <t xml:space="preserve"> debe de ingresar en el menu autorizaciones, en el campo de “confirmación” deben ingresar el código que genera la aplicación de </t>
    </r>
    <r>
      <rPr>
        <rFont val="Fira Sans Extra Condensed"/>
        <b/>
        <color theme="1"/>
      </rPr>
      <t>Hard Token</t>
    </r>
    <r>
      <rPr>
        <rFont val="Fira Sans Extra Condensed"/>
        <color theme="1"/>
      </rPr>
      <t xml:space="preserve">
- Debe de seleccionar una transaccion monetaria </t>
    </r>
  </si>
  <si>
    <r>
      <rPr>
        <rFont val="Fira Sans Extra Condensed"/>
        <color theme="1"/>
        <sz val="10.0"/>
      </rPr>
      <t xml:space="preserve">El proceso de la transaccion </t>
    </r>
    <r>
      <rPr>
        <rFont val="Fira Sans Extra Condensed"/>
        <b/>
        <color theme="1"/>
        <sz val="10.0"/>
      </rPr>
      <t xml:space="preserve">NO </t>
    </r>
    <r>
      <rPr>
        <rFont val="Fira Sans Extra Condensed"/>
        <color theme="1"/>
        <sz val="10.0"/>
      </rPr>
      <t xml:space="preserve">debe de ser duplicado </t>
    </r>
  </si>
  <si>
    <r>
      <rPr>
        <rFont val="Fira Sans Extra Condensed"/>
        <color theme="1"/>
      </rPr>
      <t xml:space="preserve">Ingresar al módulo regional  desde la banca en linea </t>
    </r>
    <r>
      <rPr>
        <rFont val="Fira Sans Extra Condensed"/>
        <b/>
        <color theme="1"/>
      </rPr>
      <t>MIA</t>
    </r>
    <r>
      <rPr>
        <rFont val="Fira Sans Extra Condensed"/>
        <color theme="1"/>
      </rPr>
      <t xml:space="preserve">, con usuario aprobador </t>
    </r>
  </si>
  <si>
    <r>
      <rPr>
        <rFont val="Fira Sans Extra Condensed"/>
        <b/>
        <color theme="1"/>
      </rPr>
      <t xml:space="preserve"> Usuario aprobador</t>
    </r>
    <r>
      <rPr>
        <rFont val="Fira Sans Extra Condensed"/>
        <color theme="1"/>
      </rPr>
      <t xml:space="preserve"> debe de ingresar en el menu autorizaciones, en el campo de “confirmación” deben ingresar el código que genera la aplicación de </t>
    </r>
    <r>
      <rPr>
        <rFont val="Fira Sans Extra Condensed"/>
        <b/>
        <color theme="1"/>
      </rPr>
      <t>Soft Token</t>
    </r>
    <r>
      <rPr>
        <rFont val="Fira Sans Extra Condensed"/>
        <color theme="1"/>
      </rPr>
      <t xml:space="preserve">
- Debe de seleccionar una transaccion monetaria </t>
    </r>
  </si>
  <si>
    <r>
      <rPr>
        <rFont val="Fira Sans Extra Condensed"/>
        <color theme="1"/>
        <sz val="10.0"/>
      </rPr>
      <t xml:space="preserve">El proceso de la transaccion </t>
    </r>
    <r>
      <rPr>
        <rFont val="Fira Sans Extra Condensed"/>
        <b/>
        <color theme="1"/>
        <sz val="10.0"/>
      </rPr>
      <t xml:space="preserve">NO </t>
    </r>
    <r>
      <rPr>
        <rFont val="Fira Sans Extra Condensed"/>
        <color theme="1"/>
        <sz val="10.0"/>
      </rPr>
      <t xml:space="preserve">debe de ser duplicado </t>
    </r>
  </si>
  <si>
    <t>Criterio - Reglas y Mensajería Soft token (Autorizacion de operaciones moenetarias)</t>
  </si>
  <si>
    <r>
      <rPr>
        <rFont val="Fira Sans Extra Condensed"/>
        <color theme="1"/>
      </rPr>
      <t xml:space="preserve">Crear una transferencia entre cuentas propias regionales con </t>
    </r>
    <r>
      <rPr>
        <rFont val="Fira Sans Extra Condensed"/>
        <b/>
        <color theme="1"/>
      </rPr>
      <t>Usuario aprobador</t>
    </r>
    <r>
      <rPr>
        <rFont val="Fira Sans Extra Condensed"/>
        <color theme="1"/>
      </rPr>
      <t xml:space="preserve"> y metodo de autenticacion Soft token</t>
    </r>
  </si>
  <si>
    <t xml:space="preserve">Validar que se muestre la caja de desafio para colocar token </t>
  </si>
  <si>
    <t>Crear una transferencias a terceros regionales con esquema administrativo simple y usuario que posea soft token</t>
  </si>
  <si>
    <r>
      <rPr>
        <rFont val="Fira Sans Extra Condensed"/>
        <color theme="1"/>
      </rPr>
      <t xml:space="preserve">Crear una transferencia entre cuentas propias regionales con </t>
    </r>
    <r>
      <rPr>
        <rFont val="Fira Sans Extra Condensed"/>
        <b/>
        <color theme="1"/>
      </rPr>
      <t>Usuario aprobador</t>
    </r>
    <r>
      <rPr>
        <rFont val="Fira Sans Extra Condensed"/>
        <color theme="1"/>
      </rPr>
      <t xml:space="preserve"> y metodo de autenticacion Soft token</t>
    </r>
  </si>
  <si>
    <t>Validar que se muestre la caja de desafio para colocar token</t>
  </si>
  <si>
    <r>
      <rPr>
        <rFont val="Fira Sans Extra Condensed"/>
        <color theme="1"/>
      </rPr>
      <t xml:space="preserve">Debe de mostrar un mensaje </t>
    </r>
    <r>
      <rPr>
        <rFont val="Fira Sans Extra Condensed"/>
        <b/>
        <color theme="1"/>
      </rPr>
      <t>“Código ingresado errado</t>
    </r>
    <r>
      <rPr>
        <rFont val="Fira Sans Extra Condensed"/>
        <color theme="1"/>
      </rPr>
      <t>” y habilita un elemento de “aceptar”</t>
    </r>
  </si>
  <si>
    <t>Crear una Crear transferencia entre cuentas propias regionales con usuario aprobador con Soft Token</t>
  </si>
  <si>
    <r>
      <rPr>
        <rFont val="Fira Sans Extra Condensed"/>
        <color theme="1"/>
        <sz val="10.0"/>
      </rPr>
      <t xml:space="preserve">Crear transferencia entre cuentas propias regionales origen SV-HN-CR-PA con esquema de firmas 1 grupo A y </t>
    </r>
    <r>
      <rPr>
        <rFont val="Fira Sans Extra Condensed"/>
        <b/>
        <color theme="1"/>
        <sz val="10.0"/>
      </rPr>
      <t>usuario aprobador</t>
    </r>
    <r>
      <rPr>
        <rFont val="Fira Sans Extra Condensed"/>
        <color theme="1"/>
        <sz val="10.0"/>
      </rPr>
      <t xml:space="preserve"> con Soft Token</t>
    </r>
  </si>
  <si>
    <t>Crear transferencia con usuario aprobador que no pertenezca al esquema de firmas</t>
  </si>
  <si>
    <t>Crear una Crear transferencia entre cuentas propias regionales con usuario aprobador y metodo de auntenticacion Soft Token</t>
  </si>
  <si>
    <r>
      <rPr>
        <rFont val="Fira Sans Extra Condensed"/>
        <color theme="1"/>
        <sz val="10.0"/>
      </rPr>
      <t xml:space="preserve">Crear transferencia entre cuentas propias regionales origen SV-HN-CR-PA con esquema de firmas 1 grupo A y </t>
    </r>
    <r>
      <rPr>
        <rFont val="Fira Sans Extra Condensed"/>
        <b/>
        <color theme="1"/>
        <sz val="10.0"/>
      </rPr>
      <t>usuario aprobador</t>
    </r>
    <r>
      <rPr>
        <rFont val="Fira Sans Extra Condensed"/>
        <color theme="1"/>
        <sz val="10.0"/>
      </rPr>
      <t xml:space="preserve"> con Soft Token</t>
    </r>
  </si>
  <si>
    <r>
      <rPr>
        <rFont val="Fira Sans Extra Condensed"/>
        <color theme="1"/>
      </rPr>
      <t xml:space="preserve">Debe de mostrar un mensaje </t>
    </r>
    <r>
      <rPr>
        <rFont val="Fira Sans Extra Condensed"/>
        <b/>
        <color theme="1"/>
      </rPr>
      <t>“Código ingresado errado</t>
    </r>
    <r>
      <rPr>
        <rFont val="Fira Sans Extra Condensed"/>
        <color theme="1"/>
      </rPr>
      <t>” y habilita un elemento de “aceptar”</t>
    </r>
  </si>
  <si>
    <r>
      <rPr>
        <rFont val="Fira Sans Extra Condensed"/>
        <color theme="1"/>
        <sz val="10.0"/>
      </rPr>
      <t xml:space="preserve">Crear transferencia entre cuentas propias regionales origen SV-HN-CR-PA con esquema de firmas 1 grupo A y </t>
    </r>
    <r>
      <rPr>
        <rFont val="Fira Sans Extra Condensed"/>
        <b/>
        <color theme="1"/>
        <sz val="10.0"/>
      </rPr>
      <t>usuario aprobador</t>
    </r>
    <r>
      <rPr>
        <rFont val="Fira Sans Extra Condensed"/>
        <color theme="1"/>
        <sz val="10.0"/>
      </rPr>
      <t xml:space="preserve"> con Soft Token</t>
    </r>
  </si>
  <si>
    <r>
      <rPr>
        <rFont val="Fira Sans Extra Condensed"/>
        <color theme="1"/>
      </rPr>
      <t xml:space="preserve">El canal debe de mostrar un mensaje informarmando </t>
    </r>
    <r>
      <rPr>
        <rFont val="Fira Sans Extra Condensed"/>
        <b/>
        <color theme="1"/>
      </rPr>
      <t>“ Lo invitamos a solicitar un nuevo código”</t>
    </r>
  </si>
  <si>
    <r>
      <rPr>
        <rFont val="Fira Sans Extra Condensed"/>
        <color theme="1"/>
        <sz val="10.0"/>
      </rPr>
      <t xml:space="preserve">Crear transferencia entre cuentas propias regionales origen SV-HN-CR-PA con esquema de firmas 1 grupo A y </t>
    </r>
    <r>
      <rPr>
        <rFont val="Fira Sans Extra Condensed"/>
        <b/>
        <color theme="1"/>
        <sz val="10.0"/>
      </rPr>
      <t>usuario aprobador</t>
    </r>
    <r>
      <rPr>
        <rFont val="Fira Sans Extra Condensed"/>
        <color theme="1"/>
        <sz val="10.0"/>
      </rPr>
      <t xml:space="preserve"> con Soft Token</t>
    </r>
  </si>
  <si>
    <r>
      <rPr>
        <rFont val="Fira Sans Extra Condensed"/>
        <color theme="1"/>
      </rPr>
      <t xml:space="preserve">- Validar que la </t>
    </r>
    <r>
      <rPr>
        <rFont val="Fira Sans Extra Condensed"/>
        <b/>
        <color theme="1"/>
      </rPr>
      <t xml:space="preserve">transacción </t>
    </r>
    <r>
      <rPr>
        <rFont val="Fira Sans Extra Condensed"/>
        <color theme="1"/>
      </rPr>
      <t xml:space="preserve">sea bloqueada, hasta que codigo de token sea ingresado de manera correcta. </t>
    </r>
  </si>
  <si>
    <r>
      <rPr>
        <rFont val="Fira Sans Extra Condensed"/>
        <color theme="1"/>
        <sz val="10.0"/>
      </rPr>
      <t xml:space="preserve">Crear transferencia entre cuentas propias regionales origen SV-HN-CR-PA con esquema de firmas 1 grupo A y </t>
    </r>
    <r>
      <rPr>
        <rFont val="Fira Sans Extra Condensed"/>
        <b/>
        <color theme="1"/>
        <sz val="10.0"/>
      </rPr>
      <t>usuario aprobador</t>
    </r>
    <r>
      <rPr>
        <rFont val="Fira Sans Extra Condensed"/>
        <color theme="1"/>
        <sz val="10.0"/>
      </rPr>
      <t xml:space="preserve"> con Soft Token</t>
    </r>
  </si>
  <si>
    <r>
      <rPr>
        <rFont val="Fira Sans Extra Condensed"/>
        <color theme="1"/>
      </rPr>
      <t xml:space="preserve">Validar que muestre mensaje: </t>
    </r>
    <r>
      <rPr>
        <rFont val="Fira Sans Extra Condensed"/>
        <b/>
        <color theme="1"/>
      </rPr>
      <t>“ Código ingresado expiró, lo invitamos a ingresar un nuevo código”</t>
    </r>
  </si>
  <si>
    <t>Crear transferencia entre cuentas propias regionales origen SV-HN-CR-PA con esquema de firmas 1 grupo A y usuario aprobador con Soft Token</t>
  </si>
  <si>
    <r>
      <rPr>
        <rFont val="Fira Sans Extra Condensed"/>
        <color theme="1"/>
        <sz val="10.0"/>
      </rPr>
      <t xml:space="preserve">- Al momento de confirmar debe de mostrar un mensaje  "Ingrese Código de Seguridad o clave dinámica 
- El usuario podrá ingresar la clave dinámica generada a través de la app de Soft token hasta tres veces de manera errada sin presentar errores o bloqueos, si el usuario ingresa la clave de manera errada una cuarta vez, se bloquea el </t>
    </r>
    <r>
      <rPr>
        <rFont val="Fira Sans Extra Condensed"/>
        <b/>
        <color theme="1"/>
        <sz val="10.0"/>
      </rPr>
      <t xml:space="preserve">usuario </t>
    </r>
    <r>
      <rPr>
        <rFont val="Fira Sans Extra Condensed"/>
        <color theme="1"/>
        <sz val="10.0"/>
      </rPr>
      <t>de Soft token</t>
    </r>
  </si>
  <si>
    <r>
      <rPr>
        <rFont val="Fira Sans Extra Condensed"/>
        <color theme="1"/>
      </rPr>
      <t xml:space="preserve">- Validar que al ingrrsar la clave dinamica una cuarta vez el usuario sea bloqueado
- Validar que se muestre el mensaje, </t>
    </r>
    <r>
      <rPr>
        <rFont val="Fira Sans Extra Condensed"/>
        <b/>
        <color theme="1"/>
      </rPr>
      <t>“Validación errada, comuníquese con la línea de soporte empresarial”</t>
    </r>
    <r>
      <rPr>
        <rFont val="Fira Sans Extra Condensed"/>
        <color theme="1"/>
      </rPr>
      <t xml:space="preserve">
- Validar que el usuario pueda seguir navegando por el canal pero no le permite realizar autorizaciones</t>
    </r>
  </si>
  <si>
    <r>
      <rPr>
        <rFont val="Fira Sans Extra Condensed"/>
        <color theme="1"/>
      </rPr>
      <t xml:space="preserve">- Validar que al ingresar la clave dinamica una cuarta vez el usuario sea bloqueado
- Validar que se muestre el mensaje, </t>
    </r>
    <r>
      <rPr>
        <rFont val="Fira Sans Extra Condensed"/>
        <b/>
        <color theme="1"/>
      </rPr>
      <t>“Validación errada, comuníquese con el equipo de Implementaciones”</t>
    </r>
    <r>
      <rPr>
        <rFont val="Fira Sans Extra Condensed"/>
        <color theme="1"/>
      </rPr>
      <t xml:space="preserve">
- Validar que el usuario pueda seguir navegando por el canal pero no le permite realizar autorizaciones</t>
    </r>
  </si>
  <si>
    <r>
      <rPr>
        <rFont val="Fira Sans Extra Condensed"/>
        <color theme="1"/>
        <sz val="10.0"/>
      </rPr>
      <t xml:space="preserve">Criterio - Reglas y Mensajería </t>
    </r>
    <r>
      <rPr>
        <rFont val="Fira Sans Extra Condensed"/>
        <b/>
        <color theme="1"/>
        <sz val="10.0"/>
      </rPr>
      <t>Hard token (Colombia)</t>
    </r>
    <r>
      <rPr>
        <rFont val="Fira Sans Extra Condensed"/>
        <color theme="1"/>
        <sz val="10.0"/>
      </rPr>
      <t xml:space="preserve"> (Creacion de transferencias  regionales, usuario preparador)</t>
    </r>
  </si>
  <si>
    <t>Crear una Crear transferencias regionales con usuario operador con Hard token</t>
  </si>
  <si>
    <t>Crear transferencias regionales origen COL con esquema de firmas 1 grupo A y usuario operador con Hard token</t>
  </si>
  <si>
    <r>
      <rPr>
        <rFont val="Fira Sans Extra Condensed"/>
        <color theme="1"/>
        <sz val="10.0"/>
      </rPr>
      <t xml:space="preserve">Criterio - Reglas y Mensajería </t>
    </r>
    <r>
      <rPr>
        <rFont val="Fira Sans Extra Condensed"/>
        <b/>
        <color theme="1"/>
        <sz val="10.0"/>
      </rPr>
      <t>Hard token (Colombia)</t>
    </r>
    <r>
      <rPr>
        <rFont val="Fira Sans Extra Condensed"/>
        <color theme="1"/>
        <sz val="10.0"/>
      </rPr>
      <t xml:space="preserve"> (Creacion de transferencias  regionales, usuario preparador)</t>
    </r>
  </si>
  <si>
    <t>Crear una Crear transferencias regionales con usuario operador y metodo de auntenticacion Hard token</t>
  </si>
  <si>
    <r>
      <rPr>
        <rFont val="Fira Sans Extra Condensed"/>
        <color theme="1"/>
      </rPr>
      <t xml:space="preserve">Debe de mostrar un mensaje </t>
    </r>
    <r>
      <rPr>
        <rFont val="Fira Sans Extra Condensed"/>
        <b/>
        <color theme="1"/>
      </rPr>
      <t>“Código ingresado errado</t>
    </r>
    <r>
      <rPr>
        <rFont val="Fira Sans Extra Condensed"/>
        <color theme="1"/>
      </rPr>
      <t>” y habilita un elemento de “aceptar”</t>
    </r>
  </si>
  <si>
    <r>
      <rPr>
        <rFont val="Fira Sans Extra Condensed"/>
        <color theme="1"/>
        <sz val="10.0"/>
      </rPr>
      <t xml:space="preserve">Criterio - Reglas y Mensajería </t>
    </r>
    <r>
      <rPr>
        <rFont val="Fira Sans Extra Condensed"/>
        <b/>
        <color theme="1"/>
        <sz val="10.0"/>
      </rPr>
      <t>Hard token (Colombia)</t>
    </r>
    <r>
      <rPr>
        <rFont val="Fira Sans Extra Condensed"/>
        <color theme="1"/>
        <sz val="10.0"/>
      </rPr>
      <t xml:space="preserve"> (Creacion de transferencias  regionales, usuario preparador)</t>
    </r>
  </si>
  <si>
    <t>- Al momento de confirmar debe de mostrar un mensaje  "Ingrese Código de Seguridad o clave dinámica
- Usuario debe ingresar 2 veces un Hard token erroneo</t>
  </si>
  <si>
    <r>
      <rPr>
        <rFont val="Fira Sans Extra Condensed"/>
        <color theme="1"/>
      </rPr>
      <t xml:space="preserve">El canal debe de mostrar un mensaje informarmando </t>
    </r>
    <r>
      <rPr>
        <rFont val="Fira Sans Extra Condensed"/>
        <b/>
        <color theme="1"/>
      </rPr>
      <t>“ Lo invitamos a solicitar un nuevo código”</t>
    </r>
  </si>
  <si>
    <r>
      <rPr>
        <rFont val="Fira Sans Extra Condensed"/>
        <color theme="1"/>
        <sz val="10.0"/>
      </rPr>
      <t xml:space="preserve">Criterio - Reglas y Mensajería </t>
    </r>
    <r>
      <rPr>
        <rFont val="Fira Sans Extra Condensed"/>
        <b/>
        <color theme="1"/>
        <sz val="10.0"/>
      </rPr>
      <t>Hard token (Colombia)</t>
    </r>
    <r>
      <rPr>
        <rFont val="Fira Sans Extra Condensed"/>
        <color theme="1"/>
        <sz val="10.0"/>
      </rPr>
      <t xml:space="preserve"> (Creacion de transferencias  regionales, usuario preparador)</t>
    </r>
  </si>
  <si>
    <t>- Al momento de confirmar debe de mostrar un mensaje  "Ingrese Código de Seguridad o clave dinámica
- Usuario debe ingresar 3 veces un codigo de Hard token erroneo</t>
  </si>
  <si>
    <r>
      <rPr>
        <rFont val="Fira Sans Extra Condensed"/>
        <color theme="1"/>
      </rPr>
      <t xml:space="preserve">- Validar que la </t>
    </r>
    <r>
      <rPr>
        <rFont val="Fira Sans Extra Condensed"/>
        <b/>
        <color theme="1"/>
      </rPr>
      <t xml:space="preserve">transacción </t>
    </r>
    <r>
      <rPr>
        <rFont val="Fira Sans Extra Condensed"/>
        <color theme="1"/>
      </rPr>
      <t xml:space="preserve">sea bloqueada, hasta que codigo de token sea ingresado de manera correcta. </t>
    </r>
  </si>
  <si>
    <r>
      <rPr>
        <rFont val="Fira Sans Extra Condensed"/>
        <color theme="1"/>
        <sz val="10.0"/>
      </rPr>
      <t xml:space="preserve">Criterio - Reglas y Mensajería </t>
    </r>
    <r>
      <rPr>
        <rFont val="Fira Sans Extra Condensed"/>
        <b/>
        <color theme="1"/>
        <sz val="10.0"/>
      </rPr>
      <t>Hard token (Colombia)</t>
    </r>
    <r>
      <rPr>
        <rFont val="Fira Sans Extra Condensed"/>
        <color theme="1"/>
        <sz val="10.0"/>
      </rPr>
      <t xml:space="preserve"> (Creacion de transferencias  regionales, usuario preparador)</t>
    </r>
  </si>
  <si>
    <r>
      <rPr>
        <rFont val="Fira Sans Extra Condensed"/>
        <color theme="1"/>
      </rPr>
      <t xml:space="preserve">Validar que muestre mensaje: </t>
    </r>
    <r>
      <rPr>
        <rFont val="Fira Sans Extra Condensed"/>
        <b/>
        <color theme="1"/>
      </rPr>
      <t>“ Código ingresado expiró, lo invitamos a ingresar un nuevo código”</t>
    </r>
  </si>
  <si>
    <r>
      <rPr>
        <rFont val="Fira Sans Extra Condensed"/>
        <color theme="1"/>
        <sz val="10.0"/>
      </rPr>
      <t xml:space="preserve">Criterio - Reglas y Mensajería </t>
    </r>
    <r>
      <rPr>
        <rFont val="Fira Sans Extra Condensed"/>
        <b/>
        <color theme="1"/>
        <sz val="10.0"/>
      </rPr>
      <t>Hard token (Colombia)</t>
    </r>
    <r>
      <rPr>
        <rFont val="Fira Sans Extra Condensed"/>
        <color theme="1"/>
        <sz val="10.0"/>
      </rPr>
      <t xml:space="preserve"> (Creacion de transferencias  regionales, usuario preparador)</t>
    </r>
  </si>
  <si>
    <r>
      <rPr>
        <rFont val="Fira Sans Extra Condensed"/>
        <color theme="1"/>
        <sz val="10.0"/>
      </rPr>
      <t xml:space="preserve">- Al momento de confirmar debe de mostrar un mensaje  "Ingrese Código de Seguridad o clave dinámica 
- El usuario podrá ingresar la clave dinámica generada a través de la app de Hard token hasta tres veces de manera errada sin presentar errores o bloqueos, si el usuario ingresa la clave de manera errada una cuarta vez, se bloquea el </t>
    </r>
    <r>
      <rPr>
        <rFont val="Fira Sans Extra Condensed"/>
        <b/>
        <color theme="1"/>
        <sz val="10.0"/>
      </rPr>
      <t xml:space="preserve">usuario </t>
    </r>
    <r>
      <rPr>
        <rFont val="Fira Sans Extra Condensed"/>
        <color theme="1"/>
        <sz val="10.0"/>
      </rPr>
      <t>de Hard token</t>
    </r>
  </si>
  <si>
    <t>Validar que al ingresar la clave de manera errada una cuarta vez,  el usuario de Hard token sea bloqueado</t>
  </si>
  <si>
    <r>
      <rPr>
        <rFont val="Fira Sans Extra Condensed"/>
        <color theme="1"/>
        <sz val="10.0"/>
      </rPr>
      <t xml:space="preserve">Criterio - Reglas y Mensajería </t>
    </r>
    <r>
      <rPr>
        <rFont val="Fira Sans Extra Condensed"/>
        <b/>
        <color theme="1"/>
        <sz val="10.0"/>
      </rPr>
      <t>Hard token (Colombia)</t>
    </r>
    <r>
      <rPr>
        <rFont val="Fira Sans Extra Condensed"/>
        <color theme="1"/>
        <sz val="10.0"/>
      </rPr>
      <t xml:space="preserve"> (Creacion de transferencias  regionales, usuario preparador)</t>
    </r>
  </si>
  <si>
    <r>
      <rPr>
        <rFont val="Fira Sans Extra Condensed"/>
        <color theme="1"/>
      </rPr>
      <t xml:space="preserve">- Validar que al ingrrsar la clave dinamica una cuarta vez el usuario sea bloqueado
- Validar que se muestre el mensaje, </t>
    </r>
    <r>
      <rPr>
        <rFont val="Fira Sans Extra Condensed"/>
        <b/>
        <color theme="1"/>
      </rPr>
      <t>“Validación errada, comuníquese con la línea de soporte empresarial”</t>
    </r>
    <r>
      <rPr>
        <rFont val="Fira Sans Extra Condensed"/>
        <color theme="1"/>
      </rPr>
      <t xml:space="preserve">
- Validar que el usuario pueda seguir navegando por el canal pero no le permite realizar autorizaciones</t>
    </r>
  </si>
  <si>
    <r>
      <rPr>
        <rFont val="Fira Sans Extra Condensed"/>
        <color theme="1"/>
        <sz val="10.0"/>
      </rPr>
      <t>Criterio - Reglas y Mensajería</t>
    </r>
    <r>
      <rPr>
        <rFont val="Fira Sans Extra Condensed"/>
        <b/>
        <color theme="1"/>
        <sz val="10.0"/>
      </rPr>
      <t xml:space="preserve"> Hard token (Colombia)
</t>
    </r>
  </si>
  <si>
    <r>
      <rPr>
        <rFont val="Fira Sans Extra Condensed"/>
        <color theme="1"/>
      </rPr>
      <t xml:space="preserve">Crear una transferencia entre cuentas propias regionales con </t>
    </r>
    <r>
      <rPr>
        <rFont val="Fira Sans Extra Condensed"/>
        <b/>
        <color theme="1"/>
      </rPr>
      <t>Usuario aprobador</t>
    </r>
    <r>
      <rPr>
        <rFont val="Fira Sans Extra Condensed"/>
        <color theme="1"/>
      </rPr>
      <t xml:space="preserve"> y metodo de autenticacion Soft token</t>
    </r>
  </si>
  <si>
    <r>
      <rPr>
        <rFont val="Fira Sans Extra Condensed"/>
        <color theme="1"/>
        <sz val="10.0"/>
      </rPr>
      <t>Criterio - Reglas y Mensajería</t>
    </r>
    <r>
      <rPr>
        <rFont val="Fira Sans Extra Condensed"/>
        <b/>
        <color theme="1"/>
        <sz val="10.0"/>
      </rPr>
      <t xml:space="preserve"> Hard token (Colombia)
</t>
    </r>
  </si>
  <si>
    <r>
      <rPr>
        <rFont val="Fira Sans Extra Condensed"/>
        <color theme="1"/>
      </rPr>
      <t xml:space="preserve">Crear una transferencia entre cuentas propias regionales con </t>
    </r>
    <r>
      <rPr>
        <rFont val="Fira Sans Extra Condensed"/>
        <b/>
        <color theme="1"/>
      </rPr>
      <t>Usuario aprobador</t>
    </r>
    <r>
      <rPr>
        <rFont val="Fira Sans Extra Condensed"/>
        <color theme="1"/>
      </rPr>
      <t xml:space="preserve"> y metodo de autenticacion Soft token</t>
    </r>
  </si>
  <si>
    <t>- Al momento de confirmar debe de mostrar un mensaje  "Ingrese Código de Seguridad o clave dinámica
- Usuario debe ingresar token incorrecto</t>
  </si>
  <si>
    <r>
      <rPr>
        <rFont val="Fira Sans Extra Condensed"/>
        <color theme="1"/>
      </rPr>
      <t>Se debe de mostrar el Mensaje:</t>
    </r>
    <r>
      <rPr>
        <rFont val="Fira Sans Extra Condensed"/>
        <b/>
        <color theme="1"/>
      </rPr>
      <t xml:space="preserve"> La clave que ingresó no es válida</t>
    </r>
    <r>
      <rPr>
        <rFont val="Fira Sans Extra Condensed"/>
        <color theme="1"/>
      </rPr>
      <t xml:space="preserve">
Botón “Aceptar”: Al dar clic en este botón se debe dejar al usuario posicioado en la pantalla de autenticación.</t>
    </r>
  </si>
  <si>
    <r>
      <rPr>
        <rFont val="Fira Sans Extra Condensed"/>
        <color theme="1"/>
        <sz val="10.0"/>
      </rPr>
      <t>Criterio - Reglas y Mensajería</t>
    </r>
    <r>
      <rPr>
        <rFont val="Fira Sans Extra Condensed"/>
        <b/>
        <color theme="1"/>
        <sz val="10.0"/>
      </rPr>
      <t xml:space="preserve"> Hard token (Colombia)
</t>
    </r>
  </si>
  <si>
    <r>
      <rPr>
        <rFont val="Fira Sans Extra Condensed"/>
        <color theme="1"/>
        <sz val="10.0"/>
      </rPr>
      <t xml:space="preserve">Crear transferencia entre cuentas propias regionales origen COL con esquema de firmas 1 grupo A y </t>
    </r>
    <r>
      <rPr>
        <rFont val="Fira Sans Extra Condensed"/>
        <b/>
        <color theme="1"/>
        <sz val="10.0"/>
      </rPr>
      <t>usuario aprobador</t>
    </r>
    <r>
      <rPr>
        <rFont val="Fira Sans Extra Condensed"/>
        <color theme="1"/>
        <sz val="10.0"/>
      </rPr>
      <t xml:space="preserve"> con Soft Token</t>
    </r>
  </si>
  <si>
    <r>
      <rPr>
        <rFont val="Fira Sans Extra Condensed"/>
        <color theme="1"/>
      </rPr>
      <t xml:space="preserve">El canal debe de mostrar un mensaje informarmando </t>
    </r>
    <r>
      <rPr>
        <rFont val="Fira Sans Extra Condensed"/>
        <b/>
        <color theme="1"/>
      </rPr>
      <t>“ Lo invitamos a solicitar un nuevo código”</t>
    </r>
  </si>
  <si>
    <r>
      <rPr>
        <rFont val="Fira Sans Extra Condensed"/>
        <color theme="1"/>
        <sz val="10.0"/>
      </rPr>
      <t>Criterio - Reglas y Mensajería</t>
    </r>
    <r>
      <rPr>
        <rFont val="Fira Sans Extra Condensed"/>
        <b/>
        <color theme="1"/>
        <sz val="10.0"/>
      </rPr>
      <t xml:space="preserve"> Hard token (Colombia)
</t>
    </r>
  </si>
  <si>
    <r>
      <rPr>
        <rFont val="Fira Sans Extra Condensed"/>
        <color theme="1"/>
        <sz val="10.0"/>
      </rPr>
      <t xml:space="preserve">Crear transferencia entre cuentas propias regionales origen COL con esquema de firmas 1 grupo A y </t>
    </r>
    <r>
      <rPr>
        <rFont val="Fira Sans Extra Condensed"/>
        <b/>
        <color theme="1"/>
        <sz val="10.0"/>
      </rPr>
      <t>usuario aprobador</t>
    </r>
    <r>
      <rPr>
        <rFont val="Fira Sans Extra Condensed"/>
        <color theme="1"/>
        <sz val="10.0"/>
      </rPr>
      <t xml:space="preserve"> con Soft Token</t>
    </r>
  </si>
  <si>
    <r>
      <rPr>
        <rFont val="Fira Sans Extra Condensed"/>
        <color theme="1"/>
      </rPr>
      <t xml:space="preserve">- Validar que la </t>
    </r>
    <r>
      <rPr>
        <rFont val="Fira Sans Extra Condensed"/>
        <b/>
        <color theme="1"/>
      </rPr>
      <t xml:space="preserve">transacción </t>
    </r>
    <r>
      <rPr>
        <rFont val="Fira Sans Extra Condensed"/>
        <color theme="1"/>
      </rPr>
      <t xml:space="preserve">sea bloqueada, hasta que codigo de token sea ingresado de manera correcta. </t>
    </r>
  </si>
  <si>
    <r>
      <rPr>
        <rFont val="Fira Sans Extra Condensed"/>
        <color theme="1"/>
        <sz val="10.0"/>
      </rPr>
      <t>Criterio - Reglas y Mensajería</t>
    </r>
    <r>
      <rPr>
        <rFont val="Fira Sans Extra Condensed"/>
        <b/>
        <color theme="1"/>
        <sz val="10.0"/>
      </rPr>
      <t xml:space="preserve"> Hard token (Colombia)
</t>
    </r>
  </si>
  <si>
    <r>
      <rPr>
        <rFont val="Fira Sans Extra Condensed"/>
        <color theme="1"/>
        <sz val="10.0"/>
      </rPr>
      <t xml:space="preserve">Crear transferencia entre cuentas propias regionales origen COL con esquema de firmas 1 grupo A y </t>
    </r>
    <r>
      <rPr>
        <rFont val="Fira Sans Extra Condensed"/>
        <b/>
        <color theme="1"/>
        <sz val="10.0"/>
      </rPr>
      <t>usuario aprobador</t>
    </r>
    <r>
      <rPr>
        <rFont val="Fira Sans Extra Condensed"/>
        <color theme="1"/>
        <sz val="10.0"/>
      </rPr>
      <t xml:space="preserve"> con Soft Token</t>
    </r>
  </si>
  <si>
    <r>
      <rPr>
        <rFont val="Fira Sans Extra Condensed"/>
        <color theme="1"/>
      </rPr>
      <t xml:space="preserve">Validar que muestre mensaje: </t>
    </r>
    <r>
      <rPr>
        <rFont val="Fira Sans Extra Condensed"/>
        <b/>
        <color theme="1"/>
      </rPr>
      <t>“ Código ingresado expiró, lo invitamos a ingresar un nuevo código”</t>
    </r>
  </si>
  <si>
    <r>
      <rPr>
        <rFont val="Fira Sans Extra Condensed"/>
        <color theme="1"/>
        <sz val="10.0"/>
      </rPr>
      <t>Criterio - Reglas y Mensajería</t>
    </r>
    <r>
      <rPr>
        <rFont val="Fira Sans Extra Condensed"/>
        <b/>
        <color theme="1"/>
        <sz val="10.0"/>
      </rPr>
      <t xml:space="preserve"> Hard token (Colombia)
</t>
    </r>
  </si>
  <si>
    <r>
      <rPr>
        <rFont val="Fira Sans Extra Condensed"/>
        <color theme="1"/>
        <sz val="10.0"/>
      </rPr>
      <t xml:space="preserve">Crear transferencia entre cuentas propias regionales origen COL con esquema de firmas 1 grupo A y </t>
    </r>
    <r>
      <rPr>
        <rFont val="Fira Sans Extra Condensed"/>
        <b/>
        <color theme="1"/>
        <sz val="10.0"/>
      </rPr>
      <t>usuario aprobador</t>
    </r>
    <r>
      <rPr>
        <rFont val="Fira Sans Extra Condensed"/>
        <color theme="1"/>
        <sz val="10.0"/>
      </rPr>
      <t xml:space="preserve"> con Soft Token</t>
    </r>
  </si>
  <si>
    <r>
      <rPr>
        <rFont val="Fira Sans Extra Condensed"/>
        <color theme="1"/>
        <sz val="10.0"/>
      </rPr>
      <t xml:space="preserve">- Al momento de confirmar debe de mostrar un mensaje  "Ingrese Código de Seguridad o clave dinámica 
- El usuario podrá ingresar la clave dinámica generada a través de la app de Soft token hasta tres veces de manera errada sin presentar errores o bloqueos, si el usuario ingresa la clave de manera errada una cuarta vez, se bloquea el </t>
    </r>
    <r>
      <rPr>
        <rFont val="Fira Sans Extra Condensed"/>
        <b/>
        <color theme="1"/>
        <sz val="10.0"/>
      </rPr>
      <t xml:space="preserve">usuario </t>
    </r>
    <r>
      <rPr>
        <rFont val="Fira Sans Extra Condensed"/>
        <color theme="1"/>
        <sz val="10.0"/>
      </rPr>
      <t>de Soft token</t>
    </r>
  </si>
  <si>
    <r>
      <rPr>
        <rFont val="Fira Sans Extra Condensed"/>
        <color theme="1"/>
        <sz val="10.0"/>
      </rPr>
      <t>Criterio - Reglas y Mensajería</t>
    </r>
    <r>
      <rPr>
        <rFont val="Fira Sans Extra Condensed"/>
        <b/>
        <color theme="1"/>
        <sz val="10.0"/>
      </rPr>
      <t xml:space="preserve"> Hard token (Colombia)
</t>
    </r>
  </si>
  <si>
    <r>
      <rPr>
        <rFont val="Fira Sans Extra Condensed"/>
        <color theme="1"/>
        <sz val="10.0"/>
      </rPr>
      <t xml:space="preserve">Crear transferencia entre cuentas propias regionales origen COL con esquema de firmas 1 grupo A y </t>
    </r>
    <r>
      <rPr>
        <rFont val="Fira Sans Extra Condensed"/>
        <b/>
        <color theme="1"/>
        <sz val="10.0"/>
      </rPr>
      <t>usuario aprobador</t>
    </r>
    <r>
      <rPr>
        <rFont val="Fira Sans Extra Condensed"/>
        <color theme="1"/>
        <sz val="10.0"/>
      </rPr>
      <t xml:space="preserve"> con Soft Token</t>
    </r>
  </si>
  <si>
    <r>
      <rPr>
        <rFont val="Fira Sans Extra Condensed"/>
        <color theme="1"/>
      </rPr>
      <t xml:space="preserve">- Validar que al ingrrsar la clave dinamica una cuarta vez el usuario sea bloqueado
- Validar que se muestre el mensaje, </t>
    </r>
    <r>
      <rPr>
        <rFont val="Fira Sans Extra Condensed"/>
        <b/>
        <color theme="1"/>
      </rPr>
      <t>“Validación errada, comuníquese con la línea de soporte empresarial”</t>
    </r>
    <r>
      <rPr>
        <rFont val="Fira Sans Extra Condensed"/>
        <color theme="1"/>
      </rPr>
      <t xml:space="preserve">
- Validar que el usuario pueda seguir navegando por el canal pero no le permite realizar autorizaciones</t>
    </r>
  </si>
  <si>
    <t>Módulo autorizaciones/ Escala 7x24 desde Canal</t>
  </si>
  <si>
    <t>Visualización del módulo autorizaciones en el sidebar</t>
  </si>
  <si>
    <t>Usuario debe poseer el perfil de administrador o aprobador</t>
  </si>
  <si>
    <t>Usuarios administradores y autorizadores visualicen el módulo de autorizaciones en el sidebar</t>
  </si>
  <si>
    <t>Usuarios administradores y aprobadores accedan al módulo de autorizaciones en el sidebar</t>
  </si>
  <si>
    <t>- Usuarios deberán estar incluidos en un esquema de firma.</t>
  </si>
  <si>
    <t>Visualización y acceso al módulo de autorizaciones desde el sidebar a usuarios administradores y aprobadores</t>
  </si>
  <si>
    <t>Notificación de Novedades Pendientes de Autorización en el Home</t>
  </si>
  <si>
    <t>El usuario tiene permisos para ver las notificaciones de novedades pendientes de autorización.
Existe al menos una novedad que requiere autorización y está pendiente de ser autorizada en el módulo correspondiente.</t>
  </si>
  <si>
    <t>Verificar que la notificación numérica de novedades pendientes de autorización sea visible en el home del módulo, sin necesidad de ingresar al módulo de autorizaciones.</t>
  </si>
  <si>
    <t>En la notificación se mostrará el número exacto de gestiones pendientes</t>
  </si>
  <si>
    <t>- Si el cliente no tiene gestiones pendientes por autorizar mostrará valor cero</t>
  </si>
  <si>
    <t>El número en la notificación debe ser exacto y reflejar la cantidad real de gestiones pendientes de autorización.</t>
  </si>
  <si>
    <t>La notificación debe mostrarse siempre en el sidebar, es decir el usuario no debe actualizar ni cambiar de pantalla para visualizar que tiene una novedad pendiente de revisión y/o autorización.</t>
  </si>
  <si>
    <t>El usuario visualizará de forma fija en el sidebar en la opción autorizaciones las gestiones que posea pendientes de autorizar en el ícono globito</t>
  </si>
  <si>
    <t>Visualización de gestiones pendientes en el módulo de autorizaciones desde el sidebar a usuarios administradores y aprobadores</t>
  </si>
  <si>
    <t>Mensajería al ingresar al módulo de autorizaciones</t>
  </si>
  <si>
    <t>Cliente no posea grupos de productos asignados al esquema de firma transaccional</t>
  </si>
  <si>
    <t>Cuando el usuario ingrese al modulo de autorizaciones mostrará mensaje en pantalla: “Esquema de firma con inconsistencia, valide con el usuario administrador”</t>
  </si>
  <si>
    <t>Validar mensaje de acuerdo al error presentado}</t>
  </si>
  <si>
    <t>No permitir ingresar al menú autorizaciones</t>
  </si>
  <si>
    <t>Usuario autorizante no pertenezca a un esquema de firmas</t>
  </si>
  <si>
    <t>Si un usuario intenta ingresar al módulo y no se encuentra en un esquema de firma el canal debe informar: ”Acceso denegado, el usuario no está incluido en un esquema de firmas para mayor información contacte a su administrador”</t>
  </si>
  <si>
    <t>Usuario tenga la funcionalidad de autorizaciones asignada y no posea  grupo de productos</t>
  </si>
  <si>
    <t>En caso que el usuario tenga la funcionalidad asignada pero el usuario Administrador haya eliminado los grupos de productos al intentar ingresar al módulo debe informar:  “Opción no disponible, no tiene grupo de productos asignados, contacte a su administrador para más información.”</t>
  </si>
  <si>
    <t>Usuario ingrese al módulo autorizaciones en horario no hábil</t>
  </si>
  <si>
    <t>Si el usuario intenta ingresar para autorizar una operación en un horario no hábil el canal debe mostrar:  “Intente más tarde, En este momento no tenemos habilitadas las transacciones monetarias,debido a que estamos actualizando información, intente nuevamente entre 06:00 am y 09:00 pm” (texto paramétrico)</t>
  </si>
  <si>
    <t>Validar mensaje de acuerdo al error presentado</t>
  </si>
  <si>
    <t>- El mensaje se mostrará de acuerdo al horario de cierre de cada país</t>
  </si>
  <si>
    <t>Cliente no debe tener gestiones pendientes por autorizar</t>
  </si>
  <si>
    <t>En caso que el usuario no tenga procesos pendientes de autorización se debe mostrar el mensaje: “Aún no tiene autorizaciones pendientes”</t>
  </si>
  <si>
    <t>Validar mensaje de acuerdo a la acción ejecutada</t>
  </si>
  <si>
    <t>- Globito de notificaciones deberá mostrarse con valor cero</t>
  </si>
  <si>
    <t>Visualización del mensaje informativo</t>
  </si>
  <si>
    <t>Validación de clave dinámica al ingresar al módulo de autorizaciones</t>
  </si>
  <si>
    <t>Cada vez que el usuario de clic al módulo de “Autorizar” el canal deberá retar al usuario con la confirmación del código de seguridad.</t>
  </si>
  <si>
    <t>Usuario ingrese token correcto</t>
  </si>
  <si>
    <t>Usuario ingrese al módulo de autorizaciones y visualice las gestiones pendientes.</t>
  </si>
  <si>
    <t>Usuario ingresa un token erróneo deberá mostrar mensaje de error en pantalla indicando que el token ingresado es incorrecto</t>
  </si>
  <si>
    <t>No permitir continuar al siguiente paso</t>
  </si>
  <si>
    <t xml:space="preserve">Visualizar en pantalla mensaje de error, indicando que el token es incorrecto </t>
  </si>
  <si>
    <t>Usuario ingresa un token vencido deberá mostrar mensaje de error en pantalla indicando que el token ingresado es incorrecto</t>
  </si>
  <si>
    <t>Ingreso al módulo de autorizaciones</t>
  </si>
  <si>
    <t>Previo a la validación del token el usuario visualizará la información de las gestiones pendientes por autorizar</t>
  </si>
  <si>
    <r>
      <rPr>
        <rFont val="Fira Sans Extra Condensed"/>
        <color theme="1"/>
      </rPr>
      <t>el usuario visualizará el esqueleton de la funcionalidad con los siguientes campos:
- En la parte superior de la pantalla se visualizara el header con los íconos de notificaciones y el icono de</t>
    </r>
    <r>
      <rPr>
        <rFont val="Fira Sans Extra Condensed"/>
        <b/>
        <color theme="1"/>
      </rPr>
      <t xml:space="preserve">l avatar
</t>
    </r>
    <r>
      <rPr>
        <rFont val="Fira Sans Extra Condensed"/>
        <color theme="1"/>
      </rPr>
      <t>- Mostrará 2 botones en la parte superior derecha 'Rechazar' y 'Aprobar', se activarán 
- Título de la pantalla: Autorizaciones Pendientes
- Leyenda: Seleccione hasta 20 operaciones 
- Tipos de autorizaciones: Monetarias - No monetarias. Mostrará la cantidad exacta de tx pendientes de autorizar que posee el cliente
- Los tipos de autorizaciones al seleccionarlos tendrán una barra desplazadora la cual indicará en el tipo de autorización que me encuentro.
- Barra de menú con las opciones: Buscar (Ícono de lupa)  Filtrar (icomo de barra y rango de búsqueda desde-hasta 6 meses) y paginación.
- Mostrar los siguientes campos en forma lectura: Fecha de creación, número de proceso, país origen, tipo de transacción, productos origen, monnto en USD, checkbox de selección el cual permitirá autorizar de forma individual o multiple</t>
    </r>
  </si>
  <si>
    <t>Visualización y acceso a los campos del módulo de autorización.</t>
  </si>
  <si>
    <t>Autorizacion de operaciones monetarias</t>
  </si>
  <si>
    <t>Usuario seleccione la opción de Monetarias</t>
  </si>
  <si>
    <r>
      <rPr>
        <rFont val="Fira Sans Extra Condensed"/>
        <color theme="1"/>
      </rPr>
      <t xml:space="preserve">Mostrará los siguientes campos en pantalla:
</t>
    </r>
    <r>
      <rPr>
        <rFont val="Fira Sans Extra Condensed"/>
        <b/>
        <color theme="1"/>
      </rPr>
      <t>Título:</t>
    </r>
    <r>
      <rPr>
        <rFont val="Fira Sans Extra Condensed"/>
        <color theme="1"/>
      </rPr>
      <t xml:space="preserve">  Autorizaciones Monetarias pendientes
</t>
    </r>
    <r>
      <rPr>
        <rFont val="Fira Sans Extra Condensed"/>
        <b/>
        <color theme="1"/>
      </rPr>
      <t xml:space="preserve">Helper text: </t>
    </r>
    <r>
      <rPr>
        <rFont val="Fira Sans Extra Condensed"/>
        <color theme="1"/>
      </rPr>
      <t xml:space="preserve">“Puede seleccionar hasta 20 operaciones por lote, recuerde que puede realizar tantos lotes cómo necesite durante el día"  (El canal debe permitir realizar selección de hasta 20 novedades de diferentes páginas para "autorización " o"rechazar ".)
</t>
    </r>
    <r>
      <rPr>
        <rFont val="Fira Sans Extra Condensed"/>
        <b/>
        <color theme="1"/>
      </rPr>
      <t xml:space="preserve">Títulos filas de búsqueda
</t>
    </r>
    <r>
      <rPr>
        <rFont val="Fira Sans Extra Condensed"/>
        <color theme="1"/>
      </rPr>
      <t xml:space="preserve">El Canal debe mostrar los siguientes títulos en el resultado de la búsqueda.
</t>
    </r>
    <r>
      <rPr>
        <rFont val="Fira Sans Extra Condensed"/>
        <b/>
        <color theme="1"/>
      </rPr>
      <t>Checkbox:</t>
    </r>
    <r>
      <rPr>
        <rFont val="Fira Sans Extra Condensed"/>
        <color theme="1"/>
      </rPr>
      <t xml:space="preserve">  Debe estar este elemento para seleccionar la novedad de manera individual o Multiple
</t>
    </r>
    <r>
      <rPr>
        <rFont val="Fira Sans Extra Condensed"/>
        <b/>
        <color theme="1"/>
      </rPr>
      <t>Fecha y hora creación:</t>
    </r>
    <r>
      <rPr>
        <rFont val="Fira Sans Extra Condensed"/>
        <color theme="1"/>
      </rPr>
      <t xml:space="preserve"> El canal debe mostrar la fecha y hora en la cual el usuario preparador envía la novedad.
</t>
    </r>
    <r>
      <rPr>
        <rFont val="Fira Sans Extra Condensed"/>
        <b/>
        <color theme="1"/>
      </rPr>
      <t>Número Transacción:</t>
    </r>
    <r>
      <rPr>
        <rFont val="Fira Sans Extra Condensed"/>
        <color theme="1"/>
      </rPr>
      <t xml:space="preserve"> Se debe presentar el número de identificación única que crea el canal para cada operación.
</t>
    </r>
    <r>
      <rPr>
        <rFont val="Fira Sans Extra Condensed"/>
        <b/>
        <color theme="1"/>
      </rPr>
      <t>País Origen</t>
    </r>
    <r>
      <rPr>
        <rFont val="Fira Sans Extra Condensed"/>
        <color theme="1"/>
      </rPr>
      <t xml:space="preserve">: Se debe presentar el país del producto origen.
</t>
    </r>
    <r>
      <rPr>
        <rFont val="Fira Sans Extra Condensed"/>
        <b/>
        <color theme="1"/>
      </rPr>
      <t>Tipo de transacción:</t>
    </r>
    <r>
      <rPr>
        <rFont val="Fira Sans Extra Condensed"/>
        <color theme="1"/>
      </rPr>
      <t xml:space="preserve"> Se debe mostrar el tipo de operación, las opciones posibles para el MVP serán:  
                               -   Transferencia regionales a cuentas propias
                               -   Transferencia regionales a terceros
</t>
    </r>
    <r>
      <rPr>
        <rFont val="Fira Sans Extra Condensed"/>
        <b/>
        <color theme="1"/>
      </rPr>
      <t>Cuenta Origen:</t>
    </r>
    <r>
      <rPr>
        <rFont val="Fira Sans Extra Condensed"/>
        <color theme="1"/>
      </rPr>
      <t xml:space="preserve"> Se debe mostrar el número de la cuenta origen enmascarada y bandera del país desde el cual se realiza la novedad, Cuando el usuario coloca el cursor (hover) sobre la imagen de la bandera, se debe mostrar un texto emergente (tooltip) con las iniciales del país correspondiente con el estándar ISO, ejemplo, “CO” para Colombia.  Adicional debe informar el tipo de cuenta al que pertenece.  
</t>
    </r>
    <r>
      <rPr>
        <rFont val="Fira Sans Extra Condensed"/>
        <b/>
        <color theme="1"/>
      </rPr>
      <t>Monto traslado:</t>
    </r>
    <r>
      <rPr>
        <rFont val="Fira Sans Extra Condensed"/>
        <color theme="1"/>
      </rPr>
      <t xml:space="preserve"> Se debe mostrar el valor por el cual se generó la transacción en dólar americano, en caso que la moneda origen sea diferente al monto del traslado se visualizará en el detalle, el valor debe incluir el símbolo de la moneda del traslado. La longitud máxima será de 17 caracteres incluyendo los dos decimales y puntos y comas.</t>
    </r>
  </si>
  <si>
    <t>Acceso exitoso a la opción de autorizaciones monetarias</t>
  </si>
  <si>
    <t>Filtros de búsqueda autorización de operaciones monetarias</t>
  </si>
  <si>
    <t>El Canal debe contar con un elemento que le permita aplicar filtros de búsqueda avanzada para encontrar una solicitud puntal de manera sencilla.</t>
  </si>
  <si>
    <t>Una vez el usuario seleccione el filtro de búsqueda podrá ejecutar la misma por medio de los siguientes campos:
- Elemento para buscar
- Elemento para filtrar</t>
  </si>
  <si>
    <t>Acceder a las autorizaciones monetarias  y no monetarias</t>
  </si>
  <si>
    <t xml:space="preserve">Una vez el usuario de clic se debe habilitar una barra de búsqueda desde la pantalla de consulta que le permita al usuario de manera rápida encontrar una transacción ingresando el número único de transacción, este es un espacio donde el usuario puede escribir hasta 10 dígitos. </t>
  </si>
  <si>
    <t>Búsqueda exitosa de gestiones pendientes.</t>
  </si>
  <si>
    <t>Títulos filas de búsqueda para los filtros, se mostrarán como popup
Tipo de Transacción 
País Origen
Producto Origen
Fecha por rango
Monto de traslado</t>
  </si>
  <si>
    <t>Validación de campos e información de acuerdo a los filtros utilizados</t>
  </si>
  <si>
    <t>Esta pantalla debe tener un elemento que le permita a los usuarios ordenar la información que se muestra en pantalla teniendo en cuenta los títulos de las columnas.</t>
  </si>
  <si>
    <t>Para ordenar la información que se muestra en pantalla los usuarios deben dar clic de manera intuitiva en sobre los títulos de las columnas y permite ordenar de mayor a menor y de menor a mayor el resultado en pantalla.</t>
  </si>
  <si>
    <t>Ordenar campos de mayor a menor y viceversa</t>
  </si>
  <si>
    <t>Funcionalidad de ordenar en autorización de operaciones monetarias</t>
  </si>
  <si>
    <t>Esta pantalla debe tener un elemento que le permita a los usuarios ordenar la información que se muestra en pantalla teniendo en cuenta los títulos de las columnas</t>
  </si>
  <si>
    <t>Los usuarios deben dar clic de manera intuitiva sobre los títulos de las columnas y permite ordenar de mayor a menor y de menor a mayor el resultado en pantalla.</t>
  </si>
  <si>
    <t>Actualización de pantalla de acuerdo a lo solicitado por el usuario  y mostrar el resultado en el orden requerido por el usuario</t>
  </si>
  <si>
    <t>Paginación en autorización de operaciones monetarias</t>
  </si>
  <si>
    <t>Usuario  posea los permisos de autorizador o administrador y  cliente posea más de 50 gestiones pendientes de autorización</t>
  </si>
  <si>
    <t>En la pantalla se debe presentar la paginación mostrando fácilmente el número de páginas que arroja la consulta</t>
  </si>
  <si>
    <t xml:space="preserve">La paginación se debe presentar en la parte superior del resultado, se presentará hasta 50 registros por página, de acuerdo la información obtenida del resultado de la consulta, para llegar a la parte inferior el usuario podrá usar el scroll y el teclado. 
- La paginación debe permitir al usuario moverse de la página posterior y anterior mostrando numéricamente en cúal pagina se encuentra y cuantas paginas existen en la consulta.
</t>
  </si>
  <si>
    <t>- si el cliente posee 50 registros o menos no mostrará paginación</t>
  </si>
  <si>
    <t xml:space="preserve">visualizar paginación apartir de las 50 gestiones pendientes por autorizar. </t>
  </si>
  <si>
    <t>Accionables registros autorización de operaciones monetarias</t>
  </si>
  <si>
    <t>El canal debe habilitar una opción por cada registro que permita obtener mayor detalle de cómo fue registrado por el usuario preparador</t>
  </si>
  <si>
    <t>Usuario debe hacer clic sobre el icono detalle para poder visualizar el detalle de la gesión pendiente</t>
  </si>
  <si>
    <t>Ingreso al detalle correctamente.</t>
  </si>
  <si>
    <t>Botones de aprobación y rechazo de autorización de operaciones monetarias</t>
  </si>
  <si>
    <t>Debe existir 2 botones 1 de Aprobar y 1 de rechazar las gestiones seleccionadas</t>
  </si>
  <si>
    <t xml:space="preserve">Estos botones únicamente se habilitan si el usuario seleccionó al menos un registro desde el checkbox, el canal permite realizar aprobaciones individuales o masivas, para autorizaciones masivas el número máximo de solicitudes a realizar por el usuario son 20 procesos. 
</t>
  </si>
  <si>
    <t>Visualización de los 2 botones Aprobar y Rechazar.</t>
  </si>
  <si>
    <t>Detalle registro monetario en autorización de transferencias entre cuentas propias regionales pendientes de autorizar</t>
  </si>
  <si>
    <t>Cuando el usuario ingrese al detalle, el canal deberá mostrar toda la información de la gestión confeccionada</t>
  </si>
  <si>
    <t xml:space="preserve">El canal debe actualizar la pantalla en la cual obtiene la misma visual de resumen general de cuando el usuario operador envía la novedad, en esta pantalla se debe visualizar toda la información de manera clara para que el usuario con rol  “autorizador” pueda autorizar o declinar la novedad. </t>
  </si>
  <si>
    <t>Ingreso y visualización del detalle exitoso</t>
  </si>
  <si>
    <t>Usuario ingrese al detalle de una transferencia regional entre cuentas propias y valide las secciones de título y origen</t>
  </si>
  <si>
    <r>
      <rPr>
        <rFont val="Fira Sans Extra Condensed"/>
        <b/>
        <color theme="1"/>
      </rPr>
      <t>Detalle Transferencias regionales a cuentas propias:</t>
    </r>
    <r>
      <rPr>
        <rFont val="Fira Sans Extra Condensed"/>
        <color theme="1"/>
      </rPr>
      <t xml:space="preserve">
Al dar clic debe actualizar la pantalla y mostrar los siguientes campos:
</t>
    </r>
    <r>
      <rPr>
        <rFont val="Fira Sans Extra Condensed"/>
        <b/>
        <color theme="1"/>
      </rPr>
      <t>Título:</t>
    </r>
    <r>
      <rPr>
        <rFont val="Fira Sans Extra Condensed"/>
        <color theme="1"/>
      </rPr>
      <t xml:space="preserve">  Detalle Autorización transferencia regional a cuentas propias
</t>
    </r>
    <r>
      <rPr>
        <rFont val="Fira Sans Extra Condensed"/>
        <b/>
        <color theme="1"/>
      </rPr>
      <t>Títulos filas:</t>
    </r>
    <r>
      <rPr>
        <rFont val="Fira Sans Extra Condensed"/>
        <color theme="1"/>
      </rPr>
      <t xml:space="preserve">
</t>
    </r>
    <r>
      <rPr>
        <rFont val="Fira Sans Extra Condensed"/>
        <b/>
        <color theme="1"/>
      </rPr>
      <t xml:space="preserve">Fecha y hora creación: </t>
    </r>
    <r>
      <rPr>
        <rFont val="Fira Sans Extra Condensed"/>
        <color theme="1"/>
      </rPr>
      <t xml:space="preserve">Se debe mostrar la fecha y hora en la que el usuario creó el proceso
</t>
    </r>
    <r>
      <rPr>
        <rFont val="Fira Sans Extra Condensed"/>
        <b/>
        <color theme="1"/>
      </rPr>
      <t>Programación</t>
    </r>
    <r>
      <rPr>
        <rFont val="Fira Sans Extra Condensed"/>
        <color theme="1"/>
      </rPr>
      <t xml:space="preserve">: En caso de que el usuario preparador haya ingresado la fecha y hora de la ejecución de la operación se debe mostrar en este campo de lo contrario no se debe mostrar.
</t>
    </r>
    <r>
      <rPr>
        <rFont val="Fira Sans Extra Condensed"/>
        <b/>
        <color theme="1"/>
      </rPr>
      <t>Número de transacción:</t>
    </r>
    <r>
      <rPr>
        <rFont val="Fira Sans Extra Condensed"/>
        <color theme="1"/>
      </rPr>
      <t xml:space="preserve"> Se debe mostrar el número único de identificación a nivel del core.
</t>
    </r>
    <r>
      <rPr>
        <rFont val="Fira Sans Extra Condensed"/>
        <b/>
        <color theme="1"/>
      </rPr>
      <t xml:space="preserve">Estado: </t>
    </r>
    <r>
      <rPr>
        <rFont val="Fira Sans Extra Condensed"/>
        <color theme="1"/>
      </rPr>
      <t xml:space="preserve">Se debe mostrar el estado “Pendiente de Autorización” seguido del número de usuarios que están pendientes para la liberación de recursos ejemplo 1/2 , 2/5.
</t>
    </r>
    <r>
      <rPr>
        <rFont val="Fira Sans Extra Condensed"/>
        <b/>
        <color theme="1"/>
      </rPr>
      <t>Origen
País:</t>
    </r>
    <r>
      <rPr>
        <rFont val="Fira Sans Extra Condensed"/>
        <color theme="1"/>
      </rPr>
      <t xml:space="preserve"> Se debe mostrar el país seleccionado por el usuario preparador. 
</t>
    </r>
    <r>
      <rPr>
        <rFont val="Fira Sans Extra Condensed"/>
        <b/>
        <color theme="1"/>
      </rPr>
      <t>Empresa</t>
    </r>
    <r>
      <rPr>
        <rFont val="Fira Sans Extra Condensed"/>
        <color theme="1"/>
      </rPr>
      <t xml:space="preserve">: Se debe mostrar el nombre de la Empresa seleccionada por el usuario preparador.
</t>
    </r>
    <r>
      <rPr>
        <rFont val="Fira Sans Extra Condensed"/>
        <b/>
        <color theme="1"/>
      </rPr>
      <t>Tipo producto:</t>
    </r>
    <r>
      <rPr>
        <rFont val="Fira Sans Extra Condensed"/>
        <color theme="1"/>
      </rPr>
      <t xml:space="preserve"> Se debe mostrar el tipo de producto origen, ejemplo: Cuenta Ahorro/ Cuenta Corriente/ Ahorro maestra.
</t>
    </r>
    <r>
      <rPr>
        <rFont val="Fira Sans Extra Condensed"/>
        <b/>
        <color theme="1"/>
      </rPr>
      <t>Nombre del producto:</t>
    </r>
    <r>
      <rPr>
        <rFont val="Fira Sans Extra Condensed"/>
        <color theme="1"/>
      </rPr>
      <t xml:space="preserve"> Se debe mostrar el alias o nombre del producto.
</t>
    </r>
    <r>
      <rPr>
        <rFont val="Fira Sans Extra Condensed"/>
        <b/>
        <color theme="1"/>
      </rPr>
      <t xml:space="preserve">Cuenta: </t>
    </r>
    <r>
      <rPr>
        <rFont val="Fira Sans Extra Condensed"/>
        <color theme="1"/>
      </rPr>
      <t xml:space="preserve">Se debe mostrar el número de la cuenta seleccionada en la creación enmascarada.
</t>
    </r>
    <r>
      <rPr>
        <rFont val="Fira Sans Extra Condensed"/>
        <b/>
        <color theme="1"/>
      </rPr>
      <t xml:space="preserve">Monto a debitar: </t>
    </r>
    <r>
      <rPr>
        <rFont val="Fira Sans Extra Condensed"/>
        <color theme="1"/>
      </rPr>
      <t>Se debe mostrar el monto a debitar en la moneda origen del producto con el símbolo de la moneda.</t>
    </r>
  </si>
  <si>
    <t>Los campos se mostrarán en formato lectura</t>
  </si>
  <si>
    <t>Visualización el detalle de la transacción  entre cuentas propias regionales pendiente de autorización.</t>
  </si>
  <si>
    <t>Usuario ingrese al detalle de una transferencia regional entre cuentas propias y valide las secciones de destino y tasa de cambio</t>
  </si>
  <si>
    <r>
      <rPr>
        <rFont val="Fira Sans Extra Condensed"/>
        <b/>
        <color theme="1"/>
      </rPr>
      <t xml:space="preserve">Destino
</t>
    </r>
    <r>
      <rPr>
        <rFont val="Fira Sans Extra Condensed"/>
        <color theme="1"/>
      </rPr>
      <t xml:space="preserve">
</t>
    </r>
    <r>
      <rPr>
        <rFont val="Fira Sans Extra Condensed"/>
        <b/>
        <color theme="1"/>
      </rPr>
      <t xml:space="preserve">País: </t>
    </r>
    <r>
      <rPr>
        <rFont val="Fira Sans Extra Condensed"/>
        <color theme="1"/>
      </rPr>
      <t xml:space="preserve">se debe mostrar el seleccionado por el usuario preparado.
</t>
    </r>
    <r>
      <rPr>
        <rFont val="Fira Sans Extra Condensed"/>
        <b/>
        <color theme="1"/>
      </rPr>
      <t xml:space="preserve">Empresa: </t>
    </r>
    <r>
      <rPr>
        <rFont val="Fira Sans Extra Condensed"/>
        <color theme="1"/>
      </rPr>
      <t xml:space="preserve">Se debe mostrar el nombre de la Empresa seleccionada por el usuario preparador.
</t>
    </r>
    <r>
      <rPr>
        <rFont val="Fira Sans Extra Condensed"/>
        <b/>
        <color theme="1"/>
      </rPr>
      <t>Tipo producto:</t>
    </r>
    <r>
      <rPr>
        <rFont val="Fira Sans Extra Condensed"/>
        <color theme="1"/>
      </rPr>
      <t xml:space="preserve"> Se debe mostrar el tipo de producto destino, ejemplo: Cuenta Ahorro/ Cuenta Corriente.
</t>
    </r>
    <r>
      <rPr>
        <rFont val="Fira Sans Extra Condensed"/>
        <b/>
        <color theme="1"/>
      </rPr>
      <t xml:space="preserve">Nombre del producto: </t>
    </r>
    <r>
      <rPr>
        <rFont val="Fira Sans Extra Condensed"/>
        <color theme="1"/>
      </rPr>
      <t xml:space="preserve">Se debe mostrar el alias o nombre del producto.
</t>
    </r>
    <r>
      <rPr>
        <rFont val="Fira Sans Extra Condensed"/>
        <b/>
        <color theme="1"/>
      </rPr>
      <t>Cuenta:</t>
    </r>
    <r>
      <rPr>
        <rFont val="Fira Sans Extra Condensed"/>
        <color theme="1"/>
      </rPr>
      <t xml:space="preserve"> Se debe mostrar el número de la cuenta seleccionada completo sin enmascarar.
</t>
    </r>
    <r>
      <rPr>
        <rFont val="Fira Sans Extra Condensed"/>
        <b/>
        <color theme="1"/>
      </rPr>
      <t>Tasa de Cambio
Fecha y hora:</t>
    </r>
    <r>
      <rPr>
        <rFont val="Fira Sans Extra Condensed"/>
        <color theme="1"/>
      </rPr>
      <t xml:space="preserve"> Se muestra en caso que la moneda de divisa origen sea diferente a la destino.
</t>
    </r>
    <r>
      <rPr>
        <rFont val="Fira Sans Extra Condensed"/>
        <b/>
        <color theme="1"/>
      </rPr>
      <t xml:space="preserve">Tasa de Referencia: </t>
    </r>
    <r>
      <rPr>
        <rFont val="Fira Sans Extra Condensed"/>
        <color theme="1"/>
      </rPr>
      <t xml:space="preserve">Se debe mostrar la equivalencia de la moneda origen versus la destino. aplica únicamente si la moneda origen es diferente a la destino. 
</t>
    </r>
    <r>
      <rPr>
        <rFont val="Fira Sans Extra Condensed"/>
        <b/>
        <color theme="1"/>
      </rPr>
      <t>Deal ticket</t>
    </r>
    <r>
      <rPr>
        <rFont val="Fira Sans Extra Condensed"/>
        <color theme="1"/>
      </rPr>
      <t xml:space="preserve">: Aplica únicamente para CR y debe mostrar el número si fue ingresado por el usuario preparador.
</t>
    </r>
    <r>
      <rPr>
        <rFont val="Fira Sans Extra Condensed"/>
        <b/>
        <color theme="1"/>
      </rPr>
      <t xml:space="preserve">Costo de la transacción: </t>
    </r>
    <r>
      <rPr>
        <rFont val="Fira Sans Extra Condensed"/>
        <color theme="1"/>
      </rPr>
      <t xml:space="preserve">Se debe incluir el campo Costo de transacción (Comisión) este valor viene en USD ejm: 5 usd .
</t>
    </r>
    <r>
      <rPr>
        <rFont val="Fira Sans Extra Condensed"/>
        <b/>
        <color theme="1"/>
      </rPr>
      <t xml:space="preserve">Valor a transferir: </t>
    </r>
    <r>
      <rPr>
        <rFont val="Fira Sans Extra Condensed"/>
        <color theme="1"/>
      </rPr>
      <t xml:space="preserve">Se debe presentar la moneda y el valor en la que se realiza la transferencia. </t>
    </r>
  </si>
  <si>
    <t>Usuario ingrese al detalle de una transferencia regional entre cuentas propias y valide las sección de información adicional</t>
  </si>
  <si>
    <r>
      <rPr>
        <rFont val="Fira Sans Extra Condensed"/>
        <b/>
        <color theme="1"/>
      </rPr>
      <t>Información adicional:
Notificación</t>
    </r>
    <r>
      <rPr>
        <rFont val="Fira Sans Extra Condensed"/>
        <color theme="1"/>
      </rPr>
      <t xml:space="preserve">: debe mostrar la información si fue ingresada por el usuario preparador.
</t>
    </r>
    <r>
      <rPr>
        <rFont val="Fira Sans Extra Condensed"/>
        <b/>
        <color theme="1"/>
      </rPr>
      <t xml:space="preserve">Detalle de la transacción: </t>
    </r>
    <r>
      <rPr>
        <rFont val="Fira Sans Extra Condensed"/>
        <color theme="1"/>
      </rPr>
      <t xml:space="preserve">se debe presentar la información si el usuario preparador la ingresó. Si no ingresó información el campo no se mostrará. 
</t>
    </r>
    <r>
      <rPr>
        <rFont val="Fira Sans Extra Condensed"/>
        <b/>
        <color theme="1"/>
      </rPr>
      <t>Sección egreso de divisa, aplica solo para SV</t>
    </r>
    <r>
      <rPr>
        <rFont val="Fira Sans Extra Condensed"/>
        <color theme="1"/>
      </rPr>
      <t xml:space="preserve">
</t>
    </r>
    <r>
      <rPr>
        <rFont val="Fira Sans Extra Condensed"/>
        <b/>
        <color theme="1"/>
      </rPr>
      <t>Persona que proporciona la información:</t>
    </r>
    <r>
      <rPr>
        <rFont val="Fira Sans Extra Condensed"/>
        <color theme="1"/>
      </rPr>
      <t xml:space="preserve"> solo se debe presentar el nombre del usuario preparador. (Aplica únicamente para cuentas origen en El Salvador)
</t>
    </r>
    <r>
      <rPr>
        <rFont val="Fira Sans Extra Condensed"/>
        <b/>
        <color theme="1"/>
      </rPr>
      <t>Fecha:</t>
    </r>
    <r>
      <rPr>
        <rFont val="Fira Sans Extra Condensed"/>
        <color theme="1"/>
      </rPr>
      <t xml:space="preserve"> solo se debe presentar si se ingresó (Aplica únicamente para cuentas origen en El Salvador)
</t>
    </r>
    <r>
      <rPr>
        <rFont val="Fira Sans Extra Condensed"/>
        <b/>
        <color theme="1"/>
      </rPr>
      <t xml:space="preserve">Comentario: </t>
    </r>
    <r>
      <rPr>
        <rFont val="Fira Sans Extra Condensed"/>
        <color theme="1"/>
      </rPr>
      <t xml:space="preserve">solo se debe presentar si fue ingresado por el preparador. (Aplica únicamente para cuentas origen en El Salvador)
</t>
    </r>
    <r>
      <rPr>
        <rFont val="Fira Sans Extra Condensed"/>
        <b/>
        <color theme="1"/>
      </rPr>
      <t>Concepto:</t>
    </r>
    <r>
      <rPr>
        <rFont val="Fira Sans Extra Condensed"/>
        <color theme="1"/>
      </rPr>
      <t xml:space="preserve"> solo se debe presentar si lo ingresó el preparador. (Aplica únicamente para cuentas origen en El Salvador)</t>
    </r>
  </si>
  <si>
    <t>Usuario ingrese al detalle de una transferencia regional entre cuentas propias y valide las sección de roles</t>
  </si>
  <si>
    <r>
      <rPr>
        <rFont val="Fira Sans Extra Condensed"/>
        <b/>
        <color theme="1"/>
      </rPr>
      <t>Sección Roles
Preparador:</t>
    </r>
    <r>
      <rPr>
        <rFont val="Fira Sans Extra Condensed"/>
        <color theme="1"/>
      </rPr>
      <t xml:space="preserve"> Debe mostrar el nombre del usuario que creó la operación. 
</t>
    </r>
    <r>
      <rPr>
        <rFont val="Fira Sans Extra Condensed"/>
        <b/>
        <color theme="1"/>
      </rPr>
      <t>Autorizador 1:</t>
    </r>
    <r>
      <rPr>
        <rFont val="Fira Sans Extra Condensed"/>
        <color theme="1"/>
      </rPr>
      <t xml:space="preserve"> Únicamente se mostrará si en el esquema de firma definido el proceso fue autorizado por este usuario, debe mostrar el nombre del usuario que realizó la autorización 1.  
</t>
    </r>
    <r>
      <rPr>
        <rFont val="Fira Sans Extra Condensed"/>
        <b/>
        <color theme="1"/>
      </rPr>
      <t xml:space="preserve">Autorizador 2: </t>
    </r>
    <r>
      <rPr>
        <rFont val="Fira Sans Extra Condensed"/>
        <color theme="1"/>
      </rPr>
      <t xml:space="preserve">Únicamente se mostrará si en el esquema de firma definido el proceso fue autorizado por este usuario, debe mostrar el nombre del usuario que realizó la autorización 2.  
</t>
    </r>
    <r>
      <rPr>
        <rFont val="Fira Sans Extra Condensed"/>
        <b/>
        <color theme="1"/>
      </rPr>
      <t xml:space="preserve">Autorizador 3: </t>
    </r>
    <r>
      <rPr>
        <rFont val="Fira Sans Extra Condensed"/>
        <color theme="1"/>
      </rPr>
      <t xml:space="preserve">Únicamente se mostrará si en el esquema de firma definido el proceso fue autorizado por este usuario, debe mostrar el nombre del usuario que realizó la autorización 3.  </t>
    </r>
  </si>
  <si>
    <t>Usuario ingrese al detalle de una transferencia regional entre cuentas propias pendiente de autorizar</t>
  </si>
  <si>
    <t xml:space="preserve">Al ingresar al detalle de la transferencia entre cuentas propias pendiente de autorización el usuario visualizará los botones 'Autorizar' y 'Rechazar'
</t>
  </si>
  <si>
    <t>Visualización de los botones Autorizar y rechazar</t>
  </si>
  <si>
    <t>Detalle registro monetario en autorización de transferencias a terceros regionales pendientes de autorizar</t>
  </si>
  <si>
    <t>Usuario ingrese al detalle de una transferencia a terceros regionales pendiente de autorizar</t>
  </si>
  <si>
    <r>
      <rPr>
        <rFont val="Fira Sans Extra Condensed"/>
        <b/>
        <color theme="1"/>
      </rPr>
      <t>Detalle Transferencias a terceros regionales</t>
    </r>
    <r>
      <rPr>
        <rFont val="Fira Sans Extra Condensed"/>
        <color theme="1"/>
      </rPr>
      <t xml:space="preserve">
Al dar clic debe actualizar la pantalla y mostrar los siguientes campos:
</t>
    </r>
    <r>
      <rPr>
        <rFont val="Fira Sans Extra Condensed"/>
        <b/>
        <color theme="1"/>
      </rPr>
      <t>Título:</t>
    </r>
    <r>
      <rPr>
        <rFont val="Fira Sans Extra Condensed"/>
        <color theme="1"/>
      </rPr>
      <t xml:space="preserve">  Detalle Autorización transferencia a terceros regionales:
</t>
    </r>
    <r>
      <rPr>
        <rFont val="Fira Sans Extra Condensed"/>
        <b/>
        <color theme="1"/>
      </rPr>
      <t>Títulos filas:</t>
    </r>
    <r>
      <rPr>
        <rFont val="Fira Sans Extra Condensed"/>
        <color theme="1"/>
      </rPr>
      <t xml:space="preserve">
</t>
    </r>
    <r>
      <rPr>
        <rFont val="Fira Sans Extra Condensed"/>
        <b/>
        <color theme="1"/>
      </rPr>
      <t xml:space="preserve">Fecha y hora creación: </t>
    </r>
    <r>
      <rPr>
        <rFont val="Fira Sans Extra Condensed"/>
        <color theme="1"/>
      </rPr>
      <t xml:space="preserve">Se debe mostrar la fecha y hora en la que el usuario creó el proceso
</t>
    </r>
    <r>
      <rPr>
        <rFont val="Fira Sans Extra Condensed"/>
        <b/>
        <color theme="1"/>
      </rPr>
      <t>Programación</t>
    </r>
    <r>
      <rPr>
        <rFont val="Fira Sans Extra Condensed"/>
        <color theme="1"/>
      </rPr>
      <t xml:space="preserve">: En caso de que el usuario preparador haya ingresado la fecha y hora de la ejecución de la operación se debe mostrar en este campo de lo contrario no se debe mostrar.
</t>
    </r>
    <r>
      <rPr>
        <rFont val="Fira Sans Extra Condensed"/>
        <b/>
        <color theme="1"/>
      </rPr>
      <t>Número de transacción:</t>
    </r>
    <r>
      <rPr>
        <rFont val="Fira Sans Extra Condensed"/>
        <color theme="1"/>
      </rPr>
      <t xml:space="preserve"> Se debe mostrar el número único de identificación a nivel del core.
</t>
    </r>
    <r>
      <rPr>
        <rFont val="Fira Sans Extra Condensed"/>
        <b/>
        <color theme="1"/>
      </rPr>
      <t xml:space="preserve">Estado: </t>
    </r>
    <r>
      <rPr>
        <rFont val="Fira Sans Extra Condensed"/>
        <color theme="1"/>
      </rPr>
      <t xml:space="preserve">Se debe mostrar el estado “Pendiente de Autorización” seguido del número de usuarios que están pendientes para la liberación de recursos ejemplo 1/2 , 2/5.
</t>
    </r>
    <r>
      <rPr>
        <rFont val="Fira Sans Extra Condensed"/>
        <b/>
        <color theme="1"/>
      </rPr>
      <t>Origen
País:</t>
    </r>
    <r>
      <rPr>
        <rFont val="Fira Sans Extra Condensed"/>
        <color theme="1"/>
      </rPr>
      <t xml:space="preserve"> Se debe mostrar el país seleccionado por el usuario preparador. 
</t>
    </r>
    <r>
      <rPr>
        <rFont val="Fira Sans Extra Condensed"/>
        <b/>
        <color theme="1"/>
      </rPr>
      <t>Empresa</t>
    </r>
    <r>
      <rPr>
        <rFont val="Fira Sans Extra Condensed"/>
        <color theme="1"/>
      </rPr>
      <t xml:space="preserve">: Se debe mostrar el nombre de la Empresa seleccionada por el usuario preparador.
</t>
    </r>
    <r>
      <rPr>
        <rFont val="Fira Sans Extra Condensed"/>
        <b/>
        <color theme="1"/>
      </rPr>
      <t>Tipo producto:</t>
    </r>
    <r>
      <rPr>
        <rFont val="Fira Sans Extra Condensed"/>
        <color theme="1"/>
      </rPr>
      <t xml:space="preserve"> Se debe mostrar el tipo de producto origen, ejemplo: Cuenta Ahorro/ Cuenta Corriente/ Ahorro maestra.
</t>
    </r>
    <r>
      <rPr>
        <rFont val="Fira Sans Extra Condensed"/>
        <b/>
        <color theme="1"/>
      </rPr>
      <t>Nombre del producto:</t>
    </r>
    <r>
      <rPr>
        <rFont val="Fira Sans Extra Condensed"/>
        <color theme="1"/>
      </rPr>
      <t xml:space="preserve"> Se debe mostrar el alias o nombre del producto.
</t>
    </r>
    <r>
      <rPr>
        <rFont val="Fira Sans Extra Condensed"/>
        <b/>
        <color theme="1"/>
      </rPr>
      <t xml:space="preserve">Cuenta: </t>
    </r>
    <r>
      <rPr>
        <rFont val="Fira Sans Extra Condensed"/>
        <color theme="1"/>
      </rPr>
      <t xml:space="preserve">Se debe mostrar el número de la cuenta seleccionada en la creación enmascarada.
</t>
    </r>
    <r>
      <rPr>
        <rFont val="Fira Sans Extra Condensed"/>
        <b/>
        <color theme="1"/>
      </rPr>
      <t xml:space="preserve">Monto a debitar: </t>
    </r>
    <r>
      <rPr>
        <rFont val="Fira Sans Extra Condensed"/>
        <color theme="1"/>
      </rPr>
      <t>Se debe mostrar el monto a debitar en la moneda origen del producto con el símbolo de la moneda.</t>
    </r>
  </si>
  <si>
    <t>Visualización el detalle de la transacción a tecreros regionales pendiente de autorización.</t>
  </si>
  <si>
    <r>
      <rPr>
        <rFont val="Fira Sans Extra Condensed"/>
        <b/>
        <color theme="1"/>
      </rPr>
      <t xml:space="preserve">Destino
</t>
    </r>
    <r>
      <rPr>
        <rFont val="Fira Sans Extra Condensed"/>
        <color theme="1"/>
      </rPr>
      <t xml:space="preserve">
</t>
    </r>
    <r>
      <rPr>
        <rFont val="Fira Sans Extra Condensed"/>
        <b/>
        <color theme="1"/>
      </rPr>
      <t xml:space="preserve">País: </t>
    </r>
    <r>
      <rPr>
        <rFont val="Fira Sans Extra Condensed"/>
        <color theme="1"/>
      </rPr>
      <t xml:space="preserve">se debe mostrar el seleccionado por el usuario preparado.
</t>
    </r>
    <r>
      <rPr>
        <rFont val="Fira Sans Extra Condensed"/>
        <b/>
        <color theme="1"/>
      </rPr>
      <t xml:space="preserve">Empresa: </t>
    </r>
    <r>
      <rPr>
        <rFont val="Fira Sans Extra Condensed"/>
        <color theme="1"/>
      </rPr>
      <t xml:space="preserve">Se debe mostrar el nombre de la Empresa seleccionada por el usuario preparador.
</t>
    </r>
    <r>
      <rPr>
        <rFont val="Fira Sans Extra Condensed"/>
        <b/>
        <color theme="1"/>
      </rPr>
      <t>Tipo producto:</t>
    </r>
    <r>
      <rPr>
        <rFont val="Fira Sans Extra Condensed"/>
        <color theme="1"/>
      </rPr>
      <t xml:space="preserve"> Se debe mostrar el tipo de producto destino, ejemplo: Cuenta Ahorro/ Cuenta Corriente.
</t>
    </r>
    <r>
      <rPr>
        <rFont val="Fira Sans Extra Condensed"/>
        <b/>
        <color theme="1"/>
      </rPr>
      <t xml:space="preserve">Nombre del producto: </t>
    </r>
    <r>
      <rPr>
        <rFont val="Fira Sans Extra Condensed"/>
        <color theme="1"/>
      </rPr>
      <t xml:space="preserve">Se debe mostrar el alias o nombre del producto.
</t>
    </r>
    <r>
      <rPr>
        <rFont val="Fira Sans Extra Condensed"/>
        <b/>
        <color theme="1"/>
      </rPr>
      <t>Cuenta:</t>
    </r>
    <r>
      <rPr>
        <rFont val="Fira Sans Extra Condensed"/>
        <color theme="1"/>
      </rPr>
      <t xml:space="preserve"> Se debe mostrar el número de la cuenta seleccionada completo sin enmascarar.
</t>
    </r>
    <r>
      <rPr>
        <rFont val="Fira Sans Extra Condensed"/>
        <b/>
        <color theme="1"/>
      </rPr>
      <t>Tasa de Cambio
Fecha y hora:</t>
    </r>
    <r>
      <rPr>
        <rFont val="Fira Sans Extra Condensed"/>
        <color theme="1"/>
      </rPr>
      <t xml:space="preserve"> Se muestra en caso que la moneda de divisa origen sea diferente a la destino.
</t>
    </r>
    <r>
      <rPr>
        <rFont val="Fira Sans Extra Condensed"/>
        <b/>
        <color theme="1"/>
      </rPr>
      <t xml:space="preserve">Tasa de Referencia: </t>
    </r>
    <r>
      <rPr>
        <rFont val="Fira Sans Extra Condensed"/>
        <color theme="1"/>
      </rPr>
      <t xml:space="preserve">Se debe mostrar la equivalencia de la moneda origen versus la destino. aplica únicamente si la moneda origen es diferente a la destino. 
</t>
    </r>
    <r>
      <rPr>
        <rFont val="Fira Sans Extra Condensed"/>
        <b/>
        <color theme="1"/>
      </rPr>
      <t>Deal ticket</t>
    </r>
    <r>
      <rPr>
        <rFont val="Fira Sans Extra Condensed"/>
        <color theme="1"/>
      </rPr>
      <t xml:space="preserve">: Aplica únicamente para CR y debe mostrar el número si fue ingresado por el usuario preparador.
</t>
    </r>
    <r>
      <rPr>
        <rFont val="Fira Sans Extra Condensed"/>
        <b/>
        <color theme="1"/>
      </rPr>
      <t xml:space="preserve">Costo de la transacción: </t>
    </r>
    <r>
      <rPr>
        <rFont val="Fira Sans Extra Condensed"/>
        <color theme="1"/>
      </rPr>
      <t xml:space="preserve">Se debe incluir el campo Costo de transacción (Comisión) este valor viene en USD ejm: 5 usd .
</t>
    </r>
    <r>
      <rPr>
        <rFont val="Fira Sans Extra Condensed"/>
        <b/>
        <color theme="1"/>
      </rPr>
      <t xml:space="preserve">Valor a transferir: </t>
    </r>
    <r>
      <rPr>
        <rFont val="Fira Sans Extra Condensed"/>
        <color theme="1"/>
      </rPr>
      <t xml:space="preserve">Se debe presentar la moneda y el valor en la que se realiza la transferencia. </t>
    </r>
  </si>
  <si>
    <r>
      <rPr>
        <rFont val="Fira Sans Extra Condensed"/>
        <b/>
        <color theme="1"/>
      </rPr>
      <t>Información adicional:
Notificación</t>
    </r>
    <r>
      <rPr>
        <rFont val="Fira Sans Extra Condensed"/>
        <color theme="1"/>
      </rPr>
      <t xml:space="preserve">: debe mostrar la información si fue ingresada por el usuario preparador.
</t>
    </r>
    <r>
      <rPr>
        <rFont val="Fira Sans Extra Condensed"/>
        <b/>
        <color theme="1"/>
      </rPr>
      <t xml:space="preserve">Detalle de la transacción: </t>
    </r>
    <r>
      <rPr>
        <rFont val="Fira Sans Extra Condensed"/>
        <color theme="1"/>
      </rPr>
      <t xml:space="preserve">se debe presentar la información si el usuario preparador la ingresó. Si no ingresó información el campo no se mostrará. 
</t>
    </r>
    <r>
      <rPr>
        <rFont val="Fira Sans Extra Condensed"/>
        <b/>
        <color theme="1"/>
      </rPr>
      <t>Sección egreso de divisa, aplica solo para SV</t>
    </r>
    <r>
      <rPr>
        <rFont val="Fira Sans Extra Condensed"/>
        <color theme="1"/>
      </rPr>
      <t xml:space="preserve">
</t>
    </r>
    <r>
      <rPr>
        <rFont val="Fira Sans Extra Condensed"/>
        <b/>
        <color theme="1"/>
      </rPr>
      <t>Persona que proporciona la información:</t>
    </r>
    <r>
      <rPr>
        <rFont val="Fira Sans Extra Condensed"/>
        <color theme="1"/>
      </rPr>
      <t xml:space="preserve"> solo se debe presentar el nombre del usuario preparador. (Aplica únicamente para cuentas origen en El Salvador)
</t>
    </r>
    <r>
      <rPr>
        <rFont val="Fira Sans Extra Condensed"/>
        <b/>
        <color theme="1"/>
      </rPr>
      <t>Fecha:</t>
    </r>
    <r>
      <rPr>
        <rFont val="Fira Sans Extra Condensed"/>
        <color theme="1"/>
      </rPr>
      <t xml:space="preserve"> solo se debe presentar si se ingresó (Aplica únicamente para cuentas origen en El Salvador)
</t>
    </r>
    <r>
      <rPr>
        <rFont val="Fira Sans Extra Condensed"/>
        <b/>
        <color theme="1"/>
      </rPr>
      <t xml:space="preserve">Comentario: </t>
    </r>
    <r>
      <rPr>
        <rFont val="Fira Sans Extra Condensed"/>
        <color theme="1"/>
      </rPr>
      <t xml:space="preserve">solo se debe presentar si fue ingresado por el preparador. (Aplica únicamente para cuentas origen en El Salvador)
</t>
    </r>
    <r>
      <rPr>
        <rFont val="Fira Sans Extra Condensed"/>
        <b/>
        <color theme="1"/>
      </rPr>
      <t>Concepto:</t>
    </r>
    <r>
      <rPr>
        <rFont val="Fira Sans Extra Condensed"/>
        <color theme="1"/>
      </rPr>
      <t xml:space="preserve"> solo se debe presentar si lo ingresó el preparador. (Aplica únicamente para cuentas origen en El Salvador)</t>
    </r>
  </si>
  <si>
    <r>
      <rPr>
        <rFont val="Fira Sans Extra Condensed"/>
        <b/>
        <color theme="1"/>
      </rPr>
      <t>Sección Roles
Preparador:</t>
    </r>
    <r>
      <rPr>
        <rFont val="Fira Sans Extra Condensed"/>
        <color theme="1"/>
      </rPr>
      <t xml:space="preserve"> Debe mostrar el nombre del usuario que creó la operación. 
</t>
    </r>
    <r>
      <rPr>
        <rFont val="Fira Sans Extra Condensed"/>
        <b/>
        <color theme="1"/>
      </rPr>
      <t>Autorizador 1:</t>
    </r>
    <r>
      <rPr>
        <rFont val="Fira Sans Extra Condensed"/>
        <color theme="1"/>
      </rPr>
      <t xml:space="preserve"> Únicamente se mostrará si en el esquema de firma definido el proceso fue autorizado por este usuario, debe mostrar el nombre del usuario que realizó la autorización 1.  
</t>
    </r>
    <r>
      <rPr>
        <rFont val="Fira Sans Extra Condensed"/>
        <b/>
        <color theme="1"/>
      </rPr>
      <t xml:space="preserve">Autorizador 2: </t>
    </r>
    <r>
      <rPr>
        <rFont val="Fira Sans Extra Condensed"/>
        <color theme="1"/>
      </rPr>
      <t xml:space="preserve">Únicamente se mostrará si en el esquema de firma definido el proceso fue autorizado por este usuario, debe mostrar el nombre del usuario que realizó la autorización 2.  
</t>
    </r>
    <r>
      <rPr>
        <rFont val="Fira Sans Extra Condensed"/>
        <b/>
        <color theme="1"/>
      </rPr>
      <t xml:space="preserve">Autorizador 3: </t>
    </r>
    <r>
      <rPr>
        <rFont val="Fira Sans Extra Condensed"/>
        <color theme="1"/>
      </rPr>
      <t xml:space="preserve">Únicamente se mostrará si en el esquema de firma definido el proceso fue autorizado por este usuario, debe mostrar el nombre del usuario que realizó la autorización 3.  </t>
    </r>
  </si>
  <si>
    <t>Tipos de autorizaciones monetarias</t>
  </si>
  <si>
    <t>Usuario pueda realizar autorizaciones desde la consulta general y el detalle de la transacción</t>
  </si>
  <si>
    <t>El usuario podrá realizar autorizaciones desde el detalle o la consulta general de forma múltiple</t>
  </si>
  <si>
    <t>acceso a los 2 tipos de autorizaciones que permite el canal.</t>
  </si>
  <si>
    <t>Autorización de transacciones desde el detalle de la transacción</t>
  </si>
  <si>
    <r>
      <rPr>
        <rFont val="Fira Sans Extra Condensed"/>
        <color theme="1"/>
      </rPr>
      <t>Usuario realice autorización desde el</t>
    </r>
    <r>
      <rPr>
        <rFont val="Fira Sans Extra Condensed"/>
        <b/>
        <color theme="1"/>
      </rPr>
      <t xml:space="preserve"> detalle de la transacción</t>
    </r>
    <r>
      <rPr>
        <rFont val="Fira Sans Extra Condensed"/>
        <color theme="1"/>
      </rPr>
      <t xml:space="preserve"> entre cuentas propias/terceros regionales</t>
    </r>
  </si>
  <si>
    <t>Usuario realice clic en autorizar, el canal no debe presentar una pantalla de confirmación, al dar clic en “Autorizar” el canal debe presentar modal “Está seguro de autorizar la operación” con la opción de “Autorizar” y “Cancelar” , si le da clic en autorizar debe ejecutar el procesamiento de la operación y mostrará en la siguiente pantalla el resultado del proceso de acuerdo al esquema de firma definido</t>
  </si>
  <si>
    <t>Esquema de firmas 1 nivel</t>
  </si>
  <si>
    <t>Transacción se procesa de forma exitosa</t>
  </si>
  <si>
    <r>
      <rPr>
        <rFont val="Fira Sans Extra Condensed"/>
        <color theme="1"/>
      </rPr>
      <t>Usuario realice autorización desde el</t>
    </r>
    <r>
      <rPr>
        <rFont val="Fira Sans Extra Condensed"/>
        <b/>
        <color theme="1"/>
      </rPr>
      <t xml:space="preserve"> detalle de la transacción</t>
    </r>
    <r>
      <rPr>
        <rFont val="Fira Sans Extra Condensed"/>
        <color theme="1"/>
      </rPr>
      <t xml:space="preserve"> entre cuentas propias/terceros regionales</t>
    </r>
  </si>
  <si>
    <t>esquema de firmas 2 niveles</t>
  </si>
  <si>
    <t>Transacción queda con estado pendiente de autorización y mostrar el mensaje en pantalla: "Autorización exitosa, la solicitud fue enviada para autorización de acuerdo al esquema de firma definido".</t>
  </si>
  <si>
    <r>
      <rPr>
        <rFont val="Fira Sans Extra Condensed"/>
        <color theme="1"/>
      </rPr>
      <t>Usuario realice autorización desde el</t>
    </r>
    <r>
      <rPr>
        <rFont val="Fira Sans Extra Condensed"/>
        <b/>
        <color theme="1"/>
      </rPr>
      <t xml:space="preserve"> detalle de la transacción</t>
    </r>
    <r>
      <rPr>
        <rFont val="Fira Sans Extra Condensed"/>
        <color theme="1"/>
      </rPr>
      <t xml:space="preserve"> entre cuentas propias/terceros regionales</t>
    </r>
  </si>
  <si>
    <r>
      <rPr>
        <rFont val="Fira Sans Extra Condensed"/>
        <b/>
        <color theme="1"/>
      </rPr>
      <t>Usuario con autorización  directa</t>
    </r>
    <r>
      <rPr>
        <rFont val="Fira Sans Extra Condensed"/>
        <color theme="1"/>
      </rPr>
      <t xml:space="preserve">  hace clic en autorizar, el canal no debe presentar una pantalla de confirmación, al dar clic en “Autorizar” el canal debe presentar modal “Está seguro de autorizar la operación” con la opción de “Autorizar” y “Cancelar” , si le da clic en autorizar debe ejecutar el procesamiento de la operación y mostrará en la siguiente pantalla el resultado del proceso de acuerdo al esquema de firma definido</t>
    </r>
  </si>
  <si>
    <t>Autorización con usuario directo
Esquema de firmas 2 niveles.
- Gestión no debe quedar pendiente de autorización</t>
  </si>
  <si>
    <r>
      <rPr>
        <rFont val="Fira Sans Extra Condensed"/>
        <color theme="1"/>
      </rPr>
      <t>Usuario realice autorización desde el</t>
    </r>
    <r>
      <rPr>
        <rFont val="Fira Sans Extra Condensed"/>
        <b/>
        <color theme="1"/>
      </rPr>
      <t xml:space="preserve"> detalle de la transacción</t>
    </r>
    <r>
      <rPr>
        <rFont val="Fira Sans Extra Condensed"/>
        <color theme="1"/>
      </rPr>
      <t xml:space="preserve"> entre cuentas propias/terceros regionales</t>
    </r>
  </si>
  <si>
    <t>Usuario realice clic en autorizar, el canal no debe presentar una pantalla de confirmación, al dar clic en “Autorizar” el canal debe presentar modal “Está seguro de autorizar la operación” con la opción de “Autorizar” y “Cancelar”, si usuario hace clic en 'Cancelar' deberá retornar al paso anterior.</t>
  </si>
  <si>
    <t>- Aplica para todos los esquemas de firmas y usuario con autorización directa.
- Transacción seguirá teniendo estado pendiente de autorización si el esquema monetario es de 2 niveles</t>
  </si>
  <si>
    <t xml:space="preserve">No se autorizará la transacción </t>
  </si>
  <si>
    <t>Autorización de transacciones desde la consulta general</t>
  </si>
  <si>
    <r>
      <rPr>
        <rFont val="Fira Sans Extra Condensed"/>
        <color theme="1"/>
      </rPr>
      <t>Usuario realice autorización desde la</t>
    </r>
    <r>
      <rPr>
        <rFont val="Fira Sans Extra Condensed"/>
        <b/>
        <color theme="1"/>
      </rPr>
      <t xml:space="preserve"> consulta general </t>
    </r>
    <r>
      <rPr>
        <rFont val="Fira Sans Extra Condensed"/>
        <color theme="1"/>
      </rPr>
      <t>para transferencias entre cuentas propias/terceros regionales</t>
    </r>
  </si>
  <si>
    <t>Permitir a los usuarios autorizadores y usuario directo seleccionar de forma individual las transferencias pendientes de autorización.</t>
  </si>
  <si>
    <t>Aplica para todos los esquemas de firmas</t>
  </si>
  <si>
    <t>Selección individual de transacciones pendientes de forma exitosa</t>
  </si>
  <si>
    <r>
      <rPr>
        <rFont val="Fira Sans Extra Condensed"/>
        <color theme="1"/>
      </rPr>
      <t>Usuario realice autorización desde la</t>
    </r>
    <r>
      <rPr>
        <rFont val="Fira Sans Extra Condensed"/>
        <b/>
        <color theme="1"/>
      </rPr>
      <t xml:space="preserve"> consulta general </t>
    </r>
    <r>
      <rPr>
        <rFont val="Fira Sans Extra Condensed"/>
        <color theme="1"/>
      </rPr>
      <t>para transferencias entre cuentas propias/terceros regionales</t>
    </r>
  </si>
  <si>
    <t>Permitir a los usuarios autorizadores y usuario directo seleccionar de forma múltiple las transferencias pendientes de autorización</t>
  </si>
  <si>
    <t>Selección múltiple de transacciones pendientes de forma exitosa</t>
  </si>
  <si>
    <r>
      <rPr>
        <rFont val="Fira Sans Extra Condensed"/>
        <color theme="1"/>
      </rPr>
      <t>Usuario realice autorización desde la</t>
    </r>
    <r>
      <rPr>
        <rFont val="Fira Sans Extra Condensed"/>
        <b/>
        <color theme="1"/>
      </rPr>
      <t xml:space="preserve"> consulta general </t>
    </r>
    <r>
      <rPr>
        <rFont val="Fira Sans Extra Condensed"/>
        <color theme="1"/>
      </rPr>
      <t>para transferencias entre cuentas propias/terceros regionales</t>
    </r>
  </si>
  <si>
    <t>Permitir a los usuarios autorizadores seleccionar transferencias pendientes desde el check  'Todos'</t>
  </si>
  <si>
    <t>Aplica para todos los esquemas de firmas.
- Se marcarán todas las tx pendientes de la paginación, es decir, el máximo será 20</t>
  </si>
  <si>
    <t>Marcación desde la opción 'Todos' exitosamente</t>
  </si>
  <si>
    <t>Autorización de transacciones a cuentas propias regionales desde el detalle de la transacción</t>
  </si>
  <si>
    <r>
      <rPr>
        <rFont val="Fira Sans Extra Condensed"/>
        <color theme="1"/>
      </rPr>
      <t>Usuario realice autorización desde la</t>
    </r>
    <r>
      <rPr>
        <rFont val="Fira Sans Extra Condensed"/>
        <b/>
        <color theme="1"/>
      </rPr>
      <t xml:space="preserve"> consulta general </t>
    </r>
    <r>
      <rPr>
        <rFont val="Fira Sans Extra Condensed"/>
        <color theme="1"/>
      </rPr>
      <t>para transferencias entre cuentas propias/terceros regionales</t>
    </r>
  </si>
  <si>
    <t>Permitir a usuario directo seleccionar transferencias pendientes desde el check  'Todos'</t>
  </si>
  <si>
    <t>- Aplica para todos los esquemas de firmas y usuario con autorización directa.
- Transacción seguirá teniendo estado pendiente de autorización</t>
  </si>
  <si>
    <r>
      <rPr>
        <rFont val="Fira Sans Extra Condensed"/>
        <color theme="1"/>
      </rPr>
      <t>Usuario realice autorización desde la</t>
    </r>
    <r>
      <rPr>
        <rFont val="Fira Sans Extra Condensed"/>
        <b/>
        <color theme="1"/>
      </rPr>
      <t xml:space="preserve"> consulta general </t>
    </r>
    <r>
      <rPr>
        <rFont val="Fira Sans Extra Condensed"/>
        <color theme="1"/>
      </rPr>
      <t>para transferencias entre cuentas propias/terceros regionales</t>
    </r>
  </si>
  <si>
    <t>Permitir a los usuarios autorizadores y usuario directo marcar y desmarcar transacciones pendientes de autorización</t>
  </si>
  <si>
    <t>Desmarcación desde la opción 'Todos' exitosamente.</t>
  </si>
  <si>
    <r>
      <rPr>
        <rFont val="Fira Sans Extra Condensed"/>
        <color theme="1"/>
      </rPr>
      <t>Usuario realice autorización desde la</t>
    </r>
    <r>
      <rPr>
        <rFont val="Fira Sans Extra Condensed"/>
        <b/>
        <color theme="1"/>
      </rPr>
      <t xml:space="preserve"> consulta general </t>
    </r>
    <r>
      <rPr>
        <rFont val="Fira Sans Extra Condensed"/>
        <color theme="1"/>
      </rPr>
      <t>para transferencias entre cuentas propias/terceros regionales</t>
    </r>
  </si>
  <si>
    <r>
      <rPr>
        <rFont val="Fira Sans Extra Condensed"/>
        <color theme="1"/>
      </rPr>
      <t xml:space="preserve">Cuando el usuario autorizador o usuario directo haya seleccionado al menos un proceso desde el checkbox y de clic al botón de “autorizar” el canal debe mostrar un resumen de la información seleccionada así desde la consulta general:
</t>
    </r>
    <r>
      <rPr>
        <rFont val="Fira Sans Extra Condensed"/>
        <b/>
        <color theme="1"/>
      </rPr>
      <t>Pantalla:</t>
    </r>
    <r>
      <rPr>
        <rFont val="Fira Sans Extra Condensed"/>
        <color theme="1"/>
      </rPr>
      <t xml:space="preserve">
</t>
    </r>
    <r>
      <rPr>
        <rFont val="Fira Sans Extra Condensed"/>
        <b/>
        <color theme="1"/>
      </rPr>
      <t xml:space="preserve">Titulo: </t>
    </r>
    <r>
      <rPr>
        <rFont val="Fira Sans Extra Condensed"/>
        <color theme="1"/>
      </rPr>
      <t xml:space="preserve">Autorización de transacciones:
</t>
    </r>
    <r>
      <rPr>
        <rFont val="Fira Sans Extra Condensed"/>
        <b/>
        <color theme="1"/>
      </rPr>
      <t>Texto:</t>
    </r>
    <r>
      <rPr>
        <rFont val="Fira Sans Extra Condensed"/>
        <color theme="1"/>
      </rPr>
      <t xml:space="preserve"> Confirmación 
</t>
    </r>
    <r>
      <rPr>
        <rFont val="Fira Sans Extra Condensed"/>
        <b/>
        <color theme="1"/>
      </rPr>
      <t>Seguido del resumen de acuerdo a la cantidad de datos seleccionados así:</t>
    </r>
    <r>
      <rPr>
        <rFont val="Fira Sans Extra Condensed"/>
        <color theme="1"/>
      </rPr>
      <t xml:space="preserve">
</t>
    </r>
    <r>
      <rPr>
        <rFont val="Fira Sans Extra Condensed"/>
        <b/>
        <color theme="1"/>
      </rPr>
      <t>País origen:</t>
    </r>
    <r>
      <rPr>
        <rFont val="Fira Sans Extra Condensed"/>
        <color theme="1"/>
      </rPr>
      <t xml:space="preserve"> Se debe mostrar la información de los países origen de acuerdo a la selección de procesos.
</t>
    </r>
    <r>
      <rPr>
        <rFont val="Fira Sans Extra Condensed"/>
        <b/>
        <color theme="1"/>
      </rPr>
      <t>Empresas:</t>
    </r>
    <r>
      <rPr>
        <rFont val="Fira Sans Extra Condensed"/>
        <color theme="1"/>
      </rPr>
      <t xml:space="preserve"> El canal debe mostrar el número total de las empresas involucradas en el proceso.
</t>
    </r>
    <r>
      <rPr>
        <rFont val="Fira Sans Extra Condensed"/>
        <b/>
        <color theme="1"/>
      </rPr>
      <t xml:space="preserve">tipo Operación: </t>
    </r>
    <r>
      <rPr>
        <rFont val="Fira Sans Extra Condensed"/>
        <color theme="1"/>
      </rPr>
      <t xml:space="preserve">Se debe mostrar la naturaleza de la operación así:
</t>
    </r>
    <r>
      <rPr>
        <rFont val="Fira Sans Extra Condensed"/>
        <b/>
        <color theme="1"/>
      </rPr>
      <t>- Transferencia regionales a cuentas propias
- Transferencia regionales a terceros</t>
    </r>
    <r>
      <rPr>
        <rFont val="Fira Sans Extra Condensed"/>
        <color theme="1"/>
      </rPr>
      <t xml:space="preserve">
</t>
    </r>
    <r>
      <rPr>
        <rFont val="Fira Sans Extra Condensed"/>
        <b/>
        <color theme="1"/>
      </rPr>
      <t xml:space="preserve">Número de registros: </t>
    </r>
    <r>
      <rPr>
        <rFont val="Fira Sans Extra Condensed"/>
        <color theme="1"/>
      </rPr>
      <t xml:space="preserve">Se debe mostrar la cantidad de operaciones que se encuentran en el proceso.
</t>
    </r>
    <r>
      <rPr>
        <rFont val="Fira Sans Extra Condensed"/>
        <b/>
        <color theme="1"/>
      </rPr>
      <t xml:space="preserve">Monto: </t>
    </r>
    <r>
      <rPr>
        <rFont val="Fira Sans Extra Condensed"/>
        <color theme="1"/>
      </rPr>
      <t xml:space="preserve">Se debe mostrar la información del monto totalizado de las operaciones a autorizar.
</t>
    </r>
    <r>
      <rPr>
        <rFont val="Fira Sans Extra Condensed"/>
        <b/>
        <color theme="1"/>
      </rPr>
      <t xml:space="preserve">Titulos de resultados: </t>
    </r>
    <r>
      <rPr>
        <rFont val="Fira Sans Extra Condensed"/>
        <color theme="1"/>
      </rPr>
      <t xml:space="preserve">
</t>
    </r>
    <r>
      <rPr>
        <rFont val="Fira Sans Extra Condensed"/>
        <b/>
        <color theme="1"/>
      </rPr>
      <t>Tipo de Transacción:</t>
    </r>
    <r>
      <rPr>
        <rFont val="Fira Sans Extra Condensed"/>
        <color theme="1"/>
      </rPr>
      <t xml:space="preserve"> El canal debe mostrar por registro la naturaleza de la operación (Transferencia a cuentas propias o a cuentas de terceros)
</t>
    </r>
    <r>
      <rPr>
        <rFont val="Fira Sans Extra Condensed"/>
        <b/>
        <color theme="1"/>
      </rPr>
      <t>Origen:</t>
    </r>
    <r>
      <rPr>
        <rFont val="Fira Sans Extra Condensed"/>
        <color theme="1"/>
      </rPr>
      <t xml:space="preserve"> El canal debe mostrar el número de la cuenta origen enmascarada desde la cual salen los recursos 
</t>
    </r>
    <r>
      <rPr>
        <rFont val="Fira Sans Extra Condensed"/>
        <b/>
        <color theme="1"/>
      </rPr>
      <t xml:space="preserve">Preparador: </t>
    </r>
    <r>
      <rPr>
        <rFont val="Fira Sans Extra Condensed"/>
        <color theme="1"/>
      </rPr>
      <t xml:space="preserve">Se debe mostrar en pantalla el nombre del usuario preparador de la operación. 
</t>
    </r>
    <r>
      <rPr>
        <rFont val="Fira Sans Extra Condensed"/>
        <b/>
        <color theme="1"/>
      </rPr>
      <t>Monto:</t>
    </r>
    <r>
      <rPr>
        <rFont val="Fira Sans Extra Condensed"/>
        <color theme="1"/>
      </rPr>
      <t xml:space="preserve"> Se debe mostrar en dólares americanos el monto a transferir por registro.
</t>
    </r>
    <r>
      <rPr>
        <rFont val="Fira Sans Extra Condensed"/>
        <b/>
        <color theme="1"/>
      </rPr>
      <t>Elemento Quick Action: debe permitir realizar las siguientes opciones:</t>
    </r>
    <r>
      <rPr>
        <rFont val="Fira Sans Extra Condensed"/>
        <color theme="1"/>
      </rPr>
      <t xml:space="preserve">
                                     </t>
    </r>
    <r>
      <rPr>
        <rFont val="Fira Sans Extra Condensed"/>
        <b/>
        <color theme="1"/>
      </rPr>
      <t xml:space="preserve">  - Eliminar registro.
                                       - Ver detalle, una vez se clic debe mostrar el resumen y detalle de la operación.</t>
    </r>
    <r>
      <rPr>
        <rFont val="Fira Sans Extra Condensed"/>
        <color theme="1"/>
      </rPr>
      <t xml:space="preserve">
</t>
    </r>
    <r>
      <rPr>
        <rFont val="Fira Sans Extra Condensed"/>
        <b/>
        <color theme="1"/>
      </rPr>
      <t>Opciones de Pantalla:</t>
    </r>
    <r>
      <rPr>
        <rFont val="Fira Sans Extra Condensed"/>
        <color theme="1"/>
      </rPr>
      <t xml:space="preserve">
</t>
    </r>
    <r>
      <rPr>
        <rFont val="Fira Sans Extra Condensed"/>
        <b/>
        <color theme="1"/>
      </rPr>
      <t xml:space="preserve">Regresar: </t>
    </r>
    <r>
      <rPr>
        <rFont val="Fira Sans Extra Condensed"/>
        <color theme="1"/>
      </rPr>
      <t xml:space="preserve">Una vez de clic lleva al usuario a la pantalla anterior.
</t>
    </r>
    <r>
      <rPr>
        <rFont val="Fira Sans Extra Condensed"/>
        <b/>
        <color theme="1"/>
      </rPr>
      <t>Autorizar:</t>
    </r>
    <r>
      <rPr>
        <rFont val="Fira Sans Extra Condensed"/>
        <color theme="1"/>
      </rPr>
      <t xml:space="preserve"> Una vez se de clic a esta opción el canal deberá actualizar la pantalla dependiendo si finaliza o no el flujo requerido. </t>
    </r>
  </si>
  <si>
    <t>Visualización del resumen de la transferencia entre cuentas propias</t>
  </si>
  <si>
    <t>Mensajes de confirmación al realizar la autorización de las transacciones</t>
  </si>
  <si>
    <t xml:space="preserve">- En caso que el canal presente demora en la respuesta por parte del core de país origen y/o destino, si el tiempo es superior a x segundos quedará en estado “En ejecución” adicional el usuario debe recibir una notificación a su bandeja de notificaciones donde se informe que la operación se encuentra en proceso, lo anterior para que el usuario no la realice nuevamente que podría generar una duplicidad. 
</t>
  </si>
  <si>
    <t>- Si el esquema de firmas es de un nivel la tx no quedará con estado pendiente de autorización.
- Si el esquema de firmas es de 2 niveles, quedará pendiente de autorización</t>
  </si>
  <si>
    <t>Transacción quedará con estado 'En ejecución'</t>
  </si>
  <si>
    <t>- En el caso que la operación sea superior a los límites establecidos por el usuario administrador el canal debe mostrar el mensaje: “La operación no puede ser ejecutada debido a que supera el límite monetario, comuníquese con su administrador”.</t>
  </si>
  <si>
    <t>Mostrar mensaje de error de acuerdo al catálogo de errores.</t>
  </si>
  <si>
    <t xml:space="preserve">la operación no debe ser creada y quedará registrada dentro de la base de datos como fallida y también en el histórico de transacciones del cliente con el motivo de rechazo.
</t>
  </si>
  <si>
    <t>Procesamiento y resultado de las autorizaciones</t>
  </si>
  <si>
    <t>El canal debe tener un Loader de procesamiento el cual debe actualizar la información de acuerdo a la cantidad de procesos ejecutados por el canal, teniendo en cuenta que el canal ejecuta proceso por proceso, el loader debe mostrar la cantidad de registros ejecutados versus los pendientes, ejemplo: 4/20, una vez finalizado la pantalla debe actualizar y mostrar la respuesta que visualizarán los usuarios en este módulo dependerá  del esquema de firma que tenga definida la empresa.</t>
  </si>
  <si>
    <t>Mostrar loader con la cantidad de tx previamente seleccionadas por el cliente</t>
  </si>
  <si>
    <r>
      <rPr>
        <rFont val="Fira Sans Extra Condensed"/>
        <color theme="1"/>
      </rPr>
      <t xml:space="preserve">Si la transacción no finaliza con está autorización de acuerdo al esquema de firma definido  el canal debe informar “ Autorización exitosa, la solicitud fue enviada para autorización de acuerdo al esquema de firma definido.” posterior debe mostrar:
</t>
    </r>
    <r>
      <rPr>
        <rFont val="Fira Sans Extra Condensed"/>
        <b/>
        <color theme="1"/>
      </rPr>
      <t>Estado: Será “Pendiente autorización”</t>
    </r>
    <r>
      <rPr>
        <rFont val="Fira Sans Extra Condensed"/>
        <color theme="1"/>
      </rPr>
      <t xml:space="preserve">
</t>
    </r>
    <r>
      <rPr>
        <rFont val="Fira Sans Extra Condensed"/>
        <b/>
        <color theme="1"/>
      </rPr>
      <t>Número de transacción:</t>
    </r>
    <r>
      <rPr>
        <rFont val="Fira Sans Extra Condensed"/>
        <color theme="1"/>
      </rPr>
      <t xml:space="preserve"> debe mostrar el número único de identificación por registro.
Posterior resumen de la información ingresada como en el paso de resumen de manera no editable. adicional esta pantalla debe tener los siguientes accionables:
</t>
    </r>
    <r>
      <rPr>
        <rFont val="Fira Sans Extra Condensed"/>
        <b/>
        <color theme="1"/>
      </rPr>
      <t xml:space="preserve">Finalizar: </t>
    </r>
    <r>
      <rPr>
        <rFont val="Fira Sans Extra Condensed"/>
        <color theme="1"/>
      </rPr>
      <t xml:space="preserve">Al dar clic actualiza la pantalla y lo redirecciona a la consulta de procesos pendientes de Autorización. </t>
    </r>
  </si>
  <si>
    <t>Transacción quedará con estado pendiente de autorización</t>
  </si>
  <si>
    <r>
      <rPr>
        <rFont val="Fira Sans Extra Condensed"/>
        <color theme="1"/>
      </rPr>
      <t xml:space="preserve">Si el esquema de firma finaliza con la autorización del usuario, se actualiza la pantalla y el canal debe informar el estado así: 
</t>
    </r>
    <r>
      <rPr>
        <rFont val="Fira Sans Extra Condensed"/>
        <b/>
        <color theme="1"/>
      </rPr>
      <t xml:space="preserve">Estados: </t>
    </r>
    <r>
      <rPr>
        <rFont val="Fira Sans Extra Condensed"/>
        <color theme="1"/>
      </rPr>
      <t xml:space="preserve">
- si la totalidad de registros de ejecutan exitosamente debe mostrar estado: </t>
    </r>
    <r>
      <rPr>
        <rFont val="Fira Sans Extra Condensed"/>
        <b/>
        <color theme="1"/>
      </rPr>
      <t xml:space="preserve"> “Procesado” , </t>
    </r>
    <r>
      <rPr>
        <rFont val="Fira Sans Extra Condensed"/>
        <color theme="1"/>
      </rPr>
      <t xml:space="preserve">
- si la totalidad de registros fue rechazado debe mostrar el el Texto “</t>
    </r>
    <r>
      <rPr>
        <rFont val="Fira Sans Extra Condensed"/>
        <b/>
        <color theme="1"/>
      </rPr>
      <t>Rechazado</t>
    </r>
    <r>
      <rPr>
        <rFont val="Fira Sans Extra Condensed"/>
        <color theme="1"/>
      </rPr>
      <t>” seguida de las causales de acuerdo al catálogo de errores</t>
    </r>
  </si>
  <si>
    <t>Transacción con estado 'Procesado' o con estado 'rechazado' segun sea el caso.</t>
  </si>
  <si>
    <r>
      <rPr>
        <rFont val="Fira Sans Extra Condensed"/>
        <color theme="1"/>
      </rPr>
      <t xml:space="preserve">- Si algunos registros fueron ejecutados y otros rechazados debe mostrar estado “procesado parcial” Así:
</t>
    </r>
    <r>
      <rPr>
        <rFont val="Fira Sans Extra Condensed"/>
        <b/>
        <color theme="1"/>
      </rPr>
      <t xml:space="preserve">Resultado:
Fecha y hora: </t>
    </r>
    <r>
      <rPr>
        <rFont val="Fira Sans Extra Condensed"/>
        <color theme="1"/>
      </rPr>
      <t xml:space="preserve">Se debe mostrar la fecha y hora de la actualización. 
</t>
    </r>
    <r>
      <rPr>
        <rFont val="Fira Sans Extra Condensed"/>
        <b/>
        <color theme="1"/>
      </rPr>
      <t>Número de operaciones:
Usuario Autorizador:
Monto total:
Estado general de la operación/lote:</t>
    </r>
  </si>
  <si>
    <t>Mostrar mensaje de resultado de acuerdo al estado de la transacción</t>
  </si>
  <si>
    <r>
      <rPr>
        <rFont val="Fira Sans Extra Condensed"/>
        <color theme="1"/>
      </rPr>
      <t xml:space="preserve">Mostrará en la pantalla de resultado los siguientes campos:
</t>
    </r>
    <r>
      <rPr>
        <rFont val="Fira Sans Extra Condensed"/>
        <b/>
        <color theme="1"/>
      </rPr>
      <t xml:space="preserve">Tipo de operación
Cuenta origen
Monto de operación
Número de proceso
Estado de operación </t>
    </r>
    <r>
      <rPr>
        <rFont val="Fira Sans Extra Condensed"/>
        <color theme="1"/>
      </rPr>
      <t>(Si es rechazada mostrar la causal del rechazo)</t>
    </r>
  </si>
  <si>
    <t>Validación de campos en la pantalla de resultado de acuerdo al estado de la transacción</t>
  </si>
  <si>
    <r>
      <rPr>
        <rFont val="Fira Sans Extra Condensed"/>
        <b/>
        <color theme="1"/>
      </rPr>
      <t>Número de transacción:</t>
    </r>
    <r>
      <rPr>
        <rFont val="Fira Sans Extra Condensed"/>
        <color theme="1"/>
      </rPr>
      <t xml:space="preserve"> debe mostrar el número único de identificación.
</t>
    </r>
    <r>
      <rPr>
        <rFont val="Fira Sans Extra Condensed"/>
        <b/>
        <color theme="1"/>
      </rPr>
      <t>Programada:</t>
    </r>
    <r>
      <rPr>
        <rFont val="Fira Sans Extra Condensed"/>
        <color theme="1"/>
      </rPr>
      <t xml:space="preserve"> si la operación fue programada en una fecha futura debe mostrar la fecha y hora de la programación de acuerdo a la información ingresada. 
posterior debe mostrar un resumen general del proceso cómo en el punto 2, adicional el canal debe tener  una opción que le permita visualizar el estado por cada uno de los registros  con la información básica de cada uno. Adicional debe tener los siguientes elementos.
</t>
    </r>
    <r>
      <rPr>
        <rFont val="Fira Sans Extra Condensed"/>
        <b/>
        <color theme="1"/>
      </rPr>
      <t xml:space="preserve">Finalizar: </t>
    </r>
    <r>
      <rPr>
        <rFont val="Fira Sans Extra Condensed"/>
        <color theme="1"/>
      </rPr>
      <t xml:space="preserve">Al dar clic actualiza la pantalla y lo redirecciona a la consulta del módulos de Autorizaciones.
Comprobante: Una vez finalizada la transacción debe mostrar el resumen de la misma y un elemento que haga referencia a que el usuario puede realizar descarga del comprobante de la operación en formato PDF y/o Excel si así lo requiere. </t>
    </r>
  </si>
  <si>
    <t>Validación de campos en la pantalla de resultado de la transacción de acuerdo al estado de la transacción</t>
  </si>
  <si>
    <t>Descarga de comprobante en el resultado de la transacción</t>
  </si>
  <si>
    <r>
      <rPr>
        <rFont val="Fira Sans Extra Condensed"/>
        <b/>
        <color theme="1"/>
      </rPr>
      <t>Helpertext de solo puede descargar las operaciones procesadas</t>
    </r>
    <r>
      <rPr>
        <rFont val="Fira Sans Extra Condensed"/>
        <color theme="1"/>
      </rPr>
      <t xml:space="preserve">
</t>
    </r>
    <r>
      <rPr>
        <rFont val="Fira Sans Extra Condensed"/>
        <b/>
        <color theme="1"/>
      </rPr>
      <t xml:space="preserve">Botón de descargar comprobante: </t>
    </r>
    <r>
      <rPr>
        <rFont val="Fira Sans Extra Condensed"/>
        <color theme="1"/>
      </rPr>
      <t>Una vez de clic debe incluir todo el detalle de la información de las operaciones, origen destino, y demás información ingresada y mostrada en la preparación.</t>
    </r>
  </si>
  <si>
    <t>Visualización del botón descargar</t>
  </si>
  <si>
    <t>El usuario tiene permisos para ver las notificaciones de novedades pendientes de autorización.
Existe al menos una novedad administrativa que requiere autorización y está pendiente de ser autorizada en el módulo correspondiente.</t>
  </si>
  <si>
    <t>Criterio 9, Autorización de operaciones no monetarias</t>
  </si>
  <si>
    <t>Una vez el usuario de clic a la opción de “autorizar” y en canal valide exitosamente el código de confirmación se debe actualizar la pantalla mostrando las opciones de Autorizaciones Monetarias y No monetarias. Una vez de clic en “No monetarias” el canal debe actualizar la pantalla con la siguiente información que le permite consultar, validar, autorizar y/o rechazar una novedad enviada por un usuario preparador.</t>
  </si>
  <si>
    <t>Ingreso exitoso a la opción de autorizaciones no monetarias</t>
  </si>
  <si>
    <r>
      <rPr>
        <rFont val="Fira Sans Extra Condensed"/>
        <color theme="1"/>
      </rPr>
      <t xml:space="preserve">Cuando el usuario ingrese a las autorizaciones no monetarias muestra en Pantalla, lo siguiente:
</t>
    </r>
    <r>
      <rPr>
        <rFont val="Fira Sans Extra Condensed"/>
        <b/>
        <color theme="1"/>
      </rPr>
      <t xml:space="preserve">Título: </t>
    </r>
    <r>
      <rPr>
        <rFont val="Fira Sans Extra Condensed"/>
        <color theme="1"/>
      </rPr>
      <t xml:space="preserve"> Autorizaciones No monetarias pendientes
</t>
    </r>
    <r>
      <rPr>
        <rFont val="Fira Sans Extra Condensed"/>
        <b/>
        <color theme="1"/>
      </rPr>
      <t>Helper text:</t>
    </r>
    <r>
      <rPr>
        <rFont val="Fira Sans Extra Condensed"/>
        <color theme="1"/>
      </rPr>
      <t xml:space="preserve"> Puede seleccionar hasta 20 novedades para autorizar”  (El canal debe permitir realizar selección de hasta 20 novedades de diferentes páginas para"autorización " o"rechazar ".)
</t>
    </r>
  </si>
  <si>
    <t>Selección de hasta 20 registros pendientes de autorizar por página.</t>
  </si>
  <si>
    <t>Autorización de operaciones no monetarias</t>
  </si>
  <si>
    <r>
      <rPr>
        <rFont val="Fira Sans Extra Condensed"/>
        <color theme="1"/>
      </rPr>
      <t xml:space="preserve">Al ingresar a las autorizaciones monetarias mostrará los siguientes campos:
Títulos filas de búsqueda
El Canal debe mostrar los siguientes títulos en el resultado de la búsqueda.
</t>
    </r>
    <r>
      <rPr>
        <rFont val="Fira Sans Extra Condensed"/>
        <b/>
        <color theme="1"/>
      </rPr>
      <t>Checkbox:</t>
    </r>
    <r>
      <rPr>
        <rFont val="Fira Sans Extra Condensed"/>
        <color theme="1"/>
      </rPr>
      <t xml:space="preserve"> Debe estar este elemento para seleccionar la novedad de manera individual o varias. 
</t>
    </r>
    <r>
      <rPr>
        <rFont val="Fira Sans Extra Condensed"/>
        <b/>
        <color theme="1"/>
      </rPr>
      <t xml:space="preserve">Fecha y hora: </t>
    </r>
    <r>
      <rPr>
        <rFont val="Fira Sans Extra Condensed"/>
        <color theme="1"/>
      </rPr>
      <t xml:space="preserve">El canal debe mostrar la fecha y hora de en la cual el usuario preparador envía la novedad.
</t>
    </r>
    <r>
      <rPr>
        <rFont val="Fira Sans Extra Condensed"/>
        <b/>
        <color theme="1"/>
      </rPr>
      <t>Tipo de transacción:</t>
    </r>
    <r>
      <rPr>
        <rFont val="Fira Sans Extra Condensed"/>
        <color theme="1"/>
      </rPr>
      <t xml:space="preserve"> Se debe mostrar el tipo de operación, las opciones posibles para el MVP serán: 
- Destino autorizados Regional
- Grupos de productos (Únicamente visible para usuarios con Rol Administrador Dual)
- Usuarios (Únicamente visible para usuarios con Rol Administrador Dual)
- Esquema de firmas (Únicamente visible para usuarios con Rol Administrador Dual)
</t>
    </r>
    <r>
      <rPr>
        <rFont val="Fira Sans Extra Condensed"/>
        <b/>
        <color theme="1"/>
      </rPr>
      <t>País Origen:</t>
    </r>
    <r>
      <rPr>
        <rFont val="Fira Sans Extra Condensed"/>
        <color theme="1"/>
      </rPr>
      <t xml:space="preserve"> Se debe mostrar el nombre del país origen y bandera desde el cual se realiza la novedad. 
 - En caso de ser una novedad “no monetaria”  se muestra la bandera del usuario que envía la solicitud, en caso de ser un destino autorizado ligado a un producto origen se debe mostrar la bandera del país origen del producto.
</t>
    </r>
    <r>
      <rPr>
        <rFont val="Fira Sans Extra Condensed"/>
        <b/>
        <color theme="1"/>
      </rPr>
      <t>Proceso:</t>
    </r>
    <r>
      <rPr>
        <rFont val="Fira Sans Extra Condensed"/>
        <color theme="1"/>
      </rPr>
      <t xml:space="preserve"> Número único de identificación de un proceso.  
</t>
    </r>
    <r>
      <rPr>
        <rFont val="Fira Sans Extra Condensed"/>
        <b/>
        <color theme="1"/>
      </rPr>
      <t>Preparador:</t>
    </r>
    <r>
      <rPr>
        <rFont val="Fira Sans Extra Condensed"/>
        <color theme="1"/>
      </rPr>
      <t xml:space="preserve"> Se debe mostrar únicamente el primer nombre y primer apellido del usuario que envió la novedad. </t>
    </r>
  </si>
  <si>
    <t>Visualización de campos del detalle de las operaciones no monetarias.</t>
  </si>
  <si>
    <t>Criterio 9, Autorización de operaciones no monetarias, búsqueda de transacciones no monetarias por medio de filtro</t>
  </si>
  <si>
    <t>El Canal debe contar con un elemento que le permita aplicar filtros de búsqueda avanzada.
Se debe habilitar una barra de búsqueda desde la pantalla de consulta que le permita al usuario encontrar una transacción ingresando del número único de transacción, este es un espacio donde el usuario puede escribir el número único de identificación de una operación. (10 dígitos) al lado encontrará el icono que hace referencia a “Filtrar” una vez de clic la pantalla debe actualizar donde le permite aplicar filtros opcionales.</t>
  </si>
  <si>
    <r>
      <rPr>
        <rFont val="Fira Sans Extra Condensed"/>
        <color theme="1"/>
      </rPr>
      <t xml:space="preserve">Cuando el usuario de clic al elemento de “filtrar” debe actualizar así: 
</t>
    </r>
    <r>
      <rPr>
        <rFont val="Fira Sans Extra Condensed"/>
        <b/>
        <color theme="1"/>
      </rPr>
      <t>Pantalla:</t>
    </r>
    <r>
      <rPr>
        <rFont val="Fira Sans Extra Condensed"/>
        <color theme="1"/>
      </rPr>
      <t xml:space="preserve">
</t>
    </r>
    <r>
      <rPr>
        <rFont val="Fira Sans Extra Condensed"/>
        <b/>
        <color theme="1"/>
      </rPr>
      <t xml:space="preserve">Título: </t>
    </r>
    <r>
      <rPr>
        <rFont val="Fira Sans Extra Condensed"/>
        <color theme="1"/>
      </rPr>
      <t xml:space="preserve"> Filtro Autorizaciones No monetarias pendientes
</t>
    </r>
    <r>
      <rPr>
        <rFont val="Fira Sans Extra Condensed"/>
        <b/>
        <color theme="1"/>
      </rPr>
      <t>Títulos filas de búsqueda</t>
    </r>
    <r>
      <rPr>
        <rFont val="Fira Sans Extra Condensed"/>
        <color theme="1"/>
      </rPr>
      <t xml:space="preserve">
</t>
    </r>
    <r>
      <rPr>
        <rFont val="Fira Sans Extra Condensed"/>
        <b/>
        <color theme="1"/>
      </rPr>
      <t xml:space="preserve">Tipo de Operación: </t>
    </r>
    <r>
      <rPr>
        <rFont val="Fira Sans Extra Condensed"/>
        <color theme="1"/>
      </rPr>
      <t xml:space="preserve">La opción que aquí se muestra dependerá de las funcionalidades que tenga asignadas el usuario dentro del esquema de firma o rol de administrador, se mostrará lista desplegable con las opciones: 
- Destino autorizados Regional
- Grupos de productos (Únicamente visible para usuarios con Rol Administrador Dual)
- Usuarios (Únicamente visible para usuarios con Rol Administrador Dual)
- Esquema de firmas (Únicamente visible para usuarios con Rol Administrador Dual)
</t>
    </r>
    <r>
      <rPr>
        <rFont val="Fira Sans Extra Condensed"/>
        <b/>
        <color theme="1"/>
      </rPr>
      <t xml:space="preserve">País Origen: </t>
    </r>
    <r>
      <rPr>
        <rFont val="Fira Sans Extra Condensed"/>
        <color theme="1"/>
      </rPr>
      <t xml:space="preserve">Lista desplegable con las opciones (Panamá, Costa Rica, Honduras, El Salvador)
</t>
    </r>
    <r>
      <rPr>
        <rFont val="Fira Sans Extra Condensed"/>
        <b/>
        <color theme="1"/>
      </rPr>
      <t>Fecha por rango:</t>
    </r>
    <r>
      <rPr>
        <rFont val="Fira Sans Extra Condensed"/>
        <color theme="1"/>
      </rPr>
      <t xml:space="preserve"> El canal debe permitir realizar filtro por fecha por rango desde-hasta. 
</t>
    </r>
    <r>
      <rPr>
        <rFont val="Fira Sans Extra Condensed"/>
        <b/>
        <color theme="1"/>
      </rPr>
      <t xml:space="preserve">Helper text: </t>
    </r>
    <r>
      <rPr>
        <rFont val="Fira Sans Extra Condensed"/>
        <color theme="1"/>
      </rPr>
      <t xml:space="preserve">El rango de búsqueda es de hasta 6 meses. 
</t>
    </r>
    <r>
      <rPr>
        <rFont val="Fira Sans Extra Condensed"/>
        <b/>
        <color theme="1"/>
      </rPr>
      <t>Preparador:</t>
    </r>
    <r>
      <rPr>
        <rFont val="Fira Sans Extra Condensed"/>
        <color theme="1"/>
      </rPr>
      <t xml:space="preserve"> El canal debe permitir realizar filtro por el usuario preparador que realizó la solicitud. .</t>
    </r>
  </si>
  <si>
    <t xml:space="preserve">Posterior debe estar habilitado un botón o elemento que haga referencia a que de acuerdo a los filtros ingresados el canal aplique los filtros de búsqueda ingresados. 
La pantalla de resultado debe actualizarse de acuerdo a los filtros ingresados por el usuario y en la parte superior se debe presentar el nombre de la palabra referente al filtro aplicado el cual debe contar con el elemento que permita “eliminar” el filtro aplicado. </t>
  </si>
  <si>
    <t>Resultados de acuerdo al filtro utilizado</t>
  </si>
  <si>
    <t>Criterio 9, Esta pantalla debe tener un elemento que le permita a los usuarios ordenar la información que se muestra en pantalla teniendo en cuenta los títulos de las columnas.</t>
  </si>
  <si>
    <t>Criterio 9, En la pantalla se debe presentar la paginación mostrando fácilmente el número de páginas que arroja la consulta</t>
  </si>
  <si>
    <t>Criterio 9, transacciones no monetarias. El canal debe habilitar una opción por cada registro que permita obtener mayor detalle de cómo fue registrado por el usuario preparador</t>
  </si>
  <si>
    <t>Criterio 9, transacciones no monetarias. Debe existir 2 botones 1 de Aprobar y 1 de rechazar las gestiones seleccionadas</t>
  </si>
  <si>
    <t>Criterio 9, transacciones monetarias. Cuando el usuario ingrese al detalle, el canal deberá mostrar toda la información de la gestión confeccionada</t>
  </si>
  <si>
    <t>Detalle de registro no monetario</t>
  </si>
  <si>
    <t>Criterio 10, Detalle Registro no monetario. Debe existir un elemento o un icono que haga referencia a que el usuario pueda obtener mayor detalle de un registro.</t>
  </si>
  <si>
    <t xml:space="preserve"> El canal debe actualizar la pantalla en la cual obtiene la misma visual de resumen general de cuando el usuario operador envía la novedad</t>
  </si>
  <si>
    <t>-  En esta pantalla se debe visualizar toda la información ingresada por el usuario operador</t>
  </si>
  <si>
    <t>Visualización del ícono de detalle y acceso exitoso</t>
  </si>
  <si>
    <t>Criterio 10. Consulta detalle transacción no monetaria Destinos autorizados</t>
  </si>
  <si>
    <r>
      <rPr>
        <rFont val="Fira Sans Extra Condensed"/>
        <color theme="1"/>
      </rPr>
      <t xml:space="preserve">Al ingresar al detalle mostrará la siguiente información:
</t>
    </r>
    <r>
      <rPr>
        <rFont val="Fira Sans Extra Condensed"/>
        <b/>
        <color theme="1"/>
      </rPr>
      <t xml:space="preserve">Pantalla:
Título: </t>
    </r>
    <r>
      <rPr>
        <rFont val="Fira Sans Extra Condensed"/>
        <color theme="1"/>
      </rPr>
      <t xml:space="preserve"> Detalle destino autorizado
</t>
    </r>
    <r>
      <rPr>
        <rFont val="Fira Sans Extra Condensed"/>
        <b/>
        <color theme="1"/>
      </rPr>
      <t xml:space="preserve">Títulos filas:
Fecha y hora creación: </t>
    </r>
    <r>
      <rPr>
        <rFont val="Fira Sans Extra Condensed"/>
        <color theme="1"/>
      </rPr>
      <t xml:space="preserve">Se debe mostrar la fecha y hora en la que el usuario creó el proceso.
</t>
    </r>
    <r>
      <rPr>
        <rFont val="Fira Sans Extra Condensed"/>
        <b/>
        <color theme="1"/>
      </rPr>
      <t>Número de transacción:</t>
    </r>
    <r>
      <rPr>
        <rFont val="Fira Sans Extra Condensed"/>
        <color theme="1"/>
      </rPr>
      <t xml:space="preserve"> Se debe mostrar el número único de identificación a nivel del core.
</t>
    </r>
    <r>
      <rPr>
        <rFont val="Fira Sans Extra Condensed"/>
        <b/>
        <color theme="1"/>
      </rPr>
      <t xml:space="preserve">Estado: </t>
    </r>
    <r>
      <rPr>
        <rFont val="Fira Sans Extra Condensed"/>
        <color theme="1"/>
      </rPr>
      <t>Se debe mostrar el estado “Pendiente de Autorización”</t>
    </r>
  </si>
  <si>
    <t>Ingreso al detalle exitoso y validación de campos en formato lectura.</t>
  </si>
  <si>
    <r>
      <rPr>
        <rFont val="Fira Sans Extra Condensed"/>
        <color theme="1"/>
      </rPr>
      <t xml:space="preserve">Debe mostrar al usuario autorizador la información del registro origen y destino
</t>
    </r>
    <r>
      <rPr>
        <rFont val="Fira Sans Extra Condensed"/>
        <b/>
        <color theme="1"/>
      </rPr>
      <t>Origen
País origen:</t>
    </r>
    <r>
      <rPr>
        <rFont val="Fira Sans Extra Condensed"/>
        <color theme="1"/>
      </rPr>
      <t xml:space="preserve"> Se debe mostrar la información del país origen si fue seleccionado por el usuario preparador. 
</t>
    </r>
    <r>
      <rPr>
        <rFont val="Fira Sans Extra Condensed"/>
        <b/>
        <color theme="1"/>
      </rPr>
      <t>Número de cuenta origen:</t>
    </r>
    <r>
      <rPr>
        <rFont val="Fira Sans Extra Condensed"/>
        <color theme="1"/>
      </rPr>
      <t xml:space="preserve"> Se debe mostrar la información si fue seleccionada por el usuario preparador.
</t>
    </r>
    <r>
      <rPr>
        <rFont val="Fira Sans Extra Condensed"/>
        <b/>
        <color theme="1"/>
      </rPr>
      <t xml:space="preserve">País destino: </t>
    </r>
    <r>
      <rPr>
        <rFont val="Fira Sans Extra Condensed"/>
        <color theme="1"/>
      </rPr>
      <t xml:space="preserve">Se debe mostrar la información seleccionada por el usuario preparador.
</t>
    </r>
    <r>
      <rPr>
        <rFont val="Fira Sans Extra Condensed"/>
        <b/>
        <color theme="1"/>
      </rPr>
      <t>Tipo de producto:</t>
    </r>
    <r>
      <rPr>
        <rFont val="Fira Sans Extra Condensed"/>
        <color theme="1"/>
      </rPr>
      <t xml:space="preserve"> se debe mostrar el tipo de producto, si el usuario no lo ingresó el canal debe validar en el core y actualizar el campo con las opciones disponibles (cuentas ahorro/ corriente/ maestra)
</t>
    </r>
    <r>
      <rPr>
        <rFont val="Fira Sans Extra Condensed"/>
        <b/>
        <color theme="1"/>
      </rPr>
      <t xml:space="preserve">Destino
Cuenta destino: </t>
    </r>
    <r>
      <rPr>
        <rFont val="Fira Sans Extra Condensed"/>
        <color theme="1"/>
      </rPr>
      <t xml:space="preserve">Se debe mostrar el número de la cuenta origen ingresada por el usuario preparador. 
</t>
    </r>
    <r>
      <rPr>
        <rFont val="Fira Sans Extra Condensed"/>
        <b/>
        <color theme="1"/>
      </rPr>
      <t xml:space="preserve">Divisa: </t>
    </r>
    <r>
      <rPr>
        <rFont val="Fira Sans Extra Condensed"/>
        <color theme="1"/>
      </rPr>
      <t xml:space="preserve">El canal debe mostrar en pantalla la divisa de apertura del producto destino.
</t>
    </r>
    <r>
      <rPr>
        <rFont val="Fira Sans Extra Condensed"/>
        <b/>
        <color theme="1"/>
      </rPr>
      <t>correo electrónico</t>
    </r>
    <r>
      <rPr>
        <rFont val="Fira Sans Extra Condensed"/>
        <color theme="1"/>
      </rPr>
      <t xml:space="preserve">: se debe mostrar esta información si fue ingresada por el usuario preparador. 
</t>
    </r>
    <r>
      <rPr>
        <rFont val="Fira Sans Extra Condensed"/>
        <b/>
        <color theme="1"/>
      </rPr>
      <t>Alias:</t>
    </r>
    <r>
      <rPr>
        <rFont val="Fira Sans Extra Condensed"/>
        <color theme="1"/>
      </rPr>
      <t xml:space="preserve"> se debe mostrar en el nombre si fue ingresado por el usuario preparador.
</t>
    </r>
    <r>
      <rPr>
        <rFont val="Fira Sans Extra Condensed"/>
        <b/>
        <color theme="1"/>
      </rPr>
      <t>Titular:</t>
    </r>
    <r>
      <rPr>
        <rFont val="Fira Sans Extra Condensed"/>
        <color theme="1"/>
      </rPr>
      <t xml:space="preserve"> El canal debe validar en el core el nombre del titular de la cuenta y mostrar en pantalla el nombre cómo lo retorna el core local.</t>
    </r>
  </si>
  <si>
    <t>- Visualización de campos en formato lectura</t>
  </si>
  <si>
    <t>Ingreso al detalle del destino autorizado correctamente.</t>
  </si>
  <si>
    <r>
      <rPr>
        <rFont val="Fira Sans Extra Condensed"/>
        <color theme="1"/>
      </rPr>
      <t xml:space="preserve">Mostrará la información del usuario operador y de los administradores
</t>
    </r>
    <r>
      <rPr>
        <rFont val="Fira Sans Extra Condensed"/>
        <b/>
        <color theme="1"/>
      </rPr>
      <t>Preparador:</t>
    </r>
    <r>
      <rPr>
        <rFont val="Fira Sans Extra Condensed"/>
        <color theme="1"/>
      </rPr>
      <t xml:space="preserve"> Debe mostrar el nombre del usuario que creó la operación. 
</t>
    </r>
    <r>
      <rPr>
        <rFont val="Fira Sans Extra Condensed"/>
        <b/>
        <color theme="1"/>
      </rPr>
      <t>Autorizador 1:</t>
    </r>
    <r>
      <rPr>
        <rFont val="Fira Sans Extra Condensed"/>
        <color theme="1"/>
      </rPr>
      <t xml:space="preserve"> Únicamente se mostrará si en el esquema de firma definido el proceso fue autorizado por este usuario, debe mostrar el nombre del usuario que realizó la autorización 1.  
</t>
    </r>
    <r>
      <rPr>
        <rFont val="Fira Sans Extra Condensed"/>
        <b/>
        <color theme="1"/>
      </rPr>
      <t>Autorizador 2:</t>
    </r>
    <r>
      <rPr>
        <rFont val="Fira Sans Extra Condensed"/>
        <color theme="1"/>
      </rPr>
      <t xml:space="preserve"> Únicamente se mostrará si en el esquema de firma definido el proceso fue autorizado por este usuario, debe mostrar el nombre del usuario que realizó la autorización 2.  
</t>
    </r>
    <r>
      <rPr>
        <rFont val="Fira Sans Extra Condensed"/>
        <b/>
        <color theme="1"/>
      </rPr>
      <t>Autorizador 3:</t>
    </r>
    <r>
      <rPr>
        <rFont val="Fira Sans Extra Condensed"/>
        <color theme="1"/>
      </rPr>
      <t xml:space="preserve"> Únicamente se mostrará si en el esquema de firma definido el proceso fue autorizado por este usuario, debe mostrar el nombre del usuario que realizó la autorización 3. </t>
    </r>
  </si>
  <si>
    <t>Criterio 10. Consulta detalle transacción no monetaria Grupo de productos</t>
  </si>
  <si>
    <r>
      <rPr>
        <rFont val="Fira Sans Extra Condensed"/>
        <color theme="1"/>
      </rPr>
      <t xml:space="preserve">AL ingresar al detalle de grupo de productos debe mostrar lo siguiente:
</t>
    </r>
    <r>
      <rPr>
        <rFont val="Fira Sans Extra Condensed"/>
        <b/>
        <color theme="1"/>
      </rPr>
      <t xml:space="preserve">Pantalla:
Título: </t>
    </r>
    <r>
      <rPr>
        <rFont val="Fira Sans Extra Condensed"/>
        <color theme="1"/>
      </rPr>
      <t xml:space="preserve"> Detalle grupo de productos:
</t>
    </r>
    <r>
      <rPr>
        <rFont val="Fira Sans Extra Condensed"/>
        <b/>
        <color theme="1"/>
      </rPr>
      <t xml:space="preserve">Títulos filas:
Fecha y hora creación: </t>
    </r>
    <r>
      <rPr>
        <rFont val="Fira Sans Extra Condensed"/>
        <color theme="1"/>
      </rPr>
      <t xml:space="preserve">Se debe mostrar la fecha y hora en la que el usuario creó la novedad.
</t>
    </r>
    <r>
      <rPr>
        <rFont val="Fira Sans Extra Condensed"/>
        <b/>
        <color theme="1"/>
      </rPr>
      <t xml:space="preserve">Estado: </t>
    </r>
    <r>
      <rPr>
        <rFont val="Fira Sans Extra Condensed"/>
        <color theme="1"/>
      </rPr>
      <t xml:space="preserve">Se debe mostrar el estado “Pendiente de Autorización”
</t>
    </r>
    <r>
      <rPr>
        <rFont val="Fira Sans Extra Condensed"/>
        <b/>
        <color theme="1"/>
      </rPr>
      <t>Nombre del Grupo</t>
    </r>
    <r>
      <rPr>
        <rFont val="Fira Sans Extra Condensed"/>
        <color theme="1"/>
      </rPr>
      <t xml:space="preserve">: Se debe mostrar el nombre asignado al grupo por el usuario administrador que lo creó.
</t>
    </r>
    <r>
      <rPr>
        <rFont val="Fira Sans Extra Condensed"/>
        <b/>
        <color theme="1"/>
      </rPr>
      <t xml:space="preserve">Países: </t>
    </r>
    <r>
      <rPr>
        <rFont val="Fira Sans Extra Condensed"/>
        <color theme="1"/>
      </rPr>
      <t xml:space="preserve">Se debe mostrar las banderas de los países de los productos que conforman el grupo de productos. 
</t>
    </r>
    <r>
      <rPr>
        <rFont val="Fira Sans Extra Condensed"/>
        <b/>
        <color theme="1"/>
      </rPr>
      <t xml:space="preserve">Tipos de Productos: </t>
    </r>
    <r>
      <rPr>
        <rFont val="Fira Sans Extra Condensed"/>
        <color theme="1"/>
      </rPr>
      <t xml:space="preserve">Se debe mostrar la naturaleza de productos que conforman el Grupo (Cuentas Ahorro/ Cuentas Corriente / Ahorro Maestra)
</t>
    </r>
    <r>
      <rPr>
        <rFont val="Fira Sans Extra Condensed"/>
        <b/>
        <color theme="1"/>
      </rPr>
      <t xml:space="preserve">Empresas: </t>
    </r>
    <r>
      <rPr>
        <rFont val="Fira Sans Extra Condensed"/>
        <color theme="1"/>
      </rPr>
      <t>Se debe mostrar el nombre de las empresas que están ligadas a los productos seleccionados.</t>
    </r>
  </si>
  <si>
    <t>Ingreso al detalle del grupo de producto correctamente.</t>
  </si>
  <si>
    <r>
      <rPr>
        <rFont val="Fira Sans Extra Condensed"/>
        <color theme="1"/>
      </rPr>
      <t xml:space="preserve">Al ingresar al detalle de grupo de productos, debe mostrar la siguiente información:
</t>
    </r>
    <r>
      <rPr>
        <rFont val="Fira Sans Extra Condensed"/>
        <b/>
        <color theme="1"/>
      </rPr>
      <t xml:space="preserve">Título: </t>
    </r>
    <r>
      <rPr>
        <rFont val="Fira Sans Extra Condensed"/>
        <color theme="1"/>
      </rPr>
      <t xml:space="preserve"> Detalle de productos seleccionados
(Se debe mostrar el listado de todos  los productos seleccionados en la creación del grupo regional.)
</t>
    </r>
    <r>
      <rPr>
        <rFont val="Fira Sans Extra Condensed"/>
        <b/>
        <color theme="1"/>
      </rPr>
      <t>Títulos Columnas de Productos</t>
    </r>
    <r>
      <rPr>
        <rFont val="Fira Sans Extra Condensed"/>
        <color theme="1"/>
      </rPr>
      <t xml:space="preserve">
</t>
    </r>
    <r>
      <rPr>
        <rFont val="Fira Sans Extra Condensed"/>
        <b/>
        <color theme="1"/>
      </rPr>
      <t xml:space="preserve">País: </t>
    </r>
    <r>
      <rPr>
        <rFont val="Fira Sans Extra Condensed"/>
        <color theme="1"/>
      </rPr>
      <t xml:space="preserve">Se debe mostrar la bandera  e iniciales del país al que pertenece el producto seleccionado por el usuario preparador.
</t>
    </r>
    <r>
      <rPr>
        <rFont val="Fira Sans Extra Condensed"/>
        <b/>
        <color theme="1"/>
      </rPr>
      <t xml:space="preserve">Empresa: </t>
    </r>
    <r>
      <rPr>
        <rFont val="Fira Sans Extra Condensed"/>
        <color theme="1"/>
      </rPr>
      <t xml:space="preserve">Se debe mostrar el nombre de la empresa a la que está ligado el producto. 
</t>
    </r>
    <r>
      <rPr>
        <rFont val="Fira Sans Extra Condensed"/>
        <b/>
        <color theme="1"/>
      </rPr>
      <t xml:space="preserve">Tipo de Cuenta: </t>
    </r>
    <r>
      <rPr>
        <rFont val="Fira Sans Extra Condensed"/>
        <color theme="1"/>
      </rPr>
      <t xml:space="preserve">Se debe mostrar el tipo de producto (Ahorro, Corriente, Maestra)
</t>
    </r>
    <r>
      <rPr>
        <rFont val="Fira Sans Extra Condensed"/>
        <b/>
        <color theme="1"/>
      </rPr>
      <t xml:space="preserve">Alias: </t>
    </r>
    <r>
      <rPr>
        <rFont val="Fira Sans Extra Condensed"/>
        <color theme="1"/>
      </rPr>
      <t xml:space="preserve">Se debe mostrar el nombre de Alias si está asignado en el canal. 
</t>
    </r>
    <r>
      <rPr>
        <rFont val="Fira Sans Extra Condensed"/>
        <b/>
        <color theme="1"/>
      </rPr>
      <t>Número de Producto:</t>
    </r>
    <r>
      <rPr>
        <rFont val="Fira Sans Extra Condensed"/>
        <color theme="1"/>
      </rPr>
      <t xml:space="preserve"> Se debe mostrar el número del producto enmascarado y seleccionado por el usuario. 
</t>
    </r>
    <r>
      <rPr>
        <rFont val="Fira Sans Extra Condensed"/>
        <b/>
        <color theme="1"/>
      </rPr>
      <t xml:space="preserve">Preparador: </t>
    </r>
    <r>
      <rPr>
        <rFont val="Fira Sans Extra Condensed"/>
        <color theme="1"/>
      </rPr>
      <t>Debe mostrar el nombre del usuario administrador que creó el grupo de productos.</t>
    </r>
  </si>
  <si>
    <t>Criterio 10. Consulta detalle transacción no monetaria asignación de rol</t>
  </si>
  <si>
    <r>
      <rPr>
        <rFont val="Fira Sans Extra Condensed"/>
        <color theme="1"/>
      </rPr>
      <t xml:space="preserve">Al ingresar al detalle de rol debe mostrar los siguuientes campos:
</t>
    </r>
    <r>
      <rPr>
        <rFont val="Fira Sans Extra Condensed"/>
        <b/>
        <color theme="1"/>
      </rPr>
      <t>Pantalla:</t>
    </r>
    <r>
      <rPr>
        <rFont val="Fira Sans Extra Condensed"/>
        <color theme="1"/>
      </rPr>
      <t xml:space="preserve">
</t>
    </r>
    <r>
      <rPr>
        <rFont val="Fira Sans Extra Condensed"/>
        <b/>
        <color theme="1"/>
      </rPr>
      <t xml:space="preserve">Título: </t>
    </r>
    <r>
      <rPr>
        <rFont val="Fira Sans Extra Condensed"/>
        <color theme="1"/>
      </rPr>
      <t xml:space="preserve"> Detalle asignación de Rol</t>
    </r>
    <r>
      <rPr>
        <rFont val="Fira Sans Extra Condensed"/>
        <b/>
        <color theme="1"/>
      </rPr>
      <t xml:space="preserve">
Títulos filas:</t>
    </r>
    <r>
      <rPr>
        <rFont val="Fira Sans Extra Condensed"/>
        <color theme="1"/>
      </rPr>
      <t xml:space="preserve">
</t>
    </r>
    <r>
      <rPr>
        <rFont val="Fira Sans Extra Condensed"/>
        <b/>
        <color theme="1"/>
      </rPr>
      <t>Fecha y hora creación:</t>
    </r>
    <r>
      <rPr>
        <rFont val="Fira Sans Extra Condensed"/>
        <color theme="1"/>
      </rPr>
      <t xml:space="preserve"> Se debe mostrar la fecha y hora en la que el usuario creó la novedad.
</t>
    </r>
    <r>
      <rPr>
        <rFont val="Fira Sans Extra Condensed"/>
        <b/>
        <color theme="1"/>
      </rPr>
      <t>Estado:</t>
    </r>
    <r>
      <rPr>
        <rFont val="Fira Sans Extra Condensed"/>
        <color theme="1"/>
      </rPr>
      <t xml:space="preserve"> Se debe mostrar el estado “Pendiente de Autorización”
</t>
    </r>
    <r>
      <rPr>
        <rFont val="Fira Sans Extra Condensed"/>
        <b/>
        <color theme="1"/>
      </rPr>
      <t>Nombres:</t>
    </r>
    <r>
      <rPr>
        <rFont val="Fira Sans Extra Condensed"/>
        <color theme="1"/>
      </rPr>
      <t xml:space="preserve"> Se debe mostrar el nombre del usuario cómo fue mostrado en el resumen del usuario preparador.
</t>
    </r>
    <r>
      <rPr>
        <rFont val="Fira Sans Extra Condensed"/>
        <b/>
        <color theme="1"/>
      </rPr>
      <t xml:space="preserve">Apellidos: </t>
    </r>
    <r>
      <rPr>
        <rFont val="Fira Sans Extra Condensed"/>
        <color theme="1"/>
      </rPr>
      <t xml:space="preserve">Se debe mostrar el apellido del usuario cómo fue mostrado en el resumen del usuario preparador.
</t>
    </r>
    <r>
      <rPr>
        <rFont val="Fira Sans Extra Condensed"/>
        <b/>
        <color theme="1"/>
      </rPr>
      <t>País origen:</t>
    </r>
    <r>
      <rPr>
        <rFont val="Fira Sans Extra Condensed"/>
        <color theme="1"/>
      </rPr>
      <t xml:space="preserve"> Se debe mostrar el nombre y bandera del país por donde ingresará el usuario.
</t>
    </r>
    <r>
      <rPr>
        <rFont val="Fira Sans Extra Condensed"/>
        <b/>
        <color theme="1"/>
      </rPr>
      <t xml:space="preserve">Tipo identificación: </t>
    </r>
    <r>
      <rPr>
        <rFont val="Fira Sans Extra Condensed"/>
        <color theme="1"/>
      </rPr>
      <t xml:space="preserve">Se debe mostrar el tipo de identificación del usuario cómo fue mostrado en el resumen del usuario preparador.
</t>
    </r>
    <r>
      <rPr>
        <rFont val="Fira Sans Extra Condensed"/>
        <b/>
        <color theme="1"/>
      </rPr>
      <t xml:space="preserve">Número de identificación: </t>
    </r>
    <r>
      <rPr>
        <rFont val="Fira Sans Extra Condensed"/>
        <color theme="1"/>
      </rPr>
      <t xml:space="preserve">Se debe mostrar el número de identificación del usuario cómo fue mostrado en el resumen del usuario preparador.
</t>
    </r>
    <r>
      <rPr>
        <rFont val="Fira Sans Extra Condensed"/>
        <b/>
        <color theme="1"/>
      </rPr>
      <t xml:space="preserve">Teléfono: </t>
    </r>
    <r>
      <rPr>
        <rFont val="Fira Sans Extra Condensed"/>
        <color theme="1"/>
      </rPr>
      <t xml:space="preserve">Se debe mostrar el número telefónico del usuario cómo fue mostrado en el resumen del usuario preparador. indicando al inicio el indicativo del país. El número podrá ser móvil o fijo, dependiendo cómo esté registrado el número en el país origen.  
</t>
    </r>
    <r>
      <rPr>
        <rFont val="Fira Sans Extra Condensed"/>
        <b/>
        <color theme="1"/>
      </rPr>
      <t xml:space="preserve">Rol: </t>
    </r>
    <r>
      <rPr>
        <rFont val="Fira Sans Extra Condensed"/>
        <color theme="1"/>
      </rPr>
      <t xml:space="preserve">Se debe mostrar el Tipo de rol asignado. (Consultor - Preparador - Autorizador - Administrador) 
Grupos seleccionados: mostrará la información general del grupo(s) asignado(s) por el usuario preparador
Funcionalidades: Mostrará el resumen de las funcionalidades con la parametrización realizada de acuerdo al rol, servicio tope y límites.
</t>
    </r>
    <r>
      <rPr>
        <rFont val="Fira Sans Extra Condensed"/>
        <b/>
        <color theme="1"/>
      </rPr>
      <t>Preparador:</t>
    </r>
    <r>
      <rPr>
        <rFont val="Fira Sans Extra Condensed"/>
        <color theme="1"/>
      </rPr>
      <t xml:space="preserve"> Debe mostrar el nombre del usuario administrador  que creó la novedad.</t>
    </r>
  </si>
  <si>
    <t>Ingreso al detalle de asignación de rol correctamente.</t>
  </si>
  <si>
    <t>Criterio 10. Consulta detalle transacción no monetaria esquema de firmas</t>
  </si>
  <si>
    <r>
      <rPr>
        <rFont val="Fira Sans Extra Condensed"/>
        <color theme="1"/>
      </rPr>
      <t xml:space="preserve">Al ingresar al detalle de esquema de firmas debe mostrar los siguientes campos:
</t>
    </r>
    <r>
      <rPr>
        <rFont val="Fira Sans Extra Condensed"/>
        <b/>
        <color theme="1"/>
      </rPr>
      <t xml:space="preserve">Pantalla:
Título: </t>
    </r>
    <r>
      <rPr>
        <rFont val="Fira Sans Extra Condensed"/>
        <color theme="1"/>
      </rPr>
      <t xml:space="preserve"> Detalle creación esquema de firmas.
</t>
    </r>
    <r>
      <rPr>
        <rFont val="Fira Sans Extra Condensed"/>
        <b/>
        <color theme="1"/>
      </rPr>
      <t xml:space="preserve">Títulos filas:
Fecha y hora creación: </t>
    </r>
    <r>
      <rPr>
        <rFont val="Fira Sans Extra Condensed"/>
        <color theme="1"/>
      </rPr>
      <t xml:space="preserve">Se debe mostrar la fecha y hora en la que el usuario creó la novedad.
</t>
    </r>
    <r>
      <rPr>
        <rFont val="Fira Sans Extra Condensed"/>
        <b/>
        <color theme="1"/>
      </rPr>
      <t>Estado:</t>
    </r>
    <r>
      <rPr>
        <rFont val="Fira Sans Extra Condensed"/>
        <color theme="1"/>
      </rPr>
      <t xml:space="preserve"> Se debe mostrar el estado “Pendiente de Autorización”
</t>
    </r>
    <r>
      <rPr>
        <rFont val="Fira Sans Extra Condensed"/>
        <b/>
        <color theme="1"/>
      </rPr>
      <t xml:space="preserve">Nombre del esquema: </t>
    </r>
    <r>
      <rPr>
        <rFont val="Fira Sans Extra Condensed"/>
        <color theme="1"/>
      </rPr>
      <t>Se muestra el nombre seleccionado por el usuario preparador de la novedad.</t>
    </r>
    <r>
      <rPr>
        <rFont val="Fira Sans Extra Condensed"/>
        <b/>
        <color theme="1"/>
      </rPr>
      <t xml:space="preserve">
Funcionalidad:</t>
    </r>
    <r>
      <rPr>
        <rFont val="Fira Sans Extra Condensed"/>
        <color theme="1"/>
      </rPr>
      <t xml:space="preserve"> Aquí se debe mostrar las funcionalidades transaccionales del grupo regional, teniendo en cuenta que el MVP únicamente tiene la funcionalidad de “transferencias regionales” se mostrará las opciones que fueron seleccionadas en el paso anterior: 
   - A cuentas propias 
   - A terceros
   - Destinos autorizados
</t>
    </r>
    <r>
      <rPr>
        <rFont val="Fira Sans Extra Condensed"/>
        <b/>
        <color theme="1"/>
      </rPr>
      <t xml:space="preserve">
Grupo de Productos: </t>
    </r>
    <r>
      <rPr>
        <rFont val="Fira Sans Extra Condensed"/>
        <color theme="1"/>
      </rPr>
      <t xml:space="preserve">Se debe mostrar el nombre de los grupos de productos seleccionados por el usuario preparador de la novedad.. 
</t>
    </r>
    <r>
      <rPr>
        <rFont val="Fira Sans Extra Condensed"/>
        <b/>
        <color theme="1"/>
      </rPr>
      <t xml:space="preserve">Niveles de Aprobación: </t>
    </r>
    <r>
      <rPr>
        <rFont val="Fira Sans Extra Condensed"/>
        <color theme="1"/>
      </rPr>
      <t xml:space="preserve">Se debe mostrar en pantalla únicamente las opciones que asignó el usuario preparador de la novedad, mostrando la información por nivel así: 
     - Nombre nivel: ejemplo primer nivel, segundo nivel.
     - Autorizadores: Nombre completo de los usuarios que lo conforman.
     - Autorizadores requeridos: Número seleccionado para el nivel en el paso anterior. 
</t>
    </r>
    <r>
      <rPr>
        <rFont val="Fira Sans Extra Condensed"/>
        <b/>
        <color theme="1"/>
      </rPr>
      <t>Preparador:</t>
    </r>
    <r>
      <rPr>
        <rFont val="Fira Sans Extra Condensed"/>
        <color theme="1"/>
      </rPr>
      <t xml:space="preserve"> Debe mostrar el nombre del usuario administrador  que creó la novedad.</t>
    </r>
  </si>
  <si>
    <t>Ingreso al detalle de esquema de firmas correctamente.</t>
  </si>
  <si>
    <t>Criterio 10. Consulta detalle transacción no monetaria</t>
  </si>
  <si>
    <t>Cuando el usuario ingrese al detalle de una gestión pendiente, al final del detalle debe mostrar 2 botones de 'Autorizar' y 'Rechazar'</t>
  </si>
  <si>
    <t>- Los botones autorizar y rechazar deben mostrarse al ingresar a todos los detalles de las operaciones no monetarias</t>
  </si>
  <si>
    <t>Visualización de los botónes 'Autorizar' y 'Rechazar'</t>
  </si>
  <si>
    <t>Autorizaciones no monetarias</t>
  </si>
  <si>
    <t>Autorización de transacciones no monetarias de forma individual</t>
  </si>
  <si>
    <t>Usuario autorizante ingrese al Resumen/Detalle de la operación, teniendo en cuenta lo anterior no debe  presentar una pantalla de confirmación, al dar clic en “Autorizar” el canal debe presentar modal “Está seguro se autorizar la operación” con la oficio de “Autorizar” y “Cancelar” .</t>
  </si>
  <si>
    <t>- Visualización de pregunta de confirmación</t>
  </si>
  <si>
    <t>Autorización de transacciones no monetarias de forma individual ingresando al detalle</t>
  </si>
  <si>
    <t xml:space="preserve">Usuario administrador o autorizante realice la autorizaicón desde el detalle de la gestión, si le da clic en autorizar debe ejecutar el procesamiento de la operación y mostrará en la siguiente pantalla el resultado del proceso de acuerdo al esquema de firma definido
</t>
  </si>
  <si>
    <t>- Esquema de firma simple</t>
  </si>
  <si>
    <t>Gestión procesada con éxito</t>
  </si>
  <si>
    <t>- Esquema de firma dual</t>
  </si>
  <si>
    <t>Gestión quedará con estado pendiente de autorización.</t>
  </si>
  <si>
    <t>Autorización de transacciones no monetarias de forma individual opción múltiple</t>
  </si>
  <si>
    <t>Usuario seleccione 1 gestión pendiente por autorizar desde la consulta general</t>
  </si>
  <si>
    <t>Autorización de transacciones no monetarias de forma múltiple</t>
  </si>
  <si>
    <t>Usuario seleccione más de 1 gestión pendiente por autorizar desde la consulta general</t>
  </si>
  <si>
    <t>Procesamiento de resultado de transacciones no monetarias</t>
  </si>
  <si>
    <t>Visualización del resultado de la transacción no monetaria desde la consulta general</t>
  </si>
  <si>
    <r>
      <rPr>
        <rFont val="Fira Sans Extra Condensed"/>
        <color theme="1"/>
      </rPr>
      <t xml:space="preserve">Una vez el usuario esté seguro de autorizar alguna novedad, y tenga seleccionado al menos un proceso desde el checkbox y de clic al botón de “autorizar” el canal debe mostrar un resumen de la información seleccionada así:
</t>
    </r>
    <r>
      <rPr>
        <rFont val="Fira Sans Extra Condensed"/>
        <b/>
        <color theme="1"/>
      </rPr>
      <t xml:space="preserve">Pantalla:
Titulo: </t>
    </r>
    <r>
      <rPr>
        <rFont val="Fira Sans Extra Condensed"/>
        <color theme="1"/>
      </rPr>
      <t xml:space="preserve">Autorización de transacciones:
</t>
    </r>
    <r>
      <rPr>
        <rFont val="Fira Sans Extra Condensed"/>
        <b/>
        <color theme="1"/>
      </rPr>
      <t>Texto:</t>
    </r>
    <r>
      <rPr>
        <rFont val="Fira Sans Extra Condensed"/>
        <color theme="1"/>
      </rPr>
      <t xml:space="preserve"> Confirmación 
Seguido del resumen de acuerdo a la cantidad de datos seleccionados así:
</t>
    </r>
    <r>
      <rPr>
        <rFont val="Fira Sans Extra Condensed"/>
        <b/>
        <color theme="1"/>
      </rPr>
      <t xml:space="preserve">País origen: </t>
    </r>
    <r>
      <rPr>
        <rFont val="Fira Sans Extra Condensed"/>
        <color theme="1"/>
      </rPr>
      <t xml:space="preserve">Se debe mostrar la información de los países origen de acuerdo a la selección de procesos.
</t>
    </r>
    <r>
      <rPr>
        <rFont val="Fira Sans Extra Condensed"/>
        <b/>
        <color theme="1"/>
      </rPr>
      <t xml:space="preserve">Empresas: </t>
    </r>
    <r>
      <rPr>
        <rFont val="Fira Sans Extra Condensed"/>
        <color theme="1"/>
      </rPr>
      <t xml:space="preserve">El canal debe mostrar el número total de las empresas involucradas en el proceso.
</t>
    </r>
    <r>
      <rPr>
        <rFont val="Fira Sans Extra Condensed"/>
        <b/>
        <color theme="1"/>
      </rPr>
      <t xml:space="preserve">tipo Operación: </t>
    </r>
    <r>
      <rPr>
        <rFont val="Fira Sans Extra Condensed"/>
        <color theme="1"/>
      </rPr>
      <t xml:space="preserve">Se debe mostrar la naturaleza de la operación así:
- Destinos Autorizados
- Grupos de Productos
- Roles / Usuarios
- Esquema de Firmas
</t>
    </r>
    <r>
      <rPr>
        <rFont val="Fira Sans Extra Condensed"/>
        <b/>
        <color theme="1"/>
      </rPr>
      <t xml:space="preserve">
Número de registros:</t>
    </r>
    <r>
      <rPr>
        <rFont val="Fira Sans Extra Condensed"/>
        <color theme="1"/>
      </rPr>
      <t xml:space="preserve"> Se debe mostrar la cantidad de operaciones que se encuentran en el proceso.</t>
    </r>
  </si>
  <si>
    <t>Visualización del resultado de la transacción de acuerdo al tipo de gestión autorizada</t>
  </si>
  <si>
    <r>
      <rPr>
        <rFont val="Fira Sans Extra Condensed"/>
        <b/>
        <color theme="1"/>
      </rPr>
      <t>Titulos de resultados: 
Origen:</t>
    </r>
    <r>
      <rPr>
        <rFont val="Fira Sans Extra Condensed"/>
        <color theme="1"/>
      </rPr>
      <t xml:space="preserve"> El canal debe mostrar el número de la cuenta origen enmascarada desde la cual salen los recursos.
</t>
    </r>
    <r>
      <rPr>
        <rFont val="Fira Sans Extra Condensed"/>
        <b/>
        <color theme="1"/>
      </rPr>
      <t>Tipo de Transacción:</t>
    </r>
    <r>
      <rPr>
        <rFont val="Fira Sans Extra Condensed"/>
        <color theme="1"/>
      </rPr>
      <t xml:space="preserve"> El canal debe mostrar por registro la naturaleza de la operación (destinos autorizados, grupo de productos, roles, esquema de firmas)
</t>
    </r>
    <r>
      <rPr>
        <rFont val="Fira Sans Extra Condensed"/>
        <b/>
        <color theme="1"/>
      </rPr>
      <t xml:space="preserve">Preparador: </t>
    </r>
    <r>
      <rPr>
        <rFont val="Fira Sans Extra Condensed"/>
        <color theme="1"/>
      </rPr>
      <t xml:space="preserve">Se debe mostrar en pantalla el nombre del usuario preparador de la operación. 
</t>
    </r>
    <r>
      <rPr>
        <rFont val="Fira Sans Extra Condensed"/>
        <b/>
        <color theme="1"/>
      </rPr>
      <t>Rol:</t>
    </r>
    <r>
      <rPr>
        <rFont val="Fira Sans Extra Condensed"/>
        <color theme="1"/>
      </rPr>
      <t xml:space="preserve"> Se debe mostrar el rol del usuario que crea la solicitud.
</t>
    </r>
    <r>
      <rPr>
        <rFont val="Fira Sans Extra Condensed"/>
        <b/>
        <color theme="1"/>
      </rPr>
      <t xml:space="preserve">Elemento Quick Action: </t>
    </r>
    <r>
      <rPr>
        <rFont val="Fira Sans Extra Condensed"/>
        <color theme="1"/>
      </rPr>
      <t xml:space="preserve">debe permitir realizar las siguientes opciones:
                                       - Eliminar registro.
                                       - Ver detalle, una vez se clic debe mostrar el resumen y detalle de la operación.
</t>
    </r>
    <r>
      <rPr>
        <rFont val="Fira Sans Extra Condensed"/>
        <b/>
        <color theme="1"/>
      </rPr>
      <t>Opciones de Pantalla:
Regresar:</t>
    </r>
    <r>
      <rPr>
        <rFont val="Fira Sans Extra Condensed"/>
        <color theme="1"/>
      </rPr>
      <t xml:space="preserve"> Una vez de clic lleva al usuario a la pantalla anterior.
</t>
    </r>
    <r>
      <rPr>
        <rFont val="Fira Sans Extra Condensed"/>
        <b/>
        <color theme="1"/>
      </rPr>
      <t xml:space="preserve">Autorizar: </t>
    </r>
    <r>
      <rPr>
        <rFont val="Fira Sans Extra Condensed"/>
        <color theme="1"/>
      </rPr>
      <t xml:space="preserve">Una vez se de clic a esta opción el canal deberá actualizar la pantalla dependiendo si finaliza o no el flujo requerido. </t>
    </r>
  </si>
  <si>
    <t>Autorización de transacciones no monetarias con esquema administrativo DUAL</t>
  </si>
  <si>
    <t>Permitir al usuario autorizar transacciones con esquema de firma administrativo DUAL y esquema de firma monetario simple, las gestiones monetarias no requerirán de la segunda autorización y se mantendrán con 1 firma pendiente de autorizar.</t>
  </si>
  <si>
    <t>- Primer usuario autorizante admistrativo.
- Primer usuario autorizante administrativo también debe pertenecer al esquema de firmas monetario.
- Esquema de firmas monetario 1 nivel</t>
  </si>
  <si>
    <t>- La gestión administrativa debe quedar con estado pendiente de autorización.</t>
  </si>
  <si>
    <t>Transacción quedará con estado: 'En ejecución'</t>
  </si>
  <si>
    <t>la operación no debe ser creada y quedará registrada dentro de la base de datos como fallida y también en el histórico de transacciones del cliente con el motivo de rechazo.</t>
  </si>
  <si>
    <t>Mostrar mensaje al cliente indicando que la transacción supera el límite monetario y quedará con estado 'Rechazado'</t>
  </si>
  <si>
    <r>
      <rPr>
        <rFont val="Fira Sans Extra Condensed"/>
        <color theme="1"/>
      </rPr>
      <t xml:space="preserve">Si la transacción no finaliza con está autorización de acuerdo al esquema de firma definido  el canal debe informar “ Autorización exitosa, la solicitud fue enviada para autorización de acuerdo al esquema de firma definido.” posterior debe mostrar:
</t>
    </r>
    <r>
      <rPr>
        <rFont val="Fira Sans Extra Condensed"/>
        <b/>
        <color theme="1"/>
      </rPr>
      <t>Estado: Será “Pendiente autorización”</t>
    </r>
    <r>
      <rPr>
        <rFont val="Fira Sans Extra Condensed"/>
        <color theme="1"/>
      </rPr>
      <t xml:space="preserve">
</t>
    </r>
    <r>
      <rPr>
        <rFont val="Fira Sans Extra Condensed"/>
        <b/>
        <color theme="1"/>
      </rPr>
      <t>Número de transacción:</t>
    </r>
    <r>
      <rPr>
        <rFont val="Fira Sans Extra Condensed"/>
        <color theme="1"/>
      </rPr>
      <t xml:space="preserve"> debe mostrar el número único de identificación por registro.
Posterior resumen de la información ingresada como en el paso de resumen de manera no editable. adicional esta pantalla debe tener los siguientes accionables:
</t>
    </r>
    <r>
      <rPr>
        <rFont val="Fira Sans Extra Condensed"/>
        <b/>
        <color theme="1"/>
      </rPr>
      <t xml:space="preserve">Finalizar: </t>
    </r>
    <r>
      <rPr>
        <rFont val="Fira Sans Extra Condensed"/>
        <color theme="1"/>
      </rPr>
      <t xml:space="preserve">Al dar clic actualiza la pantalla y lo redirecciona a la consulta de procesos pendientes de Autorización. </t>
    </r>
  </si>
  <si>
    <r>
      <rPr>
        <rFont val="Fira Sans Extra Condensed"/>
        <color theme="1"/>
      </rPr>
      <t xml:space="preserve">Si el esquema de firma finaliza con la autorización del usuario, se actualiza la pantalla y el canal debe informar el estado así: 
</t>
    </r>
    <r>
      <rPr>
        <rFont val="Fira Sans Extra Condensed"/>
        <b/>
        <color theme="1"/>
      </rPr>
      <t xml:space="preserve">Estados: </t>
    </r>
    <r>
      <rPr>
        <rFont val="Fira Sans Extra Condensed"/>
        <color theme="1"/>
      </rPr>
      <t xml:space="preserve">
- si la totalidad de registros de ejecutan exitosamente debe mostrar estado: </t>
    </r>
    <r>
      <rPr>
        <rFont val="Fira Sans Extra Condensed"/>
        <b/>
        <color theme="1"/>
      </rPr>
      <t xml:space="preserve"> “Procesado” , </t>
    </r>
    <r>
      <rPr>
        <rFont val="Fira Sans Extra Condensed"/>
        <color theme="1"/>
      </rPr>
      <t xml:space="preserve">
- si la totalidad de registros fue rechazado debe mostrar el el Texto “</t>
    </r>
    <r>
      <rPr>
        <rFont val="Fira Sans Extra Condensed"/>
        <b/>
        <color theme="1"/>
      </rPr>
      <t>Rechazado</t>
    </r>
    <r>
      <rPr>
        <rFont val="Fira Sans Extra Condensed"/>
        <color theme="1"/>
      </rPr>
      <t>” seguida de las causales de acuerdo al catálogo de errores</t>
    </r>
  </si>
  <si>
    <t>Mostrar mensaje de resultado en pantalla de acuerdo al estado 'Procesado' o 'Rechazado'</t>
  </si>
  <si>
    <r>
      <rPr>
        <rFont val="Fira Sans Extra Condensed"/>
        <color theme="1"/>
      </rPr>
      <t xml:space="preserve">- Si algunos registros fueron ejecutados y otros rechazados debe mostrar estado “procesado parcial” Así:
</t>
    </r>
    <r>
      <rPr>
        <rFont val="Fira Sans Extra Condensed"/>
        <b/>
        <color theme="1"/>
      </rPr>
      <t xml:space="preserve">Resultado:
Fecha y hora: </t>
    </r>
    <r>
      <rPr>
        <rFont val="Fira Sans Extra Condensed"/>
        <color theme="1"/>
      </rPr>
      <t xml:space="preserve">Se debe mostrar la fecha y hora de la actualización. 
</t>
    </r>
    <r>
      <rPr>
        <rFont val="Fira Sans Extra Condensed"/>
        <b/>
        <color theme="1"/>
      </rPr>
      <t>Número de operaciones:
Usuario Autorizador:
Monto total:
Estado general de la operación/lote:</t>
    </r>
  </si>
  <si>
    <t>Campos en formato lectura</t>
  </si>
  <si>
    <t>Transacción con resultado exitosa y validación de campos en pantalla de resultado</t>
  </si>
  <si>
    <r>
      <rPr>
        <rFont val="Fira Sans Extra Condensed"/>
        <color theme="1"/>
      </rPr>
      <t xml:space="preserve">Mostrará en la pantalla de resultado los siguientes campos:
</t>
    </r>
    <r>
      <rPr>
        <rFont val="Fira Sans Extra Condensed"/>
        <b/>
        <color theme="1"/>
      </rPr>
      <t xml:space="preserve">Tipo de operación
Cuenta origen
Monto de operación
Número de proceso
Estado de operación </t>
    </r>
    <r>
      <rPr>
        <rFont val="Fira Sans Extra Condensed"/>
        <color theme="1"/>
      </rPr>
      <t>(Si es rechazada mostrar la causal del rechazo)</t>
    </r>
  </si>
  <si>
    <r>
      <rPr>
        <rFont val="Fira Sans Extra Condensed"/>
        <b/>
        <color theme="1"/>
      </rPr>
      <t>Número de transacción:</t>
    </r>
    <r>
      <rPr>
        <rFont val="Fira Sans Extra Condensed"/>
        <color theme="1"/>
      </rPr>
      <t xml:space="preserve"> debe mostrar el número único de identificación.
</t>
    </r>
    <r>
      <rPr>
        <rFont val="Fira Sans Extra Condensed"/>
        <b/>
        <color theme="1"/>
      </rPr>
      <t>Programada:</t>
    </r>
    <r>
      <rPr>
        <rFont val="Fira Sans Extra Condensed"/>
        <color theme="1"/>
      </rPr>
      <t xml:space="preserve"> si la operación fue programada en una fecha futura debe mostrar la fecha y hora de la programación de acuerdo a la información ingresada. 
posterior debe mostrar un resumen general del proceso cómo en el punto 2, adicional el canal debe tener  una opción que le permita visualizar el estado por cada uno de los registros  con la información básica de cada uno. Adicional debe tener los siguientes elementos.
</t>
    </r>
    <r>
      <rPr>
        <rFont val="Fira Sans Extra Condensed"/>
        <b/>
        <color theme="1"/>
      </rPr>
      <t xml:space="preserve">Finalizar: </t>
    </r>
    <r>
      <rPr>
        <rFont val="Fira Sans Extra Condensed"/>
        <color theme="1"/>
      </rPr>
      <t xml:space="preserve">Al dar clic actualiza la pantalla y lo redirecciona a la consulta del módulos de Autorizaciones.
Comprobante: Una vez finalizada la transacción debe mostrar el resumen de la misma y un elemento que haga referencia a que el usuario puede realizar descarga del comprobante de la operación en formato PDF y/o Excel si así lo requiere. </t>
    </r>
  </si>
  <si>
    <t>Rechazo de transacciones monetarias y no monetarias</t>
  </si>
  <si>
    <t>Rechazo de transacciones monetarias y no monetarias desde la consulta general. Permitir al usuario que tenga el rol y esté dentro de un esquema de firmas de acuerdo a las funcionalidades y grupos de productos asignados realizar la declinación de una novedad.</t>
  </si>
  <si>
    <t>El usuario debe contar con un elemento que le permita “Rechazar” una operación o novedad desde la consulta general y debe permitir ingresar opcionalmente el detalle de la causal del rechazo</t>
  </si>
  <si>
    <t>- Campo motivo de rechazo es libre y opcional donde con longitud de hasta 50 caracteres. La información que el usuario ingresa en este punto queda almacenada cuando el usuario realice la consulta de la novedad</t>
  </si>
  <si>
    <t>Rechazo de transacción exitosa</t>
  </si>
  <si>
    <t>Rechazo de transacciones monetarias y no monetarias desde el detalle de la transacción. Permitir al usuario que tenga el rol y esté dentro de un esquema de firmas de acuerdo a las funcionalidades y grupos de productos asignados realizar la declinación de una novedad.</t>
  </si>
  <si>
    <t>El usuario debe contar con un elemento desde el detalle de la transacción que le permita “Rechazar” una operación o novedad y debe permitir ingresar opcionalmente el detalle de la causal del rechazo</t>
  </si>
  <si>
    <t>Rechazo de transacciones desde el detalle o consulta general de la transacción</t>
  </si>
  <si>
    <r>
      <rPr>
        <rFont val="Fira Sans Extra Condensed"/>
        <color theme="1"/>
      </rPr>
      <t>Usuario rechace  una transacción y deje vacío el campo motivo de rechazo esta quedará con el motivo:</t>
    </r>
    <r>
      <rPr>
        <rFont val="Fira Sans Extra Condensed"/>
        <b/>
        <color theme="1"/>
      </rPr>
      <t xml:space="preserve"> “solicitud fue declinada por el usuario autorizador”</t>
    </r>
    <r>
      <rPr>
        <rFont val="Fira Sans Extra Condensed"/>
        <color theme="1"/>
      </rPr>
      <t xml:space="preserve"> con una longitud no superior a los 70 caracteres y este campo debe mostrarse en historico de transacciones y debe viajar en la consulta del reporte monetario.
</t>
    </r>
  </si>
  <si>
    <t>Cuando el usuario realice el rechazo de la transacción le mostrará 2 botones:
- Regresar: Si realiza clic, lo redirigirá al paso anterior
- Continuar:Si hace clic, lo llevará a la pantalla de resultado</t>
  </si>
  <si>
    <t>Visualización y validación de botones 'Regresar' y 'COnfirmar'</t>
  </si>
  <si>
    <t>Notificación por autorización o rechazo de transacciones</t>
  </si>
  <si>
    <t>El usuario deberá recibir una notificación por cada gestión autorizada o rechazada</t>
  </si>
  <si>
    <t>- Usuario debe tener activo el envío de notificaciones</t>
  </si>
  <si>
    <t>Recepción de notificaciones de forma exitosa</t>
  </si>
  <si>
    <t>- Usuario no tiene activas el envío de notificaciones</t>
  </si>
  <si>
    <t>Usuarios pertenecientes al esquema de firmas no recibirán la notificación con el estadod e la transacción</t>
  </si>
  <si>
    <t>Resguardo de logs de auditoría</t>
  </si>
  <si>
    <t>Usuario BO debe tener acceso a la consulta de logs de auditoría</t>
  </si>
  <si>
    <t>Usuario BO podrá acceder a la consulta de logs de acuerdo al flujo ejecutado por los usuarios</t>
  </si>
  <si>
    <t>Cuando el usuario BO realice la consulta de logs, deberá mostrar resultados de acuerdo al flujo ejecutado por el usuario.</t>
  </si>
  <si>
    <t>Consulta exitosa de los logs de auditoría</t>
  </si>
  <si>
    <t xml:space="preserve">Actualización de las notificaciones </t>
  </si>
  <si>
    <t>Autorizar de transacciones se debe actualizar el número de gestiones pendientes</t>
  </si>
  <si>
    <t>cuando el usuario autorice o rechace una gestión el ícono de notificaciones deberá actualizarse</t>
  </si>
  <si>
    <t>Actualización del ícono de gestiones correctamente</t>
  </si>
  <si>
    <t>Autorización de gestiones en idioma inglés</t>
  </si>
  <si>
    <t>Usuario autorizante deberá ingresar al portal en idioma inglés</t>
  </si>
  <si>
    <t>Usuarios administradores y autorizadores realicen autorizaciones o rechazos de gestiones en idioma inglés</t>
  </si>
  <si>
    <t>Ejecución de autorizaciones de gestiones pendientes en idioma inglés, validar que todos los campos se muestren traducidos</t>
  </si>
  <si>
    <t>Autorización exitosa</t>
  </si>
  <si>
    <t>Buzón Notificaciones</t>
  </si>
  <si>
    <t>Características Buzón  Notificaciones</t>
  </si>
  <si>
    <t>Ingresar al modulo con usuario autorizante y seleccionar todas las empresas</t>
  </si>
  <si>
    <t xml:space="preserve">Al ingresar al modulo regional a Todos los usuarios con acceso al canal, en la parte derecha superior se deben de visualizar un icono fijo que haga referencia a un “buzón” o “sobre” </t>
  </si>
  <si>
    <t>El usuario debe de validar que el icono este habilitado y al dar clic en el buzon permita acceder</t>
  </si>
  <si>
    <t>En caso que se presente una notificación nueva o no leída debe tener un elemento en el icono que haga referencia a que tiene una notificación nueva o una notificación no leída</t>
  </si>
  <si>
    <t xml:space="preserve">Que el icono se debe de visulaizar con exito al ingresar al canal </t>
  </si>
  <si>
    <t>El usuario debe de descargar un estado de cuenta para extenso para validar que se reciba la notificacion de forma inmediata</t>
  </si>
  <si>
    <t>Validar que se actualice el icono del buzon informando que existe una nueva notificación</t>
  </si>
  <si>
    <t xml:space="preserve">Que la notificaion se reciba en el buzon con exito </t>
  </si>
  <si>
    <t>Ingresar al modulo con usuario operador y seleccionar todas las empresas</t>
  </si>
  <si>
    <t xml:space="preserve">Al solicitar una novedad, se debe de  actualizar el icono informando al usuario que existe una nueva notificación </t>
  </si>
  <si>
    <t>El usuario debe validar que le permita visualizar y abrir la notificacion a la vez el estado quede como “leído”.</t>
  </si>
  <si>
    <t>La notificacion se debe de marcar como leida con exito</t>
  </si>
  <si>
    <t>Ingresar al modulo con usuario consultor y seleccionar todas las empresas</t>
  </si>
  <si>
    <r>
      <rPr>
        <rFont val="Fira Sans Extra Condensed"/>
        <color theme="1"/>
      </rPr>
      <t xml:space="preserve">El usuario debe de validar que al eliminar una notificacion se muestre de la siguiente manera:
</t>
    </r>
    <r>
      <rPr>
        <rFont val="Fira Sans Extra Condensed"/>
        <b/>
        <color theme="1"/>
      </rPr>
      <t xml:space="preserve">- Se debe de mostrar una opcion similar a cuando se elimina un correo 
- Se debe de mostrar una notificación en la parte inferior de la pantalla por 5 segundos 
- Se debe de mostrar Notificación Eliminada “Deshacer” 
- Si el usuario da clic en “deshacer” se anula de inmediato la novedad de eliminación.  </t>
    </r>
  </si>
  <si>
    <t>El canal debe de permitir eliminar una notificacion</t>
  </si>
  <si>
    <t>Se debe mostrar las opciones y mensajes exitosamente</t>
  </si>
  <si>
    <t>Al eliminar notificaciones, estas no debe de aparecer en la lista de notificaciones posteriormente.</t>
  </si>
  <si>
    <t xml:space="preserve">El usuario debe de eliminar 2  0 3 notificaciones </t>
  </si>
  <si>
    <t>Debe de permitir realizar la eliminacion exitosamente</t>
  </si>
  <si>
    <t>Ingresar al modulo con usuario autorizador y seleccionar todas las sociedades</t>
  </si>
  <si>
    <r>
      <rPr>
        <rFont val="Fira Sans Extra Condensed"/>
        <color theme="1"/>
      </rPr>
      <t xml:space="preserve">Validar que la lista se muestre respetando el orden cronologico
</t>
    </r>
    <r>
      <rPr>
        <rFont val="Fira Sans Extra Condensed"/>
        <b/>
        <color theme="1"/>
      </rPr>
      <t>- Se muestre el título y una breve descripción de cada una.
- Se debe mostrar 50 notificaciones por pantalla. posterior inicia la paginación similar a la de un correo electrónico
-  Se deben de mostrar las notificaciones de manera ordenada, en la parte superior de más recientes a las más antiguas, en orden de llegada  por Hora y/o Fecha según aplique.</t>
    </r>
  </si>
  <si>
    <t>AL ingresar al buzón de Notificaciones se debe de presentar una lista organizada de la más recientes en orden cronológico</t>
  </si>
  <si>
    <t>Se debe de mostrar el listado con exito</t>
  </si>
  <si>
    <t>Ingresar al modulo con usuario operador - Pais SV</t>
  </si>
  <si>
    <t>El canal debe de permitir filtrar las notificaciones por tipo y rango de fecha.</t>
  </si>
  <si>
    <r>
      <rPr>
        <rFont val="Fira Sans Extra Condensed"/>
        <color theme="1"/>
      </rPr>
      <t xml:space="preserve">Validar que el canal permita seleccionar las siguientes opciones 
</t>
    </r>
    <r>
      <rPr>
        <rFont val="Fira Sans Extra Condensed"/>
        <b/>
        <color theme="1"/>
      </rPr>
      <t>- Ingresar fecha específica
- Seleccionar un calendario donde se pueda escoger directamente el mes</t>
    </r>
  </si>
  <si>
    <t>Se mostraran  las notificaciones que existan en dicho tiempo</t>
  </si>
  <si>
    <t>Debe de permitir realizar el filtro con exito</t>
  </si>
  <si>
    <r>
      <rPr>
        <rFont val="Fira Sans Extra Condensed"/>
        <b/>
        <color theme="1"/>
      </rPr>
      <t>Compatibilidad</t>
    </r>
    <r>
      <rPr>
        <rFont val="Fira Sans Extra Condensed"/>
        <color theme="1"/>
      </rPr>
      <t xml:space="preserve"> - Características Buzón  Notificaciones</t>
    </r>
  </si>
  <si>
    <t>Ingresar al modulo regional con usuario operador desde un dispositivo movil con sistema operativo Android</t>
  </si>
  <si>
    <r>
      <rPr>
        <rFont val="Fira Sans Extra Condensed"/>
        <color theme="1"/>
      </rPr>
      <t xml:space="preserve">Que el usuario ingrese desde su dispositivo movil </t>
    </r>
    <r>
      <rPr>
        <rFont val="Fira Sans Extra Condensed"/>
        <b/>
        <color theme="1"/>
      </rPr>
      <t>Android</t>
    </r>
    <r>
      <rPr>
        <rFont val="Fira Sans Extra Condensed"/>
        <color theme="1"/>
      </rPr>
      <t xml:space="preserve"> y navegador </t>
    </r>
    <r>
      <rPr>
        <rFont val="Fira Sans Extra Condensed"/>
        <b/>
        <color theme="1"/>
      </rPr>
      <t xml:space="preserve">google chrome, </t>
    </r>
    <r>
      <rPr>
        <rFont val="Fira Sans Extra Condensed"/>
        <color theme="1"/>
      </rPr>
      <t xml:space="preserve">y utilice la versión </t>
    </r>
    <r>
      <rPr>
        <rFont val="Fira Sans Extra Condensed"/>
        <b/>
        <color theme="1"/>
      </rPr>
      <t>responsive</t>
    </r>
    <r>
      <rPr>
        <rFont val="Fira Sans Extra Condensed"/>
        <color theme="1"/>
      </rPr>
      <t xml:space="preserve"> </t>
    </r>
  </si>
  <si>
    <t xml:space="preserve"> Validar que la funcionalidad del Buzón de Notificaciones sea compatible con dispositivos móviles y debe de adaptarse de manera responsiva a diferentes tamaños de pantalla.</t>
  </si>
  <si>
    <t>Debe de permitir ver las notificaciones desde un dispositivo movil con exito</t>
  </si>
  <si>
    <r>
      <rPr>
        <rFont val="Fira Sans Extra Condensed"/>
        <b/>
        <color theme="1"/>
      </rPr>
      <t>Compatibilidad</t>
    </r>
    <r>
      <rPr>
        <rFont val="Fira Sans Extra Condensed"/>
        <color theme="1"/>
      </rPr>
      <t xml:space="preserve"> - Características Buzón  Notificaciones</t>
    </r>
  </si>
  <si>
    <t>Ingresar al modulo regional y usuario con aprobacion directa, desde un dispositivo movil con sistema operativo iOS</t>
  </si>
  <si>
    <r>
      <rPr>
        <rFont val="Fira Sans Extra Condensed"/>
        <color theme="1"/>
      </rPr>
      <t xml:space="preserve">Que el usuario ingrese desde su dispositivo movil </t>
    </r>
    <r>
      <rPr>
        <rFont val="Fira Sans Extra Condensed"/>
        <b/>
        <color theme="1"/>
      </rPr>
      <t>IOS</t>
    </r>
    <r>
      <rPr>
        <rFont val="Fira Sans Extra Condensed"/>
        <color theme="1"/>
      </rPr>
      <t xml:space="preserve"> y navegador </t>
    </r>
    <r>
      <rPr>
        <rFont val="Fira Sans Extra Condensed"/>
        <b/>
        <color theme="1"/>
      </rPr>
      <t xml:space="preserve">google chrome, </t>
    </r>
    <r>
      <rPr>
        <rFont val="Fira Sans Extra Condensed"/>
        <color theme="1"/>
      </rPr>
      <t xml:space="preserve">y utilice la versión </t>
    </r>
    <r>
      <rPr>
        <rFont val="Fira Sans Extra Condensed"/>
        <b/>
        <color theme="1"/>
      </rPr>
      <t>responsive</t>
    </r>
    <r>
      <rPr>
        <rFont val="Fira Sans Extra Condensed"/>
        <color theme="1"/>
      </rPr>
      <t xml:space="preserve"> </t>
    </r>
  </si>
  <si>
    <r>
      <rPr>
        <rFont val="Fira Sans Extra Condensed"/>
        <b/>
        <color theme="1"/>
      </rPr>
      <t>Compatibilidad</t>
    </r>
    <r>
      <rPr>
        <rFont val="Fira Sans Extra Condensed"/>
        <color theme="1"/>
      </rPr>
      <t xml:space="preserve"> - Características Buzón  Notificaciones</t>
    </r>
  </si>
  <si>
    <t>Ingresar al modulo regional con usuario autorizante, desde un dispositivo movil con sistema operativo iOS</t>
  </si>
  <si>
    <r>
      <rPr>
        <rFont val="Fira Sans Extra Condensed"/>
        <color theme="1"/>
      </rPr>
      <t xml:space="preserve">Que el usuario ingrese desde su dispositivo movil </t>
    </r>
    <r>
      <rPr>
        <rFont val="Fira Sans Extra Condensed"/>
        <b/>
        <color theme="1"/>
      </rPr>
      <t xml:space="preserve">IOS </t>
    </r>
    <r>
      <rPr>
        <rFont val="Fira Sans Extra Condensed"/>
        <color theme="1"/>
      </rPr>
      <t xml:space="preserve">y navegador </t>
    </r>
    <r>
      <rPr>
        <rFont val="Fira Sans Extra Condensed"/>
        <b/>
        <color theme="1"/>
      </rPr>
      <t>zafari</t>
    </r>
    <r>
      <rPr>
        <rFont val="Fira Sans Extra Condensed"/>
        <color theme="1"/>
      </rPr>
      <t xml:space="preserve">, </t>
    </r>
  </si>
  <si>
    <t>Ingresar al modulo con usuario autorizador y seleccionar todas las sociiedades</t>
  </si>
  <si>
    <t>Al acceder al canal se debe de validar que en el buzon de notificaciones  se muetre de manera numérica</t>
  </si>
  <si>
    <t>Validar que se muestre la cantidad de notificaiones de manera numerica</t>
  </si>
  <si>
    <t>La cantidad de notificaciones se muestre con exito</t>
  </si>
  <si>
    <t>El buzón debe tener un boton que permita eliminar las notificaciones ya sea de manera individual y masiva</t>
  </si>
  <si>
    <t>El usuario debe de seleccionar de 4 a 8 notificaciones para que sean eliminadas de forma masiva</t>
  </si>
  <si>
    <t>Las notificaciones se deben de eliminar exitosamente</t>
  </si>
  <si>
    <t>Notificación</t>
  </si>
  <si>
    <r>
      <rPr>
        <rFont val="Fira Sans Extra Condensed"/>
        <color theme="1"/>
      </rPr>
      <t xml:space="preserve">El usuario debe de validar que la estructura de las notificaciones se muestre de la siguiente manera:
</t>
    </r>
    <r>
      <rPr>
        <rFont val="Fira Sans Extra Condensed"/>
        <b/>
        <color theme="1"/>
      </rPr>
      <t>- Título: Notificaciones.
- Número de Notificaciones: Se debe mostrar el número de notificaciones no leídas en total.
- Elemento de “Cerrar”: Al dar clic debe cerrar la visualización de las últimas notificaciones. 
- Opción de “Marcar como leído”: Una vez el usuario de clic todas las notificaciones quedan marcadas como leídas. 
- Resultado: Se muestra en orden de la más reciente a la más antigua un resumen de la notificación recibida junto con la fecha y hora de recepción ejemplo: 
Aprobación monetaria pendiente,  Tiene una nueva solicitud de aprobación monetaria.   24/08/2022, 10:35 a.m.</t>
    </r>
  </si>
  <si>
    <t>Una vez el usuario de clic al icono de “Buzón” desde el Header del Canal debe mostrar en pantalla notificación de los últimos mensajes recibidos</t>
  </si>
  <si>
    <r>
      <rPr>
        <rFont val="Fira Sans Extra Condensed"/>
        <color theme="1"/>
      </rPr>
      <t xml:space="preserve">En el escenario que el usuario no tenga Notificaciones se debe de mostrar un mensaje : </t>
    </r>
    <r>
      <rPr>
        <rFont val="Fira Sans Extra Condensed"/>
        <b/>
        <color theme="1"/>
      </rPr>
      <t xml:space="preserve">Aún no hay notificaciones </t>
    </r>
    <r>
      <rPr>
        <rFont val="Fira Sans Extra Condensed"/>
        <color theme="1"/>
      </rPr>
      <t xml:space="preserve">
</t>
    </r>
  </si>
  <si>
    <t>Se deben de mostrar los ultimos mensajes con exito</t>
  </si>
  <si>
    <t>Elementos del buzón</t>
  </si>
  <si>
    <t>Ingresar al modulo con usuario consultor y seleccionar todas las sociiedades</t>
  </si>
  <si>
    <r>
      <rPr>
        <rFont val="Fira Sans Extra Condensed"/>
        <color theme="1"/>
      </rPr>
      <t xml:space="preserve">Al ingresar al buzon de notificaciones se debe mostrar la siguiente información en Pantalla: 
</t>
    </r>
    <r>
      <rPr>
        <rFont val="Fira Sans Extra Condensed"/>
        <b/>
        <color theme="1"/>
      </rPr>
      <t>- Título: Notificaciones.
- Número de Notificaciones: Se debe mostrar el número de notificaciones no leídas en total.
- Descripción: “El buzón guarda 999 notificaciones y permite consultar cada una hasta por 6 meses.”
- Notificación Empty  State: (estado vacio)  Título: Aún no hay notificaciones
- Descripción: Le notificaremos cada vez que se dé la creación de un grupo, descarga de un archivo, entre otras acciones del portal.</t>
    </r>
  </si>
  <si>
    <t>Una vez el usuario está dentro del Buzón el canal se debe de mostrar informacion en pantalla</t>
  </si>
  <si>
    <t>La informacion se muestre exitosamente</t>
  </si>
  <si>
    <t>Elementos del buzón - Filtros</t>
  </si>
  <si>
    <t>Ingresar al modulo con usuario operador - pais SV,HN,PA,CR</t>
  </si>
  <si>
    <t>Se debe de realizar un filtro para buscar una notificacion  en especifica</t>
  </si>
  <si>
    <t>El usuario debe de colocar un rango de fecha que desea visualizar el estado: ( Leído / No leído) una vez aplicado el filtro se debe actualizar la pantalla de resultado y mostrara las coincidencias encontradas</t>
  </si>
  <si>
    <t>El filtro debe de aplicarse con exito</t>
  </si>
  <si>
    <t>Elementos del buzón - Boton eliminar</t>
  </si>
  <si>
    <t>Ingresar al modulo con usuario consultor - pais SV,HN,PA,CR</t>
  </si>
  <si>
    <t xml:space="preserve">Al seleccionra al menos un ítem, debe de permitir eliminar uno o varios registros. </t>
  </si>
  <si>
    <t>El usuario debe de seleccionar un item y validar que el boton de eliminar se active 
- Checkbox: El usuario deberá seleccionar previamente si desea “eliminar” masivamente.</t>
  </si>
  <si>
    <t>Descarga - Buzón Notificaciones</t>
  </si>
  <si>
    <t>Ingresar al modulo con usuario autorizante - pais SV,HN,PA,CR</t>
  </si>
  <si>
    <r>
      <rPr>
        <rFont val="Fira Sans Extra Condensed"/>
        <color theme="1"/>
      </rPr>
      <t xml:space="preserve">Estructura: Al realizar una descarga se debe de mostar un mensaje 
- Descarga de [nombre doc] exitosa
 -Descarga  de [nombre doc] fallida
</t>
    </r>
    <r>
      <rPr>
        <rFont val="Fira Sans Extra Condensed"/>
        <b/>
        <color theme="1"/>
      </rPr>
      <t>Aprobación Estructura</t>
    </r>
    <r>
      <rPr>
        <rFont val="Fira Sans Extra Condensed"/>
        <color theme="1"/>
      </rPr>
      <t xml:space="preserve">: 
- Aprobación [tipo de aprobación] pendiente.
- Aprobación monetaria pendiente (ejemplo)
</t>
    </r>
    <r>
      <rPr>
        <rFont val="Fira Sans Extra Condensed"/>
        <b/>
        <color theme="1"/>
      </rPr>
      <t>Fecha Recepción y Hora: El canal debe mostrar la fecha y hora en la que el usuario recibe la novedad. DD/MM - HH:MM:SS</t>
    </r>
  </si>
  <si>
    <t>El usuario debe de realizar descargas para validar que se muestre el mensaje de acuerdo a lo seleccionado</t>
  </si>
  <si>
    <t>La descarga se realice con exito</t>
  </si>
  <si>
    <t>Novedades / Categorías a Notificar - Buzón Notificaciones</t>
  </si>
  <si>
    <r>
      <rPr>
        <rFont val="Fira Sans Extra Condensed"/>
        <b/>
        <color theme="1"/>
      </rPr>
      <t xml:space="preserve">Tipología Mensajes MVP:
</t>
    </r>
    <r>
      <rPr>
        <rFont val="Fira Sans Extra Condensed"/>
        <color theme="1"/>
      </rPr>
      <t>- Descarga de estado de cuenta exitoso
- Descarga de estado de cuenta fallido 
- Descarga movimientos por archivos exitoso
- Descarga movimientos por archivo fallido
- Descarga consulta consolidada de cuenta exitoso
- Descarga consulta consolidada de cuenta fallida 
- Aprobación Monetaria Pendiente 
- Aprobación Monetaria en Ejecución. 
- Aprobación No monetaria Pendiente (Destino Autorizado
- Aprobación Creación Grupo de Productos Pendiente
- Aprobación creación de Rol Pendiente
- Aprobación Esquema de firma Pendiente</t>
    </r>
  </si>
  <si>
    <t>Se debe de validar que en el mensaje de descarga se muestre el mensaje correcto de acuerdo a lo seleccionado</t>
  </si>
  <si>
    <t>El mensaje se debe de mostrar con exito de acuerdo a lo solicitado por el usuario</t>
  </si>
  <si>
    <t>Detalle de mensajería Buzón Notificaciones</t>
  </si>
  <si>
    <r>
      <rPr>
        <rFont val="Fira Sans Extra Condensed"/>
        <color theme="1"/>
      </rPr>
      <t xml:space="preserve">Para obtener mayor información de una notificación el usuario debe dar clic sobre el mensaje, una vez de clic la pantalla se debe actualizar permitiendo visualizar todo el mensaje y descargar el archivo en caso que aplique, las novedades a notificar, Se tedran varios escenarios : </t>
    </r>
    <r>
      <rPr>
        <rFont val="Fira Sans Extra Condensed"/>
        <b/>
        <color theme="1"/>
      </rPr>
      <t>Escenario 1: Descarga Exitoso y Escenario 2: Descarga Fallido. Escenario 3: Aprobación,  Escenario 4: En Ejecución, 
- Título: Descarga de estado de cuenta exitosa:</t>
    </r>
    <r>
      <rPr>
        <rFont val="Fira Sans Extra Condensed"/>
        <color theme="1"/>
      </rPr>
      <t xml:space="preserve"> 6 de oct, 22:33:43
</t>
    </r>
    <r>
      <rPr>
        <rFont val="Fira Sans Extra Condensed"/>
        <b/>
        <color theme="1"/>
      </rPr>
      <t xml:space="preserve">Descripción de notificación: 
</t>
    </r>
    <r>
      <rPr>
        <rFont val="Fira Sans Extra Condensed"/>
        <color theme="1"/>
      </rPr>
      <t>Adjunto encontrará el archivo en formato PDF para el periodo 2022 - 2023 solicitado. 
Si tiene alguna duda, comuníquese con el gerente de relación o ejecutivo asignado para aclarar sus dudas.</t>
    </r>
  </si>
  <si>
    <r>
      <rPr>
        <rFont val="Fira Sans Extra Condensed"/>
        <color theme="1"/>
      </rPr>
      <t xml:space="preserve">Validar que se muestren los siguientes escenarios 
</t>
    </r>
    <r>
      <rPr>
        <rFont val="Fira Sans Extra Condensed"/>
        <b/>
        <color theme="1"/>
      </rPr>
      <t>- Escenario 1: Descarga Exitoso 
- Escenario 2: Descarga Fallido
- Escenario 3: Aprobación
- Escenario 4: En Ejecución</t>
    </r>
  </si>
  <si>
    <t>Los escenarios se deben de mostrar con exito</t>
  </si>
  <si>
    <r>
      <rPr>
        <rFont val="Fira Sans Extra Condensed"/>
        <color theme="1"/>
      </rPr>
      <t xml:space="preserve">Para obtener mayor información de una notificación el usuario debe dar clic sobre el mensaje, una vez de clic la pantalla se debe actualizar permitiendo visualizar todo el mensaje y descargar el archivo en caso que aplique, las novedades a notificar, este tendra:: </t>
    </r>
    <r>
      <rPr>
        <rFont val="Fira Sans Extra Condensed"/>
        <b/>
        <color theme="1"/>
      </rPr>
      <t>Escenario 1: Descarga Exitoso</t>
    </r>
  </si>
  <si>
    <r>
      <rPr>
        <rFont val="Fira Sans Extra Condensed"/>
        <color theme="1"/>
      </rPr>
      <t xml:space="preserve">Al dar clic en detalle de descarga exitosa se debe de mostar el mensaje de acuerdo al siguiente ejemplo: 
</t>
    </r>
    <r>
      <rPr>
        <rFont val="Fira Sans Extra Condensed"/>
        <b/>
        <color theme="1"/>
      </rPr>
      <t>- Descarga exitosa (16 caracteres)
- Descriptivo: El estado de cuenta que solicitó ya está disponible. (52 caracteres)
- Descripción de notificación: Adjunto encontrará el archivo en formato PDF para el periodo 2022 - 2023 solicitado. Si tiene alguna duda, comuníquese con el gerente de relación o ejecutivo asignado para aclarar sus dudas.</t>
    </r>
  </si>
  <si>
    <t>Debe de pemritir ingresar al detalle de la descarga exitosa</t>
  </si>
  <si>
    <r>
      <rPr>
        <rFont val="Fira Sans Extra Condensed"/>
        <color theme="1"/>
      </rPr>
      <t xml:space="preserve">Para obtener mayor información de una notificación el usuario debe dar clic sobre el mensaje, una vez de clic la pantalla se debe actualizar permitiendo visualizar todo el mensaje y descargar el archivo en caso que aplique, las novedades a notificar, este tendra:: </t>
    </r>
    <r>
      <rPr>
        <rFont val="Fira Sans Extra Condensed"/>
        <b/>
        <color theme="1"/>
      </rPr>
      <t xml:space="preserve"> Escenario 2: Descarga Fallido</t>
    </r>
  </si>
  <si>
    <r>
      <rPr>
        <rFont val="Fira Sans Extra Condensed"/>
        <color theme="1"/>
      </rPr>
      <t xml:space="preserve">Al dar clic en detalle de descarga fallida se debe de mostar el mensaje de acuerdo al siguiente ejemplo: 
</t>
    </r>
    <r>
      <rPr>
        <rFont val="Fira Sans Extra Condensed"/>
        <b/>
        <color theme="1"/>
      </rPr>
      <t>- Descarga de estado de cuenta fallida  -  6 de oct, 22:33:43
- Descripción de notificación:  Tuvimos un inconveniente técnico y no se pudo realizar la descarga, discúlpenos. Le invitamos a intentarlo de nuevo.</t>
    </r>
  </si>
  <si>
    <t>Debe de pemritir ingresar al detalle de la descarga fallida</t>
  </si>
  <si>
    <t>Ingresar al modulo y Usuario con aprobacion directa - pais SV,HN,PA,CR</t>
  </si>
  <si>
    <r>
      <rPr>
        <rFont val="Fira Sans Extra Condensed"/>
        <color theme="1"/>
      </rPr>
      <t xml:space="preserve">Para obtener mayor información de una notificación el usuario debe dar clic sobre el mensaje, una vez de clic la pantalla se debe actualizar permitiendo visualizar todo el mensaje y descargar el archivo en caso que aplique, las novedades a notificar, este tendra::  </t>
    </r>
    <r>
      <rPr>
        <rFont val="Fira Sans Extra Condensed"/>
        <b/>
        <color theme="1"/>
      </rPr>
      <t>Escenario 3: Aprobacion</t>
    </r>
  </si>
  <si>
    <r>
      <rPr>
        <rFont val="Fira Sans Extra Condensed"/>
        <color theme="1"/>
      </rPr>
      <t xml:space="preserve">Al dar clic en detalle de Aprobacion se debe de mostar el mensaje de acuerdo al siguiente ejemplo: 
</t>
    </r>
    <r>
      <rPr>
        <rFont val="Fira Sans Extra Condensed"/>
        <b/>
        <color theme="1"/>
      </rPr>
      <t>- Aprobación monetaria pendiente               
- Descripción de notificación: Camilo Montoya, le solicitó su aprobación para la transferencia regional número 6936276, para ver detalle de la solicitud ingrese al Módulo de autorizaciones.</t>
    </r>
  </si>
  <si>
    <t>Debe de pemritir ingresar en el detalle Aprobacion</t>
  </si>
  <si>
    <t>Ingresar al modulo y usuario operador - pais SV,HN,PA,CR</t>
  </si>
  <si>
    <r>
      <rPr>
        <rFont val="Fira Sans Extra Condensed"/>
        <color theme="1"/>
      </rPr>
      <t xml:space="preserve">Para obtener mayor información de una notificación el usuario debe dar clic sobre el mensaje, una vez de clic la pantalla se debe actualizar permitiendo visualizar todo el mensaje y descargar el archivo en caso que aplique, las novedades a notificar, este tendra::  </t>
    </r>
    <r>
      <rPr>
        <rFont val="Fira Sans Extra Condensed"/>
        <b/>
        <color theme="1"/>
      </rPr>
      <t>Escenario 4: En Ejecución</t>
    </r>
  </si>
  <si>
    <r>
      <rPr>
        <rFont val="Fira Sans Extra Condensed"/>
        <color theme="1"/>
      </rPr>
      <t xml:space="preserve">Al dar clic en detalle de Ejecucion se debe de mostar el mensaje de acuerdo al siguiente ejemplo: 
</t>
    </r>
    <r>
      <rPr>
        <rFont val="Fira Sans Extra Condensed"/>
        <b/>
        <color theme="1"/>
      </rPr>
      <t xml:space="preserve">- Subject: Aprobación Monetaria pendiente  
- Descriptivo: Tiene una nueva solicitud de aprobación monetaria pendiente por aprobacion
Título: Aprobación monetaria en ejecución              
Descripción de notificación: 
La transferencia regional número 6936277, se encuentra en proceso de ejecución y puede tardar unos minutos para ver detalle de la solicitud ingrese al Módulo de autorizaciones. </t>
    </r>
  </si>
  <si>
    <t>Debe de pemritir ingresar en el detalle En Ejecucion</t>
  </si>
  <si>
    <t>Eliminación automática de notificaciones.</t>
  </si>
  <si>
    <t>Ingresar al modulo y usuario autorizador - pais SV,HN,PA,CR</t>
  </si>
  <si>
    <r>
      <rPr>
        <rFont val="Fira Sans Extra Condensed"/>
        <color theme="1"/>
      </rPr>
      <t xml:space="preserve">Se debe eliminar de manera automática cada notificación luego de cualquiera de los dos siguientes escenarios: 
</t>
    </r>
    <r>
      <rPr>
        <rFont val="Fira Sans Extra Condensed"/>
        <b/>
        <color theme="1"/>
      </rPr>
      <t xml:space="preserve">- Exceder el almacenamiento del Buzón: </t>
    </r>
    <r>
      <rPr>
        <rFont val="Fira Sans Extra Condensed"/>
        <color theme="1"/>
      </rPr>
      <t xml:space="preserve"> El buzón permitirá almacenar hasta 999 notificaciones, en caso que el usuario reciba un número mayor el canal debe eliminar la notificación más antigua para dar lugar al almacenamiento de la última notificación recibida siempre conservando el límite máximo de almacenamiento del buzón. </t>
    </r>
  </si>
  <si>
    <t xml:space="preserve">El usaurio debe de descargar notificaciones hasta almacenar mas de 999, y validar que se eliminen las mas antiguas </t>
  </si>
  <si>
    <t>Al tener mas de 999 notificaciones se deben de eliminar la mas antiguas con exito</t>
  </si>
  <si>
    <r>
      <rPr>
        <rFont val="Fira Sans Extra Condensed"/>
        <color theme="1"/>
      </rPr>
      <t xml:space="preserve">Se debe eliminar de manera automática cada notificación luego de cualquiera de los dos siguientes escenarios
</t>
    </r>
    <r>
      <rPr>
        <rFont val="Fira Sans Extra Condensed"/>
        <b/>
        <color theme="1"/>
      </rPr>
      <t>- Eliminación por tiempo:</t>
    </r>
    <r>
      <rPr>
        <rFont val="Fira Sans Extra Condensed"/>
        <color theme="1"/>
      </rPr>
      <t xml:space="preserve"> Se debe generar eliminación automática de los mensajes de notificación después de pasados x días desde la fecha de recepción, los días serán parametrizados desde el control center.
Al usuario en pantalla se debe mostrar un mensaje informativo al usuario donde se le haga saber que sus notificaciones serán eliminadas de su buzón pasados 180 días. Una vez se modifique la cantidad de días desde el Control Center el número que se presenta en este mensaje debe actualizarse automáticamente.</t>
    </r>
  </si>
  <si>
    <t xml:space="preserve">Se debe de mostrar al usuario un mensaje infirmativo en donde se notifique que pasados los 180 dias serán eliminadas las notificaciones de su buzón </t>
  </si>
  <si>
    <t xml:space="preserve">La eliminaicon se debe de realizar con exito pasados los 180 dias </t>
  </si>
  <si>
    <t xml:space="preserve">Consultar el buzon de notificaiones, se debe de mostrar en ingles los textos </t>
  </si>
  <si>
    <t xml:space="preserve">Consultar el buzon de notificaiones, se debe de mostrar en español los textos </t>
  </si>
  <si>
    <t>Banners</t>
  </si>
  <si>
    <t xml:space="preserve">Criterio 4 - Carga de Piezas Publicitarias  </t>
  </si>
  <si>
    <t>Usuario BO administrador debe acceder a CC a una interfaz segura para cargar nuevas piezas publicitarias</t>
  </si>
  <si>
    <r>
      <rPr>
        <rFont val="Fira Sans Extra Condensed"/>
        <color theme="1"/>
      </rPr>
      <t xml:space="preserve">Al ingresaer a Control Center el usuario BO administtrador debe acceder y cargar 2 piezas publicitarias para que los usuarios en el canal virtual (Modulo Regional) puedan visualizarla.
</t>
    </r>
    <r>
      <rPr>
        <rFont val="Fira Sans Extra Condensed"/>
        <b/>
        <color theme="1"/>
      </rPr>
      <t>- La interfaz debe permitir la carga de banners en formatos estándar (ej. WebP).
- La interfaz debe tener una opción que permita previsualizar el contenido.</t>
    </r>
  </si>
  <si>
    <t>Debe de ingresar un usuario al modulo regional y validar que se muestre el banner con exito</t>
  </si>
  <si>
    <t>Debe de permitir cargar banner desde CC con exito</t>
  </si>
  <si>
    <t>Criterio 5 - Gestión de Contenidos:</t>
  </si>
  <si>
    <t xml:space="preserve">Acceder a CC con Usuario BO administrador </t>
  </si>
  <si>
    <t>Usuario administrador debe de ingresar desde control center (banco) y agregar un banner publicitario</t>
  </si>
  <si>
    <t>Usuario operador debe de ingresar desde el modulo regional para validar que el banner se muestre de acuerdo ala carga realizada desde CC</t>
  </si>
  <si>
    <t>La carga del banner se debe de realizar con exito</t>
  </si>
  <si>
    <t>Usuario administrador debe de ingresar desde control center (banco) y modificar un banner publicitario</t>
  </si>
  <si>
    <t>Usuario operador debe de ingresar desde el modulo regional para validar que el banner haya sido modificado</t>
  </si>
  <si>
    <t>La modificaion del banner sea exitosa</t>
  </si>
  <si>
    <t>Usuario administrador debe de ingresar desde control center (banco) y eliminar un banner publicitario</t>
  </si>
  <si>
    <t>Usuario operador debe de ingresar desde el modulo regional para validar que el banner haya sido eliminado y no se muestre desde el canal</t>
  </si>
  <si>
    <t>La eliminacion del banner se debe de realizar con exito</t>
  </si>
  <si>
    <t>Usuario administrador debe de ingresar desde control center (banco) y programar la visibilidadde los banners publicitarios (inicio y fin de la campaña). Ejemplo 
- Fecha de inicio 05 abril 2025
- Fecha de final 08 abril 2025</t>
  </si>
  <si>
    <t>Usuario consultor, operador, o autorizante, debe de ingresar desde el modulo regional para validar la visualizacion del banner y porteriormente en fecha 09 de abril validar que  ya no se muestre la publicidad del banner</t>
  </si>
  <si>
    <t xml:space="preserve">Programacion sea exitosa </t>
  </si>
  <si>
    <t>Al cargar un banner se podra elegir la versión móvil y versión de escritorio
- Seleccionar tipo de banner: Opcion Responsive</t>
  </si>
  <si>
    <t xml:space="preserve">El usuario debe validar que le permita visualizar el banner desde una computadora, lapton, tablet, y dispositivo movil  </t>
  </si>
  <si>
    <t>Los banner deben ser visibles con exito</t>
  </si>
  <si>
    <t>Al cargar un banner se podra elegir la versión móvil y versión de escritorio:
- Seleccionar tipo de banner: Opcion WEB</t>
  </si>
  <si>
    <t>Al seleccionar la opcion Web, al visulaizarla desde un dispositivo no se ajustara su tamaño según el dispositivo del usuario.</t>
  </si>
  <si>
    <t>El usuario debe de realizar las siguientes  casos para validar que se muestren los siguientes estados 
- Eliminar un banner publicitario ( Eliminado )
- Prgramar un banner publicitario ( Pendiente )
- Cargar un banner publicitario ( Activo )</t>
  </si>
  <si>
    <r>
      <rPr>
        <rFont val="Fira Sans Extra Condensed"/>
        <color theme="1"/>
      </rPr>
      <t xml:space="preserve">Al gestionar un contenido se deben de mostrar 3 los suiguientes estados 
</t>
    </r>
    <r>
      <rPr>
        <rFont val="Fira Sans Extra Condensed"/>
        <b/>
        <color theme="1"/>
      </rPr>
      <t>-Eliminado, Pendiente, Activo</t>
    </r>
  </si>
  <si>
    <t>Se deben de mostrar los estados exitosamente</t>
  </si>
  <si>
    <t>Una vez el usuario BO haya configurando un banner, y ha cargado la imagen y seleccionado las fechas, debe de poder previsualizar cómo se verá el banner en el front antes de crearlo, o una vez publicado podrá visualizar como se ve la publicación a los usuarios</t>
  </si>
  <si>
    <t>El usuario BO debe de validar el banner en el front antes de crearlo</t>
  </si>
  <si>
    <t>Debe de poder visualidar el banner en el front con exito</t>
  </si>
  <si>
    <t xml:space="preserve">Criterio 6  - Creación Banner: </t>
  </si>
  <si>
    <r>
      <rPr>
        <rFont val="Fira Sans Extra Condensed"/>
        <color theme="1"/>
      </rPr>
      <t xml:space="preserve">Al momento de ingresar a CC con rol “súper usuario”  y dar clic a la opción “Banner” se debe actualizar la pantalla y mostrar que está en la consulta de banners, si no hay banner publicados únicamente habilitara la opción para crear debe de mostrar los campos : 
</t>
    </r>
    <r>
      <rPr>
        <rFont val="Fira Sans Extra Condensed"/>
        <b/>
        <color theme="1"/>
      </rPr>
      <t xml:space="preserve">- Nombre Publicación: Obligatorio, el usuario puede ingresar campos alfanuméricos de hasta 50 caracteres.
- Tipo Banner: Obligatorio, el usuario debe seleccionar el tipo de publicación Web o responsive.
- Fecha inicio: Obligatorio, el usuario debe ingresar la fecha de inició de la publicación
-Fecha Fin: Obligatorio, el usuario debe ingresar la fecha fin de la publicación
- Archivo usuarios: Obligatorio, el usuario debe cargar archivo .txt con la información de los usuarios que visualizarán la publicación. </t>
    </r>
  </si>
  <si>
    <t xml:space="preserve">No debe de haber creado ningun banner para que al usuario se le habilite el boton de crear </t>
  </si>
  <si>
    <t>Si  no existe un banner creado se debe de mostrar la opcion para crear con exito</t>
  </si>
  <si>
    <r>
      <rPr>
        <rFont val="Fira Sans Extra Condensed"/>
        <b/>
        <color theme="1"/>
      </rPr>
      <t>Botón Previsualizar:</t>
    </r>
    <r>
      <rPr>
        <rFont val="Fira Sans Extra Condensed"/>
        <color theme="1"/>
      </rPr>
      <t xml:space="preserve"> Una vez cargada la información obligatoria se habilita una opción que permite “previsualizar” el contenido cómo lo visualiza un usuario final</t>
    </r>
  </si>
  <si>
    <t xml:space="preserve">El usuario podra Previsualizar la infirmacion cargada </t>
  </si>
  <si>
    <t xml:space="preserve">Debe de permitir seleccionar el boton para previsualizar la informacion cargada  </t>
  </si>
  <si>
    <r>
      <rPr>
        <rFont val="Fira Sans Extra Condensed"/>
        <b/>
        <color theme="1"/>
      </rPr>
      <t xml:space="preserve">Botón Crear: </t>
    </r>
    <r>
      <rPr>
        <rFont val="Fira Sans Extra Condensed"/>
        <color theme="1"/>
      </rPr>
      <t xml:space="preserve">Se habilita únicamente si la información obligatoria es ingresada y actualiza la pantalla mostrando el resultado. donde el usuario ve toda la información ingresada y una opción para visualizar el contenido cargado.
</t>
    </r>
  </si>
  <si>
    <t>Se debe de ingresar la informacion obligatoria para que el boton de crear se habilite</t>
  </si>
  <si>
    <r>
      <rPr>
        <rFont val="Fira Sans Extra Condensed"/>
        <color rgb="FF000000"/>
      </rPr>
      <t>- Debe permitir la categorización de banners por tipo de campaña (ej. promociones, nuevos productos)</t>
    </r>
    <r>
      <rPr>
        <rFont val="Fira Sans Extra Condensed"/>
      </rPr>
      <t xml:space="preserve">
- Permitir incluir o dejar vacío el campo de enlace. : Se debe de colocar una URL </t>
    </r>
    <r>
      <rPr>
        <rFont val="Fira Sans Extra Condensed"/>
        <color rgb="FF1155CC"/>
        <u/>
      </rPr>
      <t>https://www.youtube.com/watch?v=HyP8sXi6Qeo</t>
    </r>
    <r>
      <rPr>
        <rFont val="Fira Sans Extra Condensed"/>
      </rPr>
      <t xml:space="preserve"> para guiar al usuario Activación Token Virtual/ Banco Davivienda</t>
    </r>
  </si>
  <si>
    <r>
      <rPr>
        <rFont val="Fira Sans Extra Condensed"/>
        <color rgb="FF000000"/>
      </rPr>
      <t xml:space="preserve">Usuario consultor, operador, o autorizante, debe de ingresar desde el modulo regional y visualizar el banner, posteriomente debe de  ingresar al enlace y este lo debe de redireccionar al sitio </t>
    </r>
    <r>
      <rPr>
        <rFont val="Fira Sans Extra Condensed"/>
        <color rgb="FF1155CC"/>
        <u/>
      </rPr>
      <t>https://www.youtube.com/watch?v=HyP8sXi6Qeo</t>
    </r>
  </si>
  <si>
    <t xml:space="preserve">El campo de enlace es opciona se puede incluir o dejar vacío. </t>
  </si>
  <si>
    <t xml:space="preserve">Permita al usuario ingresar a la url que redirecciona al usuario a un lugar, dependiendo a lo que se coloca desde CC 
</t>
  </si>
  <si>
    <t>Criterio 7  - Consulta</t>
  </si>
  <si>
    <r>
      <rPr>
        <rFont val="Fira Sans Extra Condensed"/>
        <color theme="1"/>
      </rPr>
      <t xml:space="preserve">Se debe de mostrar una opción que permita consultar las publicaciones activas, en esta pantalla el usuario visualizará:
</t>
    </r>
    <r>
      <rPr>
        <rFont val="Fira Sans Extra Condensed"/>
        <b/>
        <color theme="1"/>
      </rPr>
      <t xml:space="preserve">- Fecha Cargue: Se debe mostrar la fecha en la que se realiza el cargue.
- Nombre: Se muestra el nombre con el que fue creado.
- Tipo Publicación: Se muestra si Web o responsive, de acuerdo a la creación.
- Fecha inicio: Se muestra la fecha desde la que inicia la publicación
 - Fecha Fin: Se muestra la fecha fin de la publicación
- Estado: Se muestra (Activo / Pendiente / Eliminado)
 - Quickaction: Muestra opción para eliminar o editar. </t>
    </r>
  </si>
  <si>
    <t>Al dar clic sobre el registro debe de permitir ver el detalle de cómo fue creado</t>
  </si>
  <si>
    <t>Se el detalle del registro se muestre con exito</t>
  </si>
  <si>
    <r>
      <rPr>
        <rFont val="Fira Sans Extra Condensed"/>
        <b/>
        <color theme="1"/>
      </rPr>
      <t>Filtrar</t>
    </r>
    <r>
      <rPr>
        <rFont val="Fira Sans Extra Condensed"/>
        <color theme="1"/>
      </rPr>
      <t>: Debe de mostrar una opción que permita realizar filtros de acuerdo a los títulos de resultados.</t>
    </r>
  </si>
  <si>
    <t>El usuario debe de realizar un filtro colocando un filtro colocando ej:  
- Nuevos servicios
- Dias feriados</t>
  </si>
  <si>
    <t>En la paginacion se debe mostrar 50 resultados por página.</t>
  </si>
  <si>
    <t>Debe de permitir hacer una busqueda con filtro</t>
  </si>
  <si>
    <r>
      <rPr>
        <rFont val="Fira Sans Extra Condensed"/>
        <b/>
        <color theme="1"/>
      </rPr>
      <t>Ordenar:</t>
    </r>
    <r>
      <rPr>
        <rFont val="Fira Sans Extra Condensed"/>
        <color theme="1"/>
      </rPr>
      <t xml:space="preserve"> Se debe de tener un elemento que permita ordenar la información dando clic de manera intuitiva en los títulos de las columnas de mayor a menor y de menor a mayor.</t>
    </r>
  </si>
  <si>
    <t>Debe de permitir ordenar la informacion de  mayor a menor y de menor a mayor.</t>
  </si>
  <si>
    <t>Que permita ordenr la informacion</t>
  </si>
  <si>
    <r>
      <rPr>
        <rFont val="Fira Sans Extra Condensed"/>
        <b/>
        <color theme="1"/>
      </rPr>
      <t>Buscar</t>
    </r>
    <r>
      <rPr>
        <rFont val="Fira Sans Extra Condensed"/>
        <color theme="1"/>
      </rPr>
      <t>: Debe de permitir buscar un registro usuario escribiendo el nombre de la publicación, el canal  debe validar la información y actualizar la pantalla según el resultado.</t>
    </r>
  </si>
  <si>
    <t>Al realizar una bisqueda se muestre la informacion de acuerdo a la consulta</t>
  </si>
  <si>
    <t>El boton de busqueda funcione con exito</t>
  </si>
  <si>
    <r>
      <rPr>
        <rFont val="Fira Sans Extra Condensed"/>
        <color theme="1"/>
      </rPr>
      <t xml:space="preserve">Si el usuario requiere ver el detalle de cómo fue creado un esquema debe dar clic donde actualiza la pantalla y el usuario podra visualizar:
</t>
    </r>
    <r>
      <rPr>
        <rFont val="Fira Sans Extra Condensed"/>
        <b/>
        <color theme="1"/>
      </rPr>
      <t xml:space="preserve">Estado: Se muestra el estado de la publicación
Nombre Publicación: Se muestra el nombre con el que fue creado.
Tipo Banner: Se muestra el tipo de publicación Web o responsive.
Fecha inicio: visualiza la fecha de inició de la publicación
Fecha Fin: Visualiza la fecha fin de la publicación
Archivo usuarios: Se muestra el nombre del archivo cargado
Archivo contenido: Se muestra el nombre del archivo cargado
Enlace: Se muestra el enlace cargado
Botón Previsualizar: Está habilitado si el usuario requiere ver. 
Adicional se debe de habilitar la opción de eliminar o editar. </t>
    </r>
  </si>
  <si>
    <t xml:space="preserve">- Se debe valiadr que se muestre el detalle de como fue creado,
- Que este habilitado el boton y permita dar clic para previsualizar 
- Que este habilitado y permita eliminar o editar </t>
  </si>
  <si>
    <t>El detalle se debe de mostrar con exito</t>
  </si>
  <si>
    <t>Criterio 8 - Validaciones y Seguridad</t>
  </si>
  <si>
    <t xml:space="preserve">Usuario BO administrador </t>
  </si>
  <si>
    <r>
      <rPr>
        <rFont val="Fira Sans Extra Condensed"/>
        <color theme="1"/>
      </rPr>
      <t xml:space="preserve">La funcionalidad debe cumplir con altos estándares de seguridad y privacidad para proteger la información financiera de los usuarios y garantizar la integridad de las transacciones por lo que se solicita la ofuscación en los servicios
</t>
    </r>
    <r>
      <rPr>
        <rFont val="Fira Sans Extra Condensed"/>
        <b/>
        <color theme="1"/>
      </rPr>
      <t>- El sistema debe validar que los banners cumplan con las especificaciones de tamaño y formato antes de permitir su carga.
- Debe existir un proceso de aprobación para que los banners sean revisados antes de su publicación.
- La interfaz debe contar con medidas de seguridad para proteger los datos y prevenir el acceso no autorizado.</t>
    </r>
  </si>
  <si>
    <t>Antes de cargar un banner se debe de validar que cumplan los requisitos mencionados del criterio 8</t>
  </si>
  <si>
    <t>Se debe de cumplir con los estándares de seguridad y privacidad para proteger la información financiera de los usuarios</t>
  </si>
  <si>
    <t xml:space="preserve">Criterio 10: Características
</t>
  </si>
  <si>
    <t>Una vez el usuario acceda al canal y se presente el nuevo home en el proceso de cargar la información que se mostrará en pantalla, se debe mostrar el “Skeleton” de las funcionalidades asignadas incluyendo la de los banners.
El canal debe permitir parametrizar hasta 5 banners en forma de carrusel. El canal debe permitir ser tan paramétrico cómo se requiera, si no requiere tener nada publicado o si se requiere cargar mínimo 1 hasta máximo 5 según se requiera.</t>
  </si>
  <si>
    <t>Se deben de validar desde el modulo regional que permita visualizar 1 banner</t>
  </si>
  <si>
    <t>Debe permitir cargar y visualizar 1 banner como minimo con exito</t>
  </si>
  <si>
    <t>Se deben de validar desde el modulo regional que permita visualizar 5 banners en forma de carrusel</t>
  </si>
  <si>
    <t>Debe permitir cargar y visualizar 5 banner como maximo con exito</t>
  </si>
  <si>
    <t>Criterio 11: Compatibilidad</t>
  </si>
  <si>
    <t>La funcionalidad de crear, editar y eliminar “Banners” desde el control Center debe ser compatible con diferentes navegadores,  únicamente desde versión Web.
La imagen que se presenta en la versión de escritorio y la versión móvil.</t>
  </si>
  <si>
    <r>
      <rPr>
        <rFont val="Fira Sans Extra Condensed"/>
        <color theme="1"/>
      </rPr>
      <t xml:space="preserve">Que el usuario ingrese desde su laptop utilizando el navegador </t>
    </r>
    <r>
      <rPr>
        <rFont val="Fira Sans Extra Condensed"/>
        <b/>
        <color theme="1"/>
      </rPr>
      <t>Mozilla firefox</t>
    </r>
  </si>
  <si>
    <r>
      <rPr>
        <rFont val="Fira Sans Extra Condensed"/>
        <color theme="1"/>
      </rPr>
      <t xml:space="preserve">Que el usuario ingrese desde su laptop utilizando el navegador </t>
    </r>
    <r>
      <rPr>
        <rFont val="Fira Sans Extra Condensed"/>
        <b/>
        <color theme="1"/>
      </rPr>
      <t>Edge</t>
    </r>
  </si>
  <si>
    <r>
      <rPr>
        <rFont val="Fira Sans Extra Condensed"/>
        <color theme="1"/>
      </rPr>
      <t xml:space="preserve">Que el usuario ingrese desde su laptop utilizando el navegador </t>
    </r>
    <r>
      <rPr>
        <rFont val="Fira Sans Extra Condensed"/>
        <b/>
        <color theme="1"/>
      </rPr>
      <t>Explorer</t>
    </r>
  </si>
  <si>
    <t>Criterio 1 - Características visualización de Banners:</t>
  </si>
  <si>
    <t>Acceder al modulo de regional con usuario consultor, y seleccionar una de las sociedades SV,HN,PA,CR</t>
  </si>
  <si>
    <t>- Los banners publicados se habilitan a todos los usuarios con acceso al módulo regional.
- El usuario debe poder ver banners publicitarios en la página principal del dashboard o home del módulo regional.
- Cada banner debe ser claramente identificable y no debe interferir con la funcionalidad principal del sitio.
- El tiempo de carga de los banners no debe afectar significativamente la velocidad de la página.
- Los banners deben tener enlaces que redirigen a más información sobre la promoción o producto publicitado.
- El tiempo de carga de los banners no debe afectar significativamente la velocidad de la página.</t>
  </si>
  <si>
    <t xml:space="preserve">El usuario debe de poder visualizar los Banners y validar que no interfiera con la funcionalidad principal del sitio  </t>
  </si>
  <si>
    <t xml:space="preserve">En el caso que desde CC no se hayan subido banners, los usuarios no visualizaran publicidad en el canal  </t>
  </si>
  <si>
    <t xml:space="preserve">Se deben de visualizar los banners para todos usuarios que tengan acceso al canal y que no afecte la velocidad de la página.
</t>
  </si>
  <si>
    <t>Los banners deben tener enlaces que redirigen a más información sobre la promoción o producto publicitado.</t>
  </si>
  <si>
    <t>Validar que al selecionar un enlace se direccione a las promociones plublicitarias</t>
  </si>
  <si>
    <t xml:space="preserve">Debe de permitir ingresar al enlace con exito </t>
  </si>
  <si>
    <t>Acceder al modulo de regional con usuario operador, y seleccionar una de las sociedades SV,HN,PA,CR</t>
  </si>
  <si>
    <t>Acceder al modulo de regional con usuario autorizador, y seleccionar una de las sociedades SV,HN,PA,CR</t>
  </si>
  <si>
    <t>Acceder al modulo de regional y usuario con aprobacion unica, y seleccionar una de las sociedades SV,HN,PA,CR</t>
  </si>
  <si>
    <t>Los banners deben ser visibles tanto en la versión de escritorio como en la versión móvil de la plataforma,  deben ser responsivos y ajustar su tamaño según el dispositivo del usuario</t>
  </si>
  <si>
    <r>
      <rPr>
        <rFont val="Fira Sans Extra Condensed"/>
        <color theme="1"/>
      </rPr>
      <t xml:space="preserve">Que el usuario ingrese desde su dispositivo movil </t>
    </r>
    <r>
      <rPr>
        <rFont val="Fira Sans Extra Condensed"/>
        <b/>
        <color theme="1"/>
      </rPr>
      <t>Android</t>
    </r>
    <r>
      <rPr>
        <rFont val="Fira Sans Extra Condensed"/>
        <color theme="1"/>
      </rPr>
      <t xml:space="preserve"> y navegador </t>
    </r>
    <r>
      <rPr>
        <rFont val="Fira Sans Extra Condensed"/>
        <b/>
        <color theme="1"/>
      </rPr>
      <t xml:space="preserve">google chrome, </t>
    </r>
    <r>
      <rPr>
        <rFont val="Fira Sans Extra Condensed"/>
        <color theme="1"/>
      </rPr>
      <t xml:space="preserve">y utilice la versión </t>
    </r>
    <r>
      <rPr>
        <rFont val="Fira Sans Extra Condensed"/>
        <b/>
        <color theme="1"/>
      </rPr>
      <t>responsive</t>
    </r>
    <r>
      <rPr>
        <rFont val="Fira Sans Extra Condensed"/>
        <color theme="1"/>
      </rPr>
      <t xml:space="preserve"> </t>
    </r>
  </si>
  <si>
    <t>Se debe de visualizar los banner desde su dispositivo movil</t>
  </si>
  <si>
    <r>
      <rPr>
        <rFont val="Fira Sans Extra Condensed"/>
        <color theme="1"/>
      </rPr>
      <t xml:space="preserve">Que el usuario ingrese desde su dispositivo movil </t>
    </r>
    <r>
      <rPr>
        <rFont val="Fira Sans Extra Condensed"/>
        <b/>
        <color theme="1"/>
      </rPr>
      <t>IOS</t>
    </r>
    <r>
      <rPr>
        <rFont val="Fira Sans Extra Condensed"/>
        <color theme="1"/>
      </rPr>
      <t xml:space="preserve"> y navegador </t>
    </r>
    <r>
      <rPr>
        <rFont val="Fira Sans Extra Condensed"/>
        <b/>
        <color theme="1"/>
      </rPr>
      <t xml:space="preserve">google chrome, </t>
    </r>
    <r>
      <rPr>
        <rFont val="Fira Sans Extra Condensed"/>
        <color theme="1"/>
      </rPr>
      <t xml:space="preserve">y utilice la versión </t>
    </r>
    <r>
      <rPr>
        <rFont val="Fira Sans Extra Condensed"/>
        <b/>
        <color theme="1"/>
      </rPr>
      <t>responsive</t>
    </r>
    <r>
      <rPr>
        <rFont val="Fira Sans Extra Condensed"/>
        <color theme="1"/>
      </rPr>
      <t xml:space="preserve"> </t>
    </r>
  </si>
  <si>
    <r>
      <rPr>
        <rFont val="Fira Sans Extra Condensed"/>
        <color theme="1"/>
      </rPr>
      <t xml:space="preserve">Que el usuario ingrese desde su dispositivo movil </t>
    </r>
    <r>
      <rPr>
        <rFont val="Fira Sans Extra Condensed"/>
        <b/>
        <color theme="1"/>
      </rPr>
      <t xml:space="preserve">IOS </t>
    </r>
    <r>
      <rPr>
        <rFont val="Fira Sans Extra Condensed"/>
        <color theme="1"/>
      </rPr>
      <t xml:space="preserve">y navegador </t>
    </r>
    <r>
      <rPr>
        <rFont val="Fira Sans Extra Condensed"/>
        <b/>
        <color theme="1"/>
      </rPr>
      <t>zafari</t>
    </r>
    <r>
      <rPr>
        <rFont val="Fira Sans Extra Condensed"/>
        <color theme="1"/>
      </rPr>
      <t xml:space="preserve">, </t>
    </r>
  </si>
  <si>
    <t>Ingresar al modulo regional con usuario consultor desde una tablet con sistema operativo Android</t>
  </si>
  <si>
    <r>
      <rPr>
        <rFont val="Fira Sans Extra Condensed"/>
        <color theme="1"/>
      </rPr>
      <t xml:space="preserve">Que el usuario ingrese  desde una tablet </t>
    </r>
    <r>
      <rPr>
        <rFont val="Fira Sans Extra Condensed"/>
        <b/>
        <color theme="1"/>
      </rPr>
      <t>Android</t>
    </r>
    <r>
      <rPr>
        <rFont val="Fira Sans Extra Condensed"/>
        <color theme="1"/>
      </rPr>
      <t xml:space="preserve"> y navegador </t>
    </r>
    <r>
      <rPr>
        <rFont val="Fira Sans Extra Condensed"/>
        <b/>
        <color theme="1"/>
      </rPr>
      <t xml:space="preserve">google chrome </t>
    </r>
  </si>
  <si>
    <t>Se debe de visualizar los banner desde su tablet</t>
  </si>
  <si>
    <t>Ingresar al modulo regional con usuario operador desde una tablet con sistema operativo Android</t>
  </si>
  <si>
    <r>
      <rPr>
        <rFont val="Fira Sans Extra Condensed"/>
        <color theme="1"/>
      </rPr>
      <t xml:space="preserve">Que el usuario ingrese  desde una tablet </t>
    </r>
    <r>
      <rPr>
        <rFont val="Fira Sans Extra Condensed"/>
        <b/>
        <color theme="1"/>
      </rPr>
      <t>IOS</t>
    </r>
    <r>
      <rPr>
        <rFont val="Fira Sans Extra Condensed"/>
        <color theme="1"/>
      </rPr>
      <t xml:space="preserve"> y navegador </t>
    </r>
    <r>
      <rPr>
        <rFont val="Fira Sans Extra Condensed"/>
        <b/>
        <color theme="1"/>
      </rPr>
      <t>google chrome.</t>
    </r>
  </si>
  <si>
    <t>Ingresar al modulo regional y usuario con aprobacion directa  desde una tablet con sistema operativo Android</t>
  </si>
  <si>
    <r>
      <rPr>
        <rFont val="Fira Sans Extra Condensed"/>
        <color theme="1"/>
      </rPr>
      <t xml:space="preserve">Que el usuario ingrese desde una tablet </t>
    </r>
    <r>
      <rPr>
        <rFont val="Fira Sans Extra Condensed"/>
        <b/>
        <color theme="1"/>
      </rPr>
      <t xml:space="preserve">IOS </t>
    </r>
    <r>
      <rPr>
        <rFont val="Fira Sans Extra Condensed"/>
        <color theme="1"/>
      </rPr>
      <t xml:space="preserve">y navegador </t>
    </r>
    <r>
      <rPr>
        <rFont val="Fira Sans Extra Condensed"/>
        <b/>
        <color theme="1"/>
      </rPr>
      <t>zafari</t>
    </r>
    <r>
      <rPr>
        <rFont val="Fira Sans Extra Condensed"/>
        <color theme="1"/>
      </rPr>
      <t>.</t>
    </r>
  </si>
  <si>
    <t xml:space="preserve">Ingresar al modulo regional con usuario operador desde una computadora de escritorio </t>
  </si>
  <si>
    <r>
      <rPr>
        <rFont val="Fira Sans Extra Condensed"/>
        <color theme="1"/>
      </rPr>
      <t xml:space="preserve">Que el usuario ingrese desde una computadora de escritorio el navegador </t>
    </r>
    <r>
      <rPr>
        <rFont val="Fira Sans Extra Condensed"/>
        <b/>
        <color theme="1"/>
      </rPr>
      <t>google chrome</t>
    </r>
    <r>
      <rPr>
        <rFont val="Fira Sans Extra Condensed"/>
        <color theme="1"/>
      </rPr>
      <t>.</t>
    </r>
  </si>
  <si>
    <t>Se debe de visualizar los banner desde su computadora de escritorio</t>
  </si>
  <si>
    <t>Características visualización de Banners</t>
  </si>
  <si>
    <t xml:space="preserve">Ingresar al modulo regional con usuario autorizante desde una computadora de escritorio </t>
  </si>
  <si>
    <r>
      <rPr>
        <rFont val="Fira Sans Extra Condensed"/>
        <color theme="1"/>
      </rPr>
      <t xml:space="preserve">Que el usuario ingrese desde  una computadora de escritorio utilizando el navegador </t>
    </r>
    <r>
      <rPr>
        <rFont val="Fira Sans Extra Condensed"/>
        <b/>
        <color theme="1"/>
      </rPr>
      <t>Mozilla firefox</t>
    </r>
  </si>
  <si>
    <t xml:space="preserve">Ingresar al modulo regional con usuario consultor desde una computadora de escritorio </t>
  </si>
  <si>
    <r>
      <rPr>
        <rFont val="Fira Sans Extra Condensed"/>
        <color theme="1"/>
      </rPr>
      <t xml:space="preserve">Que el usuario ingrese desde  una computadora de escritorio utilizando el navegador </t>
    </r>
    <r>
      <rPr>
        <rFont val="Fira Sans Extra Condensed"/>
        <b/>
        <color theme="1"/>
      </rPr>
      <t>Edge</t>
    </r>
  </si>
  <si>
    <r>
      <rPr>
        <rFont val="Fira Sans Extra Condensed"/>
        <color theme="1"/>
      </rPr>
      <t xml:space="preserve">Que el usuario ingrese desde  una computadora de escritorio utilizando el navegador </t>
    </r>
    <r>
      <rPr>
        <rFont val="Fira Sans Extra Condensed"/>
        <b/>
        <color theme="1"/>
      </rPr>
      <t>Explorer</t>
    </r>
  </si>
  <si>
    <t>Ingresar al modulo regional con usuario autorizante desde una laptop</t>
  </si>
  <si>
    <r>
      <rPr>
        <rFont val="Fira Sans Extra Condensed"/>
        <color theme="1"/>
      </rPr>
      <t xml:space="preserve">Que el usuario ingrese desde su laptop utilizando el navegador </t>
    </r>
    <r>
      <rPr>
        <rFont val="Fira Sans Extra Condensed"/>
        <b/>
        <color theme="1"/>
      </rPr>
      <t>google chrome</t>
    </r>
    <r>
      <rPr>
        <rFont val="Fira Sans Extra Condensed"/>
        <color theme="1"/>
      </rPr>
      <t>.</t>
    </r>
  </si>
  <si>
    <t>Se debe de visualizar los banner desde su laptop</t>
  </si>
  <si>
    <r>
      <rPr>
        <rFont val="Fira Sans Extra Condensed"/>
        <color theme="1"/>
      </rPr>
      <t xml:space="preserve">Que el usuario ingrese desde su laptop utilizando el navegador </t>
    </r>
    <r>
      <rPr>
        <rFont val="Fira Sans Extra Condensed"/>
        <b/>
        <color theme="1"/>
      </rPr>
      <t>Mozilla firefox</t>
    </r>
  </si>
  <si>
    <t>Ingresar al modulo regional y usuario con aprobacion unica desde una laptop</t>
  </si>
  <si>
    <r>
      <rPr>
        <rFont val="Fira Sans Extra Condensed"/>
        <color theme="1"/>
      </rPr>
      <t xml:space="preserve">Que el usuario ingrese desde su laptop utilizando el navegador </t>
    </r>
    <r>
      <rPr>
        <rFont val="Fira Sans Extra Condensed"/>
        <b/>
        <color theme="1"/>
      </rPr>
      <t>Edge</t>
    </r>
  </si>
  <si>
    <t>Ingresar al modulo regional con usuario consultor desde una laptop</t>
  </si>
  <si>
    <r>
      <rPr>
        <rFont val="Fira Sans Extra Condensed"/>
        <color theme="1"/>
      </rPr>
      <t xml:space="preserve">Que el usuario ingrese desde su laptop utilizando el navegador </t>
    </r>
    <r>
      <rPr>
        <rFont val="Fira Sans Extra Condensed"/>
        <b/>
        <color theme="1"/>
      </rPr>
      <t>Explorer</t>
    </r>
  </si>
  <si>
    <t>Criterio 2-  Relevancia y Personalización</t>
  </si>
  <si>
    <t>Ingresar al modulo regional con usuario autorizante</t>
  </si>
  <si>
    <t xml:space="preserve">- El sistema debe poder mostrar diferentes banners según las preferencias y datos del usuario
- Debe existir una rotación o cambio periódico de banners para evitar la repetición y mantener el contenido fresco. Este será realizado por los funcionarios del banco desde el control center. </t>
  </si>
  <si>
    <t>El usuario debe de validar que se muestren banners de diferentes publicidades</t>
  </si>
  <si>
    <t>Debe existir una rotación o cambio periódico de banners</t>
  </si>
  <si>
    <t>Criterio 3 - Accesibilidad</t>
  </si>
  <si>
    <t>Ingresar al modulo regional con usuario consultor</t>
  </si>
  <si>
    <t>Los banners deben cumplir con los estándares de accesibilidad (ej. WCAG) para ser accesibles a usuarios con discapacidades.
- Deben incluir texto alternativo (alt text) para usuarios que utilicen lectores de pantalla.
- Aria label para los enlaces incluidos en el banner.</t>
  </si>
  <si>
    <t>Validar que el texto sea alternativo para usuarios que utilicen lectores de pantalla</t>
  </si>
  <si>
    <t>Los banner sean accecibles para los usuarios con discapacidad</t>
  </si>
  <si>
    <r>
      <rPr>
        <rFont val="Fira Sans Extra Condensed"/>
        <color theme="1"/>
      </rPr>
      <t xml:space="preserve">Consulta y descarga de extractos (Estados de cuenta)  / </t>
    </r>
    <r>
      <rPr>
        <rFont val="Fira Sans Extra Condensed"/>
        <b/>
        <color theme="1"/>
      </rPr>
      <t>Cambio de idioma</t>
    </r>
  </si>
  <si>
    <t>Se debe de validar que al realizar el cambio de idioma no afecte los productos que se muestran en el canal</t>
  </si>
  <si>
    <r>
      <rPr>
        <rFont val="Fira Sans Extra Condensed"/>
        <color theme="1"/>
      </rPr>
      <t xml:space="preserve">Consulta y descarga de extractos (Estados de cuenta)  / </t>
    </r>
    <r>
      <rPr>
        <rFont val="Fira Sans Extra Condensed"/>
        <b/>
        <color theme="1"/>
      </rPr>
      <t>Cambio de idioma</t>
    </r>
  </si>
  <si>
    <t xml:space="preserve">Accesos Rápidos
</t>
  </si>
  <si>
    <t>Accesos Rápidos
 / Características</t>
  </si>
  <si>
    <t>Los accesos rápidos que se habilitan al usuario depende del rol y funcionalidades asignadas</t>
  </si>
  <si>
    <r>
      <rPr>
        <rFont val="Fira Sans Extra Condensed"/>
        <color theme="1"/>
      </rPr>
      <t xml:space="preserve">Para los accesos directos el usuario deben de validar los siguientes puntos:
</t>
    </r>
    <r>
      <rPr>
        <rFont val="Fira Sans Extra Condensed"/>
        <b/>
        <color theme="1"/>
      </rPr>
      <t xml:space="preserve">- La primera vez que el usuario ingrese al Home, los “accesos rápidos” no tienen funcionalidades asignadas
- usuario acceda al canal y visualice el nuevo home, se debe mostrar el “Skeleton” de las funcionalidades asignadas
- Únicamente el usuario puede realizar novedades de los “accesos rápidos”
- La plataforma debe recordar los atajos personalizados incluso si el usuario cierra la sesión y vuelve a iniciarla en otro momento.
- El canal debe permitir parametrizar hasta 4 funcionalidades. 
- El usuario se podra asignar atajos solo de las funcionalidades que tenga habilitadas </t>
    </r>
  </si>
  <si>
    <t>El canal permita crear atajos solo de las funcionalidades a las que el usuario tenga acceso</t>
  </si>
  <si>
    <t>Crear Accesos Rápidos</t>
  </si>
  <si>
    <t xml:space="preserve">Ingresar al modulo regional con usuario operador,  debe poder asignar atajos a las funcionalidades  de acuerdo a su preferencia, como crear una transferencia regional a cuentas propias, creación de transferencias a cuentas de terceros, crear grupo de productos, etc. </t>
  </si>
  <si>
    <r>
      <rPr>
        <rFont val="Fira Sans Extra Condensed"/>
        <color theme="1"/>
      </rPr>
      <t xml:space="preserve">El la seccion de atajos, se debe validar las siguientes pasos:
</t>
    </r>
    <r>
      <rPr>
        <rFont val="Fira Sans Extra Condensed"/>
        <b/>
        <color theme="1"/>
      </rPr>
      <t xml:space="preserve">- Boton que diga agregar 
- A l dar clic en el boton “agregar” este sea habilitado </t>
    </r>
  </si>
  <si>
    <t>El boton "agregar" para asignar atajos debe de funcionar de forma sencilla seleccionado a través de una checkbox la funcionalidad que requiere asignar.</t>
  </si>
  <si>
    <t>Accesos Rápidos / Elementos de selección (Off canvas)</t>
  </si>
  <si>
    <t>Ingresar al modulo con usuario autorizador y seleccione todas las empressas</t>
  </si>
  <si>
    <r>
      <rPr>
        <rFont val="Fira Sans Extra Condensed"/>
        <color theme="1"/>
      </rPr>
      <t xml:space="preserve">Al usuario le debe de permitir tener una seleccion de los siguientes elementos:
</t>
    </r>
    <r>
      <rPr>
        <rFont val="Fira Sans Extra Condensed"/>
        <b/>
        <color theme="1"/>
      </rPr>
      <t>- Elemento para salir o regresar, al dar clic debe llevar al usuario a la pantalla del “Home”.
- Título:  “Accesos rápidos”
- Texto “Elija la opción que agregará”.
- Listado de funcionalidades asignadas al usuario con un checkbox al inicio del texto de la “funcionalidad”.  
- Botón de “Aceptar”, siempre estará habilitado</t>
    </r>
  </si>
  <si>
    <t>La seleccion de elementos debe de funcionar con exito</t>
  </si>
  <si>
    <t>Accesos rápidos / Shortcuts (Atajos)</t>
  </si>
  <si>
    <t xml:space="preserve">Desde el Dashboard o home del canal los usuarios deben tener una opción que permita de acuerdo al rol y permisos asignados, editar o eliminar accesos a transacciones frecuentes, la asignación se podrá realizar desde el home del canal. Una vez el usuario da clic a alguno de estos atajos asignados previamente el canal lo debe direccionar a la opción seleccionada. </t>
  </si>
  <si>
    <r>
      <rPr>
        <rFont val="Fira Sans Extra Condensed"/>
        <color theme="1"/>
      </rPr>
      <t xml:space="preserve">Validar que al seleccionar en el acceso rapido permita realizar las siguientes actividades:
</t>
    </r>
    <r>
      <rPr>
        <rFont val="Fira Sans Extra Condensed"/>
        <b/>
        <color theme="1"/>
      </rPr>
      <t>- Editar o eliminar accesos de transacciones frecuentes 
- Que al dar clic en los atajos asignados el canal lo direcione a la opcion seleccionada</t>
    </r>
  </si>
  <si>
    <t>Que el boton de acceso rapido funcione con exito</t>
  </si>
  <si>
    <t>Las funcionalidades a las que los usuarios podrán acceder dependen del rol y funcionalidades asignadas previamente</t>
  </si>
  <si>
    <r>
      <rPr>
        <rFont val="Fira Sans Extra Condensed"/>
        <b/>
        <color theme="1"/>
      </rPr>
      <t>Rol Consultor:</t>
    </r>
    <r>
      <rPr>
        <rFont val="Fira Sans Extra Condensed"/>
        <color theme="1"/>
      </rPr>
      <t xml:space="preserve">  
Funcionalidad debe nacer apagada, inicialmente no se habilita opción de acceso rápido desde el home pero en el futuro con los siguientes evolutivos podrá llegar a tener funcionalidades a asignar.</t>
    </r>
  </si>
  <si>
    <t>Las funcionalidades a las que los usuarios podrán acceder dependen del rol y funcionalidades asignadas previamente, El límite máximo para crear accesos rapidos serán de 4 funcionalidades</t>
  </si>
  <si>
    <r>
      <rPr>
        <rFont val="Fira Sans Extra Condensed"/>
        <b/>
        <color theme="1"/>
      </rPr>
      <t xml:space="preserve">Rol Operador puede crear los siguinetes accesos rapidos
</t>
    </r>
    <r>
      <rPr>
        <rFont val="Fira Sans Extra Condensed"/>
        <color theme="1"/>
      </rPr>
      <t>- Transferir entre cuentas propias.
- Transferir a cuentas de  terceros.
- Destinos Autorizados.</t>
    </r>
  </si>
  <si>
    <t>Al tener seleccionada(s) la(s) funcionalidades y dar clic en “Aceptar” se debe de mostar la pantalla del home actualizando la visual de los accesos asignados por orden alfabético de “A” a “Z”</t>
  </si>
  <si>
    <r>
      <rPr>
        <rFont val="Fira Sans Extra Condensed"/>
        <b/>
        <color theme="1"/>
      </rPr>
      <t xml:space="preserve">Rol Autorizador  puede crear los siguinetes accesos rapidos: </t>
    </r>
    <r>
      <rPr>
        <rFont val="Fira Sans Extra Condensed"/>
        <color theme="1"/>
      </rPr>
      <t xml:space="preserve">
- Transferir entre cuentas propias.
- Transferir a cuentas de  terceros.
- Destinos Autorizados.</t>
    </r>
  </si>
  <si>
    <r>
      <rPr>
        <rFont val="Fira Sans Extra Condensed"/>
        <b/>
        <color theme="1"/>
      </rPr>
      <t xml:space="preserve">Rol Administrador  puede crear los siguinetes accesos rapidos: </t>
    </r>
    <r>
      <rPr>
        <rFont val="Fira Sans Extra Condensed"/>
        <color theme="1"/>
      </rPr>
      <t xml:space="preserve">
- Transferir entre cuentas propias.
- Transferir a cuentas de  terceros.
- Destinos Autorizados.
- Grupos de Productos.
- Roles.
- Esquemas de firmas</t>
    </r>
  </si>
  <si>
    <t>El límite máximo de funcionalidades que el un usuario puede asignarse sera de 4</t>
  </si>
  <si>
    <t>El usuario debe de seleccionar mas 4 funcionales: 
- No debe permitir seleccionar un mayor número
- Se debe de mostrar deshabilitada la opción de selección de los otros ítems en caso que aplique</t>
  </si>
  <si>
    <t>No debe de permitir crear mas de 4 accesos rapidos</t>
  </si>
  <si>
    <t>Validar que el boton de “agregar” este disponible si el usuario no excede la máxima capacidad de atajos ( 4 )  en caso que el usuario tenga asignadas 4 funcionalidades no se debe mostrar el boton de “agregar”</t>
  </si>
  <si>
    <t>El boton de "agregar" debe de mostrarse habilitado si el usuario no tiene asignado los 4 accesos directos</t>
  </si>
  <si>
    <t xml:space="preserve">Validar que al dar clic en “Aceptar” debe dirigir al usuario a la pantalla del home, actualizando  los accesos asignados por orden alfabético de “A” a “Z” </t>
  </si>
  <si>
    <t>El acceso rapido debe de quedar creado con exito y se debe de mostrar en orden alfabético</t>
  </si>
  <si>
    <t xml:space="preserve">Una vez realizada la novedad debe actualizarse el dashboard (Canal) </t>
  </si>
  <si>
    <t>Validar que en la parte superior se muestre un mensaje “Acceso rápido agregado" seguido de un elemento para “Deshacer” similar al de un correo electrónico, si da clic reversa  la acción realizada.</t>
  </si>
  <si>
    <t>Confirmar que se muestre el mensaje “Acceso rápido agregado”  / y que la accion se reverse en caso de dar click en la opcion “Deshacer”</t>
  </si>
  <si>
    <t>Editar Atajos</t>
  </si>
  <si>
    <t xml:space="preserve">Los usuarios deben tener la capacida de editar los atajos existentes en cualquier momento. El punto de acceso será desde el home, el canal debe tener un boton que permita acceder a la funcionalidad de “editar” </t>
  </si>
  <si>
    <t>Validar que al usuario se le muestre el boton para poder editar los accesos rapidos</t>
  </si>
  <si>
    <t>Que el acceso rapido sea editado con exito</t>
  </si>
  <si>
    <r>
      <rPr>
        <rFont val="Fira Sans Extra Condensed"/>
        <color theme="1"/>
      </rPr>
      <t xml:space="preserve">Validar qu se muestren los Elementos Offcanvas:
</t>
    </r>
    <r>
      <rPr>
        <rFont val="Fira Sans Extra Condensed"/>
        <b/>
        <color theme="1"/>
      </rPr>
      <t>- Elemento para salir o regresar, al dar clic debe llevar al usuario a la pantalla del “Home”.
- Título:  “Accesos rápidos”
- Texto “Elija la opción que agregará” seguido de un contador de funcionalidades seleccionadas ejemplo: 2 de 4.
- Listado de funcionalidades asignadas al usuario con un checkbox al inicio.  
- Botón de “aceptar”, únicamente se habilita si el usuario tiene seleccionado al menos una funcionalidad.</t>
    </r>
  </si>
  <si>
    <t xml:space="preserve">Una vez realizado ek cambio debe actualizarse el dashboard (Canal) </t>
  </si>
  <si>
    <t>Eliminar Atajos:</t>
  </si>
  <si>
    <t>Desde la opción de “editar” los usuarios podrán autogestionar la eliminación de los atajos que ya no deseen utilizar, el usuario debe confirmar la eliminación desmarcando la funcionalidad dando clic en la “x” y posterior dando clic en “Guardar"</t>
  </si>
  <si>
    <t>Validar que al realizar esta accion r que en la parte superior se muestre un mensaje “Eliminacion exitosa" seguido de un elemento para “Deshacer” similar al de un correo electrónico, si da clic reversa  la acción realizada.</t>
  </si>
  <si>
    <t>La eliminacion del acceso directo se realice con exito</t>
  </si>
  <si>
    <t>Eliminar Atajos</t>
  </si>
  <si>
    <t>El usuario puede realizar la eliminación de todos los accesos rápidos asignado(s)</t>
  </si>
  <si>
    <r>
      <rPr>
        <rFont val="Fira Sans Extra Condensed"/>
        <color theme="1"/>
      </rPr>
      <t xml:space="preserve">Si el usuario desea eliminar todos los accesos asigandos validar que el canal debe mostrar el siguiente mensaje:
</t>
    </r>
    <r>
      <rPr>
        <rFont val="Fira Sans Extra Condensed"/>
        <b/>
        <color theme="1"/>
      </rPr>
      <t xml:space="preserve">“Está seguro de eliminar los accesos rápidos asignados previamente” seguido de las opciones de “estoy seguro” y “Cancelar” </t>
    </r>
  </si>
  <si>
    <t>La eliminacion de todos los accesos  directos sea realizados con exito</t>
  </si>
  <si>
    <t>Mensajeria</t>
  </si>
  <si>
    <t>Cada vez que el usuario realice y finalice  algún cambio dentro de la funcionalidad de accesos rápidos ya sea en la creación, edición o eliminación  se debe mostrar en la parte superior un snackbar o mensaje temporal que informe al usuario visualmente que la novedad fue realizada o presente alguna inconsistencia</t>
  </si>
  <si>
    <r>
      <rPr>
        <rFont val="Fira Sans Extra Condensed"/>
        <color theme="1"/>
      </rPr>
      <t xml:space="preserve">Validar que al realizar o finalizar algun cambio se muestren los siguientes mensajes:
</t>
    </r>
    <r>
      <rPr>
        <rFont val="Fira Sans Extra Condensed"/>
        <b/>
        <color theme="1"/>
      </rPr>
      <t>- Mensaje exitoso: “ Acceso rápido agregado”
- Cuando se eliminan atajos se debe mostrar: “Eliminación exitosa”
- mensaje error: “Intente más tarde. No pudimos agregar este acceso rápido”</t>
    </r>
  </si>
  <si>
    <t>Se debe de mostrar un mensaje temporal en donde informe que la solicitud se realizo con exito o si se presento una inconsistencia</t>
  </si>
  <si>
    <t>Compatibilidad en la funcionalidad de accesos rapidos</t>
  </si>
  <si>
    <t xml:space="preserve">El usuario debe de acceder a la funcionlidad de accesos directos desde una computadora de escritorio </t>
  </si>
  <si>
    <r>
      <rPr>
        <rFont val="Fira Sans Extra Condensed"/>
        <color theme="1"/>
      </rPr>
      <t xml:space="preserve">Que el usuario ingrese desde una computadora de escritorio utilizando el navegador </t>
    </r>
    <r>
      <rPr>
        <rFont val="Fira Sans Extra Condensed"/>
        <b/>
        <color theme="1"/>
      </rPr>
      <t>google chrome</t>
    </r>
    <r>
      <rPr>
        <rFont val="Fira Sans Extra Condensed"/>
        <color theme="1"/>
      </rPr>
      <t>.
- el usuario debe de crear, editar y eliminar “accesos rápidos” para validar la funcionalidad</t>
    </r>
  </si>
  <si>
    <t>Al realizar el proceso de crear, editar y eliminar funciones con exito</t>
  </si>
  <si>
    <r>
      <rPr>
        <rFont val="Fira Sans Extra Condensed"/>
        <color theme="1"/>
      </rPr>
      <t xml:space="preserve">Que el usuario ingrese desde una computadora de escritorio utilizando el navegador </t>
    </r>
    <r>
      <rPr>
        <rFont val="Fira Sans Extra Condensed"/>
        <b/>
        <color theme="1"/>
      </rPr>
      <t>Mozilla firefox.</t>
    </r>
    <r>
      <rPr>
        <rFont val="Fira Sans Extra Condensed"/>
        <color theme="1"/>
      </rPr>
      <t xml:space="preserve">
- el usuario debe de crear, editar y eliminar “accesos rápidos” para validar la funcionalidad</t>
    </r>
  </si>
  <si>
    <r>
      <rPr>
        <rFont val="Fira Sans Extra Condensed"/>
        <color theme="1"/>
      </rPr>
      <t xml:space="preserve">Que el usuario ingrese desde una computadora de escritorio utilizando el navegador </t>
    </r>
    <r>
      <rPr>
        <rFont val="Fira Sans Extra Condensed"/>
        <b/>
        <color theme="1"/>
      </rPr>
      <t>Edge</t>
    </r>
    <r>
      <rPr>
        <rFont val="Fira Sans Extra Condensed"/>
        <color theme="1"/>
      </rPr>
      <t xml:space="preserve">
- el usuario debe de crear, editar y eliminar “accesos rápidos” para validar la funcionalidad</t>
    </r>
  </si>
  <si>
    <r>
      <rPr>
        <rFont val="Fira Sans Extra Condensed"/>
        <color theme="1"/>
      </rPr>
      <t xml:space="preserve">Que el usuario ingrese desde una computadora de escritorio utilizando el navegador </t>
    </r>
    <r>
      <rPr>
        <rFont val="Fira Sans Extra Condensed"/>
        <b/>
        <color theme="1"/>
      </rPr>
      <t xml:space="preserve">Explorer </t>
    </r>
    <r>
      <rPr>
        <rFont val="Fira Sans Extra Condensed"/>
        <color theme="1"/>
      </rPr>
      <t>- el usuario debe de crear, editar y eliminar “accesos rápidos” para validar la funcionalidad</t>
    </r>
  </si>
  <si>
    <r>
      <rPr>
        <rFont val="Fira Sans Extra Condensed"/>
        <color theme="1"/>
      </rPr>
      <t xml:space="preserve">El usuario debe de acceder a la funcionlidad de accesos directos desde una </t>
    </r>
    <r>
      <rPr>
        <rFont val="Fira Sans Extra Condensed"/>
        <b/>
        <color theme="1"/>
      </rPr>
      <t>laptop</t>
    </r>
    <r>
      <rPr>
        <rFont val="Fira Sans Extra Condensed"/>
        <color theme="1"/>
      </rPr>
      <t>, Se debe tomar en consideracion que acceder a funcionalidades transaccionales y de Administración no será permitido desde versiones responsive una vez el usuario de clic para intentar acceder a un acceso rápido que no se puede mostrar desde el dispositivo debe mostrar mensaje: “Esta funcionalidad únicamente es compatible con computadoras de escritorio”</t>
    </r>
  </si>
  <si>
    <r>
      <rPr>
        <rFont val="Fira Sans Extra Condensed"/>
        <color theme="1"/>
      </rPr>
      <t xml:space="preserve">Que el usuario ingrese desde una laptop utilizando el navegador </t>
    </r>
    <r>
      <rPr>
        <rFont val="Fira Sans Extra Condensed"/>
        <b/>
        <color theme="1"/>
      </rPr>
      <t>google chrome</t>
    </r>
    <r>
      <rPr>
        <rFont val="Fira Sans Extra Condensed"/>
        <color theme="1"/>
      </rPr>
      <t>.
- el usuario debe de crear, editar y eliminar “accesos rápidos” para validar la funcionalidad</t>
    </r>
  </si>
  <si>
    <r>
      <rPr>
        <rFont val="Fira Sans Extra Condensed"/>
        <color theme="1"/>
      </rPr>
      <t xml:space="preserve">El usuario debe de acceder a la funcionlidad de accesos directos desde una </t>
    </r>
    <r>
      <rPr>
        <rFont val="Fira Sans Extra Condensed"/>
        <b/>
        <color theme="1"/>
      </rPr>
      <t xml:space="preserve">laptop, </t>
    </r>
    <r>
      <rPr>
        <rFont val="Fira Sans Extra Condensed"/>
        <color theme="1"/>
      </rPr>
      <t>Se debe tomar en consideracion que acceder a funcionalidades transaccionales y de Administración no será permitido desde versiones responsive una vez el usuario de clic para intentar acceder a un acceso rápido que no se puede mostrar desde el dispositivo debe mostrar mensaje: “Esta funcionalidad únicamente es compatible con computadoras de escritorio”</t>
    </r>
  </si>
  <si>
    <r>
      <rPr>
        <rFont val="Fira Sans Extra Condensed"/>
        <color theme="1"/>
      </rPr>
      <t xml:space="preserve">Que el usuario ingrese desde una laptop utilizando el navegador </t>
    </r>
    <r>
      <rPr>
        <rFont val="Fira Sans Extra Condensed"/>
        <b/>
        <color theme="1"/>
      </rPr>
      <t>Mozilla firefox.</t>
    </r>
    <r>
      <rPr>
        <rFont val="Fira Sans Extra Condensed"/>
        <color theme="1"/>
      </rPr>
      <t xml:space="preserve">
- el usuario debe de crear, editar y eliminar “accesos rápidos” para validar la funcionalidad</t>
    </r>
  </si>
  <si>
    <r>
      <rPr>
        <rFont val="Fira Sans Extra Condensed"/>
        <color theme="1"/>
      </rPr>
      <t xml:space="preserve">El usuario debe de acceder a la funcionlidad de accesos directos desde una </t>
    </r>
    <r>
      <rPr>
        <rFont val="Fira Sans Extra Condensed"/>
        <b/>
        <color theme="1"/>
      </rPr>
      <t>laptop</t>
    </r>
    <r>
      <rPr>
        <rFont val="Fira Sans Extra Condensed"/>
        <color theme="1"/>
      </rPr>
      <t>, Se debe tomar en consuderacion que acceder a funcionalidades transaccionales y de Administración no será permitido desde versiones responsive una vez el usuario de clic para intentar acceder a un acceso rápido que no se puede mostrar desde el dispositivo debe mostrar mensaje: “Esta funcionalidad únicamente es compatible con computadoras de escritorio”</t>
    </r>
  </si>
  <si>
    <r>
      <rPr>
        <rFont val="Fira Sans Extra Condensed"/>
        <color theme="1"/>
      </rPr>
      <t xml:space="preserve">Que el usuario ingrese desde una laptop utilizando el navegador </t>
    </r>
    <r>
      <rPr>
        <rFont val="Fira Sans Extra Condensed"/>
        <b/>
        <color theme="1"/>
      </rPr>
      <t>Edge</t>
    </r>
    <r>
      <rPr>
        <rFont val="Fira Sans Extra Condensed"/>
        <color theme="1"/>
      </rPr>
      <t>.
- el usuario debe de crear, editar y eliminar “accesos rápidos” para validar la funcionalidad</t>
    </r>
  </si>
  <si>
    <r>
      <rPr>
        <rFont val="Fira Sans Extra Condensed"/>
        <color theme="1"/>
      </rPr>
      <t xml:space="preserve">El usuario debe de acceder a la funcionlidad de accesos directos desde una </t>
    </r>
    <r>
      <rPr>
        <rFont val="Fira Sans Extra Condensed"/>
        <b/>
        <color theme="1"/>
      </rPr>
      <t>laptop</t>
    </r>
    <r>
      <rPr>
        <rFont val="Fira Sans Extra Condensed"/>
        <color theme="1"/>
      </rPr>
      <t>, Se debe tomar en consideracion que acceder a funcionalidades transaccionales y de Administración no será permitido desde versiones responsive una vez el usuario de clic para intentar acceder a un acceso rápido que no se puede mostrar desde el dispositivo debe mostrar mensaje: “Esta funcionalidad únicamente es compatible con computadoras de escritorio”</t>
    </r>
  </si>
  <si>
    <r>
      <rPr>
        <rFont val="Fira Sans Extra Condensed"/>
        <color theme="1"/>
      </rPr>
      <t xml:space="preserve">Que el usuario ingrese desde una laptop utilizando el navegador </t>
    </r>
    <r>
      <rPr>
        <rFont val="Fira Sans Extra Condensed"/>
        <b/>
        <color theme="1"/>
      </rPr>
      <t>Explorer</t>
    </r>
    <r>
      <rPr>
        <rFont val="Fira Sans Extra Condensed"/>
        <color theme="1"/>
      </rPr>
      <t>.
- el usuario debe de crear, editar y eliminar “accesos rápidos” para validar la funcionalidad</t>
    </r>
  </si>
  <si>
    <r>
      <rPr>
        <rFont val="Fira Sans Extra Condensed"/>
        <color theme="1"/>
      </rPr>
      <t xml:space="preserve">El usuario debe de ingresar al modulo regional desde una </t>
    </r>
    <r>
      <rPr>
        <rFont val="Fira Sans Extra Condensed"/>
        <b/>
        <color theme="1"/>
      </rPr>
      <t>tablet</t>
    </r>
    <r>
      <rPr>
        <rFont val="Fira Sans Extra Condensed"/>
        <color theme="1"/>
      </rPr>
      <t xml:space="preserve"> con sistema operativo </t>
    </r>
    <r>
      <rPr>
        <rFont val="Fira Sans Extra Condensed"/>
        <b/>
        <color theme="1"/>
      </rPr>
      <t>Android</t>
    </r>
    <r>
      <rPr>
        <rFont val="Fira Sans Extra Condensed"/>
        <color theme="1"/>
      </rPr>
      <t>, Se debe tomar en consideracion que acceder a funcionalidades transaccionales y de Administración no será permitido desde versiones responsive una vez el usuario de clic para intentar acceder a un acceso rápido que no se puede mostrar desde el dispositivo debe mostrar mensaje: “Esta funcionalidad únicamente es compatible con computadoras de escritorio”</t>
    </r>
  </si>
  <si>
    <r>
      <rPr>
        <rFont val="Fira Sans Extra Condensed"/>
        <color theme="1"/>
      </rPr>
      <t xml:space="preserve">Que el usuario ingrese desde una tablet utilizando el navegador </t>
    </r>
    <r>
      <rPr>
        <rFont val="Fira Sans Extra Condensed"/>
        <b/>
        <color theme="1"/>
      </rPr>
      <t>google chrome</t>
    </r>
    <r>
      <rPr>
        <rFont val="Fira Sans Extra Condensed"/>
        <color theme="1"/>
      </rPr>
      <t>.
- el usuario debe de crear, editar y eliminar “accesos rápidos” para validar la funcionalidad</t>
    </r>
  </si>
  <si>
    <t>Al realizar el proceso de crear, editar y eliminar funciones con exito, en caso de tener la version responsive le debe  de mostrar un mensaje: “Esta funcionalidad únicamente es compatible con computadoras de escritorio”</t>
  </si>
  <si>
    <r>
      <rPr>
        <rFont val="Fira Sans Extra Condensed"/>
        <color theme="1"/>
      </rPr>
      <t xml:space="preserve">El usuario debe de ingresar al modulo regional desde una </t>
    </r>
    <r>
      <rPr>
        <rFont val="Fira Sans Extra Condensed"/>
        <b/>
        <color theme="1"/>
      </rPr>
      <t>tablet</t>
    </r>
    <r>
      <rPr>
        <rFont val="Fira Sans Extra Condensed"/>
        <color theme="1"/>
      </rPr>
      <t xml:space="preserve"> con sistema operativo Android, Se debe tomar en consideracion que acceder a funcionalidades transaccionales y de Administración no será permitido desde versiones responsive una vez el usuario de clic para intentar acceder a un acceso rápido que no se puede mostrar desde el dispositivo debe mostrar mensaje: “Esta funcionalidad únicamente es compatible con computadoras de escritorio”</t>
    </r>
  </si>
  <si>
    <r>
      <rPr>
        <rFont val="Fira Sans Extra Condensed"/>
        <color theme="1"/>
      </rPr>
      <t xml:space="preserve">Que el usuario ingrese desde una tablet utilizando el navegador </t>
    </r>
    <r>
      <rPr>
        <rFont val="Fira Sans Extra Condensed"/>
        <b/>
        <color theme="1"/>
      </rPr>
      <t>Edge</t>
    </r>
    <r>
      <rPr>
        <rFont val="Fira Sans Extra Condensed"/>
        <color theme="1"/>
      </rPr>
      <t>.
- el usuario debe de crear, editar y eliminar “accesos rápidos” para validar la funcionalidad</t>
    </r>
  </si>
  <si>
    <r>
      <rPr>
        <rFont val="Fira Sans Extra Condensed"/>
        <color theme="1"/>
      </rPr>
      <t xml:space="preserve">El usuario debe de ingresar al modulo regional desde una </t>
    </r>
    <r>
      <rPr>
        <rFont val="Fira Sans Extra Condensed"/>
        <b/>
        <color theme="1"/>
      </rPr>
      <t>tablet</t>
    </r>
    <r>
      <rPr>
        <rFont val="Fira Sans Extra Condensed"/>
        <color theme="1"/>
      </rPr>
      <t xml:space="preserve"> con sistema operativo Android, Se debe tomar en consideracion que acceder a funcionalidades transaccionales y de Administración no será permitido desde versiones responsive una vez el usuario de clic para intentar acceder a un acceso rápido que no se puede mostrar desde el dispositivo debe mostrar mensaje: “Esta funcionalidad únicamente es compatible con computadoras de escritorio”</t>
    </r>
  </si>
  <si>
    <r>
      <rPr>
        <rFont val="Fira Sans Extra Condensed"/>
        <color theme="1"/>
      </rPr>
      <t xml:space="preserve">Que el usuario ingrese desde una tablet utilizando el navegador </t>
    </r>
    <r>
      <rPr>
        <rFont val="Fira Sans Extra Condensed"/>
        <b/>
        <color theme="1"/>
      </rPr>
      <t>google chrome</t>
    </r>
    <r>
      <rPr>
        <rFont val="Fira Sans Extra Condensed"/>
        <color theme="1"/>
      </rPr>
      <t>.
- el usuario debe de crear, editar y eliminar “accesos rápidos” para validar la funcionalidad</t>
    </r>
  </si>
  <si>
    <r>
      <rPr>
        <rFont val="Fira Sans Extra Condensed"/>
        <color theme="1"/>
      </rPr>
      <t xml:space="preserve">El usuario debe de ingresar al modulo regional desde una </t>
    </r>
    <r>
      <rPr>
        <rFont val="Fira Sans Extra Condensed"/>
        <b/>
        <color theme="1"/>
      </rPr>
      <t>tablet</t>
    </r>
    <r>
      <rPr>
        <rFont val="Fira Sans Extra Condensed"/>
        <color theme="1"/>
      </rPr>
      <t>, Se debe tomar en consideracion que acceder a funcionalidades transaccionales y de Administración no será permitido desde versiones responsive una vez el usuario de clic para intentar acceder a un acceso rápido que no se puede mostrar desde el dispositivo debe mostrar mensaje: “Esta funcionalidad únicamente es compatible con computadoras de escritorio”</t>
    </r>
  </si>
  <si>
    <r>
      <rPr>
        <rFont val="Fira Sans Extra Condensed"/>
        <color theme="1"/>
      </rPr>
      <t xml:space="preserve">Que el usuario ingrese desde una tablet  </t>
    </r>
    <r>
      <rPr>
        <rFont val="Fira Sans Extra Condensed"/>
        <b/>
        <color theme="1"/>
      </rPr>
      <t xml:space="preserve">IOS </t>
    </r>
    <r>
      <rPr>
        <rFont val="Fira Sans Extra Condensed"/>
        <color theme="1"/>
      </rPr>
      <t xml:space="preserve">y navegador </t>
    </r>
    <r>
      <rPr>
        <rFont val="Fira Sans Extra Condensed"/>
        <b/>
        <color theme="1"/>
      </rPr>
      <t>zafari</t>
    </r>
    <r>
      <rPr>
        <rFont val="Fira Sans Extra Condensed"/>
        <color theme="1"/>
      </rPr>
      <t>.
- el usuario debe de crear, editar y eliminar “accesos rápidos” para validar la funcionalidad</t>
    </r>
  </si>
  <si>
    <r>
      <rPr>
        <rFont val="Fira Sans Extra Condensed"/>
        <color theme="1"/>
      </rPr>
      <t xml:space="preserve">El usuario debe de ingresar al modulo regional desde un dispositivo movil con sistema operativo Android y el navegador </t>
    </r>
    <r>
      <rPr>
        <rFont val="Fira Sans Extra Condensed"/>
        <b/>
        <color theme="1"/>
      </rPr>
      <t>google chrome.</t>
    </r>
  </si>
  <si>
    <t>Validar que no se muestre la funcionalidad de acceso directo, y debe de mostrar un mensaje  “Esta funcionalidad únicamente es compatible con computadoras de escritorio”</t>
  </si>
  <si>
    <t>No debe de permitir ingresar a los accesos rapidos y el mensaje que no es compatble se debe de mostrar con exito</t>
  </si>
  <si>
    <r>
      <rPr>
        <rFont val="Fira Sans Extra Condensed"/>
        <color theme="1"/>
      </rPr>
      <t>El usuario debe de ingresar al modulo regional desde un dispositivo movil con sistema operativo iOS y el navegador</t>
    </r>
    <r>
      <rPr>
        <rFont val="Fira Sans Extra Condensed"/>
        <b/>
        <color theme="1"/>
      </rPr>
      <t xml:space="preserve"> google chrome.</t>
    </r>
  </si>
  <si>
    <r>
      <rPr>
        <rFont val="Fira Sans Extra Condensed"/>
        <color theme="1"/>
      </rPr>
      <t xml:space="preserve">El usuario debe de ingresar al modulo regional desde un dispositivo movil con sistema operativo iOS  y navegador </t>
    </r>
    <r>
      <rPr>
        <rFont val="Fira Sans Extra Condensed"/>
        <b/>
        <color theme="1"/>
      </rPr>
      <t>zafari</t>
    </r>
  </si>
  <si>
    <t xml:space="preserve">Accesos Rápidos
</t>
  </si>
  <si>
    <r>
      <rPr>
        <rFont val="Fira Sans Extra Condensed"/>
        <b val="0"/>
        <color theme="1"/>
      </rPr>
      <t xml:space="preserve"> Accesos Rápidos /</t>
    </r>
    <r>
      <rPr>
        <rFont val="Fira Sans Extra Condensed"/>
        <b/>
        <color theme="1"/>
      </rPr>
      <t xml:space="preserve">
Cambio de idioma</t>
    </r>
  </si>
  <si>
    <r>
      <rPr>
        <rFont val="Fira Sans Extra Condensed"/>
        <b val="0"/>
        <color theme="1"/>
      </rPr>
      <t xml:space="preserve"> Accesos Rápidos /</t>
    </r>
    <r>
      <rPr>
        <rFont val="Fira Sans Extra Condensed"/>
        <b/>
        <color theme="1"/>
      </rPr>
      <t xml:space="preserve">
Cambio de idioma</t>
    </r>
  </si>
  <si>
    <t>,m</t>
  </si>
  <si>
    <t>Pais Responable</t>
  </si>
  <si>
    <t xml:space="preserve">Consulta detallada de cuentas </t>
  </si>
  <si>
    <t>El usuario debe de validar que se muestre un elemento de “back to top” si presentan resultados de movimientos al dar clic a este elemento lleva al usuario a la parte superior de la pantalla. y se mantendra fijo durante la consulta y scroll en los movimientos.</t>
  </si>
  <si>
    <t>El usuario debe de ingresar desde la posicion consolidada y seleccionar el producto del cual queire visualizar el detalle, mientras se carga la información que se mostrará en pantalla, se debe mostrar el “Skeleton” de las funcionalidades</t>
  </si>
  <si>
    <t>Si se muestra el elemento back to top, debe de funcionar de forma correcta</t>
  </si>
  <si>
    <t>Criterio 2- Detalle de Producto:</t>
  </si>
  <si>
    <r>
      <rPr>
        <rFont val="Fira Sans Extra Condensed"/>
        <color theme="1"/>
      </rPr>
      <t xml:space="preserve">Se debe de validar que al realizar la consulta se muestre las suiguientes campos: 
 </t>
    </r>
    <r>
      <rPr>
        <rFont val="Fira Sans Extra Condensed"/>
        <b/>
        <color theme="1"/>
      </rPr>
      <t xml:space="preserve">-Regresar: </t>
    </r>
    <r>
      <rPr>
        <rFont val="Fira Sans Extra Condensed"/>
        <color theme="1"/>
      </rPr>
      <t xml:space="preserve">Debe mostrar un elemento en pantalla que permita al usuario volver a la página anterior, ligada a la experiencia transversal de “regresar”.
</t>
    </r>
    <r>
      <rPr>
        <rFont val="Fira Sans Extra Condensed"/>
        <b/>
        <color theme="1"/>
      </rPr>
      <t>- Tarjeta producto:</t>
    </r>
    <r>
      <rPr>
        <rFont val="Fira Sans Extra Condensed"/>
        <color theme="1"/>
      </rPr>
      <t xml:space="preserve"> Se debe visualiizar una tarjeta en la parte superior y  debe de contener la siguiente información:</t>
    </r>
    <r>
      <rPr>
        <rFont val="Fira Sans Extra Condensed"/>
        <b/>
        <color theme="1"/>
      </rPr>
      <t xml:space="preserve"> (Nombre de cuenta / Alias, tipo de producto, estado del producto, número de cuenta encriptado (Ejemplo en Pantalla 1 / Columna 4), bandera del país del producto origen e iniciales. Resumen de saldos (Saldo Total, saldo disponible, saldo retenido, saldo en cheques) y una opción para acceder a los estados de cuenta.</t>
    </r>
  </si>
  <si>
    <t xml:space="preserve">El usuario debe de consultar el mayor detalle de los productos </t>
  </si>
  <si>
    <t>Debe de mostrar todos los campos  poblados de forma exitosa</t>
  </si>
  <si>
    <t>Consulta detallada de cuentas / Alias</t>
  </si>
  <si>
    <t>Ingresar al modulo con usuario administrador y seleccionar todas las empresas</t>
  </si>
  <si>
    <t>El usuario debe de editar el alias de la cuenta y debe de validar que le permita colocar minimo de 6 caracteres hasta 45 caracteres Alfanuméricos</t>
  </si>
  <si>
    <t xml:space="preserve">Al usuariio administrador debe de visualizar en la tarjeta de productos una opcion que le permita asignar o editar el nombre del alias </t>
  </si>
  <si>
    <t xml:space="preserve">- El nombre que se ingrese del alias será el que todos los usuarios visualizarán asociado al producto, 
- El nombre del alias únicamente solo sera visible en el canal PER
</t>
  </si>
  <si>
    <t>El alias debe de ser modificado exitosamente</t>
  </si>
  <si>
    <t>El usuario operador debe de validar que NO se le muestre la ocpion para editar el alias</t>
  </si>
  <si>
    <t xml:space="preserve">Al usuariio operador no se le debe de mostar la opcion para editar el alias </t>
  </si>
  <si>
    <t xml:space="preserve">Al usuario no le debe de permitir editar el nombre del alias </t>
  </si>
  <si>
    <r>
      <rPr>
        <rFont val="Fira Sans Extra Condensed"/>
        <color theme="1"/>
      </rPr>
      <t xml:space="preserve">Al editar la el nombre del alias se debe de mostrar las siguinetes opciones 
</t>
    </r>
    <r>
      <rPr>
        <rFont val="Fira Sans Extra Condensed"/>
        <b/>
        <color theme="1"/>
      </rPr>
      <t>Título: Editar nombre
Elemento de salir o regresar “x”
Descripción: Asigne un nombre al producto</t>
    </r>
  </si>
  <si>
    <t>El usuario debe de cambiar el alias de una cuenta y validar que el finalizar se habilite el botón de “Guardar” y se muestre un mensaje temporal “Edición exitosa.”</t>
  </si>
  <si>
    <t>El usuario podrá editar el nombre las veces que requiera, si la edición no puede ser realizada se debe mostrar el mensaje “Edición fallida. Intente más tarde”.</t>
  </si>
  <si>
    <t>El cambio del alias de la cuenta se realice con exito</t>
  </si>
  <si>
    <t>Consulta detallada de cuentas / Estado de cuenta</t>
  </si>
  <si>
    <t>Ingresar al modulo con usuario operador / Consulta y seleccionar todas las empresas</t>
  </si>
  <si>
    <t>el boton para descargar los estados de cuenta se debe de estar disponible</t>
  </si>
  <si>
    <t>El usuario debe de validar que se muestre un botón que le permita generar la descarga del estado cuenta</t>
  </si>
  <si>
    <t>El estado de cuenta se debe de descargar con exito</t>
  </si>
  <si>
    <t xml:space="preserve">Consulta detallada de cuentas  / Resumen Saldo </t>
  </si>
  <si>
    <t>Validar que al consultar el resumen de saldo se muestren los siguientes campos:
- Saldo Total: Todo el dinero que tiene en la cuenta.
- Saldo Disponible: Dinero para uso inmediato.
- Saldo Retenido: Dinero recibido de tx regionales (Aplica para SV ) destinado para pagar obligaciones. (Este campo no aplica para cuentas en aperturadas en Colombia.)
 - Saldo Cheques: Dinero de cheques que se está validando. ( este aplica de acuerdo al regulatorio de cada pais )</t>
  </si>
  <si>
    <t>El usuario debe de validar que en la tarjeta de productos se muestre la moneda de apertura del producto</t>
  </si>
  <si>
    <t>Honduras y Costa Rica , Panama,  pueden tener cuentas aperturadas en USD. 
Miami, Costa Rica, Honduras y Panamá pueden tener cuentas aperturadas en Euro</t>
  </si>
  <si>
    <t>El canal debe de permitir visualizar el resumen de saldos de productos activos</t>
  </si>
  <si>
    <t>Criterio 3 -  Movimientos</t>
  </si>
  <si>
    <r>
      <rPr>
        <rFont val="Fira Sans Extra Condensed"/>
        <color theme="1"/>
      </rPr>
      <t xml:space="preserve">El usuario debe de validar que en el resultado se muestre  la información de los movimientos del producto en orden del más reciente al más antiguo por columnas de la siguiente manera: 
</t>
    </r>
    <r>
      <rPr>
        <rFont val="Fira Sans Extra Condensed"/>
        <b/>
        <color theme="1"/>
      </rPr>
      <t>- Fecha: Se debe presentar en formato DD/MM/AAAA
- Hora: El canal debe mostrar la hora en la que se registró el movimiento así HH:MM:SS AM/PM
- Movimiento: En esta columna se debe registrar la naturaleza del movimiento es decir si es un débito/egreso en esta columna se registran los movimientos con la palabra “salida” en rojo, por el otro lado si la operación tiene naturaleza crédito/ingreso en la columna se debe registrar la palabra “Entrada”. Al realizar la descarga esta información se debe presentar en columnas separadas en cualquiera de los formatos que la información sea descargada.  
- Descripción: El canal debe mostrar la descripción del movimiento tal cómo lo envía el core siendo igual a cómo se muestra en la banca en línea o portal empresarial. La longitud máxima de este campo será de 63 caracteres. 
- Monto: Se debe presentar el valor del movimiento en la moneda local. 
- Saldo contable: Aplica únicamente para: Panamá, Costa Rica, Honduras, El Salvador, y Miami; El canal debe mostrar el valor del “saldo contable” con el movimiento afectado tal cómo lo envía el core siendo igual a cómo se muestra en la banca en línea, se debe incluir tooltip en el título así: “Dinero total después de cada  movimiento.”
- Saldo Anterior: Aplica únicamente para Colombia, El canal debe mostrar el valor del “saldo anterior” con el movimiento afectado tal cómo lo envía el core siendo igual a     cómo se muestra en el portal empresarial. se debe incluir el siguiente  tooltip en el título “Dinero que tenía antes del movimiento”</t>
    </r>
  </si>
  <si>
    <t>En la parte inferior de la tarjeta con  información resumen del producto, el usuario debe de visualizar el listado de los últimos movimientos de la cuenta, de acuerdo a la información de los movimientos disponibles que envía el core y el core debe de mostrar</t>
  </si>
  <si>
    <t xml:space="preserve">El listado con los ultimos movimientos se debe de mostrar con exito </t>
  </si>
  <si>
    <t>Consulta detallada de cuentas  /Paginación</t>
  </si>
  <si>
    <t>Ingresar al modulo con usuario operador / Autorizante y  seleccionar todas las empreas</t>
  </si>
  <si>
    <r>
      <rPr>
        <rFont val="Fira Sans Extra Condensed"/>
        <color theme="1"/>
      </rPr>
      <t xml:space="preserve">Se debe de validar que la paginacion se muestre en la parte superior del resultado
</t>
    </r>
    <r>
      <rPr>
        <rFont val="Fira Sans Extra Condensed"/>
        <b/>
        <color theme="1"/>
      </rPr>
      <t xml:space="preserve">- Se presentará hasta 50 registros por página. de acuerdo a la informacion obtenida
- La paginación debe permitir al usuario moverse de la página posterior y anterior mostrando numéricamente en cúal pagina se encuentray cuantas paginas existen en la consulta, adicional debe permitir moverse en cualquier momento al inicio o fin. </t>
    </r>
  </si>
  <si>
    <t xml:space="preserve">Al usuario se le debe de mostrar en pantalla la paginación mostrando el número de páginas totales que arroja al consultar las cuentas </t>
  </si>
  <si>
    <t>Si se muestran menos de 50 registros no se debe de mostrar paginacion</t>
  </si>
  <si>
    <t>La paginacion se debe de mostrar y debe de funcionar exitosamente</t>
  </si>
  <si>
    <t>Consulta detallada de cuentas  / Ordenar</t>
  </si>
  <si>
    <t>Ingresar al modulo con uusrio Autorizante y  seleccionar todas las empreas del grupo</t>
  </si>
  <si>
    <r>
      <rPr>
        <rFont val="Fira Sans Extra Condensed"/>
        <color theme="1"/>
      </rPr>
      <t xml:space="preserve">El usuario debe de dar clic en los titulos de las columnas y debe de mostrar las siguientes opciones
</t>
    </r>
    <r>
      <rPr>
        <rFont val="Fira Sans Extra Condensed"/>
        <b/>
        <color theme="1"/>
      </rPr>
      <t>- Fecha: Teniendo en cuenta la naturaleza al dar clic permite seleccionar
                * Del más reciente al más antiguo.
                * Del más antiguo al más reciente.
- Hora: Teniendo en cuenta la naturaleza al dar clic permite seleccionar
              * Del más reciente al más antiguo.
              * Del más antiguo al más reciente.</t>
    </r>
  </si>
  <si>
    <t>El usuario debe de validar que el canal le permita seleccionar y ordenar la información de mayor relevancia para que pueda visualizar de mayor a menor los rangos de los saldos</t>
  </si>
  <si>
    <t>Debe de permitir ordenar la informacion  de los saldo con exito</t>
  </si>
  <si>
    <t>Consulta detallada de cuentas  /  Filtros de Búsqueda</t>
  </si>
  <si>
    <t xml:space="preserve">Acceder al modulo de regional con usuario autorizante, y seleccionado todas las sociedades </t>
  </si>
  <si>
    <t>El usuario debe de hacer una busqueda utilizando uno de los filtros Pais / Producto / Tipo de Cuenta/ Monto referencia USD 
-  La busqueda debe de ser exitosa: el canal debe actualizar la pantalla y mostrar el resultado buscado.</t>
  </si>
  <si>
    <t xml:space="preserve">El usuario se le debe de mostrar una opcion (boton) para buscar un movimiento digitando la descripcion </t>
  </si>
  <si>
    <t>Se debe de mostrar el producto de acuerdo a la busqueda solicitada</t>
  </si>
  <si>
    <t xml:space="preserve">Acceder al modulo de regional con usuario operador, y seleccionado todas las sociedades </t>
  </si>
  <si>
    <t>El usuario debe de hacer una busqueda colocando datos erroneos 
- Debe de validar que se le muestre un mensaje "Búsqueda sin coincidencia" “La búsqueda de (“Texto ingresado”).no presenta resultados.”</t>
  </si>
  <si>
    <t xml:space="preserve">El usuario debe de validar que se le muestre una opcion (boton) para buscar un producto escribiendo el nombre de la empresa </t>
  </si>
  <si>
    <t xml:space="preserve">Se debe de mostrar en panatalla el mensaje “La búsqueda de (“Texto ingresado”).no presenta resultados.” </t>
  </si>
  <si>
    <r>
      <rPr>
        <rFont val="Fira Sans Extra Condensed"/>
        <color theme="1"/>
      </rPr>
      <t xml:space="preserve">El usuario debe de validar que el canal le permita aplicar los siguientes filtros:
</t>
    </r>
    <r>
      <rPr>
        <rFont val="Fira Sans Extra Condensed"/>
        <b/>
        <color theme="1"/>
      </rPr>
      <t>- Rango de Fecha: debe permitir ingresar una fecha desde - hasta, en formato DD/MM/AAAA, (el usuario podrá digitar la fecha o puede seleccionar la fecha en un calendario)
- Rango monto: El canal debe permitir realizar filtro de movimientos por rango del “monto”, esta opción debe permitir ingresar un campo numérico un valor mínimo y/o Maximo
- Tipo de movimiento: en este desplegable el canal mostrará la opción de seleccionar una de las siguientes opciones: Entradas y Salidas
- Aplicar: Una vez el usuario seleccione al menos una opción se habilita el botón para “aplicar”
- Borrar: Al dar clic en este botón el canal debe eliminar cualquier parámetro ingresado en los filtros 
- Mensajería: - En caso que el se ingrese un filtro con información que no contenga resultados de la búsqueda se debe presentar en un pop up</t>
    </r>
  </si>
  <si>
    <t xml:space="preserve">El usuario debe de validar que se le muestre una opcion (boton) para que le permita realizar filtros </t>
  </si>
  <si>
    <t>Se debe de mostrar el producto de acuerdo al filtro realizado</t>
  </si>
  <si>
    <t xml:space="preserve">Consulta detallada de cuentas  /  Filtros de Búsqueda  - Rango de fecha </t>
  </si>
  <si>
    <r>
      <rPr>
        <rFont val="Fira Sans Extra Condensed"/>
        <color theme="1"/>
      </rPr>
      <t xml:space="preserve">El usuario debe validar que le permita realizar los siguientes filtros
</t>
    </r>
    <r>
      <rPr>
        <rFont val="Fira Sans Extra Condensed"/>
        <b/>
        <color theme="1"/>
      </rPr>
      <t>-  fecha desde - hasta, en formato DD/MM/AAAA
- Digitar la fecha o seleccionar la fecha en un calendario
- Ingresar  únicamente la fecha inicial , el canal deberá aplicar el filtro de los movimientos teniendo en cuenta la fecha  ingresada hasta la fecha actual</t>
    </r>
  </si>
  <si>
    <t>El usuario debe de selccionar el filtro de Rango de fecha</t>
  </si>
  <si>
    <t>Se debe tener en cuenta que la antigüedad de los movimientos que muestra el canal depende de lo que permite el core de cada país la información disponible para consulta</t>
  </si>
  <si>
    <t>Debe de permitir realizar la consulta con el filtro rango de fecha con exito</t>
  </si>
  <si>
    <t xml:space="preserve">Consulta detallada de cuentas  /  Filtros de Búsqueda- Rango de fecha </t>
  </si>
  <si>
    <t>Acceder al modulo de regional con usuario operador, y seleccionado la sociedad de SV</t>
  </si>
  <si>
    <r>
      <rPr>
        <rFont val="Fira Sans Extra Condensed"/>
        <color theme="1"/>
      </rPr>
      <t xml:space="preserve">Se deben de realizar la consulta con rango de fecha y Validar que la disponibildad de antiguedad de movimientos que muestra el canal depende del core de cada pais: </t>
    </r>
    <r>
      <rPr>
        <rFont val="Fira Sans Extra Condensed"/>
        <b/>
        <color theme="1"/>
      </rPr>
      <t xml:space="preserve">
El Salvador: Debe de permitir  Consulta de movimientos año actual y anterior. </t>
    </r>
  </si>
  <si>
    <t>Acceder al modulo de regional con usuario operador, y seleccionado la sociedad de HN</t>
  </si>
  <si>
    <r>
      <rPr>
        <rFont val="Fira Sans Extra Condensed"/>
        <color theme="1"/>
      </rPr>
      <t xml:space="preserve">Se deben de realizar la consulta con rango de fecha y Validar que la disponibildad de antiguedad de movimientos que muestra el canal depende del core de cada pais: </t>
    </r>
    <r>
      <rPr>
        <rFont val="Fira Sans Extra Condensed"/>
        <b/>
        <color theme="1"/>
      </rPr>
      <t xml:space="preserve">
Honduras:  El canal  debe de permitir realizar consultas de los últimos 60 meses (5 años)</t>
    </r>
  </si>
  <si>
    <t>Acceder al modulo de regional con usuario operador, y seleccionado la sociedad de PA</t>
  </si>
  <si>
    <r>
      <rPr>
        <rFont val="Fira Sans Extra Condensed"/>
        <color theme="1"/>
      </rPr>
      <t xml:space="preserve">Se deben de realizar la consulta con rango de fecha y Validar que la disponibildad de antiguedad de movimientos que muestra el canal depende del core de cada pais: 
</t>
    </r>
    <r>
      <rPr>
        <rFont val="Fira Sans Extra Condensed"/>
        <b/>
        <color theme="1"/>
      </rPr>
      <t>Panamá:  El canal debe de permitir consultar movimientos del año actual y anterior.</t>
    </r>
  </si>
  <si>
    <t>Acceder al modulo de regional con usuario operador, y seleccionado la sociedad de CR</t>
  </si>
  <si>
    <r>
      <rPr>
        <rFont val="Fira Sans Extra Condensed"/>
        <color theme="1"/>
      </rPr>
      <t xml:space="preserve">Se deben de realizar la consulta con rango de fecha y Validar que la disponibildad de antiguedad de movimientos que muestra el canal depende del core de cada pais: </t>
    </r>
    <r>
      <rPr>
        <rFont val="Fira Sans Extra Condensed"/>
        <b/>
        <color theme="1"/>
      </rPr>
      <t xml:space="preserve">
Costa Rica:  El canal debe de permitir  realizar consultas de los últimos 60 meses (5 años)</t>
    </r>
  </si>
  <si>
    <t>Acceder al modulo de regional con usuario operador, y seleccionado la sociedad de COL</t>
  </si>
  <si>
    <r>
      <rPr>
        <rFont val="Fira Sans Extra Condensed"/>
        <color theme="1"/>
      </rPr>
      <t xml:space="preserve">Se deben de realizar la consulta con rango de fecha y Validar que la disponibildad de antiguedad de movimientos que muestra el canal depende del core de cada pais: 
</t>
    </r>
    <r>
      <rPr>
        <rFont val="Fira Sans Extra Condensed"/>
        <b/>
        <color theme="1"/>
      </rPr>
      <t>Colombia:  El canal debe de permitir consultar el mes actual y anterior.</t>
    </r>
  </si>
  <si>
    <t>Acceder al modulo de regional con usuario operador, y seleccionado la sociedad de MIA</t>
  </si>
  <si>
    <r>
      <rPr>
        <rFont val="Fira Sans Extra Condensed"/>
        <color theme="1"/>
      </rPr>
      <t xml:space="preserve">Se deben de realizar la consulta con rango de fecha y Validar que la disponibildad de antiguedad de movimientos que muestra el canal depende del core de cada pais: </t>
    </r>
    <r>
      <rPr>
        <rFont val="Fira Sans Extra Condensed"/>
        <b/>
        <color theme="1"/>
      </rPr>
      <t xml:space="preserve">
Miami: El canal permite consultar los últimos 12 meses </t>
    </r>
  </si>
  <si>
    <t>Consulta detallada de cuentas  /  Filtros de Búsqueda - Rango monto</t>
  </si>
  <si>
    <t>Acceder al modulo de regional con usuario operador, y seleccionado 2 sociedades</t>
  </si>
  <si>
    <t>Se deben de realizar la consulta con rango monto y Validar que la disponibildad de antiguedad de movimientos que muestra el canal depende del core de cada pais:
- Ingresar  en el campo numérico un valor mínimo y/o Maximo 
- ingresa un solo valor el canal deberá aplicar el filtro de los movimientos</t>
  </si>
  <si>
    <t>El usuario debe de selccionar el filtro Rango de monto</t>
  </si>
  <si>
    <t>Debe de permitir realizar la consulta con el filtro rango monto con exito</t>
  </si>
  <si>
    <t>Consulta detallada de cuentas  /  Filtros de Búsqueda - Tipo de movimiento</t>
  </si>
  <si>
    <t>Acceder al modulo de regional con usuario consultor, y seleccionar una de las sociedades SV,HN,PA,CR, COL, MIA</t>
  </si>
  <si>
    <r>
      <rPr>
        <rFont val="Fira Sans Extra Condensed"/>
        <color theme="1"/>
      </rPr>
      <t xml:space="preserve">El usuario debe de selecionar el boton de - </t>
    </r>
    <r>
      <rPr>
        <rFont val="Fira Sans Extra Condensed"/>
        <b/>
        <color theme="1"/>
      </rPr>
      <t>Salida:</t>
    </r>
    <r>
      <rPr>
        <rFont val="Fira Sans Extra Condensed"/>
        <color theme="1"/>
      </rPr>
      <t xml:space="preserve"> una vez aplicado este filtro el canal únicamente debe mostrar las operaciones cuya naturaleza es un egreso de la cuenta</t>
    </r>
  </si>
  <si>
    <t xml:space="preserve">En la parte inferior del canal se le mostrara al usuario 2 botones (Salida y Entrada ) que le permita seleccionar el tipo de movimiento que desea consultar </t>
  </si>
  <si>
    <t>Unicamente se deben mostrar las operaciones salientes</t>
  </si>
  <si>
    <t>Consulta detallada de cuentas  / Filtros de Búsqueda</t>
  </si>
  <si>
    <t>Acceder al modulo de regional con usuario operador, y seleccionado todas las sociedades del grupo</t>
  </si>
  <si>
    <r>
      <rPr>
        <rFont val="Fira Sans Extra Condensed"/>
        <color theme="1"/>
      </rPr>
      <t xml:space="preserve">El usuario debe de selecionar el boton de - </t>
    </r>
    <r>
      <rPr>
        <rFont val="Fira Sans Extra Condensed"/>
        <b/>
        <color theme="1"/>
      </rPr>
      <t>Entrada</t>
    </r>
    <r>
      <rPr>
        <rFont val="Fira Sans Extra Condensed"/>
        <color theme="1"/>
      </rPr>
      <t>: una vez aplicado este filtro el canal únicamente debe mostrar operaciones cuya naturaleza es un ingreso de recursos en la cuenta, esta opción debe permitir combinar con cualquiera de los otros filtros seleccionados.</t>
    </r>
  </si>
  <si>
    <t>Unicamente se deben mostrar las operaciones entrantes</t>
  </si>
  <si>
    <t>Consulta detallada de cuentas  / Aplicar</t>
  </si>
  <si>
    <t>Acceder al modulo de regional con usuario autorizador, y seleccionado todas las sociedades del grupo</t>
  </si>
  <si>
    <r>
      <rPr>
        <rFont val="Fira Sans Extra Condensed"/>
        <color theme="1"/>
      </rPr>
      <t xml:space="preserve">El usuario debe de validar que al selecconar una de las opciones se habilite un boton que diga "aplicar"  
</t>
    </r>
    <r>
      <rPr>
        <rFont val="Fira Sans Extra Condensed"/>
        <b/>
        <color theme="1"/>
      </rPr>
      <t xml:space="preserve">- Se debe de validar que el canal actualice la pantalla con los movimientos de acuerdo  a la seleccionado
- En la parte superior de la pantalla de resultados se debe mostrar la palabra del filtro ingresado, con un elemento (Boton) que permita realizar la eliminación del filtro dando clic en la “x”.
- Si hay más de un filtro aplicado estará el elemento de “borrar filtros” al dar clic elimina todos los filtros aplicados. </t>
    </r>
  </si>
  <si>
    <t>El usuario debe de seleccionar una de las opciones (Salida o entrada )</t>
  </si>
  <si>
    <t>El filtro se debe de mostrar exitosamente de acuerdo al seleccionado</t>
  </si>
  <si>
    <t xml:space="preserve">Consulta detallada de cuentas  / Borrar </t>
  </si>
  <si>
    <t>Acceder al modulo de regional con usuario administrador, y seleccionar todas las sociedades del grupo</t>
  </si>
  <si>
    <t xml:space="preserve">Al dar clic en el boton "Eliminar" se debe de mostrar sin filtros  </t>
  </si>
  <si>
    <t>Se debe de realizar un filtro para validar que el boton de eliminar sea habilitado</t>
  </si>
  <si>
    <t>El boton se debe de habilitar con exito</t>
  </si>
  <si>
    <t>Consulta detallada de cuentas  / Mensajería</t>
  </si>
  <si>
    <t>Acceder al modulo de regional y usuario con aprobacion directa
, y seleccionar todas las sociedades del grupo</t>
  </si>
  <si>
    <r>
      <rPr>
        <rFont val="Fira Sans Extra Condensed"/>
        <color theme="1"/>
      </rPr>
      <t xml:space="preserve">Ingresar un filtro con datos erroneos en los  resultados de la búsqueda se debe presentar en un </t>
    </r>
    <r>
      <rPr>
        <rFont val="Fira Sans Extra Condensed"/>
        <b/>
        <color theme="1"/>
      </rPr>
      <t xml:space="preserve">pop up el siguiente mensaje: “la consulta no arrojó resultados”
</t>
    </r>
  </si>
  <si>
    <t>Se debe de ingresar un filtro con datos que no contengan resultados</t>
  </si>
  <si>
    <t>En caso que se presente error en el core o en la disponibilidad de respuesta para una consulta realizada se debe presentar el modal: “Por favor reintente más tarde</t>
  </si>
  <si>
    <t>Se debe de mostar el mensaje “la consulta no arrojó resultados” con exito</t>
  </si>
  <si>
    <t>Acceder al modulo con usuario operador , y seleccionar una de las sociedades del grupo SV,HN,PA,CR, COL, MIA</t>
  </si>
  <si>
    <t>Validar que se muestre un mensaje  “Fecha Incorrecta o incompleta”.</t>
  </si>
  <si>
    <t xml:space="preserve">Realizar una consulta colocando datos erroneos para que no retorne resultados </t>
  </si>
  <si>
    <t>En caso que se presente error en el core o en la disponibilidad de respuesta para una consulta realizada se debe presentar el modal: “Por favor reintente más tarde”</t>
  </si>
  <si>
    <t>Se debe de mostar el mensaje  “Fecha Incorrecta o incompleta”. con exito</t>
  </si>
  <si>
    <t>Acceder al modulo con usuario autorizador, y seleccionar una de las sociedades del grupo SV,HN,PA,CR</t>
  </si>
  <si>
    <t>Se debe de validar que se muestre un mensaje “Ingrese un monto válido.”</t>
  </si>
  <si>
    <t xml:space="preserve">Utilizar el filtro de monto e ingresar un valor erroneo </t>
  </si>
  <si>
    <t>Se debe de mostar el mensaje  “Ingrese un monto válido.”. con exito</t>
  </si>
  <si>
    <t>Consulta detallada de cuentas  / Generación de Reportes</t>
  </si>
  <si>
    <t xml:space="preserve">Ingresar al modulo con usuario autorizador y seleccionar todas las sociedades </t>
  </si>
  <si>
    <r>
      <rPr>
        <rFont val="Fira Sans Extra Condensed"/>
        <color theme="1"/>
      </rPr>
      <t xml:space="preserve">Validar que al usuario visualice los  siguientes formatos para realizar descarga de movimientos de cuenta:
</t>
    </r>
    <r>
      <rPr>
        <rFont val="Fira Sans Extra Condensed"/>
        <b/>
        <color theme="1"/>
      </rPr>
      <t>(Checkbox) PDF    (.pdf)
(Checkbox) Excel  (.xlsx) 
(Checkbox) Plano  (.txt)</t>
    </r>
  </si>
  <si>
    <t xml:space="preserve">El usuario debe de validar que dentro del modulo  muestre un boton que le permita realizar la descarga de movimientos de cuenta </t>
  </si>
  <si>
    <t>El botón “Descargar”: únicamente se habilita cuando se selecciona al menos una opción.</t>
  </si>
  <si>
    <t>Ingresar al modulo y usuario con aprobacion directa, y  seleccionar todas las sociedades</t>
  </si>
  <si>
    <r>
      <rPr>
        <rFont val="Fira Sans Extra Condensed"/>
        <color theme="1"/>
      </rPr>
      <t xml:space="preserve">Al realizar la descarga en PDF se debe de validar que se muestre 
</t>
    </r>
    <r>
      <rPr>
        <rFont val="Fira Sans Extra Condensed"/>
        <b/>
        <color theme="1"/>
      </rPr>
      <t>- Marca de Davivienda en la parte superior 
- Fecha y hora de la descarga: dd/mm/aaaa HH:MM AM/PM
- Título: Movimientos de cuenta
- Cliente: Se debe mostrar el nombre de la empresa.
- Tipo de cuenta: Se debe mostrar la naturaleza de la cuenta. 
- Número de Cuenta: Se debe mostrar el número de la cuenta enmascarada.</t>
    </r>
  </si>
  <si>
    <t>El usuario debe de realizar la descarga en formato PDF</t>
  </si>
  <si>
    <t>Si la descarga no se da de inmediato, se enviara el archivo al buzón. (Notificaciones)</t>
  </si>
  <si>
    <t>La descarga en PDF se debe de realizar con exito</t>
  </si>
  <si>
    <t>Ingresar al modulo y usuario con aprobacion directa, y  seleccionar la sociedad de SV</t>
  </si>
  <si>
    <t xml:space="preserve">El canal debe de permitir realizar las descarga en los formatos PDF, Excel y plano (CSV) </t>
  </si>
  <si>
    <t>El usuario debe de realizar la descarga en formato PDF, Excel y plano (CSV)</t>
  </si>
  <si>
    <t>La descarga en los formatos PDF, Excel y plano (csv)  se debe de realizar con exito</t>
  </si>
  <si>
    <t>Ingresar al modulo y usuario con aprobacion directa, y  seleccionar la sociedad de HN</t>
  </si>
  <si>
    <t>Ingresar al modulo y usuario con aprobacion directa, y  seleccionar la sociedad de PA</t>
  </si>
  <si>
    <t>Ingresar al modulo y usuario con aprobacion directa, y  seleccionar la sociedad de CR</t>
  </si>
  <si>
    <t>Ingresar al modulo y usuario con aprobacion directa, y  seleccionar la sociedad de COL</t>
  </si>
  <si>
    <t>Ingresar al modulo y usuario con aprobacion directa, y  seleccionar la sociedad de MIA</t>
  </si>
  <si>
    <t>Ingresar al modulo con usuario autorizador,  seleccionar todas las empresas</t>
  </si>
  <si>
    <t>El formato de descarga; Debe contener las columnas:
Fecha: Se debe presentar la fecha de aplicación del movimiento en formato DD/MM/AAAA 
Hora: Se debe mostrar la hora en la que se aplicó el movimiento en formato HH:MM:SS
Salida: Se debe mostrar el valor en la moneda local de los movimientos con naturaleza egreso.
Entrada: Se debe mostrar el valor en la moneda local de los los movimientos con naturaleza ingreso.
Descripción: Se debe mostrar la descripción como lo envía el core local de manera completa. 
Referencia: Se debe mostrar la referencia que tiene asociada el movimiento. (número con longitud máxima de 16 caracteres)
Saldo contable*: Aplica únicamente para productos origen e Panamá, Costa Rica, Honduras, El Salvador, y Miami
Saldo Anterior*: Aplica únicamente para  productos de Colombia</t>
  </si>
  <si>
    <t>El usuario debe de realizar la descarga en formato Excel</t>
  </si>
  <si>
    <t>Se debe de realizar la descarga con exito</t>
  </si>
  <si>
    <t>Ingresar al modulo con usuario operador,  seleccionar todas las sociedades</t>
  </si>
  <si>
    <t>El usuario debe de realizar la descarga en formato Plano (CSV)</t>
  </si>
  <si>
    <t>Consulta detallada de cuentas  / Mensajería (Descarga)</t>
  </si>
  <si>
    <t xml:space="preserve">Si la descarga es exitosa se debe de  mostrar en la parte superior de la pantalla un mensaje temporal “Descarga exitosa.
</t>
  </si>
  <si>
    <t xml:space="preserve">Realizar una descarga en formato PDF </t>
  </si>
  <si>
    <t>En el caso que el canal realiza la consulta enviando una solicitud al core de cada país si se llega a presentar alguna falla o lentitud y o demora de stratus o core de cada país y no retorna el mensaje de movimientos, se presenta el mensaje recibido “Intente más tarde. Por el momento, no es posible atender su solicitud”</t>
  </si>
  <si>
    <t>El mensaje se debe de mostrar con exito</t>
  </si>
  <si>
    <t>Consulta detallada de cuentas  / Escenario cuenta con novedad</t>
  </si>
  <si>
    <t>Ingresar al modulo con usuario autorizante,  y seleccionar la sociedad SV</t>
  </si>
  <si>
    <t xml:space="preserve">Dar clic en el detalle de cuenta “Bloqueada o Embargada ” y validar que permita ver el detalle de las cuentas de la siguiente manera: 
- El canal debe de permitir visualizar saldos y movimientos.
- CUENTA EMBARGADA: Validar que se muestre igual que el portal de colombia, en el saldo total se muestra “Cuenta embargada” y en  los demás saldos no debe de mostrar información. 
CUENTA BLOQUEADA : Validar que en el saldo total se muestra bloqueada y fecha de acuerdo a lo que responda el core  ( 20220314 ) . y en los demás saldos no se muestre información. </t>
  </si>
  <si>
    <t>Se debe de consultar una cuenta con estatus “Bloqueado o Embargado ”</t>
  </si>
  <si>
    <t>No se debe mostrar información de los saldos retenidos</t>
  </si>
  <si>
    <t xml:space="preserve">Debe de permitir ver el detalle de la cuenta </t>
  </si>
  <si>
    <t>Ingresar al modulo con usuario operador,  y seleccionar la sociedad HN</t>
  </si>
  <si>
    <t xml:space="preserve">Validar que no permita visualizar el detalle de la cuenta ni visualizar saldos ni movimientos para los “Bloqueado o Embargado ” </t>
  </si>
  <si>
    <t xml:space="preserve">Se debe de tener en cuenta que para HN no el canal no permite visualizar las cuentas “Bloqueada o Embargada" </t>
  </si>
  <si>
    <t>No debe de permitir ver el datalle de la cuenta</t>
  </si>
  <si>
    <t>Ingresar al modulo con usuario operador,  y seleccionar la sociedad PA</t>
  </si>
  <si>
    <t>Ingresar al modulo con usuario operador,  y seleccionar la sociedad CR</t>
  </si>
  <si>
    <t>Ingresar al modulo con usuario operador,  y seleccionar la sociedad COL</t>
  </si>
  <si>
    <t>Ingresar al modulo con usuario operador,  y seleccionar la sociedad Miami</t>
  </si>
  <si>
    <t>Consulta detallada de cuentas  / Compatibilidad</t>
  </si>
  <si>
    <t>Validar que para la version Responsive se muestren las siguientes columnas: 
- Fecha  
- Descripción
-  Monto</t>
  </si>
  <si>
    <r>
      <rPr>
        <rFont val="Fira Sans Extra Condensed"/>
        <color theme="1"/>
      </rPr>
      <t xml:space="preserve">Ell usuario ingrese desde su dispositivo movil </t>
    </r>
    <r>
      <rPr>
        <rFont val="Fira Sans Extra Condensed"/>
        <b/>
        <color theme="1"/>
      </rPr>
      <t>Android</t>
    </r>
    <r>
      <rPr>
        <rFont val="Fira Sans Extra Condensed"/>
        <color theme="1"/>
      </rPr>
      <t xml:space="preserve"> y navegador </t>
    </r>
    <r>
      <rPr>
        <rFont val="Fira Sans Extra Condensed"/>
        <b/>
        <color theme="1"/>
      </rPr>
      <t xml:space="preserve">google chrome, </t>
    </r>
    <r>
      <rPr>
        <rFont val="Fira Sans Extra Condensed"/>
        <color theme="1"/>
      </rPr>
      <t xml:space="preserve">y utilice la versión </t>
    </r>
    <r>
      <rPr>
        <rFont val="Fira Sans Extra Condensed"/>
        <b/>
        <color theme="1"/>
      </rPr>
      <t>responsive</t>
    </r>
    <r>
      <rPr>
        <rFont val="Fira Sans Extra Condensed"/>
        <color theme="1"/>
      </rPr>
      <t xml:space="preserve"> </t>
    </r>
  </si>
  <si>
    <t>Debe de permitir realizar la consulta el detalle de movimientos de las cuentas desde la version responsive exitosamente</t>
  </si>
  <si>
    <r>
      <rPr>
        <rFont val="Fira Sans Extra Condensed"/>
        <color theme="1"/>
      </rPr>
      <t xml:space="preserve">El usuario ingrese desde su dispositivo movil </t>
    </r>
    <r>
      <rPr>
        <rFont val="Fira Sans Extra Condensed"/>
        <b/>
        <color theme="1"/>
      </rPr>
      <t>IOS</t>
    </r>
    <r>
      <rPr>
        <rFont val="Fira Sans Extra Condensed"/>
        <color theme="1"/>
      </rPr>
      <t xml:space="preserve"> y navegador </t>
    </r>
    <r>
      <rPr>
        <rFont val="Fira Sans Extra Condensed"/>
        <b/>
        <color theme="1"/>
      </rPr>
      <t xml:space="preserve">google chrome, </t>
    </r>
    <r>
      <rPr>
        <rFont val="Fira Sans Extra Condensed"/>
        <color theme="1"/>
      </rPr>
      <t xml:space="preserve">y utilice la versión </t>
    </r>
    <r>
      <rPr>
        <rFont val="Fira Sans Extra Condensed"/>
        <b/>
        <color theme="1"/>
      </rPr>
      <t>responsive</t>
    </r>
    <r>
      <rPr>
        <rFont val="Fira Sans Extra Condensed"/>
        <color theme="1"/>
      </rPr>
      <t xml:space="preserve"> </t>
    </r>
  </si>
  <si>
    <r>
      <rPr>
        <rFont val="Fira Sans Extra Condensed"/>
        <color theme="1"/>
      </rPr>
      <t xml:space="preserve">Que el usuario ingrese desde su dispositivo movil </t>
    </r>
    <r>
      <rPr>
        <rFont val="Fira Sans Extra Condensed"/>
        <b/>
        <color theme="1"/>
      </rPr>
      <t xml:space="preserve">IOS </t>
    </r>
    <r>
      <rPr>
        <rFont val="Fira Sans Extra Condensed"/>
        <color theme="1"/>
      </rPr>
      <t xml:space="preserve">y navegador </t>
    </r>
    <r>
      <rPr>
        <rFont val="Fira Sans Extra Condensed"/>
        <b/>
        <color theme="1"/>
      </rPr>
      <t>zafari</t>
    </r>
    <r>
      <rPr>
        <rFont val="Fira Sans Extra Condensed"/>
        <color theme="1"/>
      </rPr>
      <t xml:space="preserve">, </t>
    </r>
  </si>
  <si>
    <t>El usuario debe de validar que le permita visualizar los detalles de los movimientos de forma rapida y eficiente</t>
  </si>
  <si>
    <r>
      <rPr>
        <rFont val="Fira Sans Extra Condensed"/>
        <color theme="1"/>
      </rPr>
      <t xml:space="preserve">Que el usuario ingrese  desde una tablet </t>
    </r>
    <r>
      <rPr>
        <rFont val="Fira Sans Extra Condensed"/>
        <b/>
        <color theme="1"/>
      </rPr>
      <t>Android</t>
    </r>
    <r>
      <rPr>
        <rFont val="Fira Sans Extra Condensed"/>
        <color theme="1"/>
      </rPr>
      <t xml:space="preserve"> y navegador </t>
    </r>
    <r>
      <rPr>
        <rFont val="Fira Sans Extra Condensed"/>
        <b/>
        <color theme="1"/>
      </rPr>
      <t xml:space="preserve">google chrome </t>
    </r>
  </si>
  <si>
    <t>Si posee la version Responsive se debe de mostrar en columnas: 
- Fecha  
- Descripción
-  Monto"</t>
  </si>
  <si>
    <t>La consulta de movimentos de cuentas  se realice exitosamente</t>
  </si>
  <si>
    <r>
      <rPr>
        <rFont val="Fira Sans Extra Condensed"/>
        <color theme="1"/>
      </rPr>
      <t xml:space="preserve">Que el usuario ingrese  desde una tablet </t>
    </r>
    <r>
      <rPr>
        <rFont val="Fira Sans Extra Condensed"/>
        <b/>
        <color theme="1"/>
      </rPr>
      <t>IOS</t>
    </r>
    <r>
      <rPr>
        <rFont val="Fira Sans Extra Condensed"/>
        <color theme="1"/>
      </rPr>
      <t xml:space="preserve"> y navegador </t>
    </r>
    <r>
      <rPr>
        <rFont val="Fira Sans Extra Condensed"/>
        <b/>
        <color theme="1"/>
      </rPr>
      <t>google chrome.</t>
    </r>
  </si>
  <si>
    <r>
      <rPr>
        <rFont val="Fira Sans Extra Condensed"/>
        <color theme="1"/>
      </rPr>
      <t xml:space="preserve">Que el usuario ingrese desde una tablet </t>
    </r>
    <r>
      <rPr>
        <rFont val="Fira Sans Extra Condensed"/>
        <b/>
        <color theme="1"/>
      </rPr>
      <t xml:space="preserve">IOS </t>
    </r>
    <r>
      <rPr>
        <rFont val="Fira Sans Extra Condensed"/>
        <color theme="1"/>
      </rPr>
      <t xml:space="preserve">y navegador </t>
    </r>
    <r>
      <rPr>
        <rFont val="Fira Sans Extra Condensed"/>
        <b/>
        <color theme="1"/>
      </rPr>
      <t>zafari</t>
    </r>
    <r>
      <rPr>
        <rFont val="Fira Sans Extra Condensed"/>
        <color theme="1"/>
      </rPr>
      <t>.</t>
    </r>
  </si>
  <si>
    <r>
      <rPr>
        <rFont val="Fira Sans Extra Condensed"/>
        <color theme="1"/>
      </rPr>
      <t xml:space="preserve">Que el usuario ingrese desde una computadora de escritorio el navegador </t>
    </r>
    <r>
      <rPr>
        <rFont val="Fira Sans Extra Condensed"/>
        <b/>
        <color theme="1"/>
      </rPr>
      <t>google chrome</t>
    </r>
    <r>
      <rPr>
        <rFont val="Fira Sans Extra Condensed"/>
        <color theme="1"/>
      </rPr>
      <t>.</t>
    </r>
  </si>
  <si>
    <r>
      <rPr>
        <rFont val="Fira Sans Extra Condensed"/>
        <color theme="1"/>
      </rPr>
      <t xml:space="preserve">Que el usuario ingrese desde  una computadora de escritorio utilizando el navegador </t>
    </r>
    <r>
      <rPr>
        <rFont val="Fira Sans Extra Condensed"/>
        <b/>
        <color theme="1"/>
      </rPr>
      <t>Mozilla firefox</t>
    </r>
  </si>
  <si>
    <r>
      <rPr>
        <rFont val="Fira Sans Extra Condensed"/>
        <color theme="1"/>
      </rPr>
      <t xml:space="preserve">Que el usuario ingrese desde  una computadora de escritorio utilizando el navegador </t>
    </r>
    <r>
      <rPr>
        <rFont val="Fira Sans Extra Condensed"/>
        <b/>
        <color theme="1"/>
      </rPr>
      <t>Edge</t>
    </r>
  </si>
  <si>
    <r>
      <rPr>
        <rFont val="Fira Sans Extra Condensed"/>
        <color theme="1"/>
      </rPr>
      <t xml:space="preserve">Que el usuario ingrese desde  una computadora de escritorio utilizando el navegador </t>
    </r>
    <r>
      <rPr>
        <rFont val="Fira Sans Extra Condensed"/>
        <b/>
        <color theme="1"/>
      </rPr>
      <t>Explorer</t>
    </r>
  </si>
  <si>
    <t>Ingresar al modulo regional con usuario operador desde una laptop</t>
  </si>
  <si>
    <r>
      <rPr>
        <rFont val="Fira Sans Extra Condensed"/>
        <color theme="1"/>
      </rPr>
      <t xml:space="preserve">Que el usuario ingrese desde su laptop utilizando el navegador </t>
    </r>
    <r>
      <rPr>
        <rFont val="Fira Sans Extra Condensed"/>
        <b/>
        <color theme="1"/>
      </rPr>
      <t>google chrome</t>
    </r>
    <r>
      <rPr>
        <rFont val="Fira Sans Extra Condensed"/>
        <color theme="1"/>
      </rPr>
      <t>.</t>
    </r>
  </si>
  <si>
    <r>
      <rPr>
        <rFont val="Fira Sans Extra Condensed"/>
        <color theme="1"/>
      </rPr>
      <t xml:space="preserve">Que el usuario ingrese desde su laptop utilizando el navegador </t>
    </r>
    <r>
      <rPr>
        <rFont val="Fira Sans Extra Condensed"/>
        <b/>
        <color theme="1"/>
      </rPr>
      <t>Mozilla firefox</t>
    </r>
  </si>
  <si>
    <r>
      <rPr>
        <rFont val="Fira Sans Extra Condensed"/>
        <color theme="1"/>
      </rPr>
      <t xml:space="preserve">Que el usuario ingrese desde su laptop utilizando el navegador </t>
    </r>
    <r>
      <rPr>
        <rFont val="Fira Sans Extra Condensed"/>
        <b/>
        <color theme="1"/>
      </rPr>
      <t>Edge</t>
    </r>
  </si>
  <si>
    <r>
      <rPr>
        <rFont val="Fira Sans Extra Condensed"/>
        <color theme="1"/>
      </rPr>
      <t xml:space="preserve">Que el usuario ingrese desde su laptop utilizando el navegador </t>
    </r>
    <r>
      <rPr>
        <rFont val="Fira Sans Extra Condensed"/>
        <b/>
        <color theme="1"/>
      </rPr>
      <t>Explorer</t>
    </r>
  </si>
  <si>
    <r>
      <rPr>
        <rFont val="Fira Sans Extra Condensed"/>
        <b val="0"/>
        <color theme="1"/>
      </rPr>
      <t xml:space="preserve"> Accesos Rápidos /</t>
    </r>
    <r>
      <rPr>
        <rFont val="Fira Sans Extra Condensed"/>
        <b/>
        <color theme="1"/>
      </rPr>
      <t xml:space="preserve">
Cambio de idioma</t>
    </r>
  </si>
  <si>
    <t xml:space="preserve">- El usuario debe de consultar los productos, para validar que se muestre de forma correcta en idioma ingles y los textos del canal deben corresponder </t>
  </si>
  <si>
    <r>
      <rPr>
        <rFont val="Fira Sans Extra Condensed"/>
        <b val="0"/>
        <color theme="1"/>
      </rPr>
      <t xml:space="preserve"> Accesos Rápidos /</t>
    </r>
    <r>
      <rPr>
        <rFont val="Fira Sans Extra Condensed"/>
        <b/>
        <color theme="1"/>
      </rPr>
      <t xml:space="preserve">
Cambio de idioma</t>
    </r>
  </si>
  <si>
    <t>- El usuario debe de consultar los productos, para validar que se muestre de forma correcta en idioma español y los textos del canal deben corresponder</t>
  </si>
  <si>
    <t xml:space="preserve">Usuario BO debe de validar desde CC para visualizar los logs </t>
  </si>
  <si>
    <t>.</t>
  </si>
  <si>
    <t>Responable</t>
  </si>
  <si>
    <t>Transferencias a Terceros Regionales CAM</t>
  </si>
  <si>
    <t>Usuario Rol Operador
Acceso a Consultas</t>
  </si>
  <si>
    <t>El perfilamiento únicamente a consultas no tiene acceso a  crear transacciones</t>
  </si>
  <si>
    <t xml:space="preserve">Ingresar al Menú Transferir &gt; Debe estar Habilitada
Seleccionar cuentas de terceros 
Seleccionar Consultas&gt; Debe estar habilitada
</t>
  </si>
  <si>
    <t>Realizar la consulta de Transferencias realizadas en cualquier estado</t>
  </si>
  <si>
    <t>Habilitar el permiso de consultas a Terceros</t>
  </si>
  <si>
    <t xml:space="preserve">Visualizar el resultado de la consulta si no posee operaciones aún no visualizará ningún resultado </t>
  </si>
  <si>
    <t>Usuario Rol Preparador 
Acceso a Consultas</t>
  </si>
  <si>
    <t>Ingresar al Menú Transferir &gt; Debe estar Habilitada
Seleccionar cuentas de terceros 
Seleccionar Consultas&gt; Debe estar habilitada</t>
  </si>
  <si>
    <t>Usuario Rol Preparador 
Acceso a Consultas Permitido únicamente</t>
  </si>
  <si>
    <t xml:space="preserve">Ingresar al Menú Transferir &gt; Debe estar Habilitada
Seleccionar cuentas de terceros 
Seleccionar Crear&gt; Debe estar habilitada
</t>
  </si>
  <si>
    <t>Validar el acceso al usuario según perfilamiento</t>
  </si>
  <si>
    <t xml:space="preserve">No tener permiso para creación de terceros regionales </t>
  </si>
  <si>
    <t>Usuario Rol Preparador 
Acceso a Crear</t>
  </si>
  <si>
    <t>El módulo se encuentra deshabilitado completamente o presente inconvenientes</t>
  </si>
  <si>
    <t>Validar el mensaje de error al accesar</t>
  </si>
  <si>
    <t xml:space="preserve">No se encuentre disponible para operar el módulo </t>
  </si>
  <si>
    <t>En caso que el no se pueda presentar la información en pantalla se debe presentar un modal con el texto: “Intente más tarde, en estos momentos no podemos atender su solicitud.”</t>
  </si>
  <si>
    <t>No tener no asignados permisos de grupo de productos de la sociedad a utilizar</t>
  </si>
  <si>
    <t>En caso que el usuario tenga la funcionalidad asignada pero le hayan quitado o no tenga asignados permisos de grupo de productos al intentar crear una transferencia el canal debe informar: “Opción no disponible, no tiene grupo de productos asignados, contacte a su administrador para más información</t>
  </si>
  <si>
    <t xml:space="preserve">Usuario Rol Preparador 
Acceso a Transferir 
Crear transferencias regionales a cuentas a terceros
Validar los campos sin finalizar la operación </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</si>
  <si>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sin destino autorizado"</t>
    </r>
  </si>
  <si>
    <t>Ingresar al Menú Transferir &gt; Debe estar Habilitada
Seleccionar Transferir  &gt; Habilitado
Validar los elementos:
Elemento para regresar: Debe estar habilitada una opción que le permita al usuario volver si así lo requiere. (Datos de Transacción)
Los títulos que tengan asterisco * son de carácter obligatorio:
Descripción: Filtre por país y empresa.
Paso 1. Origen: En esta sección se deben mostrar los siguientes campos: 
País Origen: es una lista desplegable con las opciones (Honduras, Panamá, Costa Rica y El Salvador  junto con la imagen de la bandera de cada país.)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El Salvador: Ahorro / Corriente
Costa Rica: Ahorro / Corriente  / Ahorro Maestra
Honduras: Ahorro / Corriente
Panamá: Ahorro / Corriente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Si el usuario tiene marcado la opción de ver saldos, se debe mostrar el saldo de la cuenta de lo contrario no se debe presentar, La información que se muestra por producto es:
Texto: Escoja la cuenta de débito, solo se muestran cuentas activas.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la búsqueda realizada no presenta resultados)
Resultado: Debe mostrar la siguiente información por cada producto. 
- Nombre de cuenta o alias: Se debe presentar el nombre de la cuenta o alias asignado.
- Número de cuenta:  enmascarado
- Divisa: Debe mostrar el nombre de la moneda de apertura. 
- Saldo Total: Opción disponible únicamente si tiene la funcionalidad de consultar productos.
Una vez seleccionada la cuenta actualiza la pantalla con el resumen del producto seleccionado. (Nombre, número de cuenta, divisa y saldo si aplica) y debe habilitar un elemento que permita “editar” la información, al dar clic vuelve a la opción para realizar la selección del producto origen.
Una vez el usuario tenga la información ingresada se habilita el botón de “continuar” donde le permite continuar con el flujo de la cuenta destino.
Destino
País Destino: es una lista desplegable con los valores Honduras, Panamá, Costa Rica, y El Salvador junto con la imagen de la bandera de cada país. (No debe presentar el país que fue seleccionado en el campo “País Origen”) Esta información únicamente se muestra si no “seleccionó destino autorizado”.
Tipo de cuenta: Permite seleccionar el tipo de cuenta destino, aparece texto: “Elija el tipo de cuenta” posterior se habilitan los tipos de cuenta de acuerdo al país origen así:
Tipología de cuentas por país:
El Salvador: Ahorro / Corriente
Costa Rica: Ahorro / Corriente  / Ahorro Maestra
Honduras: Ahorro / Corriente
Panamá: Ahorro / Corriente
Cuenta destino: El canal debe permitir ingresar el número de la cuenta destino a la cual requiere realizar la transferencia. El sistema debe permitir realizar transferencias únicamente a las cuentas habilitadas para recibir el dinero según la cuenta origen seleccionada la descripción para esta opción es “ingrese el número de la cuenta”</t>
  </si>
  <si>
    <t>Validar los campos de las pantallas según la creación de la operación sin finalizarla</t>
  </si>
  <si>
    <t xml:space="preserve">Habilitar el permiso de consultas y crear para Terceros </t>
  </si>
  <si>
    <t>Validar que todos los campos tengan las condiciones descritas con los parametros mencionado 
No se requiere que finalice la operación</t>
  </si>
  <si>
    <t>Usuario Rol Preparador 
Acceso a Transferir 
Crear transferencias regionales a cuentas a terceros
Validar que no permita realizar traslados de cuenta a terceros del mismo país de la cuenta origen</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</si>
  <si>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sin destino autorizado"
Empresa a utilizar de DvPA
Destino tercero DvPA
El usuario no tiene marcado la opción de ver saldos</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</si>
  <si>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 xml:space="preserve">Dv PA
</t>
    </r>
    <r>
      <rPr>
        <rFont val="Arial"/>
        <color theme="1"/>
      </rPr>
      <t xml:space="preserve">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Panamá: </t>
    </r>
    <r>
      <rPr>
        <rFont val="Arial"/>
        <b/>
        <color theme="1"/>
      </rPr>
      <t xml:space="preserve">Seleccione Corriente
</t>
    </r>
    <r>
      <rPr>
        <rFont val="Arial"/>
        <color theme="1"/>
      </rPr>
      <t xml:space="preserve">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t>
    </r>
    <r>
      <rPr>
        <rFont val="Arial"/>
        <b/>
        <color theme="1"/>
      </rPr>
      <t xml:space="preserve">El usuario no tiene permiso para ver la opción de ver saldos por lo que solo muestra la información de la cuenta 
</t>
    </r>
    <r>
      <rPr>
        <rFont val="Arial"/>
        <color theme="1"/>
      </rPr>
      <t xml:space="preserve">La información que se muestra por producto es:
- Nombre de cuenta o alias: Se debe presentar el nombre de la cuenta o alias asignado.
- Número de cuenta:  enmascarado
- Divisa: Debe mostrar el nombre de la moneda de apertura
Una vez el usuario tenga la información ingresada se habilita el botón de “continuar” donde le permite continuar con el flujo de la cuenta destino.
Pais Destino 
Es una lista desplegable con los valores Honduras, Costa Rica, y El Salvador junto con la imagen de la bandera de cada país. (No debe presentar el país que fue seleccionado en el campo “País Origen”) Esta información únicamente se muestra si no “seleccionó destino autorizado”.
</t>
    </r>
    <r>
      <rPr>
        <rFont val="Arial"/>
        <b/>
        <color theme="1"/>
      </rPr>
      <t>No le debe permitir mostrar en el listado de países Panamá</t>
    </r>
  </si>
  <si>
    <t>No debe permitir continuar con la confección de la transacción</t>
  </si>
  <si>
    <t xml:space="preserve">Solamente permite seleccionar un destino diferente al del país origen </t>
  </si>
  <si>
    <t>No finaliza el caso de creación de destinos</t>
  </si>
  <si>
    <t>Panamá</t>
  </si>
  <si>
    <t>Usuario Rol Preparador 
Acceso a Transferir 
Crear transferencias regionales a cuentas a terceros
Al seleccionar buscar la cuenta origen no se encuentran resultados</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</si>
  <si>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sin destino autorizado"
Empresa a utilizar de DvPA- Corriente
El usuario no tiene marcado la opción de ver saldos
Usuario solamente tiene acceso a una sociedad que posee productos de Ahorros</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</si>
  <si>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Dv PA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Panamá: Seleccione Corriente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no tiene permiso para ver la opción de ver saldos por lo que solo muestra la información de la cuenta 
</t>
    </r>
    <r>
      <rPr>
        <rFont val="Arial"/>
        <b/>
        <color theme="1"/>
      </rPr>
      <t xml:space="preserve">Ingresar la información de la cuenta corriente por Nombre o Alias de una cuenta de Ahorros 
</t>
    </r>
  </si>
  <si>
    <t>El usuario valide que el opción de búsqueda de cuenta al ingresar los criterios no exista coincidencia</t>
  </si>
  <si>
    <t>Que sea un perfilamiento especifico al usuario creador</t>
  </si>
  <si>
    <t>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la búsqueda realizada no presenta resultados)</t>
  </si>
  <si>
    <r>
      <rPr>
        <rFont val="Arial"/>
        <color theme="1"/>
      </rPr>
      <t xml:space="preserve">Usuario Rol Preparador 
Acceso a Transferir 
Intentar Crear transferencias regionales a cuentas a terceros
</t>
    </r>
    <r>
      <rPr>
        <rFont val="Arial"/>
        <b/>
        <color theme="1"/>
      </rPr>
      <t>Validación de cuenta No existe 
Validar que si no existe cuenta a seleccionar el botón continuar no se encuentre Habilitado</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</si>
  <si>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sin destino autorizado"
Empresa a utilizar de DvHN- Corriente
El usuario  tiene marcado la opción de ver saldos
Cuenta destino SV no existe o tiene estatus diferente "Activo"</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</si>
  <si>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DvHN</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 Saldo Total: Opción disponible únicamente si tiene la funcionalidad de consultar productos.</t>
    </r>
    <r>
      <rPr>
        <rFont val="Arial"/>
        <color theme="1"/>
      </rPr>
      <t xml:space="preserve">
Una vez el usuario tenga la información ingresada se habilita el botón de “continuar” donde le permite continuar con el flujo de la cuenta destino.
Pais Destino 
Es una lista desplegable con los valores Hondura,Costa Rica, y El Salvador junto con la imagen de la bandera de cada país. 
País Destino: es una lista desplegable con los valores  Panamá, Costa Rica, y El Salvador junto con la imagen de la bandera de cada país. (No debe presentar el país que fue seleccionado en el campo “País Origen”
</t>
    </r>
    <r>
      <rPr>
        <rFont val="Arial"/>
        <b/>
        <color theme="1"/>
      </rPr>
      <t xml:space="preserve">Seleccionar el país destino SV 
Tipo de cuenta Ahorros
Ingrese número de cuenta de ahorros -No válido o incompleto 
Seleccionar Validar 
</t>
    </r>
  </si>
  <si>
    <t>Al validar la cuenta que se ingreso se muestra un mensaje de error el cual no permite continuar con la transferencia.
El botón de Continuar no se encuentra activo por lo que no permite continuar con el siguiente paso</t>
  </si>
  <si>
    <t>Cuenta del beneficiario en estado
Inactivo
Bloqueada
Inexistente</t>
  </si>
  <si>
    <t>Si el tipo de la cuenta es errada el canal debe mostrar “ Cuenta destino no existe, verifique los datos ingresados”</t>
  </si>
  <si>
    <r>
      <rPr>
        <rFont val="Arial"/>
        <color theme="1"/>
      </rPr>
      <t xml:space="preserve">Usuario Rol Preparador 
Acceso a Transferir 
Intentar Crear transferencias regionales a cuentas a terceros
</t>
    </r>
    <r>
      <rPr>
        <rFont val="Arial"/>
        <b/>
        <color theme="1"/>
      </rPr>
      <t>Validación de cuenta No existe  por cuenta beneficiario incompleta 
Validar que si no existe cuenta a seleccionar el botón continuar no se encuentre Habilitado</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</si>
  <si>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DvSV- Corriente
El usuario  tiene marcado la opción de ver saldos
Cuenta destino CR incompleta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</si>
  <si>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DvSV</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 Saldo Total: Opción disponible únicamente si tiene la funcionalidad de consultar productos.</t>
    </r>
    <r>
      <rPr>
        <rFont val="Arial"/>
        <color theme="1"/>
      </rPr>
      <t xml:space="preserve">
Una vez el usuario tenga la información ingresada se habilita el botón de “continuar” donde le permite continuar con el flujo de la cuenta destino.
Pais Destino 
Es una lista desplegable con los valores Honduras,Panama, y El Salvador junto con la imagen de la bandera de cada país. 
País Destino: es una lista desplegable con los valores Honduras, Panamá, Costa Rica, y El Salvador junto con la imagen de la bandera de cada país. (No debe presentar el país que fue seleccionado en el campo “País Origen”
</t>
    </r>
    <r>
      <rPr>
        <rFont val="Arial"/>
        <b/>
        <color theme="1"/>
      </rPr>
      <t xml:space="preserve">Seleccionar el país destino CR
Tipo de cuenta Ahorro- Maestra
Ingrese número de cuenta de ahorros - Incompleto 
Seleccionar Validar 
</t>
    </r>
  </si>
  <si>
    <t>Cuenta del beneficiario en estado
incompleta, el usuario puede ingresar 2 digitos faltantes de acuerdo a la longitud del país.</t>
  </si>
  <si>
    <t>Si la longitud es insuficiente debe mostrar “Número incorrecto o incompleto”</t>
  </si>
  <si>
    <t>Usuario Rol Preparador 
Acceso a Transferir 
Crear transferencias regionales a cuentas a terceros
Validación de cuenta en Lista - No procede</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</si>
  <si>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DvPA- Corriente
El usuario  No tiene marcado la opción de ver saldos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</si>
  <si>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La información que se muestra por producto es:
- Nombre de cuenta o alias: Se debe presentar el nombre de la cuenta o alias asignado.
- Número de cuenta:  enmascarado
- Divisa: Debe mostrar el nombre de la moneda de apertura
</t>
    </r>
    <r>
      <rPr>
        <rFont val="Arial"/>
        <b/>
        <color theme="1"/>
      </rPr>
      <t>Buscar cuenta origen Ahorro</t>
    </r>
    <r>
      <rPr>
        <rFont val="Arial"/>
        <color theme="1"/>
      </rPr>
      <t xml:space="preserve">
Una vez el usuario tenga la información ingresada se habilita el botón de “continuar” donde le permite continuar con el flujo de la cuenta destino.
Pais Destino 
Es una lista desplegable con los valores Honduras,Costa Rica, y El Salvador junto con la imagen de la bandera de cada país. 
País Destino: es una lista desplegable con los valores Honduras, Costa Rica, y El Salvador junto con la imagen de la bandera de cada país. (No debe presentar el país que fue seleccionado en el campo “País Origen”
</t>
    </r>
    <r>
      <rPr>
        <rFont val="Arial"/>
        <b/>
        <color theme="1"/>
      </rPr>
      <t xml:space="preserve">Seleccionar el país destino CR
Tipo de cuenta Corriente
Ingrese número de cuenta válido y completo
Seleccionar Validar 
</t>
    </r>
  </si>
  <si>
    <t>La cuenta registrada encuentra coincidencia en la lista de unidad de cumplimiento</t>
  </si>
  <si>
    <t>“Destino no válido, No es posible transferir al beneficiario ingresado”
No puede continuar con el proceso de creación de la transacción</t>
  </si>
  <si>
    <r>
      <rPr>
        <rFont val="Arial"/>
        <b/>
        <color theme="1"/>
      </rPr>
      <t>Administración única</t>
    </r>
    <r>
      <rPr>
        <rFont val="Arial"/>
        <color theme="1"/>
      </rPr>
      <t xml:space="preserve"> 
Usuario Rol Administrador 
Acceso a Transferir 
Crear transferencias regionales a cuentas a terceros
Envió de operación exitosa
Esquema de firmas 1 Nivel
Idioma Español</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</si>
  <si>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DvPA- Corriente
El usuario No tiene marcado la opción de ver saldos
Cuenta Origen debe tener saldo suficiente 
Destino </t>
    </r>
    <r>
      <rPr>
        <rFont val="Arial"/>
        <b/>
        <color theme="1"/>
      </rPr>
      <t xml:space="preserve">CR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</si>
  <si>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Pais Destino 
Es una lista desplegable con los valores Honduras,Costa Rica, y El Salvador junto con la imagen de la bandera de cada país. 
País Destino: es una lista desplegable con los valores Honduras, Panamá, Costa Rica, y El Salvador junto con la imagen de la bandera de cada país. (No debe presentar el país que fue seleccionado en el campo “País Origen”
</t>
    </r>
    <r>
      <rPr>
        <rFont val="Arial"/>
        <b/>
        <color theme="1"/>
      </rPr>
      <t xml:space="preserve">Seleccionar el país destino CR
Tipo de cuenta Ahorro-Maestra en USD
Ingrese número de cuenta válido y completo
Seleccionar Validar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$5000.00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2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40 caracteres
</t>
    </r>
    <r>
      <rPr>
        <rFont val="Arial"/>
        <color theme="1"/>
      </rPr>
      <t xml:space="preserve">Botón continuar se debe mostrar activo 
</t>
    </r>
    <r>
      <rPr>
        <rFont val="Arial"/>
        <b/>
        <color theme="1"/>
      </rPr>
      <t xml:space="preserve">No debe mostrar pantalla de  Egreso de divisas, solamente aplica cuando la cuenta origen es SV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</si>
  <si>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t>Ingresar un token válido 
Validar que toda la información que se seleccione se muestre en las diferentes etapas 
El soft token deberá seleccionar la semilla activada por el usuario previamente</t>
  </si>
  <si>
    <t>La cuenta ordenante posea fondos sufientes
La empresa ordenante debe poseer esquemas de firmas configurados previamente a la operación</t>
  </si>
  <si>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Validar que se reciba la notificación según los correos adicionados para notificación</t>
    </r>
  </si>
  <si>
    <r>
      <rPr>
        <rFont val="Arial"/>
        <b/>
        <color theme="1"/>
      </rPr>
      <t>Administración única</t>
    </r>
    <r>
      <rPr>
        <rFont val="Arial"/>
        <color theme="1"/>
      </rPr>
      <t xml:space="preserve"> 
Usuario Rol Administrador 
Acceso a Transferir 
Crear transferencias regionales a cuentas a terceros
Envió de operación exitosa
Esquema de firmas 1 Nivel
Idioma Ingles
Editar Monto inicial 
Validar que los campos y los mensajes se muestren en ingles
Descargar comprobante</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</si>
  <si>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sin destino autorizado"
Empresa a utilizar de DvHN- Ahorro
El usuario tiene marcado la opción de ver saldos
Cuenta Origen debe tener saldo suficiente 
Destino PA- USD</t>
    </r>
    <r>
      <rPr>
        <rFont val="Arial"/>
        <b/>
        <color theme="1"/>
      </rPr>
      <t xml:space="preserve">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</si>
  <si>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HN</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Ahorro</t>
    </r>
    <r>
      <rPr>
        <rFont val="Arial"/>
        <color theme="1"/>
      </rPr>
      <t xml:space="preserve">
Una vez el usuario tenga la información ingresada se habilita el botón de “continuar” donde le permite continuar con el flujo de la cuenta destino.
Pais Destino 
Es una lista desplegable con los valores Panamá,Costa Rica, y El Salvador junto con la imagen de la bandera de cada país. 
País Destino: es una lista desplegable con los valores Honduras, Panamá, Costa Rica, y El Salvador junto con la imagen de la bandera de cada país. (No debe presentar el país que fue seleccionado en el campo “País Origen”
</t>
    </r>
    <r>
      <rPr>
        <rFont val="Arial"/>
        <b/>
        <color theme="1"/>
      </rPr>
      <t xml:space="preserve">Seleccionar el país destino PA
Tipo de cuenta Ahorro-USD
Ingrese número de cuenta válido y completo
Seleccionar Validar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$500.00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No debe mostrar pantalla de  Egreso de divisas, solamente aplica cuando la cuenta origen es SV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$399.09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</si>
  <si>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</si>
  <si>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t xml:space="preserve">Administración única 
Usuario Rol Operador
Acceso a Transferir 
Crear transferencias regionales a cuentas a terceros
Esquema de firmas 1 Nivel
Idioma Ingles
Moneda de cuenta origen y destino  origen es diferente a USD
Validar que los campos y los mensajes se muestren en ingles
</t>
  </si>
  <si>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LPS Ahorro</t>
    </r>
    <r>
      <rPr>
        <rFont val="Arial"/>
        <color theme="1"/>
      </rPr>
      <t xml:space="preserve">
El usuario tiene marcado la opción de ver saldos
Cuenta Origen debe tener saldo suficiente 
Destino CR- CRC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</si>
  <si>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Saldo puede visualizar el disponible de la cuenta ordenante
</t>
    </r>
    <r>
      <rPr>
        <rFont val="Arial"/>
        <b/>
        <color theme="1"/>
      </rPr>
      <t>Buscar cuenta origen LPS 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CR
</t>
    </r>
    <r>
      <rPr>
        <rFont val="Arial"/>
        <b/>
        <color theme="1"/>
      </rPr>
      <t>Tipo de cuenta Ahorro-CRC</t>
    </r>
    <r>
      <rPr>
        <rFont val="Arial"/>
        <color theme="1"/>
      </rPr>
      <t xml:space="preserve">
Ingrese número de cuenta válido y completo
Seleccionar Validar 
Seleccionar Continuar</t>
    </r>
  </si>
  <si>
    <t>Le muestra un mensaje de error en pantalla indicando que no es posible conitnuar</t>
  </si>
  <si>
    <t xml:space="preserve">Cuenta Valida de CRC </t>
  </si>
  <si>
    <t xml:space="preserve">Si la cuenta destino y/o la origen no están aperturadas en dólares americanos debe mostrar mensaje “Error Divisa, recuerde que la cuenta origen o destino debe estar aperturada en dólares americanos” </t>
  </si>
  <si>
    <t>Administración única 
Usuario Rol Operador
Acceso a Transferir 
Crear transferencias regionales a cuentas a terceros
Esquema de firmas 1 Nivel
Idioma Español 
Moneda de cuenta origen y destino  origen es diferente 
Operación de monto superior al disponible de la cuenta 
Pendiente de aprobación por 1 Aprobador</t>
  </si>
  <si>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LPS Corrientes</t>
    </r>
    <r>
      <rPr>
        <rFont val="Arial"/>
        <color theme="1"/>
      </rPr>
      <t xml:space="preserve">
</t>
    </r>
    <r>
      <rPr>
        <rFont val="Arial"/>
        <b/>
        <color theme="1"/>
      </rPr>
      <t xml:space="preserve">Cuenta Origen No debe tener saldo suficiente </t>
    </r>
    <r>
      <rPr>
        <rFont val="Arial"/>
        <color theme="1"/>
      </rPr>
      <t xml:space="preserve">
Destino SV-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</si>
  <si>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LPS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SV</t>
    </r>
    <r>
      <rPr>
        <rFont val="Arial"/>
        <color theme="1"/>
      </rPr>
      <t xml:space="preserve">
Tipo de cuenta Ahorro-USD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15500.00- Ingresar un monto superior al disponible de la cuenta origen
Si la cuenta origen y destino no tienen la misma moneda se debe presentar dos campos así:
</t>
    </r>
    <r>
      <rPr>
        <rFont val="Arial"/>
        <color theme="1"/>
      </rPr>
      <t>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</si>
  <si>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t>La cuenta ordenante No posea fondos sufientes
La empresa ordenante debe poseer esquemas de firmas configurados previamente a la operación</t>
  </si>
  <si>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</si>
  <si>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t>Administración única 
Usuario Aprobador
Acceso a Transferir 
Acceso a la empresa cuenta origen
Esquema de firmas 1 Nivel
Idioma Español 
Operación Fallida por Insuficiencia de fondos</t>
  </si>
  <si>
    <r>
      <rPr>
        <rFont val="Arial"/>
        <color theme="1"/>
      </rPr>
      <t xml:space="preserve">El perfilamiento Aprobador
Validación de Campos
Empresa a utilizar debe estar marcada en Control Center como "Transferencias a terceros sin destino autorizado"
</t>
    </r>
    <r>
      <rPr>
        <rFont val="Arial"/>
        <b/>
        <color theme="1"/>
      </rPr>
      <t>Empresa a utilizar de DvHN- LPS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</si>
  <si>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t>Ingresar al módulo de Autorizaciones
Seleccionar el rango de fecha a consultar
Validar que se muestre el resultado de la operación a autorizar 
Seleccione la operación y visualice el detalle de la transacción</t>
  </si>
  <si>
    <t xml:space="preserve">
Seleccione la opción de Autorizar
Ingresar un token válido 
Validar que toda la información que se seleccione se muestre en las diferentes etapas 
El soft token deberá seleccionar la semilla activada por el usuario previamente
</t>
  </si>
  <si>
    <t>Valide la información 
de la operación pertenece a la Autorización</t>
  </si>
  <si>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</si>
  <si>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Operación de monto superior al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</si>
  <si>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 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</si>
  <si>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CR</t>
    </r>
    <r>
      <rPr>
        <rFont val="Arial"/>
        <color theme="1"/>
      </rPr>
      <t xml:space="preserve">
Tipo de cuenta Ahorro-Maestra </t>
    </r>
    <r>
      <rPr>
        <rFont val="Arial"/>
        <b/>
        <color theme="1"/>
      </rPr>
      <t xml:space="preserve">Colones </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200000.00-
Si la cuenta origen y destino no tienen la misma moneda se debe presentar dos campos así:
</t>
    </r>
    <r>
      <rPr>
        <rFont val="Arial"/>
        <color theme="1"/>
      </rPr>
      <t xml:space="preserve">Recibe: Se debe mostrar las iniciales de la moneda origen con el símbolo de la divisa según aplique ( dólares, colones, lempiras) 
</t>
    </r>
    <r>
      <rPr>
        <rFont val="Arial"/>
        <b/>
        <color theme="1"/>
      </rPr>
      <t xml:space="preserve">Escribir el monto equivalente a $408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</si>
  <si>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</si>
  <si>
    <t xml:space="preserve">Administración única 
Usuario Aprobador 1
Acceso a Transferir 
Acceso a la empresa cuenta origen
Esquema de firmas 2 Nivel
Idioma Ingles 
Aprobado </t>
  </si>
  <si>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 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</si>
  <si>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t>Si la transacción no finaliza con está autorización de acuerdo al esquema de firma definido  el canal debe informar “ Autorización exitosa, la solicitud fue enviada para aprobación de acuerdo al esquema de firma definido.</t>
  </si>
  <si>
    <r>
      <rPr>
        <rFont val="Arial"/>
        <color theme="1"/>
      </rPr>
      <t xml:space="preserve">Administración única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</si>
  <si>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 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</si>
  <si>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t xml:space="preserve">Ingresar al módulo de Autorizaciones
Seleccionar el rango de fecha a consultar
Validar que se muestre el resultado de la operación a autorizar que se encuentra pendiente del último autorizante
Seleccione la operación y visualice el detalle de la transacción
</t>
  </si>
  <si>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</si>
  <si>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t>Si la operación es rechazada una vez el usuario ingrese la clave de confirmación el canal debe mostrar un modal informando:  Transferencia Rechazada, seguido de la causal de rechazo. posterior estará el botón de “Continuar” al dar clic vuelve al menú de transferencias donde podrá crear una nueva o consultar el estado.</t>
  </si>
  <si>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</si>
  <si>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única 
Usuario con aprobación directa la cree y autorice - esquema de firmas 2 niveles ( no quedará pendiente de autorización)
Acceso a Transferir 
Crear transferencias regionales a cuentas a terceros
</t>
    </r>
    <r>
      <rPr>
        <rFont val="Arial"/>
        <b/>
        <color theme="1"/>
      </rPr>
      <t>Esquema de firmas 2 Nivel
Idioma Español</t>
    </r>
    <r>
      <rPr>
        <rFont val="Arial"/>
        <color theme="1"/>
      </rPr>
      <t xml:space="preserve">
Moneda de cuenta origen y destino  igual
Operación de monto superior al disponible de la cuenta 
Monto superior a 10 Millones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</si>
  <si>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 Ahorro</t>
    </r>
    <r>
      <rPr>
        <rFont val="Arial"/>
        <color theme="1"/>
      </rPr>
      <t xml:space="preserve">
Destino </t>
    </r>
    <r>
      <rPr>
        <rFont val="Arial"/>
        <b/>
        <color theme="1"/>
      </rPr>
      <t>PA-USD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</si>
  <si>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PA</t>
    </r>
    <r>
      <rPr>
        <rFont val="Arial"/>
        <color theme="1"/>
      </rPr>
      <t xml:space="preserve">
Tipo de cuenta </t>
    </r>
    <r>
      <rPr>
        <rFont val="Arial"/>
        <b/>
        <color theme="1"/>
      </rPr>
      <t>Ahorro</t>
    </r>
    <r>
      <rPr>
        <rFont val="Arial"/>
        <color theme="1"/>
      </rPr>
      <t xml:space="preserve">- </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12,000,000.00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</si>
  <si>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t>En el caso que la operación sea superior a los límites establecidos por el usuario administrador el canal debe presentar un mensaje claro sobre el error presentado ejemplo “La operación no puede ser creada debido a que supera el límite monetario, comuníquese con su administrador”, la operación no debe ser creada</t>
  </si>
  <si>
    <t>La cuenta puede o no tener el disponible pero el canal debe validar el monto a enviar no supere los 10 Millones</t>
  </si>
  <si>
    <t>La operación no puede crearse y debe mostrar un error en pantalla</t>
  </si>
  <si>
    <r>
      <rPr>
        <rFont val="Arial"/>
        <color theme="1"/>
      </rPr>
      <t xml:space="preserve">Administración única 
Usuario Administrador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</si>
  <si>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LPS Corrientes</t>
    </r>
    <r>
      <rPr>
        <rFont val="Arial"/>
        <color theme="1"/>
      </rPr>
      <t xml:space="preserve">
Destino </t>
    </r>
    <r>
      <rPr>
        <rFont val="Arial"/>
        <b/>
        <color theme="1"/>
      </rPr>
      <t>PA-</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</si>
  <si>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LPS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PA</t>
    </r>
    <r>
      <rPr>
        <rFont val="Arial"/>
        <color theme="1"/>
      </rPr>
      <t xml:space="preserve">
Tipo de cuenta Ahorro-</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879.01
Si la cuenta origen y destino no tienen la misma moneda se debe presentar dos campos así:
</t>
    </r>
    <r>
      <rPr>
        <rFont val="Arial"/>
        <color theme="1"/>
      </rPr>
      <t xml:space="preserve">Envía: Se debe mostrar las iniciales de la moneda origen con el símbolo de la divisa según aplique ( dólares, colones, lempiras) y espacio para que el usuario pueda ingresar el monto. Ingresar el valor de Monto LPS 
Recibe: Se debe mostrar las iniciales de la moneda origen con el símbolo de la divisa según aplique ( dólares, colones, lempiras) 
</t>
    </r>
    <r>
      <rPr>
        <rFont val="Arial"/>
        <b/>
        <color theme="1"/>
      </rPr>
      <t xml:space="preserve">Escribir el monto equivalente a $34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</si>
  <si>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Maestro </t>
    </r>
    <r>
      <rPr>
        <rFont val="Arial"/>
        <b/>
        <color theme="1"/>
      </rPr>
      <t>2</t>
    </r>
    <r>
      <rPr>
        <rFont val="Arial"/>
        <color theme="1"/>
      </rPr>
      <t xml:space="preserve">
Acceso a Transferir 
Acceso a la empresa cuenta origen
Esquema de firmas 2 Nivel
Idioma Español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</si>
  <si>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LPS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</si>
  <si>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</si>
  <si>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</si>
  <si>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-Ahorro-válido y en estado Activo
</t>
    </r>
  </si>
  <si>
    <r>
      <rPr>
        <rFont val="Arial"/>
        <color theme="1"/>
      </rPr>
      <t>"Paso 1. Origen: En esta sección se deben mostrar los siguientes campos: 
País Origen: es una lista desplegable con las opciones (Honduras, Panamá, Costa Rica y El Salvador  junto con la imagen de la bandera de cada país.)
Seleccionar HN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PA</t>
    </r>
    <r>
      <rPr>
        <rFont val="Arial"/>
        <color theme="1"/>
      </rPr>
      <t xml:space="preserve">
Tipo de cuenta </t>
    </r>
    <r>
      <rPr>
        <rFont val="Arial"/>
        <b/>
        <color theme="1"/>
      </rPr>
      <t>Ahorro- 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2</t>
    </r>
    <r>
      <rPr>
        <rFont val="Arial"/>
        <b/>
        <color theme="1"/>
      </rPr>
      <t>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</si>
  <si>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t>
    </r>
    <r>
      <rPr>
        <rFont val="Arial"/>
        <b/>
        <color theme="1"/>
      </rPr>
      <t>Aprobación Directa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</si>
  <si>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-Ahorro-válido y en estado Activo
</t>
    </r>
  </si>
  <si>
    <t>En caso que el canal presente demora en la respuesta por parte del core de país origen y/o destino, si el tiempo es superior a x segundos se debe implementar la funcionalidad del DME 269 que hace referencia que el proceso queda en estado “En ejecución” adicional el usuario debe recibir una notificación a su bandeja de notificaciones donde se informe que la operación se encuentra en proceso, lo anterior para que el usuario no la realice nuevamente que podría generar una duplicidad. 
No quedará pendiente de autorización</t>
  </si>
  <si>
    <r>
      <rPr>
        <rFont val="Arial"/>
        <b/>
        <color theme="1"/>
      </rPr>
      <t>Administración Dual</t>
    </r>
    <r>
      <rPr>
        <rFont val="Arial"/>
        <color theme="1"/>
      </rPr>
      <t xml:space="preserve">
Usuario Rol Administrador 
Acceso a Transferir 
Crear transferencias regionales a cuentas a terceros
Envió de operación exitosa
Esquema de firmas 1 Nivel
Idioma </t>
    </r>
    <r>
      <rPr>
        <rFont val="Arial"/>
        <b/>
        <color theme="1"/>
      </rPr>
      <t>Español</t>
    </r>
    <r>
      <rPr>
        <rFont val="Arial"/>
        <color theme="1"/>
      </rPr>
      <t xml:space="preserve">
Editar Monto inicial 
Validar que los campos y los mensajes se muestren en ingles
Descargar comprobante</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</si>
  <si>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sin destino autorizado"
Empresa a utilizar de DvHN- Ahorro
El usuario tiene marcado la opción de ver saldos
Cuenta Origen debe tener saldo suficiente 
Destino PA- USD</t>
    </r>
    <r>
      <rPr>
        <rFont val="Arial"/>
        <b/>
        <color theme="1"/>
      </rPr>
      <t xml:space="preserve">
</t>
    </r>
    <r>
      <rPr>
        <rFont val="Arial"/>
        <color theme="1"/>
      </rPr>
      <t xml:space="preserve">Cuenta </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</si>
  <si>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HN</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Ahorro</t>
    </r>
    <r>
      <rPr>
        <rFont val="Arial"/>
        <color theme="1"/>
      </rPr>
      <t xml:space="preserve">
Una vez el usuario tenga la información ingresada se habilita el botón de “continuar” donde le permite continuar con el flujo de la cuenta destino.
Pais Destino 
Es una lista desplegable con los valores Panamá,Costa Rica, y El Salvador junto con la imagen de la bandera de cada país. 
País Destino: es una lista desplegable con los valores Honduras, Panamá, Costa Rica, y El Salvador junto con la imagen de la bandera de cada país. (No debe presentar el país que fue seleccionado en el campo “País Origen”
</t>
    </r>
    <r>
      <rPr>
        <rFont val="Arial"/>
        <b/>
        <color theme="1"/>
      </rPr>
      <t xml:space="preserve">Seleccionar el país destino PA
Tipo de cuenta Ahorro-USD
Ingrese número de cuenta válido y completo
Seleccionar Validar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$1800.00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No debe mostrar pantalla de  Egreso de divisas, solamente aplica cuando la cuenta origen es SV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$180.00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</si>
  <si>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</si>
  <si>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Administración </t>
    </r>
    <r>
      <rPr>
        <rFont val="Arial"/>
        <b/>
        <color theme="1"/>
      </rPr>
      <t>Dual</t>
    </r>
    <r>
      <rPr>
        <rFont val="Arial"/>
        <color theme="1"/>
      </rPr>
      <t xml:space="preserve">
Usuario Rol Operador
Acceso a Transferir 
Crear transferencias regionales a cuentas a terceros
Esquema de firmas 1 Nivel
Idioma </t>
    </r>
    <r>
      <rPr>
        <rFont val="Arial"/>
        <b/>
        <color theme="1"/>
      </rPr>
      <t>Español</t>
    </r>
    <r>
      <rPr>
        <rFont val="Arial"/>
        <color theme="1"/>
      </rPr>
      <t xml:space="preserve">
Moneda de cuenta origen y destino  origen es diferente a USD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</si>
  <si>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LPS Ahorro</t>
    </r>
    <r>
      <rPr>
        <rFont val="Arial"/>
        <color theme="1"/>
      </rPr>
      <t xml:space="preserve">
El usuario tiene marcado la opción de ver saldos
Cuenta Origen debe tener saldo suficiente 
Destino CR- CRC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</si>
  <si>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Saldo puede visualizar el disponible de la cuenta ordenante
</t>
    </r>
    <r>
      <rPr>
        <rFont val="Arial"/>
        <b/>
        <color theme="1"/>
      </rPr>
      <t>Buscar cuenta origen LPS 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CR
</t>
    </r>
    <r>
      <rPr>
        <rFont val="Arial"/>
        <b/>
        <color theme="1"/>
      </rPr>
      <t>Tipo de cuenta Ahorro-CRC</t>
    </r>
    <r>
      <rPr>
        <rFont val="Arial"/>
        <color theme="1"/>
      </rPr>
      <t xml:space="preserve">
Ingrese número de cuenta válido y completo
Seleccionar Validar 
Seleccionar Continuar se encuentre inactivo</t>
    </r>
  </si>
  <si>
    <r>
      <rPr>
        <rFont val="Arial"/>
        <color theme="1"/>
      </rPr>
      <t>Administración</t>
    </r>
    <r>
      <rPr>
        <rFont val="Arial"/>
        <b/>
        <color theme="1"/>
      </rPr>
      <t xml:space="preserve"> Dual</t>
    </r>
    <r>
      <rPr>
        <rFont val="Arial"/>
        <color theme="1"/>
      </rPr>
      <t xml:space="preserve">
Usuario Rol Operador
Acceso a Transferir 
Crear transferencias regionales a cuentas a terceros
Esquema de firmas 1 Nivel
Idioma Ingles
Moneda de cuenta origen y destino  origen es diferente 
Operación de monto superior al disponible de la cuenta 
Pendiente de aprobación por 1 Aprobador
</t>
    </r>
    <r>
      <rPr>
        <rFont val="Arial"/>
        <b/>
        <color theme="1"/>
      </rPr>
      <t>Validar que los campos y los mensajes se encuentren traducidos correctamente</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</si>
  <si>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LPS Corrientes</t>
    </r>
    <r>
      <rPr>
        <rFont val="Arial"/>
        <color theme="1"/>
      </rPr>
      <t xml:space="preserve">
</t>
    </r>
    <r>
      <rPr>
        <rFont val="Arial"/>
        <b/>
        <color theme="1"/>
      </rPr>
      <t xml:space="preserve">Cuenta Origen No debe tener saldo suficiente </t>
    </r>
    <r>
      <rPr>
        <rFont val="Arial"/>
        <color theme="1"/>
      </rPr>
      <t xml:space="preserve">
Destino SV-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</si>
  <si>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LPS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SV</t>
    </r>
    <r>
      <rPr>
        <rFont val="Arial"/>
        <color theme="1"/>
      </rPr>
      <t xml:space="preserve">
Tipo de cuenta Ahorro-USD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15500.00- Ingresar un monto superior al disponible de la cuenta origen
Si la cuenta origen y destino no tienen la misma moneda se debe presentar dos campos así:
</t>
    </r>
    <r>
      <rPr>
        <rFont val="Arial"/>
        <color theme="1"/>
      </rPr>
      <t>Envía: Se debe mostrar las iniciales de la moneda origen con el símbolo de la divisa según aplique ( dólares, colones, lempiras) y espacio para que el usuario pueda ingresar el monto. Ingresar el valor de Monto LPS 15500.00
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</si>
  <si>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</si>
  <si>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Administración </t>
    </r>
    <r>
      <rPr>
        <rFont val="Arial"/>
        <b/>
        <color theme="1"/>
      </rPr>
      <t>Dual</t>
    </r>
    <r>
      <rPr>
        <rFont val="Arial"/>
        <color theme="1"/>
      </rPr>
      <t xml:space="preserve">
Usuario Aprobador
Acceso a Transferir 
Acceso a la empresa cuenta origen
Esquema de firmas 1 Nivel
Idioma Español 
Operación Fallida por Insuficiencia de fondos</t>
    </r>
  </si>
  <si>
    <r>
      <rPr>
        <rFont val="Arial"/>
        <color theme="1"/>
      </rPr>
      <t xml:space="preserve">El perfilamiento Aprobador
Validación de Campos
Empresa a utilizar debe estar marcada en Control Center como "Transferencias a terceros sin destino autorizado"
</t>
    </r>
    <r>
      <rPr>
        <rFont val="Arial"/>
        <b/>
        <color theme="1"/>
      </rPr>
      <t>Empresa a utilizar de DvHN- LPS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</si>
  <si>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</si>
  <si>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Dual
Usuario Rol Operador
Acceso a Transferir 
Crear transferencias regionales a cuentas a terceros
</t>
    </r>
    <r>
      <rPr>
        <rFont val="Arial"/>
        <b/>
        <color theme="1"/>
      </rPr>
      <t>Esquema de firmas 2 Nivel
Idioma Español</t>
    </r>
    <r>
      <rPr>
        <rFont val="Arial"/>
        <color theme="1"/>
      </rPr>
      <t xml:space="preserve">
Moneda de cuenta origen y destino  origen es diferente 
Operación de monto superior al disponible de la cuenta 
Pendiente de aprobación por 1 Aprobador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</si>
  <si>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 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</si>
  <si>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LPS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CR</t>
    </r>
    <r>
      <rPr>
        <rFont val="Arial"/>
        <color theme="1"/>
      </rPr>
      <t xml:space="preserve">
Tipo de cuenta Ahorro-Maestra </t>
    </r>
    <r>
      <rPr>
        <rFont val="Arial"/>
        <b/>
        <color theme="1"/>
      </rPr>
      <t xml:space="preserve">Colones </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200000.00-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t>
    </r>
    <r>
      <rPr>
        <rFont val="Arial"/>
        <b/>
        <color theme="1"/>
      </rPr>
      <t xml:space="preserve">Escribir el monto equivalente a $408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</si>
  <si>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t xml:space="preserve">Administración Dual
Usuario Aprobador 1
Acceso a Transferir 
Acceso a la empresa cuenta origen
Esquema de firmas 2 Nivel
Idioma Español
Aprobado </t>
  </si>
  <si>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 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</si>
  <si>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Administración Dual
Usuario Aprobador </t>
    </r>
    <r>
      <rPr>
        <rFont val="Arial"/>
        <b/>
        <color theme="1"/>
      </rPr>
      <t>2</t>
    </r>
    <r>
      <rPr>
        <rFont val="Arial"/>
        <color theme="1"/>
      </rPr>
      <t xml:space="preserve">
Acceso a Transferir 
Acceso a la empresa cuenta origen
Esquema de firmas 2 Nivel
Idioma Español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</si>
  <si>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</si>
  <si>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</si>
  <si>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</si>
  <si>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Dual
Usuario con aprobación directa la cree y autorice - esquema de firmas 2 niveles ( no quedará pendiente de autorización)
Acceso a Transferir 
Crear transferencias regionales a cuentas a terceros
</t>
    </r>
    <r>
      <rPr>
        <rFont val="Arial"/>
        <b/>
        <color theme="1"/>
      </rPr>
      <t>Esquema de firmas 2 Nivel
Idioma Inglés</t>
    </r>
    <r>
      <rPr>
        <rFont val="Arial"/>
        <color theme="1"/>
      </rPr>
      <t xml:space="preserve">
Moneda de cuenta origen y destino  igual
Operación de monto superior al disponible de la cuenta 
Monto superior a 10 Millones 
Validar que los mensajes y los campos se visualicen correctamente</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</si>
  <si>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 Ahorro</t>
    </r>
    <r>
      <rPr>
        <rFont val="Arial"/>
        <color theme="1"/>
      </rPr>
      <t xml:space="preserve">
Destino </t>
    </r>
    <r>
      <rPr>
        <rFont val="Arial"/>
        <b/>
        <color theme="1"/>
      </rPr>
      <t>PA-USD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</si>
  <si>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PA</t>
    </r>
    <r>
      <rPr>
        <rFont val="Arial"/>
        <color theme="1"/>
      </rPr>
      <t xml:space="preserve">
Tipo de cuenta </t>
    </r>
    <r>
      <rPr>
        <rFont val="Arial"/>
        <b/>
        <color theme="1"/>
      </rPr>
      <t>Ahorro</t>
    </r>
    <r>
      <rPr>
        <rFont val="Arial"/>
        <color theme="1"/>
      </rPr>
      <t xml:space="preserve">- </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12,000,000.00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</si>
  <si>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Dual
Usuario Administrador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</si>
  <si>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LPS Corrientes</t>
    </r>
    <r>
      <rPr>
        <rFont val="Arial"/>
        <color theme="1"/>
      </rPr>
      <t xml:space="preserve">
Destino </t>
    </r>
    <r>
      <rPr>
        <rFont val="Arial"/>
        <b/>
        <color theme="1"/>
      </rPr>
      <t>PA-</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</si>
  <si>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LPS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PA</t>
    </r>
    <r>
      <rPr>
        <rFont val="Arial"/>
        <color theme="1"/>
      </rPr>
      <t xml:space="preserve">
Tipo de cuenta Ahorro-</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879.01
Si la cuenta origen y destino no tienen la misma moneda se debe presentar dos campos así:
</t>
    </r>
    <r>
      <rPr>
        <rFont val="Arial"/>
        <color theme="1"/>
      </rPr>
      <t xml:space="preserve">Envía: Se debe mostrar las iniciales de la moneda origen con el símbolo de la divisa según aplique ( dólares, colones, lempiras) y espacio para que el usuario pueda ingresar el monto. Ingresar el valor de Monto LPS 
Recibe: Se debe mostrar las iniciales de la moneda origen con el símbolo de la divisa según aplique ( dólares, colones, lempiras) 
</t>
    </r>
    <r>
      <rPr>
        <rFont val="Arial"/>
        <b/>
        <color theme="1"/>
      </rPr>
      <t xml:space="preserve">Escribir el monto equivalente a $34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</si>
  <si>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
Validar que los mensajes y los campos muestran se encuentren traducidos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</si>
  <si>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LPS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</si>
  <si>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</si>
  <si>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dual
Usuario Rol Operador
Acceso a Transferir 
Crear transferencias regionales a cuentas a terceros
</t>
    </r>
    <r>
      <rPr>
        <rFont val="Arial"/>
        <b/>
        <color theme="1"/>
      </rPr>
      <t>Esquema de firmas 2 Nivel
Idioma Español</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</si>
  <si>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-Ahorro-válido y en estado Activo
</t>
    </r>
  </si>
  <si>
    <r>
      <rPr>
        <rFont val="Arial"/>
        <color theme="1"/>
      </rPr>
      <t>"Paso 1. Origen: En esta sección se deben mostrar los siguientes campos: 
País Origen: es una lista desplegable con las opciones (Honduras, Panamá, Costa Rica y El Salvador  junto con la imagen de la bandera de cada país.)
Seleccionar HN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PA</t>
    </r>
    <r>
      <rPr>
        <rFont val="Arial"/>
        <color theme="1"/>
      </rPr>
      <t xml:space="preserve">
Tipo de cuenta </t>
    </r>
    <r>
      <rPr>
        <rFont val="Arial"/>
        <b/>
        <color theme="1"/>
      </rPr>
      <t>Ahorro- 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2</t>
    </r>
    <r>
      <rPr>
        <rFont val="Arial"/>
        <b/>
        <color theme="1"/>
      </rPr>
      <t>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</si>
  <si>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t>
    </r>
    <r>
      <rPr>
        <rFont val="Arial"/>
        <b/>
        <color theme="1"/>
      </rPr>
      <t>Aprobación Directa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</si>
  <si>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DvHN- USD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</si>
  <si>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Usuario Rol Preparador 
Acceso a Transferir 
Intentar Crear transferencias regionales a cuentas a terceros
</t>
    </r>
    <r>
      <rPr>
        <rFont val="Arial"/>
        <b/>
        <color theme="1"/>
      </rPr>
      <t>Validación de cuenta No existe 
Validar que si no existe cuenta a seleccionar el botón continuar no se encuentre Habilitado</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</si>
  <si>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t>
    </r>
    <r>
      <rPr>
        <rFont val="Arial"/>
        <b/>
        <color theme="1"/>
      </rPr>
      <t>PA</t>
    </r>
    <r>
      <rPr>
        <rFont val="Arial"/>
        <color theme="1"/>
      </rPr>
      <t xml:space="preserve"> Corriente
El usuario  tiene marcado la opción de ver saldos
Cuenta destino SV no existe o tiene estatus diferente "Activo"</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</si>
  <si>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 Saldo Total: Opción disponible únicamente si tiene la funcionalidad de consultar productos.</t>
    </r>
    <r>
      <rPr>
        <rFont val="Arial"/>
        <color theme="1"/>
      </rPr>
      <t xml:space="preserve">
</t>
    </r>
    <r>
      <rPr>
        <rFont val="Arial"/>
        <b/>
        <color theme="1"/>
      </rPr>
      <t xml:space="preserve"> </t>
    </r>
    <r>
      <rPr>
        <rFont val="Arial"/>
        <color theme="1"/>
      </rPr>
      <t xml:space="preserve">
Una vez el usuario tenga la información ingresada se habilita el botón de “continuar” donde le permite continuar con el flujo de la cuenta destino.
Pais Destino 
País Destino: es una lista desplegable con los valores Honduras, Costa Rica, y El Salvador junto con la imagen de la bandera de cada país. (No debe presentar el país que fue seleccionado en el campo “País Origen”
</t>
    </r>
    <r>
      <rPr>
        <rFont val="Arial"/>
        <b/>
        <color theme="1"/>
      </rPr>
      <t xml:space="preserve">Seleccionar el país destino SV 
Tipo de cuenta Ahorros
Ingrese número de cuenta de ahorros -No válido o incompleto 
Seleccionar Validar 
</t>
    </r>
  </si>
  <si>
    <r>
      <rPr>
        <rFont val="Arial"/>
        <color theme="1"/>
      </rPr>
      <t xml:space="preserve">Usuario Rol Preparador 
Acceso a Transferir 
Intentar Crear transferencias regionales a cuentas a terceros
</t>
    </r>
    <r>
      <rPr>
        <rFont val="Arial"/>
        <b/>
        <color theme="1"/>
      </rPr>
      <t>Validación de cuenta No existe  por cuenta beneficiario incompleta 
Validar que si no existe cuenta a seleccionar el botón continuar no se encuentre Habilitado</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</si>
  <si>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t>
    </r>
    <r>
      <rPr>
        <rFont val="Arial"/>
        <b/>
        <color theme="1"/>
      </rPr>
      <t>PA</t>
    </r>
    <r>
      <rPr>
        <rFont val="Arial"/>
        <color theme="1"/>
      </rPr>
      <t xml:space="preserve">- Corriente
El usuario  tiene marcado la opción de ver saldos
Cuenta destino CR incompleta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</si>
  <si>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 Saldo Total: Opción disponible únicamente si tiene la funcionalidad de consultar productos.</t>
    </r>
    <r>
      <rPr>
        <rFont val="Arial"/>
        <color theme="1"/>
      </rPr>
      <t xml:space="preserve">
Una vez el usuario tenga la información ingresada se habilita el botón de “continuar” donde le permite continuar con el flujo de la cuenta destino.
Pais Destino 
Es una lista desplegable con los valores Honduras,Panama, y El Salvador junto con la imagen de la bandera de cada país. 
País Destino: es una lista desplegable con los valores Honduras, Panamá, Costa Rica, y El Salvador junto con la imagen de la bandera de cada país. (No debe presentar el país que fue seleccionado en el campo “País Origen”
</t>
    </r>
    <r>
      <rPr>
        <rFont val="Arial"/>
        <b/>
        <color theme="1"/>
      </rPr>
      <t xml:space="preserve">Seleccionar el país destino CR
Tipo de cuenta Ahorro- Maestra
Ingrese número de cuenta de ahorros - Incompleto 
Seleccionar Validar 
</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</si>
  <si>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DvPA- Corriente
El usuario  No tiene marcado la opción de ver saldos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</si>
  <si>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La información que se muestra por producto es:
- Nombre de cuenta o alias: Se debe presentar el nombre de la cuenta o alias asignado.
- Número de cuenta:  enmascarado
- Divisa: Debe mostrar el nombre de la moneda de apertura
</t>
    </r>
    <r>
      <rPr>
        <rFont val="Arial"/>
        <b/>
        <color theme="1"/>
      </rPr>
      <t>Buscar cuenta origen Ahorro</t>
    </r>
    <r>
      <rPr>
        <rFont val="Arial"/>
        <color theme="1"/>
      </rPr>
      <t xml:space="preserve">
Una vez el usuario tenga la información ingresada se habilita el botón de “continuar” donde le permite continuar con el flujo de la cuenta destino.
Pais Destino 
Es una lista desplegable con los valores Honduras,Costa Rica, y El Salvador junto con la imagen de la bandera de cada país. 
País Destino: es una lista desplegable con los valores Honduras, Costa Rica, y El Salvador junto con la imagen de la bandera de cada país. (No debe presentar el país que fue seleccionado en el campo “País Origen”
</t>
    </r>
    <r>
      <rPr>
        <rFont val="Arial"/>
        <b/>
        <color theme="1"/>
      </rPr>
      <t xml:space="preserve">Seleccionar el país destino SV
Tipo de cuenta Corriente
Ingrese número de cuenta válido y completo
Seleccionar Validar 
</t>
    </r>
  </si>
  <si>
    <r>
      <rPr>
        <rFont val="Arial"/>
        <b/>
        <color theme="1"/>
      </rPr>
      <t>Administración única</t>
    </r>
    <r>
      <rPr>
        <rFont val="Arial"/>
        <color theme="1"/>
      </rPr>
      <t xml:space="preserve"> 
Usuario Rol Administrador 
Acceso a Transferir 
Crear transferencias regionales a cuentas a terceros
Envió de operación exitosa
Esquema de firmas 1 Nivel
Idioma Español</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</si>
  <si>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DvPA- Corriente
El usuario No tiene marcado la opción de ver saldos
Cuenta Origen debe tener saldo suficiente 
Destino </t>
    </r>
    <r>
      <rPr>
        <rFont val="Arial"/>
        <b/>
        <color theme="1"/>
      </rPr>
      <t xml:space="preserve">CR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</si>
  <si>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Pais Destino 
Es una lista desplegable con los valores Honduras,Costa Rica, y El Salvador junto con la imagen de la bandera de cada país. 
País Destino: es una lista desplegable con los valores Honduras, Panamá, Costa Rica, y El Salvador junto con la imagen de la bandera de cada país. (No debe presentar el país que fue seleccionado en el campo “País Origen”
</t>
    </r>
    <r>
      <rPr>
        <rFont val="Arial"/>
        <b/>
        <color theme="1"/>
      </rPr>
      <t xml:space="preserve">Seleccionar el país destino CR
Tipo de cuenta Corriente-Maestra en USD
Ingrese número de cuenta válido y completo
Seleccionar Validar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$2000.00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2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40 caracteres
</t>
    </r>
    <r>
      <rPr>
        <rFont val="Arial"/>
        <color theme="1"/>
      </rPr>
      <t xml:space="preserve">Botón continuar se debe mostrar activo 
</t>
    </r>
    <r>
      <rPr>
        <rFont val="Arial"/>
        <b/>
        <color theme="1"/>
      </rPr>
      <t xml:space="preserve">No debe mostrar pantalla de  Egreso de divisas, solamente aplica cuando la cuenta origen es SV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</si>
  <si>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Validar que se reciba la notificación según los correos adicionados para notificación</t>
    </r>
  </si>
  <si>
    <r>
      <rPr>
        <rFont val="Arial"/>
        <b/>
        <color theme="1"/>
      </rPr>
      <t>Administración única</t>
    </r>
    <r>
      <rPr>
        <rFont val="Arial"/>
        <color theme="1"/>
      </rPr>
      <t xml:space="preserve"> 
Usuario Rol Administrador 
Acceso a Transferir 
Crear transferencias regionales a cuentas a terceros
Envió de operación exitosa
Esquema de firmas 1 Nivel
Idioma Ingles
Editar Monto inicial 
Validar que los campos y los mensajes se muestren en ingles
Descargar comprobante</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</si>
  <si>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t>
    </r>
    <r>
      <rPr>
        <rFont val="Arial"/>
        <b/>
        <color theme="1"/>
      </rPr>
      <t>PA</t>
    </r>
    <r>
      <rPr>
        <rFont val="Arial"/>
        <color theme="1"/>
      </rPr>
      <t xml:space="preserve">- Ahorro
El usuario tiene marcado la opción de ver saldos
Cuenta Origen debe tener saldo suficiente 
Destino </t>
    </r>
    <r>
      <rPr>
        <rFont val="Arial"/>
        <b/>
        <color theme="1"/>
      </rPr>
      <t>CR</t>
    </r>
    <r>
      <rPr>
        <rFont val="Arial"/>
        <color theme="1"/>
      </rPr>
      <t>- USD</t>
    </r>
    <r>
      <rPr>
        <rFont val="Arial"/>
        <b/>
        <color theme="1"/>
      </rPr>
      <t xml:space="preserve">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</si>
  <si>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Pais Destino 
Es una lista desplegable con los valores Panamá,Costa Rica, y El Salvador junto con la imagen de la bandera de cada país. 
País Destino: es una lista desplegable con los valores Honduras,  Costa Rica, y El Salvador junto con la imagen de la bandera de cada país. (No debe presentar el país que fue seleccionado en el campo “País Origen”
</t>
    </r>
    <r>
      <rPr>
        <rFont val="Arial"/>
        <b/>
        <color theme="1"/>
      </rPr>
      <t xml:space="preserve">Seleccionar el país destino CR
Tipo de cuenta Ahorro-Maestra
Ingrese número de cuenta válido y completo
Seleccionar Validar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$4500.00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No debe mostrar pantalla de  Egreso de divisas, solamente aplica cuando la cuenta origen es SV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$3000.09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</si>
  <si>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</si>
  <si>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Corrientes</t>
    </r>
    <r>
      <rPr>
        <rFont val="Arial"/>
        <color theme="1"/>
      </rPr>
      <t xml:space="preserve">
</t>
    </r>
    <r>
      <rPr>
        <rFont val="Arial"/>
        <b/>
        <color theme="1"/>
      </rPr>
      <t xml:space="preserve">Cuenta Origen No debe tener saldo suficiente </t>
    </r>
    <r>
      <rPr>
        <rFont val="Arial"/>
        <color theme="1"/>
      </rPr>
      <t xml:space="preserv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</si>
  <si>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Ahorro-USD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555500.00- Ingresar un monto superior al disponible de la cuenta origen
Si la cuenta origen y destino no tienen la misma moneda se debe presentar dos campos así:
</t>
    </r>
    <r>
      <rPr>
        <rFont val="Arial"/>
        <color theme="1"/>
      </rPr>
      <t>Envía: Se debe mostrar las iniciales de la moneda origen con el símbolo de la divisa según aplique ( dólares, colones, lempiras) y espacio para que el usuario pueda ingresar el monto. Ingresar el valor de Monto LPS 555500.00
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</si>
  <si>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</si>
  <si>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El perfilamiento Aprobador
Validación de Campos
Empresa a utilizar debe estar marcada en Control Center como "Transferencias a terceros sin destino autorizado"
</t>
    </r>
    <r>
      <rPr>
        <rFont val="Arial"/>
        <b/>
        <color theme="1"/>
      </rPr>
      <t>Empresa a utilizar de PA- USD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</si>
  <si>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</si>
  <si>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Operación de monto superior al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</si>
  <si>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 xml:space="preserve">Empresa a utilizar de </t>
    </r>
    <r>
      <rPr>
        <rFont val="Arial"/>
        <color theme="1"/>
      </rPr>
      <t>PA</t>
    </r>
    <r>
      <rPr>
        <rFont val="Arial"/>
        <b/>
        <color theme="1"/>
      </rPr>
      <t>-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</si>
  <si>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CR</t>
    </r>
    <r>
      <rPr>
        <rFont val="Arial"/>
        <color theme="1"/>
      </rPr>
      <t xml:space="preserve">
Tipo de cuenta Ahorro-Maestra </t>
    </r>
    <r>
      <rPr>
        <rFont val="Arial"/>
        <b/>
        <color theme="1"/>
      </rPr>
      <t xml:space="preserve">Colones </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3400000.00-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t>
    </r>
    <r>
      <rPr>
        <rFont val="Arial"/>
        <b/>
        <color theme="1"/>
      </rPr>
      <t xml:space="preserve">Escribir el monto equivalente a en USD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</si>
  <si>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</si>
  <si>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Administración única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</si>
  <si>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</si>
  <si>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</si>
  <si>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</si>
  <si>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única 
Usuario con aprobación directa la cree y autorice - esquema de firmas 2 niveles ( no quedará pendiente de autorización)
Acceso a Transferir 
Crear transferencias regionales a cuentas a terceros
</t>
    </r>
    <r>
      <rPr>
        <rFont val="Arial"/>
        <b/>
        <color theme="1"/>
      </rPr>
      <t>Esquema de firmas 2 Nivel
Idioma Español</t>
    </r>
    <r>
      <rPr>
        <rFont val="Arial"/>
        <color theme="1"/>
      </rPr>
      <t xml:space="preserve">
Moneda de cuenta origen y destino  igual
Operación de monto superior al disponible de la cuenta 
Monto superior a 10 Millones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</si>
  <si>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USD Ahorro</t>
    </r>
    <r>
      <rPr>
        <rFont val="Arial"/>
        <color theme="1"/>
      </rPr>
      <t xml:space="preserve">
Destino HN</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</si>
  <si>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t>
    </r>
    <r>
      <rPr>
        <rFont val="Arial"/>
        <b/>
        <color theme="1"/>
      </rPr>
      <t>Ahorro</t>
    </r>
    <r>
      <rPr>
        <rFont val="Arial"/>
        <color theme="1"/>
      </rPr>
      <t xml:space="preserve">- </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11,000,000.00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</si>
  <si>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única 
Usuario Administrador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</si>
  <si>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Corrientes</t>
    </r>
    <r>
      <rPr>
        <rFont val="Arial"/>
        <color theme="1"/>
      </rPr>
      <t xml:space="preserve">
Destino CR</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</si>
  <si>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CR</t>
    </r>
    <r>
      <rPr>
        <rFont val="Arial"/>
        <color theme="1"/>
      </rPr>
      <t xml:space="preserve">
Tipo de cuenta Ahorro-</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
Si la cuenta origen y destino no tienen la misma moneda se debe presentar dos campos así: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</si>
  <si>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</si>
  <si>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Corrientes</t>
    </r>
    <r>
      <rPr>
        <rFont val="Arial"/>
        <color theme="1"/>
      </rPr>
      <t xml:space="preserve">
Destino CR</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</si>
  <si>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</si>
  <si>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</si>
  <si>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</si>
  <si>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t>
    </r>
    <r>
      <rPr>
        <rFont val="Arial"/>
        <b/>
        <color theme="1"/>
      </rPr>
      <t>Ahorro- 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2</t>
    </r>
    <r>
      <rPr>
        <rFont val="Arial"/>
        <b/>
        <color theme="1"/>
      </rPr>
      <t>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</si>
  <si>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t>
    </r>
    <r>
      <rPr>
        <rFont val="Arial"/>
        <b/>
        <color theme="1"/>
      </rPr>
      <t>Aprobación Directa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</si>
  <si>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</si>
  <si>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Administración Dual
Usuario Rol Preparador 
Acceso a Transferir 
Intentar Crear transferencias regionales a cuentas a terceros
</t>
    </r>
    <r>
      <rPr>
        <rFont val="Arial"/>
        <b/>
        <color theme="1"/>
      </rPr>
      <t>Validación de cuenta No existe 
Validar que si no existe cuenta a seleccionar el botón continuar no se encuentre Habilitado</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</si>
  <si>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t>
    </r>
    <r>
      <rPr>
        <rFont val="Arial"/>
        <b/>
        <color theme="1"/>
      </rPr>
      <t>PA</t>
    </r>
    <r>
      <rPr>
        <rFont val="Arial"/>
        <color theme="1"/>
      </rPr>
      <t xml:space="preserve"> Corriente
El usuario  tiene marcado la opción de ver saldos
Cuenta destino SV no existe o tiene estatus diferente "Activo"</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</si>
  <si>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 Saldo Total: Opción disponible únicamente si tiene la funcionalidad de consultar productos.</t>
    </r>
    <r>
      <rPr>
        <rFont val="Arial"/>
        <color theme="1"/>
      </rPr>
      <t xml:space="preserve">
Una vez el usuario tenga la información ingresada se habilita el botón de “continuar” donde le permite continuar con el flujo de la cuenta destino.
Pais Destino 
País Destino: es una lista desplegable con los valores Honduras, Costa Rica, y El Salvador junto con la imagen de la bandera de cada país. (No debe presentar el país que fue seleccionado en el campo “País Origen”
</t>
    </r>
    <r>
      <rPr>
        <rFont val="Arial"/>
        <b/>
        <color theme="1"/>
      </rPr>
      <t xml:space="preserve">Seleccionar el país destino SV 
Tipo de cuenta Ahorros
Ingrese número de cuenta de ahorros -No válido o incompleto 
Seleccionar Validar 
</t>
    </r>
  </si>
  <si>
    <r>
      <rPr>
        <rFont val="Arial"/>
        <color theme="1"/>
      </rPr>
      <t xml:space="preserve">Administración Dual
Usuario Rol Preparador 
Acceso a Transferir 
Intentar Crear transferencias regionales a cuentas a terceros
</t>
    </r>
    <r>
      <rPr>
        <rFont val="Arial"/>
        <b/>
        <color theme="1"/>
      </rPr>
      <t>Validación de cuenta No existe  por cuenta beneficiario incompleta 
Validar que si no existe cuenta a seleccionar el botón continuar no se encuentre Habilitado</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</si>
  <si>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t>
    </r>
    <r>
      <rPr>
        <rFont val="Arial"/>
        <b/>
        <color theme="1"/>
      </rPr>
      <t>PA</t>
    </r>
    <r>
      <rPr>
        <rFont val="Arial"/>
        <color theme="1"/>
      </rPr>
      <t xml:space="preserve">- Corriente
El usuario  tiene marcado la opción de ver saldos
Cuenta destino CR incompleta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</si>
  <si>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 Saldo Total: Opción disponible únicamente si tiene la funcionalidad de consultar productos.</t>
    </r>
    <r>
      <rPr>
        <rFont val="Arial"/>
        <color theme="1"/>
      </rPr>
      <t xml:space="preserve">
Una vez el usuario tenga la información ingresada se habilita el botón de “continuar” donde le permite continuar con el flujo de la cuenta destino.
Pais Destino 
Es una lista desplegable con los valores Honduras,Panama, y El Salvador junto con la imagen de la bandera de cada país. 
País Destino: es una lista desplegable con los valores Honduras, Panamá, Costa Rica, y El Salvador junto con la imagen de la bandera de cada país. (No debe presentar el país que fue seleccionado en el campo “País Origen”
</t>
    </r>
    <r>
      <rPr>
        <rFont val="Arial"/>
        <b/>
        <color theme="1"/>
      </rPr>
      <t xml:space="preserve">Seleccionar el país destino CR
Tipo de cuenta Ahorro- Maestra
Ingrese número de cuenta de ahorros - Incompleto 
Seleccionar Validar 
</t>
    </r>
  </si>
  <si>
    <t>Administración Dual
Usuario Rol Preparador 
Acceso a Transferir 
Crear transferencias regionales a cuentas a terceros
Validación de cuenta en Lista - No procede</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</si>
  <si>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DvPA- Corriente
El usuario  No tiene marcado la opción de ver saldos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</si>
  <si>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La información que se muestra por producto es:
- Nombre de cuenta o alias: Se debe presentar el nombre de la cuenta o alias asignado.
- Número de cuenta:  enmascarado
- Divisa: Debe mostrar el nombre de la moneda de apertura
</t>
    </r>
    <r>
      <rPr>
        <rFont val="Arial"/>
        <b/>
        <color theme="1"/>
      </rPr>
      <t>Buscar cuenta origen Ahorro</t>
    </r>
    <r>
      <rPr>
        <rFont val="Arial"/>
        <color theme="1"/>
      </rPr>
      <t xml:space="preserve">
Una vez el usuario tenga la información ingresada se habilita el botón de “continuar” donde le permite continuar con el flujo de la cuenta destino.
Pais Destino 
Es una lista desplegable con los valores Honduras,Costa Rica, y El Salvador junto con la imagen de la bandera de cada país. 
País Destino: es una lista desplegable con los valores Honduras, Costa Rica, y El Salvador junto con la imagen de la bandera de cada país. (No debe presentar el país que fue seleccionado en el campo “País Origen”
</t>
    </r>
    <r>
      <rPr>
        <rFont val="Arial"/>
        <b/>
        <color theme="1"/>
      </rPr>
      <t xml:space="preserve">Seleccionar el país destino SV
Tipo de cuenta Corriente
Ingrese número de cuenta válido y completo
Seleccionar Validar 
</t>
    </r>
  </si>
  <si>
    <t>Administración Dual
Usuario Rol Administrador 
Acceso a Transferir 
Crear transferencias regionales a cuentas a terceros
Envió de operación exitosa
Esquema de firmas 1 Nivel
Idioma Español</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</si>
  <si>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DvPA- Corriente
El usuario No tiene marcado la opción de ver saldos
Cuenta Origen debe tener saldo suficiente 
Destino </t>
    </r>
    <r>
      <rPr>
        <rFont val="Arial"/>
        <b/>
        <color theme="1"/>
      </rPr>
      <t xml:space="preserve">CR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</si>
  <si>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Pais Destino 
Es una lista desplegable con los valores Honduras,Costa Rica, y El Salvador junto con la imagen de la bandera de cada país. 
País Destino: es una lista desplegable con los valores Honduras, Panamá, Costa Rica, y El Salvador junto con la imagen de la bandera de cada país. (No debe presentar el país que fue seleccionado en el campo “País Origen”
</t>
    </r>
    <r>
      <rPr>
        <rFont val="Arial"/>
        <b/>
        <color theme="1"/>
      </rPr>
      <t xml:space="preserve">Seleccionar el país destino CR
Tipo de cuenta Corriente-Maestra en USD
Ingrese número de cuenta válido y completo
Seleccionar Validar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$2000.00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2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40 caracteres
</t>
    </r>
    <r>
      <rPr>
        <rFont val="Arial"/>
        <color theme="1"/>
      </rPr>
      <t xml:space="preserve">Botón continuar se debe mostrar activo 
</t>
    </r>
    <r>
      <rPr>
        <rFont val="Arial"/>
        <b/>
        <color theme="1"/>
      </rPr>
      <t xml:space="preserve">No debe mostrar pantalla de  Egreso de divisas, solamente aplica cuando la cuenta origen es SV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</si>
  <si>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Validar que se reciba la notificación según los correos adicionados para notificación</t>
    </r>
  </si>
  <si>
    <t>Administración Dual
Usuario Rol Administrador 
Acceso a Transferir 
Crear transferencias regionales a cuentas a terceros
Envió de operación exitosa
Esquema de firmas 1 Nivel
Idioma Ingles
Editar Monto inicial 
Validar que los campos y los mensajes se muestren en ingles
Descargar comprobante</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</si>
  <si>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t>
    </r>
    <r>
      <rPr>
        <rFont val="Arial"/>
        <b/>
        <color theme="1"/>
      </rPr>
      <t>PA</t>
    </r>
    <r>
      <rPr>
        <rFont val="Arial"/>
        <color theme="1"/>
      </rPr>
      <t xml:space="preserve">- Ahorro
El usuario tiene marcado la opción de ver saldos
Cuenta Origen debe tener saldo suficiente 
Destino </t>
    </r>
    <r>
      <rPr>
        <rFont val="Arial"/>
        <b/>
        <color theme="1"/>
      </rPr>
      <t>CR</t>
    </r>
    <r>
      <rPr>
        <rFont val="Arial"/>
        <color theme="1"/>
      </rPr>
      <t>- USD</t>
    </r>
    <r>
      <rPr>
        <rFont val="Arial"/>
        <b/>
        <color theme="1"/>
      </rPr>
      <t xml:space="preserve">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</si>
  <si>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Pais Destino 
Es una lista desplegable con los valores Panamá,Costa Rica, y El Salvador junto con la imagen de la bandera de cada país. 
País Destino: es una lista desplegable con los valores Honduras,  Costa Rica, y El Salvador junto con la imagen de la bandera de cada país. (No debe presentar el país que fue seleccionado en el campo “País Origen”
</t>
    </r>
    <r>
      <rPr>
        <rFont val="Arial"/>
        <b/>
        <color theme="1"/>
      </rPr>
      <t xml:space="preserve">Seleccionar el país destino CR
Tipo de cuenta Ahorro-Maestra
Ingrese número de cuenta válido y completo
Seleccionar Validar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$4500.00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No debe mostrar pantalla de  Egreso de divisas, solamente aplica cuando la cuenta origen es SV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$3000.09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</si>
  <si>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</si>
  <si>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t>Administración Dual
Usuario Rol Operador
Acceso a Transferir 
Crear transferencias regionales a cuentas a terceros
Esquema de firmas 1 Nivel
Idioma Español 
Moneda de cuenta origen y destino  origen es diferente 
Operación de monto superior al disponible de la cuenta 
Pendiente de aprobación por 1 Aprobador</t>
  </si>
  <si>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Corrientes</t>
    </r>
    <r>
      <rPr>
        <rFont val="Arial"/>
        <color theme="1"/>
      </rPr>
      <t xml:space="preserve">
</t>
    </r>
    <r>
      <rPr>
        <rFont val="Arial"/>
        <b/>
        <color theme="1"/>
      </rPr>
      <t xml:space="preserve">Cuenta Origen No debe tener saldo suficiente </t>
    </r>
    <r>
      <rPr>
        <rFont val="Arial"/>
        <color theme="1"/>
      </rPr>
      <t xml:space="preserv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</si>
  <si>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SV</t>
    </r>
    <r>
      <rPr>
        <rFont val="Arial"/>
        <color theme="1"/>
      </rPr>
      <t xml:space="preserve">
Tipo de cuenta Ahorro-USD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555500.00- Ingresar un monto superior al disponible de la cuenta origen
Si la cuenta origen y destino no tienen la misma moneda se debe presentar dos campos así:
</t>
    </r>
    <r>
      <rPr>
        <rFont val="Arial"/>
        <color theme="1"/>
      </rPr>
      <t>Envía: Se debe mostrar las iniciales de la moneda origen con el símbolo de la divisa según aplique ( dólares, colones, lempiras) y espacio para que el usuario pueda ingresar el monto. Ingresar el valor de Monto LPS 555500.00
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</si>
  <si>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</si>
  <si>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t>Administración Dual
Usuario Aprobador
Acceso a Transferir 
Acceso a la empresa cuenta origen
Esquema de firmas 1 Nivel
Idioma Español 
Operación Fallida por Insuficiencia de fondos</t>
  </si>
  <si>
    <r>
      <rPr>
        <rFont val="Arial"/>
        <color theme="1"/>
      </rPr>
      <t xml:space="preserve">El perfilamiento Aprobador
Validación de Campos
Empresa a utilizar debe estar marcada en Control Center como "Transferencias a terceros sin destino autorizado"
</t>
    </r>
    <r>
      <rPr>
        <rFont val="Arial"/>
        <b/>
        <color theme="1"/>
      </rPr>
      <t>Empresa a utilizar de PA- USD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</si>
  <si>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</si>
  <si>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Dual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Operación de monto superior al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</si>
  <si>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 xml:space="preserve">Empresa a utilizar de </t>
    </r>
    <r>
      <rPr>
        <rFont val="Arial"/>
        <color theme="1"/>
      </rPr>
      <t>PA</t>
    </r>
    <r>
      <rPr>
        <rFont val="Arial"/>
        <b/>
        <color theme="1"/>
      </rPr>
      <t>-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</si>
  <si>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CR</t>
    </r>
    <r>
      <rPr>
        <rFont val="Arial"/>
        <color theme="1"/>
      </rPr>
      <t xml:space="preserve">
Tipo de cuenta Ahorro-Maestra </t>
    </r>
    <r>
      <rPr>
        <rFont val="Arial"/>
        <b/>
        <color theme="1"/>
      </rPr>
      <t xml:space="preserve">Colones </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3400000.00-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t>
    </r>
    <r>
      <rPr>
        <rFont val="Arial"/>
        <b/>
        <color theme="1"/>
      </rPr>
      <t xml:space="preserve">Escribir el monto equivalente a en USD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</si>
  <si>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t xml:space="preserve">Administración Dual
Usuario Aprobador 1
Acceso a Transferir 
Acceso a la empresa cuenta origen
Esquema de firmas 2 Nivel
Idioma Ingles 
Aprobado </t>
  </si>
  <si>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</si>
  <si>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Administración Dual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</si>
  <si>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</si>
  <si>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</si>
  <si>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</si>
  <si>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Dual
Usuario con aprobación directa la cree y autorice - esquema de firmas 2 niveles ( no quedará pendiente de autorización)
Acceso a Transferir 
Crear transferencias regionales a cuentas a terceros
</t>
    </r>
    <r>
      <rPr>
        <rFont val="Arial"/>
        <b/>
        <color theme="1"/>
      </rPr>
      <t>Esquema de firmas 2 Nivel
Idioma Ingles</t>
    </r>
    <r>
      <rPr>
        <rFont val="Arial"/>
        <color theme="1"/>
      </rPr>
      <t xml:space="preserve">
Moneda de cuenta origen y destino  igual
Operación de monto superior al disponible de la cuenta 
Monto superior a 10 Millones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</si>
  <si>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USD Ahorro</t>
    </r>
    <r>
      <rPr>
        <rFont val="Arial"/>
        <color theme="1"/>
      </rPr>
      <t xml:space="preserve">
Destino HN</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</si>
  <si>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t>
    </r>
    <r>
      <rPr>
        <rFont val="Arial"/>
        <b/>
        <color theme="1"/>
      </rPr>
      <t>Ahorro</t>
    </r>
    <r>
      <rPr>
        <rFont val="Arial"/>
        <color theme="1"/>
      </rPr>
      <t xml:space="preserve">- </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11,000,000.00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</si>
  <si>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Dual
Usuario Administrador
Acceso a Transferir 
Crear transferencias regionales a cuentas a terceros
</t>
    </r>
    <r>
      <rPr>
        <rFont val="Arial"/>
        <b/>
        <color theme="1"/>
      </rPr>
      <t>Esquema de firmas 2 Nivel
Idioma Español</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</si>
  <si>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Corrientes</t>
    </r>
    <r>
      <rPr>
        <rFont val="Arial"/>
        <color theme="1"/>
      </rPr>
      <t xml:space="preserve">
Destino CR</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</si>
  <si>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CR</t>
    </r>
    <r>
      <rPr>
        <rFont val="Arial"/>
        <color theme="1"/>
      </rPr>
      <t xml:space="preserve">
Tipo de cuenta Ahorro-</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
Si la cuenta origen y destino no tienen la misma moneda se debe presentar dos campos así: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</si>
  <si>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Maestro </t>
    </r>
    <r>
      <rPr>
        <rFont val="Arial"/>
        <b/>
        <color theme="1"/>
      </rPr>
      <t>2</t>
    </r>
    <r>
      <rPr>
        <rFont val="Arial"/>
        <color theme="1"/>
      </rPr>
      <t xml:space="preserve">
Acceso a Transferir 
Acceso a la empresa cuenta origen
Esquema de firmas 2 Nivel
Idioma Español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</si>
  <si>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Corrientes</t>
    </r>
    <r>
      <rPr>
        <rFont val="Arial"/>
        <color theme="1"/>
      </rPr>
      <t xml:space="preserve">
Destino CR</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</si>
  <si>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</si>
  <si>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Dual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</si>
  <si>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</si>
  <si>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t>
    </r>
    <r>
      <rPr>
        <rFont val="Arial"/>
        <b/>
        <color theme="1"/>
      </rPr>
      <t>Ahorro- 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2</t>
    </r>
    <r>
      <rPr>
        <rFont val="Arial"/>
        <b/>
        <color theme="1"/>
      </rPr>
      <t>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</si>
  <si>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t>
    </r>
    <r>
      <rPr>
        <rFont val="Arial"/>
        <b/>
        <color theme="1"/>
      </rPr>
      <t>Aprobación Directa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</si>
  <si>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</si>
  <si>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Administración única 
Usuario Rol Operador
Acceso a Transferir 
Crear transferencias regionales a cuentas a terceros
Esquema de firmas 1 Nivel
</t>
    </r>
    <r>
      <rPr>
        <rFont val="Arial"/>
        <b/>
        <color theme="1"/>
      </rPr>
      <t>Idioma Español</t>
    </r>
    <r>
      <rPr>
        <rFont val="Arial"/>
        <color theme="1"/>
      </rPr>
      <t xml:space="preserve">
Moneda de cuenta origen y destino  origen es diferente 
Operación de monto superior al disponible de la cuenta 
Pendiente de aprobación por 1 Aprobador
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</si>
  <si>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t>
    </r>
    <r>
      <rPr>
        <rFont val="Arial"/>
        <color theme="1"/>
      </rPr>
      <t xml:space="preserve">
</t>
    </r>
    <r>
      <rPr>
        <rFont val="Arial"/>
        <b/>
        <color theme="1"/>
      </rPr>
      <t xml:space="preserve">Cuenta Origen No debe tener saldo suficiente </t>
    </r>
    <r>
      <rPr>
        <rFont val="Arial"/>
        <color theme="1"/>
      </rPr>
      <t xml:space="preserve">
Destino SV-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</si>
  <si>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SV</t>
    </r>
    <r>
      <rPr>
        <rFont val="Arial"/>
        <color theme="1"/>
      </rPr>
      <t xml:space="preserve">
Tipo de cuenta Ahorro-USD
Ingrese número de cuenta válido y completo
Seleccionar Validar 
Seleccionar Continuar
Paso 2 
Monto:
Deal Ticket: Aplica únicamente para producto origen en Costa Rica con divisa Colones, es un espacio que permite al usuario ingresar el número con longitud de hasta 9 caracteres, con un contador que valida que la información ingresada sea correcta la cual  es la referencia de la negociación en caso que la divisa de origen sea “Colones” una vez ingresado el número de negociación el canal debe buscar coincidencia para encontrar la negociación realizada por el cliente, (Helper Text: El deal ticket es un número de 9 dígitos asignado a la negociación con la mesa de servicio) Una vez ingresado y sea válido debe actualizar la pantalla de acuerdo a la negociación mostrando de manera no editable los valores de:
</t>
    </r>
    <r>
      <rPr>
        <rFont val="Arial"/>
        <b/>
        <color theme="1"/>
      </rPr>
      <t>Ingresar un deal ticket valido- Seleccionar Validar</t>
    </r>
    <r>
      <rPr>
        <rFont val="Arial"/>
        <color theme="1"/>
      </rPr>
      <t xml:space="preserve">
Envía: Monto a debitar, negociado en colones.
Recibe: Monto a acreditar en USD 
Tasa de cambio: Se informa la tasa negociada
Fecha: se muestra la fecha de la negociación.</t>
    </r>
    <r>
      <rPr>
        <rFont val="Arial"/>
        <b/>
        <color theme="1"/>
      </rPr>
      <t xml:space="preserve">
Costo de la transacción: Si posee comisión se mostrará el monto , si es gratis se mostrará a Cero
</t>
    </r>
    <r>
      <rPr>
        <rFont val="Arial"/>
        <color theme="1"/>
      </rPr>
      <t xml:space="preserve">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t>
    </r>
    <r>
      <rPr>
        <rFont val="Arial"/>
        <b/>
        <color theme="1"/>
      </rPr>
      <t>25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</si>
  <si>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</si>
  <si>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t xml:space="preserve">Administración única 
Usuario Aprobador
Acceso a Transferir 
Acceso a la empresa cuenta origen
Esquema de firmas 1 Nivel
Idioma Español
Operación Fallida por Insuficiencia de fondos
</t>
  </si>
  <si>
    <r>
      <rPr>
        <rFont val="Arial"/>
        <color theme="1"/>
      </rPr>
      <t xml:space="preserve">El perfilamiento Aprobador
Validación de Campos
Empresa a utilizar debe estar marcada en Control Center como "Transferencias a terceros sin destino autorizado"
</t>
    </r>
    <r>
      <rPr>
        <rFont val="Arial"/>
        <b/>
        <color theme="1"/>
      </rPr>
      <t>Empresa a utilizar de CR- CRC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</si>
  <si>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</si>
  <si>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única 
Usuario Rol Operador
Acceso a Transferir 
Crear transferencias regionales a cuentas a terceros
</t>
    </r>
    <r>
      <rPr>
        <rFont val="Arial"/>
        <b/>
        <color theme="1"/>
      </rPr>
      <t>Esquema de firmas 2 Nivel
Idioma Español</t>
    </r>
    <r>
      <rPr>
        <rFont val="Arial"/>
        <color theme="1"/>
      </rPr>
      <t xml:space="preserve">
Moneda de cuenta origen y destino  origen es diferente 
Operación de monto superior al disponible de la cuenta 
Pendiente de aprobación por 1 Aprobador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</si>
  <si>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t>
    </r>
    <r>
      <rPr>
        <rFont val="Arial"/>
        <b/>
        <color theme="1"/>
      </rPr>
      <t>PA-</t>
    </r>
    <r>
      <rPr>
        <rFont val="Arial"/>
        <color theme="1"/>
      </rPr>
      <t xml:space="preserve">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</si>
  <si>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CRC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PA</t>
    </r>
    <r>
      <rPr>
        <rFont val="Arial"/>
        <color theme="1"/>
      </rPr>
      <t xml:space="preserve">
Tipo de cuenta Ahorro
Ingrese número de cuenta válido y completo
Seleccionar Validar 
Seleccionar Continuar
Paso 2 
Deal Ticket
</t>
    </r>
    <r>
      <rPr>
        <rFont val="Arial"/>
        <b/>
        <color theme="1"/>
      </rPr>
      <t>Ingresar un deal ticket valido- Seleccionar Validar</t>
    </r>
    <r>
      <rPr>
        <rFont val="Arial"/>
        <color theme="1"/>
      </rPr>
      <t xml:space="preserve">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t>
    </r>
    <r>
      <rPr>
        <rFont val="Arial"/>
        <b/>
        <color theme="1"/>
      </rPr>
      <t xml:space="preserve">
</t>
    </r>
    <r>
      <rPr>
        <rFont val="Arial"/>
        <color theme="1"/>
      </rPr>
      <t xml:space="preserve">
Paso 3
Paso de Notificación -Opcional y detalle de transacción 
Notificación: (Opcional) 
No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25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</si>
  <si>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t xml:space="preserve">Administración única 
Usuario Aprobador 1
Acceso a Transferir 
Acceso a la empresa cuenta origen
Esquema de firmas 2 Nivel
Idioma Español
Aprobado </t>
  </si>
  <si>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t>
    </r>
    <r>
      <rPr>
        <rFont val="Arial"/>
        <b/>
        <color theme="1"/>
      </rPr>
      <t>PA</t>
    </r>
    <r>
      <rPr>
        <rFont val="Arial"/>
        <color theme="1"/>
      </rPr>
      <t xml:space="preserve"> </t>
    </r>
    <r>
      <rPr>
        <rFont val="Arial"/>
        <b/>
        <color theme="1"/>
      </rPr>
      <t>USD</t>
    </r>
    <r>
      <rPr>
        <rFont val="Arial"/>
        <color theme="1"/>
      </rPr>
      <t xml:space="preserve"> -Ahorro-válido y en estado Activo
</t>
    </r>
  </si>
  <si>
    <r>
      <rPr>
        <rFont val="Arial"/>
        <color theme="1"/>
      </rPr>
      <t xml:space="preserve">Administración única 
Usuario Aprobador </t>
    </r>
    <r>
      <rPr>
        <rFont val="Arial"/>
        <b/>
        <color theme="1"/>
      </rPr>
      <t>2</t>
    </r>
    <r>
      <rPr>
        <rFont val="Arial"/>
        <color theme="1"/>
      </rPr>
      <t xml:space="preserve">
Acceso a Transferir 
Acceso a la empresa cuenta origen
Esquema de firmas 2 Nivel
Idioma Español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</si>
  <si>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</si>
  <si>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</si>
  <si>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</si>
  <si>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única 
Usuario Autorizante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</si>
  <si>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CR-CRC Corrientes</t>
    </r>
    <r>
      <rPr>
        <rFont val="Arial"/>
        <color theme="1"/>
      </rPr>
      <t xml:space="preserve">
Destino HN</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</si>
  <si>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Ahorro-</t>
    </r>
    <r>
      <rPr>
        <rFont val="Arial"/>
        <b/>
        <color theme="1"/>
      </rPr>
      <t>USD</t>
    </r>
    <r>
      <rPr>
        <rFont val="Arial"/>
        <color theme="1"/>
      </rPr>
      <t xml:space="preserve">
Ingrese número de cuenta válido y completo
Seleccionar Validar 
Seleccionar Continuar
Paso 2 
Monto 
Deal Ticket
Ingresar un deal ticket con 6 caracteres- Seleccionar Validar&gt; Muestra un mensaje de error que la longitud es de 9  &gt; </t>
    </r>
    <r>
      <rPr>
        <rFont val="Arial"/>
        <b/>
        <color theme="1"/>
      </rPr>
      <t>Ingresar deal  ticket valido</t>
    </r>
    <r>
      <rPr>
        <rFont val="Arial"/>
        <color theme="1"/>
      </rPr>
      <t xml:space="preserve">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</si>
  <si>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</si>
  <si>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</si>
  <si>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</si>
  <si>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t>
    </r>
    <r>
      <rPr>
        <rFont val="Arial"/>
        <b/>
        <color theme="1"/>
      </rPr>
      <t>Único</t>
    </r>
    <r>
      <rPr>
        <rFont val="Arial"/>
        <color theme="1"/>
      </rPr>
      <t xml:space="preserve">
Usuario Rol Operador
Acceso a Transferir 
Crear transferencias regionales a cuentas a terceros
Esquema de firmas 1 Nivel
Idioma </t>
    </r>
    <r>
      <rPr>
        <rFont val="Arial"/>
        <b/>
        <color theme="1"/>
      </rPr>
      <t>Español</t>
    </r>
    <r>
      <rPr>
        <rFont val="Arial"/>
        <color theme="1"/>
      </rPr>
      <t xml:space="preserve">
Moneda de cuenta origen y destino  origen es diferente a USD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</si>
  <si>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t>
    </r>
    <r>
      <rPr>
        <rFont val="Arial"/>
        <color theme="1"/>
      </rPr>
      <t xml:space="preserve">
El usuario tiene marcado la opción de ver saldos
Cuenta Origen debe tener saldo suficiente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</si>
  <si>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Saldo puede visualizar el disponible de la cuenta ordenante
</t>
    </r>
    <r>
      <rPr>
        <rFont val="Arial"/>
        <b/>
        <color theme="1"/>
      </rPr>
      <t>Buscar cuenta origen CRC</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
    </r>
    <r>
      <rPr>
        <rFont val="Arial"/>
        <b/>
        <color theme="1"/>
      </rPr>
      <t>Tipo de cuenta Ahorro-LPS</t>
    </r>
    <r>
      <rPr>
        <rFont val="Arial"/>
        <color theme="1"/>
      </rPr>
      <t xml:space="preserve">
Ingrese número de cuenta válido y completo
Seleccionar Validar 
Seleccionar Continuar se encuentre inactivo</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</si>
  <si>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Deal ticket invalido &gt; Ingresa uno válido y continua el proceso</t>
    </r>
    <r>
      <rPr>
        <rFont val="Arial"/>
        <color theme="1"/>
      </rPr>
      <t xml:space="preserve">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</si>
  <si>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</si>
  <si>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CRC -</t>
    </r>
    <r>
      <rPr>
        <rFont val="Arial"/>
        <b/>
        <color theme="1"/>
      </rPr>
      <t>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t>
    </r>
    <r>
      <rPr>
        <rFont val="Arial"/>
        <b/>
        <color theme="1"/>
      </rPr>
      <t>Ahorro- USD</t>
    </r>
    <r>
      <rPr>
        <rFont val="Arial"/>
        <color theme="1"/>
      </rPr>
      <t xml:space="preserve">
Ingrese número de cuenta válido y completo
Seleccionar Validar 
Seleccionar Continuar
Paso 2 
Deal Ticket
Ingresar un deal ticket con 9 caracteres- Seleccionar Validar&gt; Muestra un mensaje </t>
    </r>
    <r>
      <rPr>
        <rFont val="Arial"/>
        <b/>
        <color theme="1"/>
      </rPr>
      <t>Deal Ticket no existe</t>
    </r>
    <r>
      <rPr>
        <rFont val="Arial"/>
        <color theme="1"/>
      </rPr>
      <t xml:space="preserve">  &gt; Ingresar deal  ticket valido y correcto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3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t>
    </r>
    <r>
      <rPr>
        <rFont val="Arial"/>
        <b/>
        <color theme="1"/>
      </rPr>
      <t>35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</si>
  <si>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t>
    </r>
    <r>
      <rPr>
        <rFont val="Arial"/>
        <b/>
        <color theme="1"/>
      </rPr>
      <t>Aprobación Directa- A pesar de tener 2 niveles de aprobación la transacción se procesa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</si>
  <si>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</si>
  <si>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Administración única 
Usuario Administrador
Acceso a Transferir 
Crear transferencias regionales a cuentas a terceros
</t>
    </r>
    <r>
      <rPr>
        <rFont val="Arial"/>
        <b/>
        <color theme="1"/>
      </rPr>
      <t>Esquema de firmas 1 Nivel
Idioma Español</t>
    </r>
    <r>
      <rPr>
        <rFont val="Arial"/>
        <color theme="1"/>
      </rPr>
      <t xml:space="preserve">
Moneda de cuenta origen y destino  igual
Operación de monto superior al disponible de la cuenta 
Monto superior a 10 Millones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</si>
  <si>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USD Ahorro</t>
    </r>
    <r>
      <rPr>
        <rFont val="Arial"/>
        <color theme="1"/>
      </rPr>
      <t xml:space="preserve">
Destino SV</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</si>
  <si>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SV</t>
    </r>
    <r>
      <rPr>
        <rFont val="Arial"/>
        <color theme="1"/>
      </rPr>
      <t xml:space="preserve">
Tipo de cuenta </t>
    </r>
    <r>
      <rPr>
        <rFont val="Arial"/>
        <b/>
        <color theme="1"/>
      </rPr>
      <t>Ahorro</t>
    </r>
    <r>
      <rPr>
        <rFont val="Arial"/>
        <color theme="1"/>
      </rPr>
      <t xml:space="preserve">- </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15,000,000.00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</si>
  <si>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única 
Usuario Rol Operador
Acceso a Transferir 
Crear transferencias regionales a cuentas a terceros
Esquema de firmas 1 Nivel
Idioma Ingles
Moneda de cuenta origen y destino  origen es </t>
    </r>
    <r>
      <rPr>
        <rFont val="Arial"/>
        <b/>
        <color theme="1"/>
      </rPr>
      <t>USD</t>
    </r>
    <r>
      <rPr>
        <rFont val="Arial"/>
        <color theme="1"/>
      </rPr>
      <t xml:space="preserve">
Operación de monto superior al disponible de la cuenta 
Pendiente de aprobación por 1 Aprobador
</t>
    </r>
    <r>
      <rPr>
        <rFont val="Arial"/>
        <b/>
        <color theme="1"/>
      </rPr>
      <t>Validar que los campos y los mensajes correspondan la traduccion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</si>
  <si>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USD Corrientes</t>
    </r>
    <r>
      <rPr>
        <rFont val="Arial"/>
        <color theme="1"/>
      </rPr>
      <t xml:space="preserve">
</t>
    </r>
    <r>
      <rPr>
        <rFont val="Arial"/>
        <b/>
        <color theme="1"/>
      </rPr>
      <t xml:space="preserve">Cuenta Origen Debe tener saldo suficiente </t>
    </r>
    <r>
      <rPr>
        <rFont val="Arial"/>
        <color theme="1"/>
      </rPr>
      <t xml:space="preserve">
Destino PA-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</si>
  <si>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PA</t>
    </r>
    <r>
      <rPr>
        <rFont val="Arial"/>
        <color theme="1"/>
      </rPr>
      <t xml:space="preserve">
Tipo de cuenta Ahorro-USD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28989.00
Costo de la transacción: Si posee comisión se mostrará el monto , si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</si>
  <si>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</si>
  <si>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t xml:space="preserve">Administración única 
Usuario Aprobador
Acceso a Transferir 
Acceso a la empresa cuenta origen
Esquema de firmas 1 Nivel
Idioma Español 
Operación Exitosa </t>
  </si>
  <si>
    <r>
      <rPr>
        <rFont val="Arial"/>
        <color theme="1"/>
      </rPr>
      <t xml:space="preserve">El perfilamiento Aprobador
Validación de Campos
Empresa a utilizar debe estar marcada en Control Center como "Transferencias a terceros sin destino autorizado"
</t>
    </r>
    <r>
      <rPr>
        <rFont val="Arial"/>
        <b/>
        <color theme="1"/>
      </rPr>
      <t>Empresa a utilizar de CR- USD Corrientes</t>
    </r>
    <r>
      <rPr>
        <rFont val="Arial"/>
        <color theme="1"/>
      </rPr>
      <t xml:space="preserve">
</t>
    </r>
    <r>
      <rPr>
        <rFont val="Arial"/>
        <b/>
        <color theme="1"/>
      </rPr>
      <t>Cuenta Origen Debe tener saldo suficiente 
Cuenta destino PA-USD</t>
    </r>
    <r>
      <rPr>
        <rFont val="Arial"/>
        <color theme="1"/>
      </rPr>
      <t xml:space="preserve">
Visualizar operación de Aplicación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</si>
  <si>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</si>
  <si>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Administración Unica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Operación de monto superior al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</si>
  <si>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 xml:space="preserve">Empresa a utilizar de </t>
    </r>
    <r>
      <rPr>
        <rFont val="Arial"/>
        <color theme="1"/>
      </rPr>
      <t>CR</t>
    </r>
    <r>
      <rPr>
        <rFont val="Arial"/>
        <b/>
        <color theme="1"/>
      </rPr>
      <t>- Ahorro</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</si>
  <si>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 PA
Tipo de cuenta Ahorro-USD
Ingrese número de cuenta válido y completo
Seleccionar Validar 
Seleccionar Continuar
Paso 2 
Monto: 
</t>
    </r>
    <r>
      <rPr>
        <rFont val="Arial"/>
        <b/>
        <color theme="1"/>
      </rPr>
      <t>Monto USD 100,000.00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</si>
  <si>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t xml:space="preserve">Administración Unica
Usuario Aprobador 1
Acceso a Transferir 
Acceso a la empresa cuenta origen
Esquema de firmas 2 Nivel
Idioma Ingles 
Aprobado </t>
  </si>
  <si>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CR-USD Ahorro</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</si>
  <si>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Administración Unica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Aprobado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</si>
  <si>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Ahorro</t>
    </r>
    <r>
      <rPr>
        <rFont val="Arial"/>
        <color theme="1"/>
      </rPr>
      <t xml:space="preserve">
Destino PA</t>
    </r>
    <r>
      <rPr>
        <rFont val="Arial"/>
        <b/>
        <color theme="1"/>
      </rPr>
      <t>-</t>
    </r>
    <r>
      <rPr>
        <rFont val="Arial"/>
        <color theme="1"/>
      </rPr>
      <t xml:space="preserve"> USD -Ahorro-válido y en estado Activo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</si>
  <si>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</si>
  <si>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Administración Dual
Usuario Rol Operador
Acceso a Transferir 
Crear transferencias regionales a cuentas a terceros
Esquema de firmas 1 Nivel
</t>
    </r>
    <r>
      <rPr>
        <rFont val="Arial"/>
        <b/>
        <color theme="1"/>
      </rPr>
      <t>Idioma Español</t>
    </r>
    <r>
      <rPr>
        <rFont val="Arial"/>
        <color theme="1"/>
      </rPr>
      <t xml:space="preserve">
Moneda de cuenta origen y destino  origen es diferente 
Operación de monto superior al disponible de la cuenta 
Pendiente de aprobación por 1 Aprobador
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</si>
  <si>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t>
    </r>
    <r>
      <rPr>
        <rFont val="Arial"/>
        <color theme="1"/>
      </rPr>
      <t xml:space="preserve">
</t>
    </r>
    <r>
      <rPr>
        <rFont val="Arial"/>
        <b/>
        <color theme="1"/>
      </rPr>
      <t xml:space="preserve">Cuenta Origen No debe tener saldo suficiente </t>
    </r>
    <r>
      <rPr>
        <rFont val="Arial"/>
        <color theme="1"/>
      </rPr>
      <t xml:space="preserve">
Destino SV-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</si>
  <si>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SV</t>
    </r>
    <r>
      <rPr>
        <rFont val="Arial"/>
        <color theme="1"/>
      </rPr>
      <t xml:space="preserve">
Tipo de cuenta Ahorro-USD
Ingrese número de cuenta válido y completo
Seleccionar Validar 
Seleccionar Continuar
Paso 2 
Monto:
Deal Ticket: Aplica únicamente para producto origen en Costa Rica con divisa Colones, es un espacio que permite al usuario ingresar el número con longitud de hasta 9 caracteres, con un contador que valida que la información ingresada sea correcta la cual  es la referencia de la negociación en caso que la divisa de origen sea “Colones” una vez ingresado el número de negociación el canal debe buscar coincidencia para encontrar la negociación realizada por el cliente, (Helper Text: El deal ticket es un número de 9 dígitos asignado a la negociación con la mesa de servicio) Una vez ingresado y sea válido debe actualizar la pantalla de acuerdo a la negociación mostrando de manera no editable los valores de:
</t>
    </r>
    <r>
      <rPr>
        <rFont val="Arial"/>
        <b/>
        <color theme="1"/>
      </rPr>
      <t>Ingresar un deal ticket valido- Seleccionar Validar</t>
    </r>
    <r>
      <rPr>
        <rFont val="Arial"/>
        <color theme="1"/>
      </rPr>
      <t xml:space="preserve">
Envía: Monto a debitar, negociado en colones.
Recibe: Monto a acreditar en USD 
Tasa de cambio: Se informa la tasa negociada
Fecha: se muestra la fecha de la negociación.</t>
    </r>
    <r>
      <rPr>
        <rFont val="Arial"/>
        <b/>
        <color theme="1"/>
      </rPr>
      <t xml:space="preserve">
Costo de la transacción: Si posee comisión se mostrará el monto , si es gratis se mostrará a Cero
</t>
    </r>
    <r>
      <rPr>
        <rFont val="Arial"/>
        <color theme="1"/>
      </rPr>
      <t xml:space="preserve">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t>
    </r>
    <r>
      <rPr>
        <rFont val="Arial"/>
        <b/>
        <color theme="1"/>
      </rPr>
      <t>25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</si>
  <si>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</si>
  <si>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t xml:space="preserve">Administración Dual
Usuario Aprobador
Acceso a Transferir 
Acceso a la empresa cuenta origen
Esquema de firmas 1 Nivel
Idioma Español
Operación Fallida por Insuficiencia de fondos
</t>
  </si>
  <si>
    <r>
      <rPr>
        <rFont val="Arial"/>
        <color theme="1"/>
      </rPr>
      <t xml:space="preserve">El perfilamiento Aprobador
Validación de Campos
Empresa a utilizar debe estar marcada en Control Center como "Transferencias a terceros sin destino autorizado"
</t>
    </r>
    <r>
      <rPr>
        <rFont val="Arial"/>
        <b/>
        <color theme="1"/>
      </rPr>
      <t>Empresa a utilizar de CR- CRC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</si>
  <si>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</si>
  <si>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Dual
Usuario Rol Operador
Acceso a Transferir 
Crear transferencias regionales a cuentas a terceros
</t>
    </r>
    <r>
      <rPr>
        <rFont val="Arial"/>
        <b/>
        <color theme="1"/>
      </rPr>
      <t>Esquema de firmas 2 Nivel
Idioma Español</t>
    </r>
    <r>
      <rPr>
        <rFont val="Arial"/>
        <color theme="1"/>
      </rPr>
      <t xml:space="preserve">
Moneda de cuenta origen y destino  origen es diferente 
Operación de monto superior al disponible de la cuenta 
Pendiente de aprobación por 1 Aprobador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</si>
  <si>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t>
    </r>
    <r>
      <rPr>
        <rFont val="Arial"/>
        <b/>
        <color theme="1"/>
      </rPr>
      <t>PA-</t>
    </r>
    <r>
      <rPr>
        <rFont val="Arial"/>
        <color theme="1"/>
      </rPr>
      <t xml:space="preserve">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</si>
  <si>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CRC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PA</t>
    </r>
    <r>
      <rPr>
        <rFont val="Arial"/>
        <color theme="1"/>
      </rPr>
      <t xml:space="preserve">
Tipo de cuenta Ahorro
Ingrese número de cuenta válido y completo
Seleccionar Validar 
Seleccionar Continuar
Paso 2 
Deal Ticket
</t>
    </r>
    <r>
      <rPr>
        <rFont val="Arial"/>
        <b/>
        <color theme="1"/>
      </rPr>
      <t>Ingresar un deal ticket valido- Seleccionar Validar</t>
    </r>
    <r>
      <rPr>
        <rFont val="Arial"/>
        <color theme="1"/>
      </rPr>
      <t xml:space="preserve">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t>
    </r>
    <r>
      <rPr>
        <rFont val="Arial"/>
        <b/>
        <color theme="1"/>
      </rPr>
      <t xml:space="preserve">
</t>
    </r>
    <r>
      <rPr>
        <rFont val="Arial"/>
        <color theme="1"/>
      </rPr>
      <t xml:space="preserve">
Paso 3
Paso de Notificación -Opcional y detalle de transacción 
Notificación: (Opcional) 
No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25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</si>
  <si>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t>
    </r>
    <r>
      <rPr>
        <rFont val="Arial"/>
        <b/>
        <color theme="1"/>
      </rPr>
      <t>PA</t>
    </r>
    <r>
      <rPr>
        <rFont val="Arial"/>
        <color theme="1"/>
      </rPr>
      <t xml:space="preserve"> </t>
    </r>
    <r>
      <rPr>
        <rFont val="Arial"/>
        <b/>
        <color theme="1"/>
      </rPr>
      <t>USD</t>
    </r>
    <r>
      <rPr>
        <rFont val="Arial"/>
        <color theme="1"/>
      </rPr>
      <t xml:space="preserve"> -Ahorro-válido y en estado Activo
</t>
    </r>
  </si>
  <si>
    <r>
      <rPr>
        <rFont val="Arial"/>
        <color theme="1"/>
      </rPr>
      <t xml:space="preserve">Administración Dual
Usuario Aprobador </t>
    </r>
    <r>
      <rPr>
        <rFont val="Arial"/>
        <b/>
        <color theme="1"/>
      </rPr>
      <t>2</t>
    </r>
    <r>
      <rPr>
        <rFont val="Arial"/>
        <color theme="1"/>
      </rPr>
      <t xml:space="preserve">
Acceso a Transferir 
Acceso a la empresa cuenta origen
Esquema de firmas 2 Nivel
Idioma Español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</si>
  <si>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</si>
  <si>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</si>
  <si>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</si>
  <si>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Dual 
Usuario Autorizante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</si>
  <si>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CR-CRC Corrientes</t>
    </r>
    <r>
      <rPr>
        <rFont val="Arial"/>
        <color theme="1"/>
      </rPr>
      <t xml:space="preserve">
Destino HN</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</si>
  <si>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Ahorro-</t>
    </r>
    <r>
      <rPr>
        <rFont val="Arial"/>
        <b/>
        <color theme="1"/>
      </rPr>
      <t>USD</t>
    </r>
    <r>
      <rPr>
        <rFont val="Arial"/>
        <color theme="1"/>
      </rPr>
      <t xml:space="preserve">
Ingrese número de cuenta válido y completo
Seleccionar Validar 
Seleccionar Continuar
Paso 2 
Monto 
Deal Ticket
Ingresar un deal ticket con 6 caracteres- Seleccionar Validar&gt; Muestra un mensaje de error que la longitud es de 9  &gt; </t>
    </r>
    <r>
      <rPr>
        <rFont val="Arial"/>
        <b/>
        <color theme="1"/>
      </rPr>
      <t>Ingresar deal  ticket valido</t>
    </r>
    <r>
      <rPr>
        <rFont val="Arial"/>
        <color theme="1"/>
      </rPr>
      <t xml:space="preserve">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</si>
  <si>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</si>
  <si>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</si>
  <si>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</si>
  <si>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t>
    </r>
    <r>
      <rPr>
        <rFont val="Arial"/>
        <b/>
        <color theme="1"/>
      </rPr>
      <t>Dual</t>
    </r>
    <r>
      <rPr>
        <rFont val="Arial"/>
        <color theme="1"/>
      </rPr>
      <t xml:space="preserve">
Usuario Rol Operador
Acceso a Transferir 
Crear transferencias regionales a cuentas a terceros
Esquema de firmas 1 Nivel
Idioma </t>
    </r>
    <r>
      <rPr>
        <rFont val="Arial"/>
        <b/>
        <color theme="1"/>
      </rPr>
      <t>Español</t>
    </r>
    <r>
      <rPr>
        <rFont val="Arial"/>
        <color theme="1"/>
      </rPr>
      <t xml:space="preserve">
Moneda de cuenta origen y destino  origen es diferente a USD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</si>
  <si>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t>
    </r>
    <r>
      <rPr>
        <rFont val="Arial"/>
        <color theme="1"/>
      </rPr>
      <t xml:space="preserve">
El usuario tiene marcado la opción de ver saldos
Cuenta Origen debe tener saldo suficiente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</si>
  <si>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Saldo puede visualizar el disponible de la cuenta ordenante
</t>
    </r>
    <r>
      <rPr>
        <rFont val="Arial"/>
        <b/>
        <color theme="1"/>
      </rPr>
      <t>Buscar cuenta origen CRC</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
    </r>
    <r>
      <rPr>
        <rFont val="Arial"/>
        <b/>
        <color theme="1"/>
      </rPr>
      <t>Tipo de cuenta Ahorro-LPS</t>
    </r>
    <r>
      <rPr>
        <rFont val="Arial"/>
        <color theme="1"/>
      </rPr>
      <t xml:space="preserve">
Ingrese número de cuenta válido y completo
Seleccionar Validar 
Seleccionar Continuar se encuentre inactivo</t>
    </r>
  </si>
  <si>
    <r>
      <rPr>
        <rFont val="Arial"/>
        <color theme="1"/>
      </rPr>
      <t xml:space="preserve">Administración Dual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Deal ticket invalido &gt; Ingresa uno válido y continua el proceso</t>
    </r>
    <r>
      <rPr>
        <rFont val="Arial"/>
        <color theme="1"/>
      </rPr>
      <t xml:space="preserve">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</si>
  <si>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</si>
  <si>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CRC -</t>
    </r>
    <r>
      <rPr>
        <rFont val="Arial"/>
        <b/>
        <color theme="1"/>
      </rPr>
      <t>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t>
    </r>
    <r>
      <rPr>
        <rFont val="Arial"/>
        <b/>
        <color theme="1"/>
      </rPr>
      <t>Ahorro- USD</t>
    </r>
    <r>
      <rPr>
        <rFont val="Arial"/>
        <color theme="1"/>
      </rPr>
      <t xml:space="preserve">
Ingrese número de cuenta válido y completo
Seleccionar Validar 
Seleccionar Continuar
Paso 2 
Deal Ticket
Ingresar un deal ticket con 9 caracteres- Seleccionar Validar&gt; Muestra un mensaje </t>
    </r>
    <r>
      <rPr>
        <rFont val="Arial"/>
        <b/>
        <color theme="1"/>
      </rPr>
      <t>Deal Ticket no existe</t>
    </r>
    <r>
      <rPr>
        <rFont val="Arial"/>
        <color theme="1"/>
      </rPr>
      <t xml:space="preserve">  &gt; Ingresar deal  ticket valido y correcto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3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t>
    </r>
    <r>
      <rPr>
        <rFont val="Arial"/>
        <b/>
        <color theme="1"/>
      </rPr>
      <t>35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</si>
  <si>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t>
    </r>
    <r>
      <rPr>
        <rFont val="Arial"/>
        <b/>
        <color theme="1"/>
      </rPr>
      <t>Aprobación Directa- A pesar de tener 2 niveles de aprobación la transacción se procesa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</si>
  <si>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</si>
  <si>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Administración Dual
Usuario Administrador
Acceso a Transferir 
Crear transferencias regionales a cuentas a terceros
</t>
    </r>
    <r>
      <rPr>
        <rFont val="Arial"/>
        <b/>
        <color theme="1"/>
      </rPr>
      <t>Esquema de firmas 1 Nivel
Idioma Español</t>
    </r>
    <r>
      <rPr>
        <rFont val="Arial"/>
        <color theme="1"/>
      </rPr>
      <t xml:space="preserve">
Moneda de cuenta origen y destino  igual
Operación de monto superior al disponible de la cuenta 
Monto superior a 10 Millones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</si>
  <si>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USD Ahorro</t>
    </r>
    <r>
      <rPr>
        <rFont val="Arial"/>
        <color theme="1"/>
      </rPr>
      <t xml:space="preserve">
Destino SV</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</si>
  <si>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SV</t>
    </r>
    <r>
      <rPr>
        <rFont val="Arial"/>
        <color theme="1"/>
      </rPr>
      <t xml:space="preserve">
Tipo de cuenta </t>
    </r>
    <r>
      <rPr>
        <rFont val="Arial"/>
        <b/>
        <color theme="1"/>
      </rPr>
      <t>Ahorro</t>
    </r>
    <r>
      <rPr>
        <rFont val="Arial"/>
        <color theme="1"/>
      </rPr>
      <t xml:space="preserve">- </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15,000,000.00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</si>
  <si>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Dual
Usuario Rol Operador
Acceso a Transferir 
Crear transferencias regionales a cuentas a terceros
Esquema de firmas 1 Nivel
Idioma Ingles
Moneda de cuenta origen y destino  origen es </t>
    </r>
    <r>
      <rPr>
        <rFont val="Arial"/>
        <b/>
        <color theme="1"/>
      </rPr>
      <t>USD</t>
    </r>
    <r>
      <rPr>
        <rFont val="Arial"/>
        <color theme="1"/>
      </rPr>
      <t xml:space="preserve">
Operación de monto superior al disponible de la cuenta 
Pendiente de aprobación por 1 Aprobador
</t>
    </r>
    <r>
      <rPr>
        <rFont val="Arial"/>
        <b/>
        <color theme="1"/>
      </rPr>
      <t>Validar que los campos y los mensajes correspondan la traduccion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</si>
  <si>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USD Corrientes</t>
    </r>
    <r>
      <rPr>
        <rFont val="Arial"/>
        <color theme="1"/>
      </rPr>
      <t xml:space="preserve">
</t>
    </r>
    <r>
      <rPr>
        <rFont val="Arial"/>
        <b/>
        <color theme="1"/>
      </rPr>
      <t xml:space="preserve">Cuenta Origen Debe tener saldo suficiente </t>
    </r>
    <r>
      <rPr>
        <rFont val="Arial"/>
        <color theme="1"/>
      </rPr>
      <t xml:space="preserve">
Destino PA-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</si>
  <si>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PA</t>
    </r>
    <r>
      <rPr>
        <rFont val="Arial"/>
        <color theme="1"/>
      </rPr>
      <t xml:space="preserve">
Tipo de cuenta Ahorro-USD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28989.00
Costo de la transacción: Si posee comisión se mostrará el monto , si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</si>
  <si>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</si>
  <si>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t xml:space="preserve">Administración Dual
Usuario Aprobador
Acceso a Transferir 
Acceso a la empresa cuenta origen
Esquema de firmas 1 Nivel
Idioma Español 
Operación Exitosa </t>
  </si>
  <si>
    <r>
      <rPr>
        <rFont val="Arial"/>
        <color theme="1"/>
      </rPr>
      <t xml:space="preserve">El perfilamiento Aprobador
Validación de Campos
Empresa a utilizar debe estar marcada en Control Center como "Transferencias a terceros sin destino autorizado"
</t>
    </r>
    <r>
      <rPr>
        <rFont val="Arial"/>
        <b/>
        <color theme="1"/>
      </rPr>
      <t>Empresa a utilizar de CR- USD Corrientes</t>
    </r>
    <r>
      <rPr>
        <rFont val="Arial"/>
        <color theme="1"/>
      </rPr>
      <t xml:space="preserve">
</t>
    </r>
    <r>
      <rPr>
        <rFont val="Arial"/>
        <b/>
        <color theme="1"/>
      </rPr>
      <t>Cuenta Origen Debe tener saldo suficiente 
Cuenta destino PA-USD</t>
    </r>
    <r>
      <rPr>
        <rFont val="Arial"/>
        <color theme="1"/>
      </rPr>
      <t xml:space="preserve">
Visualizar operación de Aplicación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</si>
  <si>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</si>
  <si>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Administración Dual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Operación de monto superior al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</si>
  <si>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 xml:space="preserve">Empresa a utilizar de </t>
    </r>
    <r>
      <rPr>
        <rFont val="Arial"/>
        <color theme="1"/>
      </rPr>
      <t>CR</t>
    </r>
    <r>
      <rPr>
        <rFont val="Arial"/>
        <b/>
        <color theme="1"/>
      </rPr>
      <t>- Ahorro</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</si>
  <si>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 PA
Tipo de cuenta Ahorro-USD
Ingrese número de cuenta válido y completo
Seleccionar Validar 
Seleccionar Continuar
Paso 2 
Monto: 
</t>
    </r>
    <r>
      <rPr>
        <rFont val="Arial"/>
        <b/>
        <color theme="1"/>
      </rPr>
      <t>Monto USD 100,000.00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</si>
  <si>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CR-USD Ahorro</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</si>
  <si>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Administración Dual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Aprobado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</si>
  <si>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CR Ahorro</t>
    </r>
    <r>
      <rPr>
        <rFont val="Arial"/>
        <color theme="1"/>
      </rPr>
      <t xml:space="preserve">
Destino PA</t>
    </r>
    <r>
      <rPr>
        <rFont val="Arial"/>
        <b/>
        <color theme="1"/>
      </rPr>
      <t>-</t>
    </r>
    <r>
      <rPr>
        <rFont val="Arial"/>
        <color theme="1"/>
      </rPr>
      <t xml:space="preserve"> USD -Ahorro-válido y en estado Activo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</si>
  <si>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</si>
  <si>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b/>
        <color theme="1"/>
      </rPr>
      <t>Administración única</t>
    </r>
    <r>
      <rPr>
        <rFont val="Arial"/>
        <color theme="1"/>
      </rPr>
      <t xml:space="preserve"> 
Usuario Rol Administrador 
Acceso a Transferir 
Crear transferencias regionales a cuentas a terceros
Envió de operación exitosa
Esquema de firmas 1 Nivel
Idioma Ingles
Editar Monto inicial 
Validar que los campos y los mensajes se muestren en ingles
Descargar comprobante</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</si>
  <si>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t>
    </r>
    <r>
      <rPr>
        <rFont val="Arial"/>
        <b/>
        <color theme="1"/>
      </rPr>
      <t>SV</t>
    </r>
    <r>
      <rPr>
        <rFont val="Arial"/>
        <color theme="1"/>
      </rPr>
      <t xml:space="preserve">- Ahorro
El usuario tiene marcado la opción de ver saldos
Cuenta Origen debe tener saldo suficiente 
Destino </t>
    </r>
    <r>
      <rPr>
        <rFont val="Arial"/>
        <b/>
        <color theme="1"/>
      </rPr>
      <t>CR</t>
    </r>
    <r>
      <rPr>
        <rFont val="Arial"/>
        <color theme="1"/>
      </rPr>
      <t>- USD</t>
    </r>
    <r>
      <rPr>
        <rFont val="Arial"/>
        <b/>
        <color theme="1"/>
      </rPr>
      <t xml:space="preserve">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</si>
  <si>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SV</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Pais Destino 
Es una lista desplegable con los valores Panamá,Costa Rica, y Honduras junto con la imagen de la bandera de cada país. 
País Destino: es una lista desplegable con los valores Honduras,  Costa Rica, y Panamá junto con la imagen de la bandera de cada país. (No debe presentar el país que fue seleccionado en el campo “País Origen”
</t>
    </r>
    <r>
      <rPr>
        <rFont val="Arial"/>
        <b/>
        <color theme="1"/>
      </rPr>
      <t xml:space="preserve">Seleccionar el país destino CR
Tipo de cuenta Ahorro-Maestra
Ingrese número de cuenta válido y completo
Seleccionar Validar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$287.00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Declaración Ingreso de Divisas 
</t>
    </r>
    <r>
      <rPr>
        <rFont val="Arial"/>
        <color theme="1"/>
      </rPr>
      <t xml:space="preserve">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t>
    </r>
    <r>
      <rPr>
        <rFont val="Arial"/>
        <b/>
        <color theme="1"/>
      </rPr>
      <t>&gt; Seleccionar un concepto de la lista</t>
    </r>
    <r>
      <rPr>
        <rFont val="Arial"/>
        <color theme="1"/>
      </rPr>
      <t xml:space="preserve">
Comentario: Espacio para ingresar hasta 100 caracteres alfanuméricos con un mínimo de 15 caracteres Campo obligatorio
</t>
    </r>
    <r>
      <rPr>
        <rFont val="Arial"/>
        <b/>
        <color theme="1"/>
      </rPr>
      <t xml:space="preserve">Ingresar un comentario no superio a 20 caracteres
Botón continuar se debe mostrar activo  si se ingresarón todos los campos obligatorios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$70000.09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</si>
  <si>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Declaración de Divisas
Persona que proporciona la información: solo se debe presentar si se mostró en el paso 1. (Aplica únicamente para cuentas origen en El Salvador)
Fecha: solo se debe presentar si se mostró en el paso 1. (Aplica únicamente para cuentas origen en El Salvador)
Comentario: solo se debe presentar si se ingresó en el paso 1. (Aplica únicamente para cuentas origen en El Salvador)
Concepto: solo se debe presentar si se seleccionó en el paso 1. (Aplica únicamente para cuentas origen en El Salvador)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</si>
  <si>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Corrientes</t>
    </r>
    <r>
      <rPr>
        <rFont val="Arial"/>
        <color theme="1"/>
      </rPr>
      <t xml:space="preserve">
</t>
    </r>
    <r>
      <rPr>
        <rFont val="Arial"/>
        <b/>
        <color theme="1"/>
      </rPr>
      <t xml:space="preserve">Cuenta Origen No debe tener saldo suficiente </t>
    </r>
    <r>
      <rPr>
        <rFont val="Arial"/>
        <color theme="1"/>
      </rPr>
      <t xml:space="preserv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</si>
  <si>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HN-LPS</t>
    </r>
    <r>
      <rPr>
        <rFont val="Arial"/>
        <color theme="1"/>
      </rPr>
      <t xml:space="preserve">
Tipo de cuenta Ahorro-USD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90000.00- Ingresar un monto superior al disponible de la cuenta origen
Si la cuenta origen y destino no tienen la misma moneda se debe presentar dos campos así:
</t>
    </r>
    <r>
      <rPr>
        <rFont val="Arial"/>
        <color theme="1"/>
      </rPr>
      <t>Envía: Se debe mostrar las iniciales de la moneda origen con el símbolo de la divisa según aplique ( dólares, colones, lempiras) y espacio para que el usuario pueda ingresar el monto.
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t>
    </r>
    <r>
      <rPr>
        <rFont val="Arial"/>
        <b/>
        <color theme="1"/>
      </rPr>
      <t xml:space="preserve">Declaración Ingreso de Divisas </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30 caracteres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</si>
  <si>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</si>
  <si>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Administración única 
Usuario Aprobador
Acceso a Transferir 
Acceso a la empresa cuenta origen
Esquema de firmas 1 Nivel
Idioma Español 
Operación Fallida por Insuficiencia de fondos
</t>
    </r>
    <r>
      <rPr>
        <rFont val="Arial"/>
        <b/>
        <color theme="1"/>
      </rPr>
      <t>Validar que no se registre el débito y el egreso de divisas</t>
    </r>
  </si>
  <si>
    <r>
      <rPr>
        <rFont val="Arial"/>
        <color theme="1"/>
      </rPr>
      <t xml:space="preserve">El perfilamiento Aprobador
Validación de Campos
Empresa a utilizar debe estar marcada en Control Center como "Transferencias a terceros sin destino autorizado"
</t>
    </r>
    <r>
      <rPr>
        <rFont val="Arial"/>
        <b/>
        <color theme="1"/>
      </rPr>
      <t>Empresa a utilizar de SV- USD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</si>
  <si>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</si>
  <si>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Operación de monto superior al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</si>
  <si>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 xml:space="preserve">Empresa a utilizar de </t>
    </r>
    <r>
      <rPr>
        <rFont val="Arial"/>
        <color theme="1"/>
      </rPr>
      <t>SV</t>
    </r>
    <r>
      <rPr>
        <rFont val="Arial"/>
        <b/>
        <color theme="1"/>
      </rPr>
      <t xml:space="preserve">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</si>
  <si>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CR</t>
    </r>
    <r>
      <rPr>
        <rFont val="Arial"/>
        <color theme="1"/>
      </rPr>
      <t xml:space="preserve">
Tipo de cuenta Ahorro-Maestra </t>
    </r>
    <r>
      <rPr>
        <rFont val="Arial"/>
        <b/>
        <color theme="1"/>
      </rPr>
      <t xml:space="preserve">Colones </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27600000.00-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t>
    </r>
    <r>
      <rPr>
        <rFont val="Arial"/>
        <b/>
        <color theme="1"/>
      </rPr>
      <t xml:space="preserve">Escribir el monto equivalente a en USD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t>
    </r>
    <r>
      <rPr>
        <rFont val="Arial"/>
        <b/>
        <color theme="1"/>
      </rPr>
      <t>Declaración Ingreso de Divisas</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20 caracteres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</si>
  <si>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</si>
  <si>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Administración única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</si>
  <si>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</si>
  <si>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</si>
  <si>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</si>
  <si>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única 
Usuario con aprobación directa la cree y autorice - esquema de firmas 2 niveles ( no quedará pendiente de autorización)
Acceso a Transferir 
Crear transferencias regionales a cuentas a terceros
</t>
    </r>
    <r>
      <rPr>
        <rFont val="Arial"/>
        <b/>
        <color theme="1"/>
      </rPr>
      <t>Esquema de firmas 2 Nivel
Idioma Español</t>
    </r>
    <r>
      <rPr>
        <rFont val="Arial"/>
        <color theme="1"/>
      </rPr>
      <t xml:space="preserve">
Moneda de cuenta origen y destino  igual
Operación de monto superior al disponible de la cuenta 
Monto superior a 10 Millones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</si>
  <si>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USD Ahorro</t>
    </r>
    <r>
      <rPr>
        <rFont val="Arial"/>
        <color theme="1"/>
      </rPr>
      <t xml:space="preserve">
Destino HN</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</si>
  <si>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t>
    </r>
    <r>
      <rPr>
        <rFont val="Arial"/>
        <b/>
        <color theme="1"/>
      </rPr>
      <t>Ahorro</t>
    </r>
    <r>
      <rPr>
        <rFont val="Arial"/>
        <color theme="1"/>
      </rPr>
      <t xml:space="preserve">- </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15,000,000.00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</si>
  <si>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única 
Usuario Administrador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</si>
  <si>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Corrientes</t>
    </r>
    <r>
      <rPr>
        <rFont val="Arial"/>
        <color theme="1"/>
      </rPr>
      <t xml:space="preserve">
Destino CR</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</si>
  <si>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CR</t>
    </r>
    <r>
      <rPr>
        <rFont val="Arial"/>
        <color theme="1"/>
      </rPr>
      <t xml:space="preserve">
Tipo de cuenta Ahorro-</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
Si la cuenta origen y destino no tienen la misma moneda se debe presentar dos campos así: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Declaración Ingreso de Divisas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25 caracteres </t>
    </r>
    <r>
      <rPr>
        <rFont val="Arial"/>
        <b/>
        <color theme="1"/>
      </rPr>
      <t>&gt; Ingresar el mismo contenido que en Detalle de la transacción</t>
    </r>
    <r>
      <rPr>
        <rFont val="Arial"/>
        <color theme="1"/>
      </rPr>
      <t xml:space="preserve">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</si>
  <si>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</si>
  <si>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Corrientes</t>
    </r>
    <r>
      <rPr>
        <rFont val="Arial"/>
        <color theme="1"/>
      </rPr>
      <t xml:space="preserve">
Destino CR</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</si>
  <si>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</si>
  <si>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</si>
  <si>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</si>
  <si>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t>
    </r>
    <r>
      <rPr>
        <rFont val="Arial"/>
        <b/>
        <color theme="1"/>
      </rPr>
      <t>Ahorro- 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80 caracteres
Botón continuar se debe mostrar activo si se ingreso la información completa de lo contrario se visualiza Inactivo
</t>
    </r>
    <r>
      <rPr>
        <rFont val="Arial"/>
        <b/>
        <color theme="1"/>
      </rPr>
      <t xml:space="preserve">Declaración Ingreso de Divisas </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No ingresar ninguna información - Muestra mensaje de error "I</t>
    </r>
    <r>
      <rPr>
        <rFont val="Arial"/>
        <b/>
        <color theme="1"/>
      </rPr>
      <t>ngresar un comentario no superio a 80 caracteres"</t>
    </r>
    <r>
      <rPr>
        <rFont val="Arial"/>
        <color theme="1"/>
      </rPr>
      <t xml:space="preserve">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</si>
  <si>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t>
    </r>
    <r>
      <rPr>
        <rFont val="Arial"/>
        <b/>
        <color theme="1"/>
      </rPr>
      <t>Aprobación Directa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</si>
  <si>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</si>
  <si>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b/>
        <color theme="1"/>
      </rPr>
      <t>Administración Dual</t>
    </r>
    <r>
      <rPr>
        <rFont val="Arial"/>
        <color theme="1"/>
      </rPr>
      <t xml:space="preserve"> 
Usuario Rol Administrador 
Acceso a Transferir 
Crear transferencias regionales a cuentas a terceros
Envió de operación exitosa
Esquema de firmas 1 Nivel
Idioma Ingles
Editar Monto inicial 
Validar que los campos y los mensajes se muestren en ingles
Descargar comprobante</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</si>
  <si>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sin destino autorizado"
Empresa a utilizar de </t>
    </r>
    <r>
      <rPr>
        <rFont val="Arial"/>
        <b/>
        <color theme="1"/>
      </rPr>
      <t>SV</t>
    </r>
    <r>
      <rPr>
        <rFont val="Arial"/>
        <color theme="1"/>
      </rPr>
      <t xml:space="preserve">- Ahorro
El usuario tiene marcado la opción de ver saldos
Cuenta Origen debe tener saldo suficiente 
Destino </t>
    </r>
    <r>
      <rPr>
        <rFont val="Arial"/>
        <b/>
        <color theme="1"/>
      </rPr>
      <t>CR</t>
    </r>
    <r>
      <rPr>
        <rFont val="Arial"/>
        <color theme="1"/>
      </rPr>
      <t>- USD</t>
    </r>
    <r>
      <rPr>
        <rFont val="Arial"/>
        <b/>
        <color theme="1"/>
      </rPr>
      <t xml:space="preserve">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</si>
  <si>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SV</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Pais Destino 
Es una lista desplegable con los valores Panamá,Costa Rica, y Honduras junto con la imagen de la bandera de cada país. 
País Destino: es una lista desplegable con los valores Honduras,  Costa Rica, y Panamá junto con la imagen de la bandera de cada país. (No debe presentar el país que fue seleccionado en el campo “País Origen”
</t>
    </r>
    <r>
      <rPr>
        <rFont val="Arial"/>
        <b/>
        <color theme="1"/>
      </rPr>
      <t xml:space="preserve">Seleccionar el país destino CR
Tipo de cuenta Ahorro-Maestra
Ingrese número de cuenta válido y completo
Seleccionar Validar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$287.00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Declaración Ingreso de Divisas 
</t>
    </r>
    <r>
      <rPr>
        <rFont val="Arial"/>
        <color theme="1"/>
      </rPr>
      <t xml:space="preserve">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t>
    </r>
    <r>
      <rPr>
        <rFont val="Arial"/>
        <b/>
        <color theme="1"/>
      </rPr>
      <t>&gt; Seleccionar un concepto de la lista</t>
    </r>
    <r>
      <rPr>
        <rFont val="Arial"/>
        <color theme="1"/>
      </rPr>
      <t xml:space="preserve">
Comentario: Espacio para ingresar hasta 100 caracteres alfanuméricos con un mínimo de 15 caracteres Campo obligatorio
</t>
    </r>
    <r>
      <rPr>
        <rFont val="Arial"/>
        <b/>
        <color theme="1"/>
      </rPr>
      <t xml:space="preserve">Ingresar un comentario no superio a 20 caracteres
Botón continuar se debe mostrar activo  si se ingresarón todos los campos obligatorios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$70000.09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</si>
  <si>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Declaración de Divisas
Persona que proporciona la información: solo se debe presentar si se mostró en el paso 1. (Aplica únicamente para cuentas origen en El Salvador)
Fecha: solo se debe presentar si se mostró en el paso 1. (Aplica únicamente para cuentas origen en El Salvador)
Comentario: solo se debe presentar si se ingresó en el paso 1. (Aplica únicamente para cuentas origen en El Salvador)
Concepto: solo se debe presentar si se seleccionó en el paso 1. (Aplica únicamente para cuentas origen en El Salvador)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</si>
  <si>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Corrientes</t>
    </r>
    <r>
      <rPr>
        <rFont val="Arial"/>
        <color theme="1"/>
      </rPr>
      <t xml:space="preserve">
</t>
    </r>
    <r>
      <rPr>
        <rFont val="Arial"/>
        <b/>
        <color theme="1"/>
      </rPr>
      <t xml:space="preserve">Cuenta Origen No debe tener saldo suficiente </t>
    </r>
    <r>
      <rPr>
        <rFont val="Arial"/>
        <color theme="1"/>
      </rPr>
      <t xml:space="preserv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</si>
  <si>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HN-LPS</t>
    </r>
    <r>
      <rPr>
        <rFont val="Arial"/>
        <color theme="1"/>
      </rPr>
      <t xml:space="preserve">
Tipo de cuenta Ahorro-USD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90000.00- Ingresar un monto superior al disponible de la cuenta origen
Si la cuenta origen y destino no tienen la misma moneda se debe presentar dos campos así:
</t>
    </r>
    <r>
      <rPr>
        <rFont val="Arial"/>
        <color theme="1"/>
      </rPr>
      <t>Envía: Se debe mostrar las iniciales de la moneda origen con el símbolo de la divisa según aplique ( dólares, colones, lempiras) y espacio para que el usuario pueda ingresar el monto.
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t>
    </r>
    <r>
      <rPr>
        <rFont val="Arial"/>
        <b/>
        <color theme="1"/>
      </rPr>
      <t xml:space="preserve">Declaración Ingreso de Divisas </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30 caracteres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</si>
  <si>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</si>
  <si>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Administración Dual
Usuario Aprobador
Acceso a Transferir 
Acceso a la empresa cuenta origen
Esquema de firmas 1 Nivel
Idioma Español 
Operación Fallida por Insuficiencia de fondos
</t>
    </r>
    <r>
      <rPr>
        <rFont val="Arial"/>
        <b/>
        <color theme="1"/>
      </rPr>
      <t>Validar que no se registre el débito y el egreso de divisas</t>
    </r>
  </si>
  <si>
    <r>
      <rPr>
        <rFont val="Arial"/>
        <color theme="1"/>
      </rPr>
      <t xml:space="preserve">El perfilamiento Aprobador
Validación de Campos
Empresa a utilizar debe estar marcada en Control Center como "Transferencias a terceros sin destino autorizado"
</t>
    </r>
    <r>
      <rPr>
        <rFont val="Arial"/>
        <b/>
        <color theme="1"/>
      </rPr>
      <t>Empresa a utilizar de SV- USD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</si>
  <si>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</si>
  <si>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Dual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Operación de monto superior al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</si>
  <si>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 xml:space="preserve">Empresa a utilizar de </t>
    </r>
    <r>
      <rPr>
        <rFont val="Arial"/>
        <color theme="1"/>
      </rPr>
      <t>SV</t>
    </r>
    <r>
      <rPr>
        <rFont val="Arial"/>
        <b/>
        <color theme="1"/>
      </rPr>
      <t xml:space="preserve">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</si>
  <si>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CR</t>
    </r>
    <r>
      <rPr>
        <rFont val="Arial"/>
        <color theme="1"/>
      </rPr>
      <t xml:space="preserve">
Tipo de cuenta Ahorro-Maestra </t>
    </r>
    <r>
      <rPr>
        <rFont val="Arial"/>
        <b/>
        <color theme="1"/>
      </rPr>
      <t xml:space="preserve">Colones </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27600000.00-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t>
    </r>
    <r>
      <rPr>
        <rFont val="Arial"/>
        <b/>
        <color theme="1"/>
      </rPr>
      <t xml:space="preserve">Escribir el monto equivalente a en USD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t>
    </r>
    <r>
      <rPr>
        <rFont val="Arial"/>
        <b/>
        <color theme="1"/>
      </rPr>
      <t>Declaración Ingreso de Divisas</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20 caracteres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</si>
  <si>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</si>
  <si>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Administración Dual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</si>
  <si>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</si>
  <si>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</si>
  <si>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</si>
  <si>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Dual
Usuario con aprobación directa la cree y autorice - esquema de firmas 2 niveles ( no quedará pendiente de autorización)
Acceso a Transferir 
Crear transferencias regionales a cuentas a terceros
</t>
    </r>
    <r>
      <rPr>
        <rFont val="Arial"/>
        <b/>
        <color theme="1"/>
      </rPr>
      <t>Esquema de firmas 2 Nivel
Idioma Español</t>
    </r>
    <r>
      <rPr>
        <rFont val="Arial"/>
        <color theme="1"/>
      </rPr>
      <t xml:space="preserve">
Moneda de cuenta origen y destino  igual
Operación de monto superior al disponible de la cuenta 
Monto superior a 10 Millones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</si>
  <si>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USD Ahorro</t>
    </r>
    <r>
      <rPr>
        <rFont val="Arial"/>
        <color theme="1"/>
      </rPr>
      <t xml:space="preserve">
Destino HN</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</si>
  <si>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t>
    </r>
    <r>
      <rPr>
        <rFont val="Arial"/>
        <b/>
        <color theme="1"/>
      </rPr>
      <t>Ahorro</t>
    </r>
    <r>
      <rPr>
        <rFont val="Arial"/>
        <color theme="1"/>
      </rPr>
      <t xml:space="preserve">- </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15,000,000.00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</si>
  <si>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Dual
Usuario Administrador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</si>
  <si>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Corrientes</t>
    </r>
    <r>
      <rPr>
        <rFont val="Arial"/>
        <color theme="1"/>
      </rPr>
      <t xml:space="preserve">
Destino CR</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</si>
  <si>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CR</t>
    </r>
    <r>
      <rPr>
        <rFont val="Arial"/>
        <color theme="1"/>
      </rPr>
      <t xml:space="preserve">
Tipo de cuenta Ahorro-</t>
    </r>
    <r>
      <rPr>
        <rFont val="Arial"/>
        <b/>
        <color theme="1"/>
      </rPr>
      <t>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
Si la cuenta origen y destino no tienen la misma moneda se debe presentar dos campos así: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Declaración Ingreso de Divisas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25 caracteres </t>
    </r>
    <r>
      <rPr>
        <rFont val="Arial"/>
        <b/>
        <color theme="1"/>
      </rPr>
      <t>&gt; Ingresar el mismo contenido que en Detalle de la transacción</t>
    </r>
    <r>
      <rPr>
        <rFont val="Arial"/>
        <color theme="1"/>
      </rPr>
      <t xml:space="preserve">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</si>
  <si>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</si>
  <si>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Corrientes</t>
    </r>
    <r>
      <rPr>
        <rFont val="Arial"/>
        <color theme="1"/>
      </rPr>
      <t xml:space="preserve">
Destino CR</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</si>
  <si>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</si>
  <si>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Dual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</si>
  <si>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</si>
  <si>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t>
    </r>
    <r>
      <rPr>
        <rFont val="Arial"/>
        <b/>
        <color theme="1"/>
      </rPr>
      <t>HN</t>
    </r>
    <r>
      <rPr>
        <rFont val="Arial"/>
        <color theme="1"/>
      </rPr>
      <t xml:space="preserve">
Tipo de cuenta </t>
    </r>
    <r>
      <rPr>
        <rFont val="Arial"/>
        <b/>
        <color theme="1"/>
      </rPr>
      <t>Ahorro- USD</t>
    </r>
    <r>
      <rPr>
        <rFont val="Arial"/>
        <color theme="1"/>
      </rPr>
      <t xml:space="preserve">
Ingrese número de cuenta válido y completo
Seleccionar Validar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80 caracteres
Botón continuar se debe mostrar activo si se ingreso la información completa de lo contrario se visualiza Inactivo
</t>
    </r>
    <r>
      <rPr>
        <rFont val="Arial"/>
        <b/>
        <color theme="1"/>
      </rPr>
      <t xml:space="preserve">Declaración Ingreso de Divisas </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No ingresar ninguna información - Muestra mensaje de error "I</t>
    </r>
    <r>
      <rPr>
        <rFont val="Arial"/>
        <b/>
        <color theme="1"/>
      </rPr>
      <t>ngresar un comentario no superio a 80 caracteres"</t>
    </r>
    <r>
      <rPr>
        <rFont val="Arial"/>
        <color theme="1"/>
      </rPr>
      <t xml:space="preserve">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</si>
  <si>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t>
    </r>
    <r>
      <rPr>
        <rFont val="Arial"/>
        <b/>
        <color theme="1"/>
      </rPr>
      <t>Aprobación Directa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</si>
  <si>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</si>
  <si>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t>Administración unica
Usuario Rol Preparador 
Acceso a Transferir 
No posee terceros registrados 
Idioma Español</t>
  </si>
  <si>
    <r>
      <rPr>
        <rFont val="Arial"/>
        <color theme="1"/>
      </rPr>
      <t xml:space="preserve">El perfilamiento únicamente a crear peraciones 
No posee
Empresa a utilizar debe estar marcada en </t>
    </r>
    <r>
      <rPr>
        <rFont val="Arial"/>
        <b/>
        <color theme="1"/>
      </rPr>
      <t>Control Center como "</t>
    </r>
    <r>
      <rPr>
        <rFont val="Arial"/>
        <color theme="1"/>
      </rPr>
      <t>Transferencias a terceros con destino autorizado"</t>
    </r>
  </si>
  <si>
    <t xml:space="preserve">Ingresar al Menú Transferir &gt; Debe estar Habilitada
</t>
  </si>
  <si>
    <t>Validar que el sistema le solicite crear un tercero previamente para generar una transacción</t>
  </si>
  <si>
    <t xml:space="preserve">La sociedad de la empresa seleccionada no debe tener ningún registro de terceros </t>
  </si>
  <si>
    <t xml:space="preserve"> En caso que el usuario tenga la funcionalidad de transferencia a terceros con destino autorizado e intenta ingresar a la opción de transferir a terceros sin tener un destino autorizado registrado el canal no debe permitir acceder y debe informar: “Opción no disponible, primero debe registrar un “destino autorizado” para utilizar esta opción, ¿Desea crear un destino autorizado? seguido de la opciones:
Cancelar: Al dar clic debe dejar al usuario en la pantalla de selección el tipo de transferencia.
Crear: El canal debe redirigir al usuario a la experiencia al primer paso para iniciar el registro de un destino autorizado dentro del canal. </t>
  </si>
  <si>
    <t>Administración Unica
Usuario Rol Preparador 
Acceso a Transferir 
No posee terceros registrados 
Idioma Español</t>
  </si>
  <si>
    <r>
      <rPr>
        <rFont val="Arial"/>
        <color theme="1"/>
      </rPr>
      <t xml:space="preserve">El perfilamiento únicamente a crear peraciones 
No posee
Empresa a utilizar debe estar marcada en </t>
    </r>
    <r>
      <rPr>
        <rFont val="Arial"/>
        <b/>
        <color theme="1"/>
      </rPr>
      <t>Control Center como "</t>
    </r>
    <r>
      <rPr>
        <rFont val="Arial"/>
        <color theme="1"/>
      </rPr>
      <t>Transferencias a terceros con destino autorizado"</t>
    </r>
  </si>
  <si>
    <t>Administración unica
Usuario Rol Preparador 
Acceso a Consultas
Idioma Español</t>
  </si>
  <si>
    <t>Empresa a utilizar debe estar marcada en Control Center como "Transferencias a terceros con destino autorizado
El perfilamiento únicamente a consultas no tiene acceso a  crear transacciones</t>
  </si>
  <si>
    <t>Administración única
Usuario Rol Preparador 
Acceso a Consultas Permitido únicamente
Idioma Español</t>
  </si>
  <si>
    <t>Administración Unica
Usuario Rol Preparador 
Acceso a Crear
Idioma Español</t>
  </si>
  <si>
    <t>Empresa a utilizar debe estar marcada en Control Center como "Transferencias a terceros con destino autorizado
El módulo se encuentra deshabilitado completamente o presente inconvenientes</t>
  </si>
  <si>
    <t>Administración unica
Usuario Rol Preparador 
Acceso a Crear
Idioma Español</t>
  </si>
  <si>
    <t>Empresa a utilizar debe estar marcada en Control Center como "Transferencias a terceros con destino autorizado
No tener no asignados permisos de grupo de productos de la sociedad a utilizar</t>
  </si>
  <si>
    <t>Administración unica
Usuario Rol Preparador 
Acceso a Transferir 
Crear transferencias regionales a cuentas a terceros
Validar los campos sin finalizar la operación
Idioma Español</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</si>
  <si>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con destino autorizado "</t>
    </r>
  </si>
  <si>
    <r>
      <rPr>
        <rFont val="Arial"/>
        <color theme="1"/>
      </rPr>
      <t xml:space="preserve">Ingresar al Menú Transferir &gt; Debe estar Habilitada
Seleccionar Transferir  &gt; Habilitado
Validar los elementos:
Elemento para regresar: Debe estar habilitada una opción que le permita al usuario volver si así lo requiere. (Datos de Transacción)
Los títulos que tengan asterisco * son de carácter obligatorio:
Descripción: Filtre por país y empresa.
Paso 1. Origen: En esta sección se deben mostrar los siguientes campos: 
País Origen: es una lista desplegable con las opciones (Honduras, Panamá, Costa Rica y El Salvador  junto con la imagen de la bandera de cada país.)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El Salvador: Ahorro / Corriente
Costa Rica: Ahorro / Corriente  / Ahorro Maestra
Honduras: Ahorro / Corriente
Panamá: Ahorro / Corriente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Si el usuario tiene marcado la opción de ver saldos, se debe mostrar el saldo de la cuenta de lo contrario no se debe presentar, La información que se muestra por producto es:
Texto: Escoja la cuenta de débito, solo se muestran cuentas activas.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la búsqueda realizada no presenta resultados)
Resultado: Debe mostrar la siguiente información por cada producto. 
- Nombre de cuenta o alias: Se debe presentar el nombre de la cuenta o alias asignado.
- Número de cuenta:  enmascarado
- Divisa: Debe mostrar el nombre de la moneda de apertura. 
- Saldo Total: Opción disponible únicamente si tiene la funcionalidad de consultar productos.
Una vez seleccionada la cuenta actualiza la pantalla con el resumen del producto seleccionado. (Nombre, número de cuenta, divisa y saldo si aplica) y debe habilitar un elemento que permita “editar” la información, al dar clic vuelve a la opción para realizar la selección del producto origen.
</t>
    </r>
    <r>
      <rPr>
        <rFont val="Arial"/>
        <b/>
        <color theme="1"/>
      </rPr>
      <t>Seleccione una cuenta origen y valida la información mostrada en pantalla.</t>
    </r>
    <r>
      <rPr>
        <rFont val="Arial"/>
        <color theme="1"/>
      </rPr>
      <t xml:space="preserve">
</t>
    </r>
    <r>
      <rPr>
        <rFont val="Arial"/>
        <b/>
        <color theme="1"/>
      </rPr>
      <t>Una vez el usuario tenga la información ingresada se habilita el botón de “continuar” donde le permite continuar con el flujo de la cuenta destino.</t>
    </r>
    <r>
      <rPr>
        <rFont val="Arial"/>
        <color theme="1"/>
      </rPr>
      <t xml:space="preserve">
</t>
    </r>
    <r>
      <rPr>
        <rFont val="Arial"/>
        <b/>
        <color theme="1"/>
      </rPr>
      <t>Destino</t>
    </r>
    <r>
      <rPr>
        <rFont val="Arial"/>
        <color theme="1"/>
      </rPr>
      <t xml:space="preserve">
Destino autorizado: Se debe habilitar una búsqueda sencilla para “buscar” y seleccionar  un destino registrado previamente, una vez el usuario de clic debe debe tener un elemento que permita visualizar toda la información relevante del destino registrado, las cuentas que aquí se presenten deben ser las que el usuario tiene registradas para el país y tipo de producto seleccionado anteriormente. La información que se muestra por producto es:
Texto: Escoja la cuenta destino,, solo se muestran cuentas registradas cómo destino autorizado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Resultado: Debe mostrar la siguiente información por cada producto, los registros marcados como “favoritos” se priorizan en la pantalla de resultado mostrandose en la parte superior. y únicamente se presentan productos cuya divisa sea disponible para transferir, de acuerdo con el criterio</t>
    </r>
    <r>
      <rPr>
        <rFont val="Arial"/>
        <color theme="1"/>
      </rPr>
      <t xml:space="preserve">
</t>
    </r>
    <r>
      <rPr>
        <rFont val="Arial"/>
        <b/>
        <color theme="1"/>
      </rPr>
      <t>Seleccionar una cuenta no marcada</t>
    </r>
    <r>
      <rPr>
        <rFont val="Arial"/>
        <color theme="1"/>
      </rPr>
      <t xml:space="preserve">
La información por cada registro será: 
- Nombre de Empresa o alias: Se debe presentar el nombre de la cuenta o alias asignado.
- Número de cuenta sin enmascarar.
- Divisa: Debe mostrar el nombre de la moneda de apertura. 
Una vez seleccionada el destino actualiza la pantalla con el resumen del producto seleccionado</t>
    </r>
  </si>
  <si>
    <t>Administración Unica
Usuario Rol Preparador 
Acceso a Transferir 
Crear transferencias regionales a cuentas a terceros
Validar los campos sin finalizar la operación
Idioma Español</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</si>
  <si>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con destino autorizado "</t>
    </r>
  </si>
  <si>
    <r>
      <rPr>
        <rFont val="Arial"/>
        <color theme="1"/>
      </rPr>
      <t xml:space="preserve">Ingresar al Menú Transferir &gt; Debe estar Habilitada
Seleccionar Transferir  &gt; Habilitado
Validar los elementos:
Elemento para regresar: Debe estar habilitada una opción que le permita al usuario volver si así lo requiere. (Datos de Transacción)
Los títulos que tengan asterisco * son de carácter obligatorio:
Descripción: Filtre por país y empresa.
Paso 1. Origen: En esta sección se deben mostrar los siguientes campos: 
País Origen: es una lista desplegable con las opciones (Honduras, Panamá, Costa Rica y El Salvador  junto con la imagen de la bandera de cada país.)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El Salvador: Ahorro / Corriente
Costa Rica: Ahorro / Corriente  / Ahorro Maestra
Honduras: Ahorro / Corriente
Panamá: Ahorro / Corriente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Si el usuario tiene marcado la opción de ver saldos, se debe mostrar el saldo de la cuenta de lo contrario no se debe presentar, La información que se muestra por producto es:
Texto: Escoja la cuenta de débito, solo se muestran cuentas activas.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la búsqueda realizada no presenta resultados)
Resultado: Debe mostrar la siguiente información por cada producto. 
- Nombre de cuenta o alias: Se debe presentar el nombre de la cuenta o alias asignado.
- Número de cuenta:  enmascarado
- Divisa: Debe mostrar el nombre de la moneda de apertura. 
- Saldo Total: Opción disponible únicamente si tiene la funcionalidad de consultar productos.
Una vez seleccionada la cuenta actualiza la pantalla con el resumen del producto seleccionado. (Nombre, número de cuenta, divisa y saldo si aplica) y debe habilitar un elemento que permita “editar” la información, al dar clic vuelve a la opción para realizar la selección del producto origen.
</t>
    </r>
    <r>
      <rPr>
        <rFont val="Arial"/>
        <b/>
        <color theme="1"/>
      </rPr>
      <t>Seleccione una cuenta origen y valida la información mostrada en pantalla.</t>
    </r>
    <r>
      <rPr>
        <rFont val="Arial"/>
        <color theme="1"/>
      </rPr>
      <t xml:space="preserve">
</t>
    </r>
    <r>
      <rPr>
        <rFont val="Arial"/>
        <b/>
        <color theme="1"/>
      </rPr>
      <t>Una vez el usuario tenga la información ingresada se habilita el botón de “continuar” donde le permite continuar con el flujo de la cuenta destino.</t>
    </r>
    <r>
      <rPr>
        <rFont val="Arial"/>
        <color theme="1"/>
      </rPr>
      <t xml:space="preserve">
</t>
    </r>
    <r>
      <rPr>
        <rFont val="Arial"/>
        <b/>
        <color theme="1"/>
      </rPr>
      <t>Destino</t>
    </r>
    <r>
      <rPr>
        <rFont val="Arial"/>
        <color theme="1"/>
      </rPr>
      <t xml:space="preserve">
Destino autorizado: Se debe habilitar una búsqueda sencilla para “buscar” y seleccionar  un destino registrado previamente, una vez el usuario de clic debe debe tener un elemento que permita visualizar toda la información relevante del destino registrado, las cuentas que aquí se presenten deben ser las que el usuario tiene registradas para el país y tipo de producto seleccionado anteriormente. La información que se muestra por producto es:
Texto: Escoja la cuenta destino,, solo se muestran cuentas registradas cómo destino autorizado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Resultado: Debe mostrar la siguiente información por cada producto, los registros marcados como “favoritos” se priorizan en la pantalla de resultado mostrandose en la parte superior. y únicamente se presentan productos cuya divisa sea disponible para transferir, de acuerdo con el criterio</t>
    </r>
    <r>
      <rPr>
        <rFont val="Arial"/>
        <color theme="1"/>
      </rPr>
      <t xml:space="preserve">
</t>
    </r>
    <r>
      <rPr>
        <rFont val="Arial"/>
        <b/>
        <color theme="1"/>
      </rPr>
      <t>Seleccionar una cuenta no marcada</t>
    </r>
    <r>
      <rPr>
        <rFont val="Arial"/>
        <color theme="1"/>
      </rPr>
      <t xml:space="preserve">
La información por cada registro será: 
- Nombre de Empresa o alias: Se debe presentar el nombre de la cuenta o alias asignado.
- Número de cuenta sin enmascarar.
- Divisa: Debe mostrar el nombre de la moneda de apertura. 
Una vez seleccionada el destino actualiza la pantalla con el resumen del producto seleccionado</t>
    </r>
  </si>
  <si>
    <t>Administración Unica
Usuario Rol Preparador 
Acceso a Transferir 
Crear transferencias regionales a cuentas a terceros
Validar que no permita realizar traslados de cuenta a terceros del mismo país de la cuenta origen
Idioma Español</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</si>
  <si>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con destino autorizado registrado "
Empresa a utilizar de DvPA
Destino tercero DvPA
El usuario no tiene marcado la opción de ver saldos</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</si>
  <si>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 xml:space="preserve">Dv PA
</t>
    </r>
    <r>
      <rPr>
        <rFont val="Arial"/>
        <color theme="1"/>
      </rPr>
      <t xml:space="preserve">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Panamá: </t>
    </r>
    <r>
      <rPr>
        <rFont val="Arial"/>
        <b/>
        <color theme="1"/>
      </rPr>
      <t xml:space="preserve">Seleccione Corriente
</t>
    </r>
    <r>
      <rPr>
        <rFont val="Arial"/>
        <color theme="1"/>
      </rPr>
      <t xml:space="preserve">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t>
    </r>
    <r>
      <rPr>
        <rFont val="Arial"/>
        <b/>
        <color theme="1"/>
      </rPr>
      <t xml:space="preserve">El usuario no tiene permiso para ver la opción de ver saldos por lo que solo muestra la información de la cuenta 
</t>
    </r>
    <r>
      <rPr>
        <rFont val="Arial"/>
        <color theme="1"/>
      </rPr>
      <t xml:space="preserve">La información que se muestra por producto es:
- Nombre de cuenta o alias: Se debe presentar el nombre de la cuenta o alias asignado.
- Número de cuenta:  enmascarado
- Divisa: Debe mostrar el nombre de la moneda de apertura
Una vez el usuario tenga la información ingresada se habilita el botón de “continuar” donde le permite continuar con el flujo de la cuenta destino.
Pais Destino 
Es una lista desplegable con los valores Honduras, Costa Rica, y El Salvador junto con la imagen de la bandera de cada país. (No debe presentar el país que fue seleccionado en el campo “País Origen”) Esta información únicamente se muestra si no “seleccionó destino autorizado”.
</t>
    </r>
    <r>
      <rPr>
        <rFont val="Arial"/>
        <b/>
        <color theme="1"/>
      </rPr>
      <t>Destino autorizado</t>
    </r>
    <r>
      <rPr>
        <rFont val="Arial"/>
        <color theme="1"/>
      </rPr>
      <t xml:space="preserve">: Se debe habilitar una búsqueda sencilla para “buscar” y seleccionar  un destino registrado previamente, una vez el usuario de clic debe debe tener un elemento que permita visualizar toda la información relevante del destino registrado, las cuentas que aquí se presenten deben ser las que el usuario tiene registradas para el país y tipo de producto seleccionado anteriormente. La información que se muestra por producto es:
Texto: Escoja la cuenta destino,, solo se muestran cuentas registradas cómo destino autorizado
</t>
    </r>
    <r>
      <rPr>
        <rFont val="Arial"/>
        <b/>
        <color theme="1"/>
      </rPr>
      <t>No le debe permitir mostrar en resultado de terceros que pertenezcan a  Panamá</t>
    </r>
    <r>
      <rPr>
        <rFont val="Arial"/>
        <color theme="1"/>
      </rPr>
      <t xml:space="preserv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Resultado: Debe mostrar la siguiente información por cada producto, los registros marcados como “favoritos” se priorizan en la pantalla de resultado mostrandose en la parte superior. y únicamente se presentan productos cuya divisa sea disponible para transferir, de acuerdo con el criterio 
La información por cada registro será: 
- Nombre de Empresa o alias: Se debe presentar el nombre de la cuenta o alias asignado.
- Número de cuenta sin enmascarar.
- Divisa: Debe mostrar el nombre de la moneda de apertura. 
Una vez seleccionada el destino actualiza la pantalla con el resumen del producto seleccionado</t>
    </r>
  </si>
  <si>
    <t>Administración Unica
Usuario Rol Administrador
Acceso a Transferir 
Crear transferencias regionales a cuentas a terceros
Al seleccionar buscar la cuenta origen no se encuentran resultados
Idioma Español</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</si>
  <si>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con destino autorizado sin cuenta origen registrada "
Empresa a utilizar de DvPA- Corriente
El usuario no tiene marcado la opción de ver saldos
Usuario solamente tiene acceso a una sociedad especifica -Ingresar con País seleccionado no con Holding</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</si>
  <si>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Dv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Panamá: Seleccione Corriente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no tiene permiso para ver la opción de ver saldos por lo que solo muestra la información de la cuenta 
</t>
    </r>
    <r>
      <rPr>
        <rFont val="Arial"/>
        <b/>
        <color theme="1"/>
      </rPr>
      <t>Destino autorizado</t>
    </r>
    <r>
      <rPr>
        <rFont val="Arial"/>
        <color theme="1"/>
      </rPr>
      <t xml:space="preserve">: Se debe habilitar una búsqueda sencilla para “buscar” y seleccionar  un destino registrado previamente, una vez el usuario de clic debe debe tener un elemento que permita visualizar toda la información relevante del destino registrado, las cuentas que aquí se presenten deben ser las que el usuario tiene registradas para el país y tipo de producto seleccionado anteriormente. La información que se muestra por producto es:
Texto: Escoja la cuenta destino,, solo se muestran cuentas registradas cómo destino autorizado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nombre del tercero o por Alias</t>
    </r>
    <r>
      <rPr>
        <rFont val="Arial"/>
        <color theme="1"/>
      </rPr>
      <t xml:space="preserve">
</t>
    </r>
    <r>
      <rPr>
        <rFont val="Arial"/>
        <b/>
        <color theme="1"/>
      </rPr>
      <t xml:space="preserve">Buscar un destino que no este registrado para la sociedad de la cuenta origen 
</t>
    </r>
    <r>
      <rPr>
        <rFont val="Arial"/>
        <color theme="1"/>
      </rPr>
      <t xml:space="preserve">
</t>
    </r>
    <r>
      <rPr>
        <rFont val="Arial"/>
        <b/>
        <color theme="1"/>
      </rPr>
      <t xml:space="preserve">Resultado: No debe mostrar resultado.
</t>
    </r>
  </si>
  <si>
    <r>
      <rPr>
        <rFont val="Arial"/>
        <color theme="1"/>
      </rPr>
      <t xml:space="preserve">Administración Unica
Usuario Rol Autorizante
Acceso a Transferir 
Intentar Crear transferencias regionales a cuentas a terceros
</t>
    </r>
    <r>
      <rPr>
        <rFont val="Arial"/>
        <b/>
        <color theme="1"/>
      </rPr>
      <t xml:space="preserve">Validación de cuenta en estado diferente a "Activo"
Validar que si no existe cuenta a seleccionar el botón continuar no se encuentre Habilitado
</t>
    </r>
    <r>
      <rPr>
        <rFont val="Arial"/>
        <color theme="1"/>
      </rPr>
      <t>Idioma Español</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</si>
  <si>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con destino autorizado"
Empresa a utilizar de DvHN- Corriente
El usuario  tiene marcado la opción de ver saldos
Cuenta destino SV no existe o tiene estatus diferente "Activo"</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</si>
  <si>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DvHN</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 Saldo Total: Opción disponible únicamente si tiene la funcionalidad de consultar productos.</t>
    </r>
    <r>
      <rPr>
        <rFont val="Arial"/>
        <color theme="1"/>
      </rPr>
      <t xml:space="preserve">
</t>
    </r>
    <r>
      <rPr>
        <rFont val="Arial"/>
        <b/>
        <color theme="1"/>
      </rPr>
      <t xml:space="preserve">Honduras: Seleccione Corriente </t>
    </r>
    <r>
      <rPr>
        <rFont val="Arial"/>
        <color theme="1"/>
      </rPr>
      <t xml:space="preserve">
Una vez el usuario tenga la información ingresada se habilita el botón de “continuar” donde le permite continuar con el flujo de la cuenta destino.
Pais Destino 
</t>
    </r>
    <r>
      <rPr>
        <rFont val="Arial"/>
        <b/>
        <color theme="1"/>
      </rPr>
      <t xml:space="preserve">Seleccionar una cuenta destino SV 
Buscar por Nombre o Alias
Seleccionar Validar 
</t>
    </r>
    <r>
      <rPr>
        <rFont val="Arial"/>
        <color theme="1"/>
      </rPr>
      <t xml:space="preserve">Una vez el usuario tenga la información ingresada se habilita el botón de “continuar” donde le permite continuar con el flujo de la cuenta destino
Se inactive por cuenta no activa
</t>
    </r>
  </si>
  <si>
    <t>Administración Unica
Usuario Rol Preparador 
Acceso a Transferir 
Crear transferencias regionales a cuentas a terceros
Validación de cuenta en Lista - No procede
Idioma Español</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</si>
  <si>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con destino autorizado"
Empresa a utilizar de DvPA- Corriente
El usuario  No tiene marcado la opción de ver saldos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</si>
  <si>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La información que se muestra por producto es:
- Nombre de cuenta o alias: Se debe presentar el nombre de la cuenta o alias asignado.
- Número de cuenta:  enmascarado
- Divisa: Debe mostrar el nombre de la moneda de apertura
</t>
    </r>
    <r>
      <rPr>
        <rFont val="Arial"/>
        <b/>
        <color theme="1"/>
      </rPr>
      <t>Buscar cuenta origen Ahorro</t>
    </r>
    <r>
      <rPr>
        <rFont val="Arial"/>
        <color theme="1"/>
      </rPr>
      <t xml:space="preserve">
Una vez el usuario tenga la información ingresada se habilita el botón de “continuar” donde le permite continuar con el flujo de la cuenta destino.
Pais Destino 
Buscar Destino por Alias - muestra resultado- Utilizar una cuenta marcada en lista 
</t>
    </r>
    <r>
      <rPr>
        <rFont val="Arial"/>
        <b/>
        <color theme="1"/>
      </rPr>
      <t xml:space="preserve">Seleccionar Validar 
</t>
    </r>
  </si>
  <si>
    <r>
      <rPr>
        <rFont val="Arial"/>
        <b/>
        <color theme="1"/>
      </rPr>
      <t>Administración única</t>
    </r>
    <r>
      <rPr>
        <rFont val="Arial"/>
        <color theme="1"/>
      </rPr>
      <t xml:space="preserve"> 
Usuario Rol Administrador 
Acceso a Transferir 
Crear transferencias regionales a cuentas a terceros
Envió de operación exitosa
Esquema de firmas 1 Nivel
Idioma Español</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</si>
  <si>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con destino autorizado "
Empresa a utilizar de DvPA- Corriente
El usuario No tiene marcado la opción de ver saldos
Cuenta Origen debe tener saldo suficiente 
Destino </t>
    </r>
    <r>
      <rPr>
        <rFont val="Arial"/>
        <b/>
        <color theme="1"/>
      </rPr>
      <t xml:space="preserve">CR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</si>
  <si>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Ingresar búsqueda por alias con la condición que se encuentre marcada como Favorito
</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t>
    </r>
    <r>
      <rPr>
        <rFont val="Arial"/>
        <b/>
        <color theme="1"/>
      </rPr>
      <t xml:space="preserve">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$500.00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2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40 caracteres
</t>
    </r>
    <r>
      <rPr>
        <rFont val="Arial"/>
        <color theme="1"/>
      </rPr>
      <t xml:space="preserve">Botón continuar se debe mostrar activo 
</t>
    </r>
    <r>
      <rPr>
        <rFont val="Arial"/>
        <b/>
        <color theme="1"/>
      </rPr>
      <t xml:space="preserve">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</si>
  <si>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Validar que se reciba la notificación según los correos adicionados para notificación</t>
    </r>
  </si>
  <si>
    <r>
      <rPr>
        <rFont val="Arial"/>
        <b/>
        <color theme="1"/>
      </rPr>
      <t>Administración única</t>
    </r>
    <r>
      <rPr>
        <rFont val="Arial"/>
        <color theme="1"/>
      </rPr>
      <t xml:space="preserve"> 
Usuario Aprobación Directa
Acceso a Transferir 
Crear transferencias regionales a cuentas a terceros
Envió de operación exitosa
Esquema de firmas 2 Nivel
Idioma Ingles
Editar Monto inicial 
Validar que los campos y los mensajes se muestren en ingles
Descargar comprobante</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</si>
  <si>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con destino autorizado"
Empresa a utilizar de </t>
    </r>
    <r>
      <rPr>
        <rFont val="Arial"/>
        <b/>
        <color theme="1"/>
      </rPr>
      <t>PA</t>
    </r>
    <r>
      <rPr>
        <rFont val="Arial"/>
        <color theme="1"/>
      </rPr>
      <t xml:space="preserve">- Ahorro
El usuario tiene marcado la opción de ver saldos
Cuenta Origen debe tener saldo suficiente 
Destino </t>
    </r>
    <r>
      <rPr>
        <rFont val="Arial"/>
        <b/>
        <color theme="1"/>
      </rPr>
      <t>CR</t>
    </r>
    <r>
      <rPr>
        <rFont val="Arial"/>
        <color theme="1"/>
      </rPr>
      <t>- USD</t>
    </r>
    <r>
      <rPr>
        <rFont val="Arial"/>
        <b/>
        <color theme="1"/>
      </rPr>
      <t xml:space="preserve">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</si>
  <si>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t>
    </r>
    <r>
      <rPr>
        <rFont val="Arial"/>
        <b/>
        <color theme="1"/>
      </rPr>
      <t xml:space="preserve">Destino
</t>
    </r>
    <r>
      <rPr>
        <rFont val="Arial"/>
        <color theme="1"/>
      </rPr>
      <t xml:space="preserve">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nombre de Sociedad , cuenta Destino CR - Tipo de Moneda USD- Ahorro Maestra</t>
    </r>
    <r>
      <rPr>
        <rFont val="Arial"/>
        <color theme="1"/>
      </rPr>
      <t xml:space="preserve">
Texto: Escoja la cuenta destino,solo se muestran cuentas registradas cómo destino autorizado
</t>
    </r>
    <r>
      <rPr>
        <rFont val="Arial"/>
        <b/>
        <color theme="1"/>
      </rPr>
      <t xml:space="preserve">
</t>
    </r>
    <r>
      <rPr>
        <rFont val="Arial"/>
        <color theme="1"/>
      </rPr>
      <t>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t>
    </r>
    <r>
      <rPr>
        <rFont val="Arial"/>
        <b/>
        <color theme="1"/>
      </rPr>
      <t xml:space="preserve">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$94500.00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No debe mostrar pantalla de  Egreso de divisas, solamente aplica cuando la cuenta origen es SV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$3000.09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</si>
  <si>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</si>
  <si>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Corrientes</t>
    </r>
    <r>
      <rPr>
        <rFont val="Arial"/>
        <color theme="1"/>
      </rPr>
      <t xml:space="preserve">
</t>
    </r>
    <r>
      <rPr>
        <rFont val="Arial"/>
        <b/>
        <color theme="1"/>
      </rPr>
      <t xml:space="preserve">Cuenta Origen No debe tener saldo suficiente </t>
    </r>
    <r>
      <rPr>
        <rFont val="Arial"/>
        <color theme="1"/>
      </rPr>
      <t xml:space="preserv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</si>
  <si>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Buscarlo por nombre de Alias
Buscar una tercero de Honduras con moneda LPS -Ahorro , puede seleccionar uno destacado
</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2355500.00- Ingresar un monto superior al disponible de la cuenta origen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</si>
  <si>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</si>
  <si>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El perfilamiento Aprobador
Validación de Campos
Empresa a utilizar debe estar marcada en Control Center como "Transferencias a terceros con destino autorizado"
</t>
    </r>
    <r>
      <rPr>
        <rFont val="Arial"/>
        <b/>
        <color theme="1"/>
      </rPr>
      <t>Empresa a utilizar de PA- USD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</si>
  <si>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</si>
  <si>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Operación de monto superior al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</si>
  <si>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 xml:space="preserve">Empresa a utilizar de </t>
    </r>
    <r>
      <rPr>
        <rFont val="Arial"/>
        <color theme="1"/>
      </rPr>
      <t>PA</t>
    </r>
    <r>
      <rPr>
        <rFont val="Arial"/>
        <b/>
        <color theme="1"/>
      </rPr>
      <t>-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</si>
  <si>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una cuenta CR- Colones -Ahorro
Buscar por  Nombre de la sociedad- Puede ser no destacada</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36000.00-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t>
    </r>
    <r>
      <rPr>
        <rFont val="Arial"/>
        <b/>
        <color theme="1"/>
      </rPr>
      <t xml:space="preserve">Escribir el monto equivalente a en USD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</si>
  <si>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Ahorro</t>
    </r>
    <r>
      <rPr>
        <rFont val="Arial"/>
        <color theme="1"/>
      </rPr>
      <t xml:space="preserve">
Destino </t>
    </r>
    <r>
      <rPr>
        <rFont val="Arial"/>
        <b/>
        <color theme="1"/>
      </rPr>
      <t>CR-</t>
    </r>
    <r>
      <rPr>
        <rFont val="Arial"/>
        <color theme="1"/>
      </rPr>
      <t xml:space="preserve"> </t>
    </r>
    <r>
      <rPr>
        <rFont val="Arial"/>
        <b/>
        <color theme="1"/>
      </rPr>
      <t>Colones</t>
    </r>
    <r>
      <rPr>
        <rFont val="Arial"/>
        <color theme="1"/>
      </rPr>
      <t xml:space="preserve"> -Ahorro-válido y en estado Activo
</t>
    </r>
  </si>
  <si>
    <r>
      <rPr>
        <rFont val="Arial"/>
        <color theme="1"/>
      </rPr>
      <t xml:space="preserve">Administración única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</si>
  <si>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</si>
  <si>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</si>
  <si>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</si>
  <si>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única 
Usuario con aprobación directa la cree y autorice - esquema de firmas 2 niveles ( no quedará pendiente de autorización)
Acceso a Transferir 
Crear transferencias regionales a cuentas a terceros
</t>
    </r>
    <r>
      <rPr>
        <rFont val="Arial"/>
        <b/>
        <color theme="1"/>
      </rPr>
      <t>Esquema de firmas 2 Nivel
Idioma Español</t>
    </r>
    <r>
      <rPr>
        <rFont val="Arial"/>
        <color theme="1"/>
      </rPr>
      <t xml:space="preserve">
Moneda de cuenta origen y destino  igual
Operación de monto superior al disponible de la cuenta 
Monto superior a 10 Millones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</si>
  <si>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USD Ahorro</t>
    </r>
    <r>
      <rPr>
        <rFont val="Arial"/>
        <color theme="1"/>
      </rPr>
      <t xml:space="preserve">
Destino HN</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</si>
  <si>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Seleccionar Destino HN en USDcuenta Ahorro- Buscar por Alias 
</t>
    </r>
    <r>
      <rPr>
        <rFont val="Arial"/>
        <color theme="1"/>
      </rPr>
      <t xml:space="preserve">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10,000,500.00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</si>
  <si>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única 
Usuario Administrador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</si>
  <si>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Corrientes</t>
    </r>
    <r>
      <rPr>
        <rFont val="Arial"/>
        <color theme="1"/>
      </rPr>
      <t xml:space="preserve">
Destino CR</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</si>
  <si>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t>
    </r>
    <r>
      <rPr>
        <rFont val="Arial"/>
        <b/>
        <color theme="1"/>
      </rPr>
      <t>Destino</t>
    </r>
    <r>
      <rPr>
        <rFont val="Arial"/>
        <color theme="1"/>
      </rPr>
      <t xml:space="preserve">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Buscar destino CR -USD -Ahorro - puede ser destacada</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$18.00
Si la cuenta origen y destino no tienen la misma moneda se debe presentar dos campos así: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</si>
  <si>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</si>
  <si>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Corrientes</t>
    </r>
    <r>
      <rPr>
        <rFont val="Arial"/>
        <color theme="1"/>
      </rPr>
      <t xml:space="preserve">
Destino CR</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</si>
  <si>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</si>
  <si>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</si>
  <si>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</si>
  <si>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Seleccionar cuenta terceros Honduras-USD- Ahorro 
Puede buscarse por Nombre de sociedad . Seleccionar no favorita</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2</t>
    </r>
    <r>
      <rPr>
        <rFont val="Arial"/>
        <b/>
        <color theme="1"/>
      </rPr>
      <t>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</si>
  <si>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t>
    </r>
    <r>
      <rPr>
        <rFont val="Arial"/>
        <b/>
        <color theme="1"/>
      </rPr>
      <t>Aprobación Directa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</si>
  <si>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</si>
  <si>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t>Administración Dual
Usuario Rol Preparador 
Acceso a Transferir 
Crear transferencias regionales a cuentas a terceros
Validación de cuenta en Lista - No procede
Idioma Ingles</t>
  </si>
  <si>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con destino autorizado"
Empresa a utilizar de DvPA- Corriente
El usuario  No tiene marcado la opción de ver saldos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</si>
  <si>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La información que se muestra por producto es:
- Nombre de cuenta o alias: Se debe presentar el nombre de la cuenta o alias asignado.
- Número de cuenta:  enmascarado
- Divisa: Debe mostrar el nombre de la moneda de apertura
</t>
    </r>
    <r>
      <rPr>
        <rFont val="Arial"/>
        <b/>
        <color theme="1"/>
      </rPr>
      <t>Buscar cuenta origen Ahorro</t>
    </r>
    <r>
      <rPr>
        <rFont val="Arial"/>
        <color theme="1"/>
      </rPr>
      <t xml:space="preserve">
Una vez el usuario tenga la información ingresada se habilita el botón de “continuar” donde le permite continuar con el flujo de la cuenta destino.
Pais Destino 
Buscar Destino por Alias - muestra resultado- Utilizar una cuenta marcada en lista 
</t>
    </r>
    <r>
      <rPr>
        <rFont val="Arial"/>
        <b/>
        <color theme="1"/>
      </rPr>
      <t xml:space="preserve">Seleccionar Validar 
</t>
    </r>
  </si>
  <si>
    <r>
      <rPr>
        <rFont val="Arial"/>
        <b/>
        <color theme="1"/>
      </rPr>
      <t>Administración Dual</t>
    </r>
    <r>
      <rPr>
        <rFont val="Arial"/>
        <color theme="1"/>
      </rPr>
      <t xml:space="preserve">
Usuario Rol Administrador 
Acceso a Transferir 
Crear transferencias regionales a cuentas a terceros
Envió de operación exitosa
Esquema de firmas 1 Nivel
Idioma Ingles</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</si>
  <si>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con destino autorizado "
Empresa a utilizar de DvPA- Corriente
El usuario No tiene marcado la opción de ver saldos
Cuenta Origen debe tener saldo suficiente 
Destino </t>
    </r>
    <r>
      <rPr>
        <rFont val="Arial"/>
        <b/>
        <color theme="1"/>
      </rPr>
      <t xml:space="preserve">CR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</si>
  <si>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Ingresar búsqueda por alias con la condición que se encuentre marcada como Favorito
</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t>
    </r>
    <r>
      <rPr>
        <rFont val="Arial"/>
        <b/>
        <color theme="1"/>
      </rPr>
      <t xml:space="preserve">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$500.00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2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40 caracteres
</t>
    </r>
    <r>
      <rPr>
        <rFont val="Arial"/>
        <color theme="1"/>
      </rPr>
      <t xml:space="preserve">Botón continuar se debe mostrar activo 
</t>
    </r>
    <r>
      <rPr>
        <rFont val="Arial"/>
        <b/>
        <color theme="1"/>
      </rPr>
      <t xml:space="preserve">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</si>
  <si>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b/>
        <color theme="1"/>
      </rPr>
      <t>Administración Dual</t>
    </r>
    <r>
      <rPr>
        <rFont val="Arial"/>
        <color theme="1"/>
      </rPr>
      <t xml:space="preserve">
Usuario Aprobación Directa
Acceso a Transferir 
Crear transferencias regionales a cuentas a terceros
Envió de operación exitosa
Esquema de firmas 2 Nivel
Idioma Español
Editar Monto inicial 
Validar que los campos y los mensajes se muestren en ingles
Descargar comprobante</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</si>
  <si>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con destino autorizado"
Empresa a utilizar de </t>
    </r>
    <r>
      <rPr>
        <rFont val="Arial"/>
        <b/>
        <color theme="1"/>
      </rPr>
      <t>PA</t>
    </r>
    <r>
      <rPr>
        <rFont val="Arial"/>
        <color theme="1"/>
      </rPr>
      <t xml:space="preserve">- Ahorro
El usuario tiene marcado la opción de ver saldos
Cuenta Origen debe tener saldo suficiente 
Destino </t>
    </r>
    <r>
      <rPr>
        <rFont val="Arial"/>
        <b/>
        <color theme="1"/>
      </rPr>
      <t>CR</t>
    </r>
    <r>
      <rPr>
        <rFont val="Arial"/>
        <color theme="1"/>
      </rPr>
      <t>- USD</t>
    </r>
    <r>
      <rPr>
        <rFont val="Arial"/>
        <b/>
        <color theme="1"/>
      </rPr>
      <t xml:space="preserve">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</si>
  <si>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PA</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t>
    </r>
    <r>
      <rPr>
        <rFont val="Arial"/>
        <b/>
        <color theme="1"/>
      </rPr>
      <t xml:space="preserve">Destino
</t>
    </r>
    <r>
      <rPr>
        <rFont val="Arial"/>
        <color theme="1"/>
      </rPr>
      <t xml:space="preserve">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nombre de Sociedad , cuenta Destino CR - Tipo de Moneda USD- Ahorro Maestra</t>
    </r>
    <r>
      <rPr>
        <rFont val="Arial"/>
        <color theme="1"/>
      </rPr>
      <t xml:space="preserve">
Texto: Escoja la cuenta destino,solo se muestran cuentas registradas cómo destino autorizado
</t>
    </r>
    <r>
      <rPr>
        <rFont val="Arial"/>
        <b/>
        <color theme="1"/>
      </rPr>
      <t xml:space="preserve">
</t>
    </r>
    <r>
      <rPr>
        <rFont val="Arial"/>
        <color theme="1"/>
      </rPr>
      <t>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t>
    </r>
    <r>
      <rPr>
        <rFont val="Arial"/>
        <b/>
        <color theme="1"/>
      </rPr>
      <t xml:space="preserve">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$94500.00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No debe mostrar pantalla de  Egreso de divisas, solamente aplica cuando la cuenta origen es SV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$3000.09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</si>
  <si>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t>Administración dual
Usuario Rol Operador
Acceso a Transferir 
Crear transferencias regionales a cuentas a terceros
Esquema de firmas 1 Nivel
Idioma Ingles
Moneda de cuenta origen y destino  origen es diferente 
Operación de monto superior al disponible de la cuenta 
Pendiente de aprobación por 1 Aprobador</t>
  </si>
  <si>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Corrientes</t>
    </r>
    <r>
      <rPr>
        <rFont val="Arial"/>
        <color theme="1"/>
      </rPr>
      <t xml:space="preserve">
</t>
    </r>
    <r>
      <rPr>
        <rFont val="Arial"/>
        <b/>
        <color theme="1"/>
      </rPr>
      <t xml:space="preserve">Cuenta Origen No debe tener saldo suficiente </t>
    </r>
    <r>
      <rPr>
        <rFont val="Arial"/>
        <color theme="1"/>
      </rPr>
      <t xml:space="preserv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</si>
  <si>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Buscarlo por nombre de Alias
Buscar una tercero de Honduras con moneda LPS -Ahorro , puede seleccionar uno destacado
</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2355500.00- Ingresar un monto superior al disponible de la cuenta origen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</si>
  <si>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t xml:space="preserve">Administración dual
Usuario Aprobador
Acceso a Transferir 
Acceso a la empresa cuenta origen
Esquema de firmas 1 Nivel
Idioma Ingles 
Operación Fallida por Insuficiencia de fondos
Validar la traducción de campos </t>
  </si>
  <si>
    <r>
      <rPr>
        <rFont val="Arial"/>
        <color theme="1"/>
      </rPr>
      <t xml:space="preserve">El perfilamiento Aprobador
Validación de Campos
Empresa a utilizar debe estar marcada en Control Center como "Transferencias a terceros con destino autorizado"
</t>
    </r>
    <r>
      <rPr>
        <rFont val="Arial"/>
        <b/>
        <color theme="1"/>
      </rPr>
      <t>Empresa a utilizar de PA- USD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</si>
  <si>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 xml:space="preserve">Administración dual
Usuario Rol Operador
Acceso a Transferir 
Crear transferencias regionales a cuentas a terceros
</t>
    </r>
    <r>
      <rPr>
        <rFont val="Arial"/>
        <b/>
        <color theme="1"/>
      </rPr>
      <t>Esquema de firmas 2 Nivel
Idioma Español</t>
    </r>
    <r>
      <rPr>
        <rFont val="Arial"/>
        <color theme="1"/>
      </rPr>
      <t xml:space="preserve">
Moneda de cuenta origen y destino  origen es diferente 
Operación de monto superior al disponible de la cuenta 
Pendiente de aprobación por 1 Aprobador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</si>
  <si>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 xml:space="preserve">Empresa a utilizar de </t>
    </r>
    <r>
      <rPr>
        <rFont val="Arial"/>
        <color theme="1"/>
      </rPr>
      <t>PA</t>
    </r>
    <r>
      <rPr>
        <rFont val="Arial"/>
        <b/>
        <color theme="1"/>
      </rPr>
      <t>-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</si>
  <si>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una cuenta CR- Colones -Ahorro
Buscar por  Nombre de la sociedad- Puede ser no destacada</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36000.00-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t>
    </r>
    <r>
      <rPr>
        <rFont val="Arial"/>
        <b/>
        <color theme="1"/>
      </rPr>
      <t xml:space="preserve">Escribir el monto equivalente a en USD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</si>
  <si>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t xml:space="preserve">Administración dual
Usuario Aprobador 1
Acceso a Transferir 
Acceso a la empresa cuenta origen
Esquema de firmas 2 Nivel
Idioma Español 
Aprobado </t>
  </si>
  <si>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Ahorro</t>
    </r>
    <r>
      <rPr>
        <rFont val="Arial"/>
        <color theme="1"/>
      </rPr>
      <t xml:space="preserve">
Destino </t>
    </r>
    <r>
      <rPr>
        <rFont val="Arial"/>
        <b/>
        <color theme="1"/>
      </rPr>
      <t>CR-</t>
    </r>
    <r>
      <rPr>
        <rFont val="Arial"/>
        <color theme="1"/>
      </rPr>
      <t xml:space="preserve"> </t>
    </r>
    <r>
      <rPr>
        <rFont val="Arial"/>
        <b/>
        <color theme="1"/>
      </rPr>
      <t>Colones</t>
    </r>
    <r>
      <rPr>
        <rFont val="Arial"/>
        <color theme="1"/>
      </rPr>
      <t xml:space="preserve"> -Ahorro-válido y en estado Activo
</t>
    </r>
  </si>
  <si>
    <r>
      <rPr>
        <rFont val="Arial"/>
        <color theme="1"/>
      </rPr>
      <t xml:space="preserve">Administración dual
Usuario Aprobador </t>
    </r>
    <r>
      <rPr>
        <rFont val="Arial"/>
        <b/>
        <color theme="1"/>
      </rPr>
      <t>2</t>
    </r>
    <r>
      <rPr>
        <rFont val="Arial"/>
        <color theme="1"/>
      </rPr>
      <t xml:space="preserve">
Acceso a Transferir 
Acceso a la empresa cuenta origen
Esquema de firmas 2 Nivel
Idioma Español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</si>
  <si>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PA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</si>
  <si>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</si>
  <si>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Administración dual
Usuario con aprobación directa la cree y autorice - esquema de firmas 2 niveles ( no quedará pendiente de autorización)
Acceso a Transferir 
Crear transferencias regionales a cuentas a terceros
</t>
    </r>
    <r>
      <rPr>
        <rFont val="Arial"/>
        <b/>
        <color theme="1"/>
      </rPr>
      <t>Esquema de firmas 2 Nivel
Idioma Ingles</t>
    </r>
    <r>
      <rPr>
        <rFont val="Arial"/>
        <color theme="1"/>
      </rPr>
      <t xml:space="preserve">
Moneda de cuenta origen y destino  igual
Operación de monto superior al disponible de la cuenta 
Monto superior a 10 Millones 
Validar que la información y el mensaje se muestre con la traducción correcta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</si>
  <si>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USD Ahorro</t>
    </r>
    <r>
      <rPr>
        <rFont val="Arial"/>
        <color theme="1"/>
      </rPr>
      <t xml:space="preserve">
Destino HN</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</si>
  <si>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Seleccionar Destino HN en USDcuenta Ahorro- Buscar por Alias 
</t>
    </r>
    <r>
      <rPr>
        <rFont val="Arial"/>
        <color theme="1"/>
      </rPr>
      <t xml:space="preserve">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10,000,500.00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</si>
  <si>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Dual
Usuario Administrador
Acceso a Transferir 
Crear transferencias regionales a cuentas a terceros
</t>
    </r>
    <r>
      <rPr>
        <rFont val="Arial"/>
        <b/>
        <color theme="1"/>
      </rPr>
      <t>Esquema de firmas 2 Nivel
Idioma Español</t>
    </r>
    <r>
      <rPr>
        <rFont val="Arial"/>
        <color theme="1"/>
      </rPr>
      <t xml:space="preserve">
Moneda de cuenta origen y destino  origen es diferente 
Pendiente de aprobación por 1 Aprobador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</si>
  <si>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Corrientes</t>
    </r>
    <r>
      <rPr>
        <rFont val="Arial"/>
        <color theme="1"/>
      </rPr>
      <t xml:space="preserve">
Destino CR</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</si>
  <si>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t>
    </r>
    <r>
      <rPr>
        <rFont val="Arial"/>
        <b/>
        <color theme="1"/>
      </rPr>
      <t>Destino</t>
    </r>
    <r>
      <rPr>
        <rFont val="Arial"/>
        <color theme="1"/>
      </rPr>
      <t xml:space="preserve">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Buscar destino CR -USD -Ahorro - puede ser destacada</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$18.00
Si la cuenta origen y destino no tienen la misma moneda se debe presentar dos campos así: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</si>
  <si>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Maestro </t>
    </r>
    <r>
      <rPr>
        <rFont val="Arial"/>
        <b/>
        <color theme="1"/>
      </rPr>
      <t>2</t>
    </r>
    <r>
      <rPr>
        <rFont val="Arial"/>
        <color theme="1"/>
      </rPr>
      <t xml:space="preserve">
Acceso a Transferir 
Acceso a la empresa cuenta origen
Esquema de firmas 2 Nivel
Idioma Español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</si>
  <si>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Corrientes</t>
    </r>
    <r>
      <rPr>
        <rFont val="Arial"/>
        <color theme="1"/>
      </rPr>
      <t xml:space="preserve">
Destino CR</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</si>
  <si>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Administración Dual
Usuario Rol Operador
Acceso a Transferir 
Crear transferencias regionales a cuentas a terceros
</t>
    </r>
    <r>
      <rPr>
        <rFont val="Arial"/>
        <b/>
        <color theme="1"/>
      </rPr>
      <t>Esquema de firmas 2 Nivel
Idioma Español</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</si>
  <si>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</si>
  <si>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Seleccionar cuenta terceros Honduras-USD- Ahorro 
Puede buscarse por Nombre de sociedad . Seleccionar no favorita</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2</t>
    </r>
    <r>
      <rPr>
        <rFont val="Arial"/>
        <b/>
        <color theme="1"/>
      </rPr>
      <t>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</si>
  <si>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t>
    </r>
    <r>
      <rPr>
        <rFont val="Arial"/>
        <b/>
        <color theme="1"/>
      </rPr>
      <t>Aprobación Directa</t>
    </r>
    <r>
      <rPr>
        <rFont val="Arial"/>
        <color theme="1"/>
      </rPr>
      <t xml:space="preserve">
Acceso a Transferir 
Acceso a la empresa cuenta origen
Esquema de firmas 2 Nivel
Idioma </t>
    </r>
    <r>
      <rPr>
        <rFont val="Arial"/>
        <b/>
        <color theme="1"/>
      </rPr>
      <t>Español</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</si>
  <si>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PA-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</si>
  <si>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b/>
        <color theme="1"/>
      </rPr>
      <t>Administración única</t>
    </r>
    <r>
      <rPr>
        <rFont val="Arial"/>
        <color theme="1"/>
      </rPr>
      <t xml:space="preserve"> 
Usuario Rol Administrador 
Acceso a Transferir 
Crear transferencias regionales a cuentas a terceros
Envió de operación exitosa
Esquema de firmas 1 Nivel
Idioma Ingles
Editar Monto inicial 
Validar que los campos y los mensajes se muestren en ingles
Descargar comprobante</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</si>
  <si>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con destino autorizado"
Empresa a utilizar de </t>
    </r>
    <r>
      <rPr>
        <rFont val="Arial"/>
        <b/>
        <color theme="1"/>
      </rPr>
      <t>SV</t>
    </r>
    <r>
      <rPr>
        <rFont val="Arial"/>
        <color theme="1"/>
      </rPr>
      <t xml:space="preserve">- Ahorro
El usuario tiene marcado la opción de ver saldos
Cuenta Origen debe tener saldo suficiente 
Destino </t>
    </r>
    <r>
      <rPr>
        <rFont val="Arial"/>
        <b/>
        <color theme="1"/>
      </rPr>
      <t>CR</t>
    </r>
    <r>
      <rPr>
        <rFont val="Arial"/>
        <color theme="1"/>
      </rPr>
      <t>- USD</t>
    </r>
    <r>
      <rPr>
        <rFont val="Arial"/>
        <b/>
        <color theme="1"/>
      </rPr>
      <t xml:space="preserve">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</si>
  <si>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SV</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t>
    </r>
    <r>
      <rPr>
        <rFont val="Arial"/>
        <b/>
        <color theme="1"/>
      </rPr>
      <t xml:space="preserve">Destino
</t>
    </r>
    <r>
      <rPr>
        <rFont val="Arial"/>
        <color theme="1"/>
      </rPr>
      <t xml:space="preserve">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Tercero CR-USD-Ahorro Maestra
</t>
    </r>
    <r>
      <rPr>
        <rFont val="Arial"/>
        <color theme="1"/>
      </rPr>
      <t>Puede ser destacada y buscarla por Alias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t>
    </r>
    <r>
      <rPr>
        <rFont val="Arial"/>
        <b/>
        <color theme="1"/>
      </rPr>
      <t xml:space="preserve">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$28997.00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Declaración Ingreso de Divisas 
</t>
    </r>
    <r>
      <rPr>
        <rFont val="Arial"/>
        <color theme="1"/>
      </rPr>
      <t xml:space="preserve">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t>
    </r>
    <r>
      <rPr>
        <rFont val="Arial"/>
        <b/>
        <color theme="1"/>
      </rPr>
      <t>&gt; Seleccionar un concepto de la lista</t>
    </r>
    <r>
      <rPr>
        <rFont val="Arial"/>
        <color theme="1"/>
      </rPr>
      <t xml:space="preserve">
Comentario: Espacio para ingresar hasta 100 caracteres alfanuméricos con un mínimo de 15 caracteres Campo obligatorio
</t>
    </r>
    <r>
      <rPr>
        <rFont val="Arial"/>
        <b/>
        <color theme="1"/>
      </rPr>
      <t xml:space="preserve">Ingresar un comentario no superio a 20 caracteres
Botón continuar se debe mostrar activo  si se ingresarón todos los campos obligatorios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$70000.09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</si>
  <si>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Declaración de Divisas
Persona que proporciona la información: solo se debe presentar si se mostró en el paso 1. (Aplica únicamente para cuentas origen en El Salvador)
Fecha: solo se debe presentar si se mostró en el paso 1. (Aplica únicamente para cuentas origen en El Salvador)
Comentario: solo se debe presentar si se ingresó en el paso 1. (Aplica únicamente para cuentas origen en El Salvador)
Concepto: solo se debe presentar si se seleccionó en el paso 1. (Aplica únicamente para cuentas origen en El Salvador)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</si>
  <si>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Corrientes</t>
    </r>
    <r>
      <rPr>
        <rFont val="Arial"/>
        <color theme="1"/>
      </rPr>
      <t xml:space="preserve">
</t>
    </r>
    <r>
      <rPr>
        <rFont val="Arial"/>
        <b/>
        <color theme="1"/>
      </rPr>
      <t xml:space="preserve">Cuenta Origen No debe tener saldo suficiente </t>
    </r>
    <r>
      <rPr>
        <rFont val="Arial"/>
        <color theme="1"/>
      </rPr>
      <t xml:space="preserv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</si>
  <si>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Seleccionar HN-LPS Ahorro 
</t>
    </r>
    <r>
      <rPr>
        <rFont val="Arial"/>
        <color theme="1"/>
      </rPr>
      <t xml:space="preserve">Buscar por Nombre de terceros - no seleccionar destino destacado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980000.00- Ingresar un monto superior al disponible de la cuenta origen
Si la cuenta origen y destino no tienen la misma moneda se debe presentar dos campos así:
</t>
    </r>
    <r>
      <rPr>
        <rFont val="Arial"/>
        <color theme="1"/>
      </rPr>
      <t>Envía: Se debe mostrar las iniciales de la moneda origen con el símbolo de la divisa según aplique ( dólares, colones, lempiras) y espacio para que el usuario pueda ingresar el monto.
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t>
    </r>
    <r>
      <rPr>
        <rFont val="Arial"/>
        <b/>
        <color theme="1"/>
      </rPr>
      <t xml:space="preserve">Declaración Ingreso de Divisas </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30 caracteres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</si>
  <si>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</si>
  <si>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Administración única 
Usuario Aprobador
Acceso a Transferir 
Acceso a la empresa cuenta origen
Esquema de firmas 1 Nivel
Idioma Español 
Operación Fallida por Insuficiencia de fondos
</t>
    </r>
    <r>
      <rPr>
        <rFont val="Arial"/>
        <b/>
        <color theme="1"/>
      </rPr>
      <t>Validar que no se registre el débito y el egreso de divisas</t>
    </r>
  </si>
  <si>
    <r>
      <rPr>
        <rFont val="Arial"/>
        <color theme="1"/>
      </rPr>
      <t xml:space="preserve">El perfilamiento Aprobador
Validación de Campos
Empresa a utilizar debe estar marcada en Control Center como "Transferencias a terceros con destino autorizado"
</t>
    </r>
    <r>
      <rPr>
        <rFont val="Arial"/>
        <b/>
        <color theme="1"/>
      </rPr>
      <t>Empresa a utilizar de SV- USD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</si>
  <si>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</si>
  <si>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Operación de monto superior al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</si>
  <si>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 xml:space="preserve">Empresa a utilizar de </t>
    </r>
    <r>
      <rPr>
        <rFont val="Arial"/>
        <color theme="1"/>
      </rPr>
      <t>SV</t>
    </r>
    <r>
      <rPr>
        <rFont val="Arial"/>
        <b/>
        <color theme="1"/>
      </rPr>
      <t xml:space="preserve">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</si>
  <si>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nombre de terceros
Terceros -CR- CRC-Ahorro
Buscar por terceros no destacadas
</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27000.00-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t>
    </r>
    <r>
      <rPr>
        <rFont val="Arial"/>
        <b/>
        <color theme="1"/>
      </rPr>
      <t xml:space="preserve">Escribir el monto equivalente a en USD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t>
    </r>
    <r>
      <rPr>
        <rFont val="Arial"/>
        <b/>
        <color theme="1"/>
      </rPr>
      <t>Declaración Ingreso de Divisas</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20 caracteres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</si>
  <si>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</si>
  <si>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Administración única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</si>
  <si>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Ahorro</t>
    </r>
    <r>
      <rPr>
        <rFont val="Arial"/>
        <color theme="1"/>
      </rPr>
      <t xml:space="preserve">
Destino </t>
    </r>
    <r>
      <rPr>
        <rFont val="Arial"/>
        <b/>
        <color theme="1"/>
      </rPr>
      <t xml:space="preserve">CR- Colones </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</si>
  <si>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</si>
  <si>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</si>
  <si>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única 
Usuario con aprobación directa la cree y autorice - esquema de firmas 2 niveles ( no quedará pendiente de autorización)
Acceso a Transferir 
Crear transferencias regionales a cuentas a terceros
</t>
    </r>
    <r>
      <rPr>
        <rFont val="Arial"/>
        <b/>
        <color theme="1"/>
      </rPr>
      <t>Esquema de firmas 2 Nivel
Idioma Español</t>
    </r>
    <r>
      <rPr>
        <rFont val="Arial"/>
        <color theme="1"/>
      </rPr>
      <t xml:space="preserve">
Moneda de cuenta origen y destino  igual
Operación de monto superior al disponible de la cuenta 
Monto superior a 25 Millones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</si>
  <si>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USD Ahorro</t>
    </r>
    <r>
      <rPr>
        <rFont val="Arial"/>
        <color theme="1"/>
      </rPr>
      <t xml:space="preserve">
Destino HN</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</si>
  <si>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Alias - puede ser terceros destacados
Terceros HN-USD- Ahorro
</t>
    </r>
    <r>
      <rPr>
        <rFont val="Arial"/>
        <color theme="1"/>
      </rPr>
      <t xml:space="preserve">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35,000,000.00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</si>
  <si>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única 
Usuario Administrador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</si>
  <si>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Corrientes</t>
    </r>
    <r>
      <rPr>
        <rFont val="Arial"/>
        <color theme="1"/>
      </rPr>
      <t xml:space="preserve">
Destino CR</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</si>
  <si>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Nombre de tercero - puede no ser Favorito
Tercero CR-USD-Ahorro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Ingresar Monto</t>
    </r>
    <r>
      <rPr>
        <rFont val="Arial"/>
        <color theme="1"/>
      </rPr>
      <t xml:space="preserve">
</t>
    </r>
    <r>
      <rPr>
        <rFont val="Arial"/>
        <b/>
        <color theme="1"/>
      </rPr>
      <t xml:space="preserve">
Si la cuenta origen y destino no tienen la misma moneda se debe presentar dos campos así: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Declaración Ingreso de Divisas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25 caracteres </t>
    </r>
    <r>
      <rPr>
        <rFont val="Arial"/>
        <b/>
        <color theme="1"/>
      </rPr>
      <t>&gt; Ingresar el mismo contenido que en Detalle de la transacción</t>
    </r>
    <r>
      <rPr>
        <rFont val="Arial"/>
        <color theme="1"/>
      </rPr>
      <t xml:space="preserve">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</si>
  <si>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</si>
  <si>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Corrientes</t>
    </r>
    <r>
      <rPr>
        <rFont val="Arial"/>
        <color theme="1"/>
      </rPr>
      <t xml:space="preserve">
Destino CR</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</si>
  <si>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</si>
  <si>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</si>
  <si>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</si>
  <si>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Alias de terceros- puede ser Favorito
</t>
    </r>
    <r>
      <rPr>
        <rFont val="Arial"/>
        <color theme="1"/>
      </rPr>
      <t xml:space="preserve">Tercero </t>
    </r>
    <r>
      <rPr>
        <rFont val="Arial"/>
        <b/>
        <color theme="1"/>
      </rPr>
      <t xml:space="preserve">HN-USD- Ahorro
</t>
    </r>
    <r>
      <rPr>
        <rFont val="Arial"/>
        <color theme="1"/>
      </rPr>
      <t xml:space="preserve">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80 caracteres
Botón continuar se debe mostrar activo si se ingreso la información completa de lo contrario se visualiza Inactivo
</t>
    </r>
    <r>
      <rPr>
        <rFont val="Arial"/>
        <b/>
        <color theme="1"/>
      </rPr>
      <t>Ingresar Monto</t>
    </r>
    <r>
      <rPr>
        <rFont val="Arial"/>
        <color theme="1"/>
      </rPr>
      <t xml:space="preserve">
</t>
    </r>
    <r>
      <rPr>
        <rFont val="Arial"/>
        <b/>
        <color theme="1"/>
      </rPr>
      <t xml:space="preserve">Declaración Ingreso de Divisas </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No ingresar ninguna información - Muestra mensaje de error "I</t>
    </r>
    <r>
      <rPr>
        <rFont val="Arial"/>
        <b/>
        <color theme="1"/>
      </rPr>
      <t>ngresar un comentario no superio a 80 caracteres"</t>
    </r>
    <r>
      <rPr>
        <rFont val="Arial"/>
        <color theme="1"/>
      </rPr>
      <t xml:space="preserve">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</si>
  <si>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t>
    </r>
    <r>
      <rPr>
        <rFont val="Arial"/>
        <b/>
        <color theme="1"/>
      </rPr>
      <t>Aprobación Directa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</si>
  <si>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</si>
  <si>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b/>
        <color theme="1"/>
      </rPr>
      <t>Administración Dual</t>
    </r>
    <r>
      <rPr>
        <rFont val="Arial"/>
        <color theme="1"/>
      </rPr>
      <t xml:space="preserve"> 
Usuario Rol Administrador 
Acceso a Transferir 
Crear transferencias regionales a cuentas a terceros
Envió de operación exitosa
Esquema de firmas 1 Nivel
Idioma Ingles
Editar Monto inicial 
Validar que los campos y los mensajes se muestren en ingles
Descargar comprobante</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</si>
  <si>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 xml:space="preserve">Transferencias a terceros con destino autorizado"
Empresa a utilizar de </t>
    </r>
    <r>
      <rPr>
        <rFont val="Arial"/>
        <b/>
        <color theme="1"/>
      </rPr>
      <t>SV</t>
    </r>
    <r>
      <rPr>
        <rFont val="Arial"/>
        <color theme="1"/>
      </rPr>
      <t xml:space="preserve">- Ahorro
El usuario tiene marcado la opción de ver saldos
Cuenta Origen debe tener saldo suficiente 
Destino </t>
    </r>
    <r>
      <rPr>
        <rFont val="Arial"/>
        <b/>
        <color theme="1"/>
      </rPr>
      <t>CR</t>
    </r>
    <r>
      <rPr>
        <rFont val="Arial"/>
        <color theme="1"/>
      </rPr>
      <t>- USD</t>
    </r>
    <r>
      <rPr>
        <rFont val="Arial"/>
        <b/>
        <color theme="1"/>
      </rPr>
      <t xml:space="preserve">
</t>
    </r>
    <r>
      <rPr>
        <rFont val="Arial"/>
        <color theme="1"/>
      </rPr>
      <t xml:space="preserve">Cuenta </t>
    </r>
    <r>
      <rPr>
        <rFont val="Arial"/>
        <b/>
        <color theme="1"/>
      </rPr>
      <t>USD</t>
    </r>
    <r>
      <rPr>
        <rFont val="Arial"/>
        <color theme="1"/>
      </rPr>
      <t xml:space="preserve">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</si>
  <si>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SV</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Corriente</t>
    </r>
    <r>
      <rPr>
        <rFont val="Arial"/>
        <color theme="1"/>
      </rPr>
      <t xml:space="preserve">
Una vez el usuario tenga la información ingresada se habilita el botón de “continuar” donde le permite continuar con el flujo de la cuenta destino.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Nombre de sociedad- seleccionar Favorito
</t>
    </r>
    <r>
      <rPr>
        <rFont val="Arial"/>
        <color theme="1"/>
      </rPr>
      <t xml:space="preserve">Tercero de </t>
    </r>
    <r>
      <rPr>
        <rFont val="Arial"/>
        <b/>
        <color theme="1"/>
      </rPr>
      <t>CR-Ahorro- Maestra</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t>
    </r>
    <r>
      <rPr>
        <rFont val="Arial"/>
        <b/>
        <color theme="1"/>
      </rPr>
      <t xml:space="preserve">Seleccionar el país destino CR
Tipo de cuenta Ahorro-Maestra
Ingrese número de cuenta válido y completo
Seleccionar Validar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$899.00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Declaración Ingreso de Divisas 
</t>
    </r>
    <r>
      <rPr>
        <rFont val="Arial"/>
        <color theme="1"/>
      </rPr>
      <t xml:space="preserve">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t>
    </r>
    <r>
      <rPr>
        <rFont val="Arial"/>
        <b/>
        <color theme="1"/>
      </rPr>
      <t>&gt; Seleccionar un concepto de la lista</t>
    </r>
    <r>
      <rPr>
        <rFont val="Arial"/>
        <color theme="1"/>
      </rPr>
      <t xml:space="preserve">
Comentario: Espacio para ingresar hasta 100 caracteres alfanuméricos con un mínimo de 15 caracteres Campo obligatorio
</t>
    </r>
    <r>
      <rPr>
        <rFont val="Arial"/>
        <b/>
        <color theme="1"/>
      </rPr>
      <t xml:space="preserve">Ingresar un comentario no superio a 20 caracteres
Botón continuar se debe mostrar activo  si se ingresarón todos los campos obligatorios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$70000.09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</si>
  <si>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Declaración de Divisas
Persona que proporciona la información: solo se debe presentar si se mostró en el paso 1. (Aplica únicamente para cuentas origen en El Salvador)
Fecha: solo se debe presentar si se mostró en el paso 1. (Aplica únicamente para cuentas origen en El Salvador)
Comentario: solo se debe presentar si se ingresó en el paso 1. (Aplica únicamente para cuentas origen en El Salvador)
Concepto: solo se debe presentar si se seleccionó en el paso 1. (Aplica únicamente para cuentas origen en El Salvador)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</si>
  <si>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Corrientes</t>
    </r>
    <r>
      <rPr>
        <rFont val="Arial"/>
        <color theme="1"/>
      </rPr>
      <t xml:space="preserve">
</t>
    </r>
    <r>
      <rPr>
        <rFont val="Arial"/>
        <b/>
        <color theme="1"/>
      </rPr>
      <t xml:space="preserve">Cuenta Origen No debe tener saldo suficiente </t>
    </r>
    <r>
      <rPr>
        <rFont val="Arial"/>
        <color theme="1"/>
      </rPr>
      <t xml:space="preserv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</si>
  <si>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Alias- Seleccionar no destacada
</t>
    </r>
    <r>
      <rPr>
        <rFont val="Arial"/>
        <color theme="1"/>
      </rPr>
      <t xml:space="preserve">Tercero: </t>
    </r>
    <r>
      <rPr>
        <rFont val="Arial"/>
        <b/>
        <color theme="1"/>
      </rPr>
      <t>HN-LPS-Ahorro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34560.00- Ingresar un monto superior al disponible de la cuenta origen
Si la cuenta origen y destino no tienen la misma moneda se debe presentar dos campos así:
</t>
    </r>
    <r>
      <rPr>
        <rFont val="Arial"/>
        <color theme="1"/>
      </rPr>
      <t>Envía: Se debe mostrar las iniciales de la moneda origen con el símbolo de la divisa según aplique ( dólares, colones, lempiras) y espacio para que el usuario pueda ingresar el monto.
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t>
    </r>
    <r>
      <rPr>
        <rFont val="Arial"/>
        <b/>
        <color theme="1"/>
      </rPr>
      <t xml:space="preserve">Declaración Ingreso de Divisas </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30 caracteres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</si>
  <si>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</si>
  <si>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Administración Dual
Usuario Aprobador
Acceso a Transferir 
Acceso a la empresa cuenta origen
Esquema de firmas 1 Nivel
Idioma Español 
Operación Fallida por Insuficiencia de fondos
</t>
    </r>
    <r>
      <rPr>
        <rFont val="Arial"/>
        <b/>
        <color theme="1"/>
      </rPr>
      <t>Validar que no se registre el débito y el egreso de divisas</t>
    </r>
  </si>
  <si>
    <r>
      <rPr>
        <rFont val="Arial"/>
        <color theme="1"/>
      </rPr>
      <t xml:space="preserve">El perfilamiento Aprobador
Validación de Campos
Empresa a utilizar debe estar marcada en Control Center como "Transferencias a terceros con destino autorizado"
</t>
    </r>
    <r>
      <rPr>
        <rFont val="Arial"/>
        <b/>
        <color theme="1"/>
      </rPr>
      <t>Empresa a utilizar de SV- USD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</si>
  <si>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</si>
  <si>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Dual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Operación de monto superior al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</si>
  <si>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 xml:space="preserve">Empresa a utilizar de </t>
    </r>
    <r>
      <rPr>
        <rFont val="Arial"/>
        <color theme="1"/>
      </rPr>
      <t>SV</t>
    </r>
    <r>
      <rPr>
        <rFont val="Arial"/>
        <b/>
        <color theme="1"/>
      </rPr>
      <t xml:space="preserve"> Ahorro</t>
    </r>
    <r>
      <rPr>
        <rFont val="Arial"/>
        <color theme="1"/>
      </rPr>
      <t xml:space="preserve">
Destino </t>
    </r>
    <r>
      <rPr>
        <rFont val="Arial"/>
        <b/>
        <color theme="1"/>
      </rPr>
      <t>CR-</t>
    </r>
    <r>
      <rPr>
        <rFont val="Arial"/>
        <color theme="1"/>
      </rPr>
      <t xml:space="preserve"> </t>
    </r>
    <r>
      <rPr>
        <rFont val="Arial"/>
        <b/>
        <color theme="1"/>
      </rPr>
      <t>Colones</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</si>
  <si>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 Nombre de terceros -Sin destacar
</t>
    </r>
    <r>
      <rPr>
        <rFont val="Arial"/>
        <color theme="1"/>
      </rPr>
      <t xml:space="preserve">Destino: </t>
    </r>
    <r>
      <rPr>
        <rFont val="Arial"/>
        <b/>
        <color theme="1"/>
      </rPr>
      <t>CR-CRC-Ahorro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17000.00-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t>
    </r>
    <r>
      <rPr>
        <rFont val="Arial"/>
        <b/>
        <color theme="1"/>
      </rPr>
      <t xml:space="preserve">Escribir el monto equivalente a en USD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t>
    </r>
    <r>
      <rPr>
        <rFont val="Arial"/>
        <b/>
        <color theme="1"/>
      </rPr>
      <t>Declaración Ingreso de Divisas</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20 caracteres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</si>
  <si>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</si>
  <si>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Administración Dual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</si>
  <si>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sin destino autorizado"
</t>
    </r>
    <r>
      <rPr>
        <rFont val="Arial"/>
        <b/>
        <color theme="1"/>
      </rPr>
      <t>Empresa a utilizar de SV  Ahorro</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</si>
  <si>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</si>
  <si>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</si>
  <si>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Dual
Usuario con aprobación directa la cree y autorice - esquema de firmas 2 niveles ( no quedará pendiente de autorización)
Acceso a Transferir 
Crear transferencias regionales a cuentas a terceros
</t>
    </r>
    <r>
      <rPr>
        <rFont val="Arial"/>
        <b/>
        <color theme="1"/>
      </rPr>
      <t>Esquema de firmas 2 Nivel
Idioma Español</t>
    </r>
    <r>
      <rPr>
        <rFont val="Arial"/>
        <color theme="1"/>
      </rPr>
      <t xml:space="preserve">
Moneda de cuenta origen y destino  igual
Operación de monto superior al disponible de la cuenta 
Monto superior a 25 Millones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</si>
  <si>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USD Ahorro</t>
    </r>
    <r>
      <rPr>
        <rFont val="Arial"/>
        <color theme="1"/>
      </rPr>
      <t xml:space="preserve">
Destino HN</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</si>
  <si>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Alias- seleccionar destacados
</t>
    </r>
    <r>
      <rPr>
        <rFont val="Arial"/>
        <color theme="1"/>
      </rPr>
      <t xml:space="preserve">Tercero: </t>
    </r>
    <r>
      <rPr>
        <rFont val="Arial"/>
        <b/>
        <color theme="1"/>
      </rPr>
      <t xml:space="preserve">HN-USD
</t>
    </r>
    <r>
      <rPr>
        <rFont val="Arial"/>
        <color theme="1"/>
      </rPr>
      <t xml:space="preserve">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28,000,000.00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</si>
  <si>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Dual
Usuario Administrador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</si>
  <si>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Corrientes</t>
    </r>
    <r>
      <rPr>
        <rFont val="Arial"/>
        <color theme="1"/>
      </rPr>
      <t xml:space="preserve">
Destino CR</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</si>
  <si>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Nombre de tercero- seleccionar Favorito
Tercero: CR-USD-Ahorro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t>
    </r>
    <r>
      <rPr>
        <rFont val="Arial"/>
        <b/>
        <color theme="1"/>
      </rPr>
      <t>Ingresar Monto</t>
    </r>
    <r>
      <rPr>
        <rFont val="Arial"/>
        <color theme="1"/>
      </rPr>
      <t xml:space="preserve">
Si la cuenta origen y destino es aperturada en dólares americanos USD se debe habilitar el campo “monto a transferir” donde el usuario de ingresar el valor, 
</t>
    </r>
    <r>
      <rPr>
        <rFont val="Arial"/>
        <b/>
        <color theme="1"/>
      </rPr>
      <t>Si la cuenta origen y destino no tienen la misma moneda se debe presentar dos campos así: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Declaración Ingreso de Divisas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Ingresar un comentario no superio a 25 caracteres </t>
    </r>
    <r>
      <rPr>
        <rFont val="Arial"/>
        <b/>
        <color theme="1"/>
      </rPr>
      <t>&gt; Ingresar el mismo contenido que en Detalle de la transacción</t>
    </r>
    <r>
      <rPr>
        <rFont val="Arial"/>
        <color theme="1"/>
      </rPr>
      <t xml:space="preserve">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</si>
  <si>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</si>
  <si>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Corrientes</t>
    </r>
    <r>
      <rPr>
        <rFont val="Arial"/>
        <color theme="1"/>
      </rPr>
      <t xml:space="preserve">
Destino CR</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</si>
  <si>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</si>
  <si>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Dual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</si>
  <si>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</si>
  <si>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Alias de tercero- seleccionar no destacado
Tercero HN-USD-Ahorro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80 caracteres
Botón continuar se debe mostrar activo si se ingreso la información completa de lo contrario se visualiza Inactivo
</t>
    </r>
    <r>
      <rPr>
        <rFont val="Arial"/>
        <b/>
        <color theme="1"/>
      </rPr>
      <t xml:space="preserve">Declaración Ingreso de Divisas </t>
    </r>
    <r>
      <rPr>
        <rFont val="Arial"/>
        <color theme="1"/>
      </rPr>
      <t xml:space="preserve">
Persona que proporciona la información: Se debe mostrar en pantalla de manera no editable el nombre del usuario que realiza la creación del traslado. 
Fecha: Se debe mostrar en pantalla de manera no editable la fecha del día en el que se prepara la transferencia. dd-mm-aaaa.
Concepto: Lista desplegable con las posibles opciones para la declaración de divisas en El Salvador. Campo obligatorio. Detalle de conceptos &gt; Seleccionar un concepto de la lista
Comentario: Espacio para ingresar hasta 100 caracteres alfanuméricos con un mínimo de 15 caracteres Campo obligatorio
No ingresar ninguna información - Muestra mensaje de error "I</t>
    </r>
    <r>
      <rPr>
        <rFont val="Arial"/>
        <b/>
        <color theme="1"/>
      </rPr>
      <t>ngresar un comentario no superio a 80 caracteres"</t>
    </r>
    <r>
      <rPr>
        <rFont val="Arial"/>
        <color theme="1"/>
      </rPr>
      <t xml:space="preserve">
Botón continuar se debe mostrar activo  si se ingresarón todos los campos obligatorios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</si>
  <si>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t>
    </r>
    <r>
      <rPr>
        <rFont val="Arial"/>
        <b/>
        <color theme="1"/>
      </rPr>
      <t>Aprobación Directa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</si>
  <si>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SV- USD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</si>
  <si>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Administración única 
Usuario Rol Operador
Acceso a Transferir 
Crear transferencias regionales a cuentas a terceros
Esquema de firmas 1 Nivel
</t>
    </r>
    <r>
      <rPr>
        <rFont val="Arial"/>
        <b/>
        <color theme="1"/>
      </rPr>
      <t>Idioma Español</t>
    </r>
    <r>
      <rPr>
        <rFont val="Arial"/>
        <color theme="1"/>
      </rPr>
      <t xml:space="preserve">
Moneda de cuenta origen y destino  origen es diferente 
Operación de monto superior al disponible de la cuenta 
Pendiente de aprobación por 1 Aprobador
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</si>
  <si>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t>
    </r>
    <r>
      <rPr>
        <rFont val="Arial"/>
        <color theme="1"/>
      </rPr>
      <t xml:space="preserve">
</t>
    </r>
    <r>
      <rPr>
        <rFont val="Arial"/>
        <b/>
        <color theme="1"/>
      </rPr>
      <t xml:space="preserve">Cuenta Origen No debe tener saldo suficiente </t>
    </r>
    <r>
      <rPr>
        <rFont val="Arial"/>
        <color theme="1"/>
      </rPr>
      <t xml:space="preserve">
Destino SV-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</si>
  <si>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-Corriente</t>
    </r>
    <r>
      <rPr>
        <rFont val="Arial"/>
        <color theme="1"/>
      </rPr>
      <t xml:space="preserve">
Se habilita el botón de “continuar” donde le permite continuar con el flujo de la cuenta destino si la información de los campos esta completa.
</t>
    </r>
    <r>
      <rPr>
        <rFont val="Arial"/>
        <b/>
        <color theme="1"/>
      </rPr>
      <t>Destino</t>
    </r>
    <r>
      <rPr>
        <rFont val="Arial"/>
        <color theme="1"/>
      </rPr>
      <t xml:space="preserve">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Terceros por Alias , seleccionar destacado
</t>
    </r>
    <r>
      <rPr>
        <rFont val="Arial"/>
        <color theme="1"/>
      </rPr>
      <t xml:space="preserve">Terceros </t>
    </r>
    <r>
      <rPr>
        <rFont val="Arial"/>
        <b/>
        <color theme="1"/>
      </rPr>
      <t>SV-USD-Ahorro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Deal Ticket: Aplica únicamente para producto origen en Costa Rica con divisa Colones, es un espacio que permite al usuario ingresar el número con longitud de hasta 9 caracteres, con un contador que valida que la información ingresada sea correcta la cual  es la referencia de la negociación en caso que la divisa de origen sea “Colones” una vez ingresado el número de negociación el canal debe buscar coincidencia para encontrar la negociación realizada por el cliente, (Helper Text: El deal ticket es un número de 9 dígitos asignado a la negociación con la mesa de servicio) Una vez ingresado y sea válido debe actualizar la pantalla de acuerdo a la negociación mostrando de manera no editable los valores de:
</t>
    </r>
    <r>
      <rPr>
        <rFont val="Arial"/>
        <b/>
        <color theme="1"/>
      </rPr>
      <t>Ingresar un deal ticket valido- Seleccionar Validar</t>
    </r>
    <r>
      <rPr>
        <rFont val="Arial"/>
        <color theme="1"/>
      </rPr>
      <t xml:space="preserve">
Envía: Monto a debitar, negociado en colones.
Recibe: Monto a acreditar en USD 
Tasa de cambio: Se informa la tasa negociada
Fecha: se muestra la fecha de la negociación.</t>
    </r>
    <r>
      <rPr>
        <rFont val="Arial"/>
        <b/>
        <color theme="1"/>
      </rPr>
      <t xml:space="preserve">
Costo de la transacción: Si posee comisión se mostrará el monto , si es gratis se mostrará a Cero
</t>
    </r>
    <r>
      <rPr>
        <rFont val="Arial"/>
        <color theme="1"/>
      </rPr>
      <t xml:space="preserve">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t>
    </r>
    <r>
      <rPr>
        <rFont val="Arial"/>
        <b/>
        <color theme="1"/>
      </rPr>
      <t>25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</si>
  <si>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</si>
  <si>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El perfilamiento Aprobador
Validación de Campos
Empresa a utilizar debe estar marcada en Control Center como "Transferencias a terceros con destino autorizado"
</t>
    </r>
    <r>
      <rPr>
        <rFont val="Arial"/>
        <b/>
        <color theme="1"/>
      </rPr>
      <t>Empresa a utilizar de CR- CRC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</si>
  <si>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</si>
  <si>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única 
Usuario Rol Operador
Acceso a Transferir 
Crear transferencias regionales a cuentas a terceros
</t>
    </r>
    <r>
      <rPr>
        <rFont val="Arial"/>
        <b/>
        <color theme="1"/>
      </rPr>
      <t>Esquema de firmas 2 Nivel
Idioma Español</t>
    </r>
    <r>
      <rPr>
        <rFont val="Arial"/>
        <color theme="1"/>
      </rPr>
      <t xml:space="preserve">
Moneda de cuenta origen y destino  origen es diferente 
Operación de monto superior al disponible de la cuenta 
Pendiente de aprobación por 1 Aprobador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</si>
  <si>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t>
    </r>
    <r>
      <rPr>
        <rFont val="Arial"/>
        <b/>
        <color theme="1"/>
      </rPr>
      <t>PA-</t>
    </r>
    <r>
      <rPr>
        <rFont val="Arial"/>
        <color theme="1"/>
      </rPr>
      <t xml:space="preserve">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</si>
  <si>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CRC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Buscar terceros por nombre de sociedad , elegir destacadas
Seleccionar tercero PA-USD-Ahorro</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Deal Ticket
</t>
    </r>
    <r>
      <rPr>
        <rFont val="Arial"/>
        <b/>
        <color theme="1"/>
      </rPr>
      <t>Ingresar un deal ticket valido- Seleccionar Validar</t>
    </r>
    <r>
      <rPr>
        <rFont val="Arial"/>
        <color theme="1"/>
      </rPr>
      <t xml:space="preserve">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t>
    </r>
    <r>
      <rPr>
        <rFont val="Arial"/>
        <b/>
        <color theme="1"/>
      </rPr>
      <t xml:space="preserve">
</t>
    </r>
    <r>
      <rPr>
        <rFont val="Arial"/>
        <color theme="1"/>
      </rPr>
      <t xml:space="preserve">
Paso 3
Paso de Notificación -Opcional y detalle de transacción 
Notificación: (Opcional) 
No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25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</si>
  <si>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t>
    </r>
    <r>
      <rPr>
        <rFont val="Arial"/>
        <b/>
        <color theme="1"/>
      </rPr>
      <t>PA</t>
    </r>
    <r>
      <rPr>
        <rFont val="Arial"/>
        <color theme="1"/>
      </rPr>
      <t xml:space="preserve"> </t>
    </r>
    <r>
      <rPr>
        <rFont val="Arial"/>
        <b/>
        <color theme="1"/>
      </rPr>
      <t>USD</t>
    </r>
    <r>
      <rPr>
        <rFont val="Arial"/>
        <color theme="1"/>
      </rPr>
      <t xml:space="preserve"> -Ahorro-válido y en estado Activo
</t>
    </r>
  </si>
  <si>
    <r>
      <rPr>
        <rFont val="Arial"/>
        <color theme="1"/>
      </rPr>
      <t xml:space="preserve">Administración única 
Usuario Aprobador </t>
    </r>
    <r>
      <rPr>
        <rFont val="Arial"/>
        <b/>
        <color theme="1"/>
      </rPr>
      <t>2</t>
    </r>
    <r>
      <rPr>
        <rFont val="Arial"/>
        <color theme="1"/>
      </rPr>
      <t xml:space="preserve">
Acceso a Transferir 
Acceso a la empresa cuenta origen
Esquema de firmas 2 Nivel
Idioma Español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</si>
  <si>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</si>
  <si>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</si>
  <si>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</si>
  <si>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única 
Usuario Autorizante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</si>
  <si>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CR-CRC Corrientes</t>
    </r>
    <r>
      <rPr>
        <rFont val="Arial"/>
        <color theme="1"/>
      </rPr>
      <t xml:space="preserve">
Destino HN</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</si>
  <si>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Alias y seleccionar destacado
Terceros de HN-USD-Ahorro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Deal Ticket
Ingresar un deal ticket con 6 caracteres- Seleccionar Validar&gt; Muestra un mensaje de error que la longitud es de 9  &gt; </t>
    </r>
    <r>
      <rPr>
        <rFont val="Arial"/>
        <b/>
        <color theme="1"/>
      </rPr>
      <t>Ingresar deal  ticket valido</t>
    </r>
    <r>
      <rPr>
        <rFont val="Arial"/>
        <color theme="1"/>
      </rPr>
      <t xml:space="preserve">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</si>
  <si>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</si>
  <si>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</si>
  <si>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</si>
  <si>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t>
    </r>
    <r>
      <rPr>
        <rFont val="Arial"/>
        <b/>
        <color theme="1"/>
      </rPr>
      <t>Único</t>
    </r>
    <r>
      <rPr>
        <rFont val="Arial"/>
        <color theme="1"/>
      </rPr>
      <t xml:space="preserve">
Usuario Rol Operador
Acceso a Transferir 
Crear transferencias regionales a cuentas a terceros
Esquema de firmas 1 Nivel
Idioma </t>
    </r>
    <r>
      <rPr>
        <rFont val="Arial"/>
        <b/>
        <color theme="1"/>
      </rPr>
      <t>Español</t>
    </r>
    <r>
      <rPr>
        <rFont val="Arial"/>
        <color theme="1"/>
      </rPr>
      <t xml:space="preserve">
Moneda de cuenta origen y destino  origen es diferente a USD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</si>
  <si>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t>
    </r>
    <r>
      <rPr>
        <rFont val="Arial"/>
        <color theme="1"/>
      </rPr>
      <t xml:space="preserve">
El usuario tiene marcado la opción de ver saldos
Cuenta Origen debe tener saldo suficiente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</si>
  <si>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Saldo puede visualizar el disponible de la cuenta ordenante
</t>
    </r>
    <r>
      <rPr>
        <rFont val="Arial"/>
        <b/>
        <color theme="1"/>
      </rPr>
      <t>Buscar cuenta origen CRC</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terceros por Nombre y seleccionar uno no destacado
Tercero HN-LPS-Ahorro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se encuentre inactivo</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</si>
  <si>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Deal ticket invalido &gt; Ingresa uno válido y continua el proceso</t>
    </r>
    <r>
      <rPr>
        <rFont val="Arial"/>
        <color theme="1"/>
      </rPr>
      <t xml:space="preserve">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</si>
  <si>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</si>
  <si>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CRC -</t>
    </r>
    <r>
      <rPr>
        <rFont val="Arial"/>
        <b/>
        <color theme="1"/>
      </rPr>
      <t>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Alias y seleccionar un no destacado
Tercero HN-USD-Ahorro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Deal Ticket
Ingresar un deal ticket con 9 caracteres- Seleccionar Validar&gt; Muestra un mensaje </t>
    </r>
    <r>
      <rPr>
        <rFont val="Arial"/>
        <b/>
        <color theme="1"/>
      </rPr>
      <t>Deal Ticket no existe</t>
    </r>
    <r>
      <rPr>
        <rFont val="Arial"/>
        <color theme="1"/>
      </rPr>
      <t xml:space="preserve">  &gt; Ingresar deal  ticket valido y correcto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3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t>
    </r>
    <r>
      <rPr>
        <rFont val="Arial"/>
        <b/>
        <color theme="1"/>
      </rPr>
      <t>35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</si>
  <si>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t>
    </r>
    <r>
      <rPr>
        <rFont val="Arial"/>
        <b/>
        <color theme="1"/>
      </rPr>
      <t>Aprobación Directa- A pesar de tener 2 niveles de aprobación la transacción se procesa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</si>
  <si>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</si>
  <si>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Administración única 
Usuario Administrador
Acceso a Transferir 
Crear transferencias regionales a cuentas a terceros
</t>
    </r>
    <r>
      <rPr>
        <rFont val="Arial"/>
        <b/>
        <color theme="1"/>
      </rPr>
      <t>Esquema de firmas 1 Nivel
Idioma Español</t>
    </r>
    <r>
      <rPr>
        <rFont val="Arial"/>
        <color theme="1"/>
      </rPr>
      <t xml:space="preserve">
Moneda de cuenta origen y destino  igual
Operación de monto superior al disponible de la cuenta 
Monto superior a 10 Millones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</si>
  <si>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USD Ahorro</t>
    </r>
    <r>
      <rPr>
        <rFont val="Arial"/>
        <color theme="1"/>
      </rPr>
      <t xml:space="preserve">
Destino SV</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</si>
  <si>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Alias y seleccionar uno destacado
Tercero SV-USD-Ahorro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10,000,00.01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</si>
  <si>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única 
Usuario Rol Operador
Acceso a Transferir 
Crear transferencias regionales a cuentas a terceros
Esquema de firmas 1 Nivel
Idioma Ingles
Moneda de cuenta origen y destino  origen es </t>
    </r>
    <r>
      <rPr>
        <rFont val="Arial"/>
        <b/>
        <color theme="1"/>
      </rPr>
      <t>USD</t>
    </r>
    <r>
      <rPr>
        <rFont val="Arial"/>
        <color theme="1"/>
      </rPr>
      <t xml:space="preserve">
Operación de monto superior al disponible de la cuenta 
Pendiente de aprobación por 1 Aprobador
</t>
    </r>
    <r>
      <rPr>
        <rFont val="Arial"/>
        <b/>
        <color theme="1"/>
      </rPr>
      <t>Validar que los campos y los mensajes correspondan la traduccion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</si>
  <si>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USD Corrientes</t>
    </r>
    <r>
      <rPr>
        <rFont val="Arial"/>
        <color theme="1"/>
      </rPr>
      <t xml:space="preserve">
</t>
    </r>
    <r>
      <rPr>
        <rFont val="Arial"/>
        <b/>
        <color theme="1"/>
      </rPr>
      <t xml:space="preserve">Cuenta Origen Debe tener saldo suficiente </t>
    </r>
    <r>
      <rPr>
        <rFont val="Arial"/>
        <color theme="1"/>
      </rPr>
      <t xml:space="preserve">
Destino PA-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</si>
  <si>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Nombre de tercero y seleccionar un no destacado
Tercero PA-USD-Ahorro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128989.00
Costo de la transacción: Si posee comisión se mostrará el monto , si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</si>
  <si>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</si>
  <si>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El perfilamiento Aprobador
Validación de Campos
Empresa a utilizar debe estar marcada en Control Center como "Transferencias a terceros con destino autorizado"
</t>
    </r>
    <r>
      <rPr>
        <rFont val="Arial"/>
        <b/>
        <color theme="1"/>
      </rPr>
      <t>Empresa a utilizar de CR- USD Corrientes</t>
    </r>
    <r>
      <rPr>
        <rFont val="Arial"/>
        <color theme="1"/>
      </rPr>
      <t xml:space="preserve">
</t>
    </r>
    <r>
      <rPr>
        <rFont val="Arial"/>
        <b/>
        <color theme="1"/>
      </rPr>
      <t>Cuenta Origen Debe tener saldo suficiente 
Cuenta destino PA-USD</t>
    </r>
    <r>
      <rPr>
        <rFont val="Arial"/>
        <color theme="1"/>
      </rPr>
      <t xml:space="preserve">
Visualizar operación de Aplicación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</si>
  <si>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</si>
  <si>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Administración Unica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</si>
  <si>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 xml:space="preserve">Empresa a utilizar de </t>
    </r>
    <r>
      <rPr>
        <rFont val="Arial"/>
        <color theme="1"/>
      </rPr>
      <t>CR</t>
    </r>
    <r>
      <rPr>
        <rFont val="Arial"/>
        <b/>
        <color theme="1"/>
      </rPr>
      <t>- Ahorro</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</si>
  <si>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Nombre de tercero y seleccionar uno destacado
Tercero : PA-USD-Ahorro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t>
    </r>
    <r>
      <rPr>
        <rFont val="Arial"/>
        <b/>
        <color theme="1"/>
      </rPr>
      <t>Monto USD 1000,000.00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</si>
  <si>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CR-USD Ahorro</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</si>
  <si>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Administración Unica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Aprobado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</si>
  <si>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Ahorro</t>
    </r>
    <r>
      <rPr>
        <rFont val="Arial"/>
        <color theme="1"/>
      </rPr>
      <t xml:space="preserve">
Destino PA</t>
    </r>
    <r>
      <rPr>
        <rFont val="Arial"/>
        <b/>
        <color theme="1"/>
      </rPr>
      <t>-</t>
    </r>
    <r>
      <rPr>
        <rFont val="Arial"/>
        <color theme="1"/>
      </rPr>
      <t xml:space="preserve"> USD -Ahorro-válido y en estado Activo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</si>
  <si>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</si>
  <si>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Administración Dual
Usuario Rol Operador
Acceso a Transferir 
Crear transferencias regionales a cuentas a terceros
Esquema de firmas 1 Nivel
</t>
    </r>
    <r>
      <rPr>
        <rFont val="Arial"/>
        <b/>
        <color theme="1"/>
      </rPr>
      <t>Idioma Español</t>
    </r>
    <r>
      <rPr>
        <rFont val="Arial"/>
        <color theme="1"/>
      </rPr>
      <t xml:space="preserve">
Moneda de cuenta origen y destino  origen es diferente 
Operación de monto superior al disponible de la cuenta 
Pendiente de aprobación por 1 Aprobador
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</si>
  <si>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t>
    </r>
    <r>
      <rPr>
        <rFont val="Arial"/>
        <color theme="1"/>
      </rPr>
      <t xml:space="preserve">
</t>
    </r>
    <r>
      <rPr>
        <rFont val="Arial"/>
        <b/>
        <color theme="1"/>
      </rPr>
      <t xml:space="preserve">Cuenta Origen No debe tener saldo suficiente </t>
    </r>
    <r>
      <rPr>
        <rFont val="Arial"/>
        <color theme="1"/>
      </rPr>
      <t xml:space="preserve">
Destino SV-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</si>
  <si>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por Nombre de terceros , seleccionar uno sin destacar
Tercero SV-USD-Ahorro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Deal Ticket: Aplica únicamente para producto origen en Costa Rica con divisa Colones, es un espacio que permite al usuario ingresar el número con longitud de hasta 9 caracteres, con un contador que valida que la información ingresada sea correcta la cual  es la referencia de la negociación en caso que la divisa de origen sea “Colones” una vez ingresado el número de negociación el canal debe buscar coincidencia para encontrar la negociación realizada por el cliente, (Helper Text: El deal ticket es un número de 9 dígitos asignado a la negociación con la mesa de servicio) Una vez ingresado y sea válido debe actualizar la pantalla de acuerdo a la negociación mostrando de manera no editable los valores de:
</t>
    </r>
    <r>
      <rPr>
        <rFont val="Arial"/>
        <b/>
        <color theme="1"/>
      </rPr>
      <t>Ingresar un deal ticket valido- Seleccionar Validar</t>
    </r>
    <r>
      <rPr>
        <rFont val="Arial"/>
        <color theme="1"/>
      </rPr>
      <t xml:space="preserve">
Envía: Monto a debitar, negociado en colones.
Recibe: Monto a acreditar en USD 
Tasa de cambio: Se informa la tasa negociada
Fecha: se muestra la fecha de la negociación.</t>
    </r>
    <r>
      <rPr>
        <rFont val="Arial"/>
        <b/>
        <color theme="1"/>
      </rPr>
      <t xml:space="preserve">
Costo de la transacción: Si posee comisión se mostrará el monto , si es gratis se mostrará a Cero
</t>
    </r>
    <r>
      <rPr>
        <rFont val="Arial"/>
        <color theme="1"/>
      </rPr>
      <t xml:space="preserve">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t>
    </r>
    <r>
      <rPr>
        <rFont val="Arial"/>
        <b/>
        <color theme="1"/>
      </rPr>
      <t>25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</si>
  <si>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</si>
  <si>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El perfilamiento Aprobador
Validación de Campos
Empresa a utilizar debe estar marcada en Control Center como "Transferencias a terceros con destino autorizado"
</t>
    </r>
    <r>
      <rPr>
        <rFont val="Arial"/>
        <b/>
        <color theme="1"/>
      </rPr>
      <t>Empresa a utilizar de CR- CRC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</si>
  <si>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</si>
  <si>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Dual
Usuario Rol Operador
Acceso a Transferir 
Crear transferencias regionales a cuentas a terceros
</t>
    </r>
    <r>
      <rPr>
        <rFont val="Arial"/>
        <b/>
        <color theme="1"/>
      </rPr>
      <t>Esquema de firmas 2 Nivel
Idioma Español</t>
    </r>
    <r>
      <rPr>
        <rFont val="Arial"/>
        <color theme="1"/>
      </rPr>
      <t xml:space="preserve">
Moneda de cuenta origen y destino  origen es diferente 
Disponible de la cuenta 
Pendiente de aprobación por 1 Aprobador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</si>
  <si>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t>
    </r>
    <r>
      <rPr>
        <rFont val="Arial"/>
        <b/>
        <color theme="1"/>
      </rPr>
      <t>PA-</t>
    </r>
    <r>
      <rPr>
        <rFont val="Arial"/>
        <color theme="1"/>
      </rPr>
      <t xml:space="preserve">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</si>
  <si>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CRC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Alias seleccionar uno sin destacar
Tercero PA-USD-Ahorro
</t>
    </r>
    <r>
      <rPr>
        <rFont val="Arial"/>
        <color theme="1"/>
      </rPr>
      <t xml:space="preserve">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Deal Ticket
</t>
    </r>
    <r>
      <rPr>
        <rFont val="Arial"/>
        <b/>
        <color theme="1"/>
      </rPr>
      <t>Ingresar un deal ticket valido- Seleccionar Validar</t>
    </r>
    <r>
      <rPr>
        <rFont val="Arial"/>
        <color theme="1"/>
      </rPr>
      <t xml:space="preserve">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t>
    </r>
    <r>
      <rPr>
        <rFont val="Arial"/>
        <b/>
        <color theme="1"/>
      </rPr>
      <t xml:space="preserve">
</t>
    </r>
    <r>
      <rPr>
        <rFont val="Arial"/>
        <color theme="1"/>
      </rPr>
      <t xml:space="preserve">
Paso 3
Paso de Notificación -Opcional y detalle de transacción 
Notificación: (Opcional) 
No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25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</si>
  <si>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t>
    </r>
    <r>
      <rPr>
        <rFont val="Arial"/>
        <b/>
        <color theme="1"/>
      </rPr>
      <t>PA</t>
    </r>
    <r>
      <rPr>
        <rFont val="Arial"/>
        <color theme="1"/>
      </rPr>
      <t xml:space="preserve"> </t>
    </r>
    <r>
      <rPr>
        <rFont val="Arial"/>
        <b/>
        <color theme="1"/>
      </rPr>
      <t>USD</t>
    </r>
    <r>
      <rPr>
        <rFont val="Arial"/>
        <color theme="1"/>
      </rPr>
      <t xml:space="preserve"> -Ahorro-válido y en estado Activo
</t>
    </r>
  </si>
  <si>
    <r>
      <rPr>
        <rFont val="Arial"/>
        <color theme="1"/>
      </rPr>
      <t xml:space="preserve">Administración Dual
Usuario Aprobador </t>
    </r>
    <r>
      <rPr>
        <rFont val="Arial"/>
        <b/>
        <color theme="1"/>
      </rPr>
      <t>2</t>
    </r>
    <r>
      <rPr>
        <rFont val="Arial"/>
        <color theme="1"/>
      </rPr>
      <t xml:space="preserve">
Acceso a Transferir 
Acceso a la empresa cuenta origen
Esquema de firmas 2 Nivel
Idioma Español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</si>
  <si>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</si>
  <si>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</si>
  <si>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</si>
  <si>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Dual 
Usuario Autorizante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</si>
  <si>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CR-CRC Corrientes</t>
    </r>
    <r>
      <rPr>
        <rFont val="Arial"/>
        <color theme="1"/>
      </rPr>
      <t xml:space="preserve">
Destino HN</t>
    </r>
    <r>
      <rPr>
        <rFont val="Arial"/>
        <b/>
        <color theme="1"/>
      </rPr>
      <t>-</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</si>
  <si>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Alias y seleccionar uno destacado
Tercero HN-USD-Ahorro
</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Deal Ticket
Ingresar un deal ticket con 6 caracteres- Seleccionar Validar&gt; Muestra un mensaje de error que la longitud es de 9  &gt; </t>
    </r>
    <r>
      <rPr>
        <rFont val="Arial"/>
        <b/>
        <color theme="1"/>
      </rPr>
      <t>Ingresar deal  ticket valido</t>
    </r>
    <r>
      <rPr>
        <rFont val="Arial"/>
        <color theme="1"/>
      </rPr>
      <t xml:space="preserve">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</si>
  <si>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</si>
  <si>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</si>
  <si>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</si>
  <si>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t>
    </r>
    <r>
      <rPr>
        <rFont val="Arial"/>
        <b/>
        <color theme="1"/>
      </rPr>
      <t>Dual</t>
    </r>
    <r>
      <rPr>
        <rFont val="Arial"/>
        <color theme="1"/>
      </rPr>
      <t xml:space="preserve">
Usuario Rol Operador
Acceso a Transferir 
Crear transferencias regionales a cuentas a terceros
Esquema de firmas 1 Nivel
Idioma </t>
    </r>
    <r>
      <rPr>
        <rFont val="Arial"/>
        <b/>
        <color theme="1"/>
      </rPr>
      <t>Español</t>
    </r>
    <r>
      <rPr>
        <rFont val="Arial"/>
        <color theme="1"/>
      </rPr>
      <t xml:space="preserve">
Moneda de cuenta origen y destino  origen es diferente a USD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</si>
  <si>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t>
    </r>
    <r>
      <rPr>
        <rFont val="Arial"/>
        <color theme="1"/>
      </rPr>
      <t xml:space="preserve">
El usuario tiene marcado la opción de ver saldos
Cuenta Origen debe tener saldo suficiente 
Destino HN- LPS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</si>
  <si>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Saldo puede visualizar el disponible de la cuenta ordenante
</t>
    </r>
    <r>
      <rPr>
        <rFont val="Arial"/>
        <b/>
        <color theme="1"/>
      </rPr>
      <t>Buscar cuenta origen CRC</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Alias y destacado
Tercero-HN-LPS-Ahorro
</t>
    </r>
    <r>
      <rPr>
        <rFont val="Arial"/>
        <color theme="1"/>
      </rPr>
      <t>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se encuentre inactivo</t>
    </r>
  </si>
  <si>
    <r>
      <rPr>
        <rFont val="Arial"/>
        <color theme="1"/>
      </rPr>
      <t xml:space="preserve">Administración Dual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Deal ticket invalido &gt; Ingresa uno válido y continua el proceso</t>
    </r>
    <r>
      <rPr>
        <rFont val="Arial"/>
        <color theme="1"/>
      </rPr>
      <t xml:space="preserve">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</si>
  <si>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</si>
  <si>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CRC -</t>
    </r>
    <r>
      <rPr>
        <rFont val="Arial"/>
        <b/>
        <color theme="1"/>
      </rPr>
      <t>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nombre del tercero y seleccionar uno destacado
Tercero HN-USD-Ahorro
</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Deal Ticket
Ingresar un deal ticket con 9 caracteres- Seleccionar Validar&gt; Muestra un mensaje </t>
    </r>
    <r>
      <rPr>
        <rFont val="Arial"/>
        <b/>
        <color theme="1"/>
      </rPr>
      <t>Deal Ticket no existe</t>
    </r>
    <r>
      <rPr>
        <rFont val="Arial"/>
        <color theme="1"/>
      </rPr>
      <t xml:space="preserve">  &gt; Ingresar deal  ticket valido y correcto
Envía: Monto a debitar, negociado en colones.
Recibe: Monto a acreditar en USD 
Tasa de cambio: Se informa la tasa negociada
Fecha: se muestra la fecha de la negociación.
Costo de la transacción: Si posee comisión se mostrará el monto , si es gratis se mostrará a Cero
Seleccionar Continuar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3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t>
    </r>
    <r>
      <rPr>
        <rFont val="Arial"/>
        <b/>
        <color theme="1"/>
      </rPr>
      <t>35</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</si>
  <si>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t>
    </r>
    <r>
      <rPr>
        <rFont val="Arial"/>
        <b/>
        <color theme="1"/>
      </rPr>
      <t>Aprobación Directa- A pesar de tener 2 niveles de aprobación la transacción se procesa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</si>
  <si>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CRC Corrientes</t>
    </r>
    <r>
      <rPr>
        <rFont val="Arial"/>
        <color theme="1"/>
      </rPr>
      <t xml:space="preserve">
Destino HN</t>
    </r>
    <r>
      <rPr>
        <rFont val="Arial"/>
        <b/>
        <color theme="1"/>
      </rPr>
      <t>-</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</si>
  <si>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Administración Dual
Usuario Administrador
Acceso a Transferir 
Crear transferencias regionales a cuentas a terceros
</t>
    </r>
    <r>
      <rPr>
        <rFont val="Arial"/>
        <b/>
        <color theme="1"/>
      </rPr>
      <t>Esquema de firmas 1 Nivel
Idioma Español</t>
    </r>
    <r>
      <rPr>
        <rFont val="Arial"/>
        <color theme="1"/>
      </rPr>
      <t xml:space="preserve">
Moneda de cuenta origen y destino  igual
Operación de monto superior al disponible de la cuenta 
Monto superior a 10 Millones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</si>
  <si>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USD Ahorro</t>
    </r>
    <r>
      <rPr>
        <rFont val="Arial"/>
        <color theme="1"/>
      </rPr>
      <t xml:space="preserve">
Destino SV</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</si>
  <si>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tercero por nombre de registro seleccionar uno marcado como destacado
Tercero SV-USD-Ahorro
</t>
    </r>
    <r>
      <rPr>
        <rFont val="Arial"/>
        <color theme="1"/>
      </rPr>
      <t xml:space="preserve">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10,500,000.00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</si>
  <si>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Dual
Usuario Rol Operador
Acceso a Transferir 
Crear transferencias regionales a cuentas a terceros
Esquema de firmas 1 Nivel
Idioma Ingles
Moneda de cuenta origen y destino  origen es </t>
    </r>
    <r>
      <rPr>
        <rFont val="Arial"/>
        <b/>
        <color theme="1"/>
      </rPr>
      <t>USD</t>
    </r>
    <r>
      <rPr>
        <rFont val="Arial"/>
        <color theme="1"/>
      </rPr>
      <t xml:space="preserve">
Pendiente de aprobación por 1 Aprobador
</t>
    </r>
    <r>
      <rPr>
        <rFont val="Arial"/>
        <b/>
        <color theme="1"/>
      </rPr>
      <t>Validar que los campos y los mensajes correspondan la traduccion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</si>
  <si>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USD Corrientes</t>
    </r>
    <r>
      <rPr>
        <rFont val="Arial"/>
        <color theme="1"/>
      </rPr>
      <t xml:space="preserve">
</t>
    </r>
    <r>
      <rPr>
        <rFont val="Arial"/>
        <b/>
        <color theme="1"/>
      </rPr>
      <t xml:space="preserve">Cuenta Origen Debe tener saldo suficiente </t>
    </r>
    <r>
      <rPr>
        <rFont val="Arial"/>
        <color theme="1"/>
      </rPr>
      <t xml:space="preserve">
Destino PA-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</si>
  <si>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tercero por Alias , seleccionar uno no destacado
Tercero PA-USD-Ahorro
</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328989.00
Costo de la transacción: Si posee comisión se mostrará el monto , si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</si>
  <si>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</si>
  <si>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El perfilamiento Aprobador
Validación de Campos
Empresa a utilizar debe estar marcada en Control Center como "Transferencias a terceros con destino autorizado"
</t>
    </r>
    <r>
      <rPr>
        <rFont val="Arial"/>
        <b/>
        <color theme="1"/>
      </rPr>
      <t>Empresa a utilizar de CR- USD Corrientes</t>
    </r>
    <r>
      <rPr>
        <rFont val="Arial"/>
        <color theme="1"/>
      </rPr>
      <t xml:space="preserve">
</t>
    </r>
    <r>
      <rPr>
        <rFont val="Arial"/>
        <b/>
        <color theme="1"/>
      </rPr>
      <t>Cuenta Origen Debe tener saldo suficiente 
Cuenta destino PA-USD</t>
    </r>
    <r>
      <rPr>
        <rFont val="Arial"/>
        <color theme="1"/>
      </rPr>
      <t xml:space="preserve">
Visualizar operación de Aplicación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</si>
  <si>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</si>
  <si>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Administración Dual
Usuario Rol Operador
Acceso a Transferir 
Crear transferencias regionales a cuentas a terceros
</t>
    </r>
    <r>
      <rPr>
        <rFont val="Arial"/>
        <b/>
        <color theme="1"/>
      </rPr>
      <t>Esquema de firmas 2 Nivel
Idioma Inglés</t>
    </r>
    <r>
      <rPr>
        <rFont val="Arial"/>
        <color theme="1"/>
      </rPr>
      <t xml:space="preserve">
Moneda de cuenta origen y destino  son iguales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</si>
  <si>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 xml:space="preserve">Empresa a utilizar de </t>
    </r>
    <r>
      <rPr>
        <rFont val="Arial"/>
        <color theme="1"/>
      </rPr>
      <t>CR</t>
    </r>
    <r>
      <rPr>
        <rFont val="Arial"/>
        <b/>
        <color theme="1"/>
      </rPr>
      <t>- Ahorro</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</si>
  <si>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Nombre del tercero y seleccionar un resultado destacado
Tercero PA-USD-Ahorro
</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t>
    </r>
    <r>
      <rPr>
        <rFont val="Arial"/>
        <b/>
        <color theme="1"/>
      </rPr>
      <t>Monto USD 1000.00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</si>
  <si>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CR-USD Ahorro</t>
    </r>
    <r>
      <rPr>
        <rFont val="Arial"/>
        <color theme="1"/>
      </rPr>
      <t xml:space="preserve">
Destino PA</t>
    </r>
    <r>
      <rPr>
        <rFont val="Arial"/>
        <b/>
        <color theme="1"/>
      </rPr>
      <t>-</t>
    </r>
    <r>
      <rPr>
        <rFont val="Arial"/>
        <color theme="1"/>
      </rPr>
      <t xml:space="preserve"> </t>
    </r>
    <r>
      <rPr>
        <rFont val="Arial"/>
        <b/>
        <color theme="1"/>
      </rPr>
      <t>USD</t>
    </r>
    <r>
      <rPr>
        <rFont val="Arial"/>
        <color theme="1"/>
      </rPr>
      <t xml:space="preserve"> -Ahorro-válido y en estado Activo
</t>
    </r>
  </si>
  <si>
    <r>
      <rPr>
        <rFont val="Arial"/>
        <color theme="1"/>
      </rPr>
      <t xml:space="preserve">Administración Dual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Aprobado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</si>
  <si>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CR Ahorro</t>
    </r>
    <r>
      <rPr>
        <rFont val="Arial"/>
        <color theme="1"/>
      </rPr>
      <t xml:space="preserve">
Destino PA</t>
    </r>
    <r>
      <rPr>
        <rFont val="Arial"/>
        <b/>
        <color theme="1"/>
      </rPr>
      <t>-</t>
    </r>
    <r>
      <rPr>
        <rFont val="Arial"/>
        <color theme="1"/>
      </rPr>
      <t xml:space="preserve"> USD -Ahorro-válido y en estado Activo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</si>
  <si>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</si>
  <si>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b/>
        <color theme="1"/>
      </rPr>
      <t>Administración única</t>
    </r>
    <r>
      <rPr>
        <rFont val="Arial"/>
        <color theme="1"/>
      </rPr>
      <t xml:space="preserve"> 
Usuario Rol Administrador 
Acceso a Transferir 
Crear transferencias regionales a cuentas a terceros
Envió de operación exitosa
Esquema de firmas 1 Nivel
Idioma Ingles
Editar Monto inicial 
Validar que los campos y los mensajes se muestren en ingles
Descargar comprobante</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</si>
  <si>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con destino autorizado"
Empresa a utilizar de DvHN- Ahorro
El usuario tiene marcado la opción de ver saldos
Cuenta Origen debe tener saldo suficiente 
Destino PA- USD</t>
    </r>
    <r>
      <rPr>
        <rFont val="Arial"/>
        <b/>
        <color theme="1"/>
      </rPr>
      <t xml:space="preserve">
</t>
    </r>
    <r>
      <rPr>
        <rFont val="Arial"/>
        <color theme="1"/>
      </rPr>
      <t xml:space="preserve">Cuenta </t>
    </r>
    <r>
      <rPr>
        <rFont val="Arial"/>
        <b/>
        <color theme="1"/>
      </rPr>
      <t>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</si>
  <si>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HN</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Ahorro</t>
    </r>
    <r>
      <rPr>
        <rFont val="Arial"/>
        <color theme="1"/>
      </rPr>
      <t xml:space="preserve">
Una vez el usuario tenga la información ingresada se habilita el botón de “continuar” donde le permite continuar con el flujo de la cuenta destino.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al tercero por Alias y seleccionar destacado
Tercero PA-USD-Ahorro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t>
    </r>
    <r>
      <rPr>
        <rFont val="Arial"/>
        <b/>
        <color theme="1"/>
      </rPr>
      <t xml:space="preserve">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$1500.00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No debe mostrar pantalla de  Egreso de divisas, solamente aplica cuando la cuenta origen es SV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$399.09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</si>
  <si>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</si>
  <si>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LPS Ahorro</t>
    </r>
    <r>
      <rPr>
        <rFont val="Arial"/>
        <color theme="1"/>
      </rPr>
      <t xml:space="preserve">
El usuario tiene marcado la opción de ver saldos
Cuenta Origen debe tener saldo suficiente 
Destino CR- CRC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</si>
  <si>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Saldo puede visualizar el disponible de la cuenta ordenante
</t>
    </r>
    <r>
      <rPr>
        <rFont val="Arial"/>
        <b/>
        <color theme="1"/>
      </rPr>
      <t>Buscar cuenta origen LPS 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 xml:space="preserve">Buscar por Alias y seleccionar resultado destacado
Tercero: CR-CRC-Maestro Ahorro
</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</si>
  <si>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LPS Corrientes</t>
    </r>
    <r>
      <rPr>
        <rFont val="Arial"/>
        <color theme="1"/>
      </rPr>
      <t xml:space="preserve">
</t>
    </r>
    <r>
      <rPr>
        <rFont val="Arial"/>
        <b/>
        <color theme="1"/>
      </rPr>
      <t xml:space="preserve">Cuenta Origen No debe tener saldo suficiente </t>
    </r>
    <r>
      <rPr>
        <rFont val="Arial"/>
        <color theme="1"/>
      </rPr>
      <t xml:space="preserve">
Destino SV-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</si>
  <si>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LPS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 xml:space="preserve">Buscar por Nombre de tercero seleccionar uno no destacado
Tercero SV-USD-Ahorro
</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455500.00- Ingresar un monto superior al disponible de la cuenta origen
Si la cuenta origen y destino no tienen la misma moneda se debe presentar dos campos así:
</t>
    </r>
    <r>
      <rPr>
        <rFont val="Arial"/>
        <color theme="1"/>
      </rPr>
      <t>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</si>
  <si>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</si>
  <si>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El perfilamiento Aprobador
Validación de Campos
Empresa a utilizar debe estar marcada en Control Center como "Transferencias a terceros con destino autorizado"
</t>
    </r>
    <r>
      <rPr>
        <rFont val="Arial"/>
        <b/>
        <color theme="1"/>
      </rPr>
      <t>Empresa a utilizar de DvHN- LPS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</si>
  <si>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</si>
  <si>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</si>
  <si>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 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</si>
  <si>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 xml:space="preserve">Buscarlo por Alias y seleccionar uno destacado
Tercero: CR-CRC-Ahorro
</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2100000.00-
Si la cuenta origen y destino no tienen la misma moneda se debe presentar dos campos así:
</t>
    </r>
    <r>
      <rPr>
        <rFont val="Arial"/>
        <color theme="1"/>
      </rPr>
      <t xml:space="preserve">Recibe: Se debe mostrar las iniciales de la moneda origen con el símbolo de la divisa según aplique ( dólares, colones, lempiras) 
</t>
    </r>
    <r>
      <rPr>
        <rFont val="Arial"/>
        <b/>
        <color theme="1"/>
      </rPr>
      <t xml:space="preserve">Escribir el monto equivalente a $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</si>
  <si>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 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</si>
  <si>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Administración única 
Usuario Aprobador </t>
    </r>
    <r>
      <rPr>
        <rFont val="Arial"/>
        <b/>
        <color theme="1"/>
      </rPr>
      <t>2</t>
    </r>
    <r>
      <rPr>
        <rFont val="Arial"/>
        <color theme="1"/>
      </rPr>
      <t xml:space="preserve">
Acceso a Transferir 
Acceso a la empresa cuenta origen
Esquema de firmas 2 Nivel
Idioma Ingles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</si>
  <si>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 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</si>
  <si>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</si>
  <si>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</si>
  <si>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única 
Usuario con aprobación directa la cree y autorice - esquema de firmas 2 niveles ( no quedará pendiente de autorización)
Acceso a Transferir 
Crear transferencias regionales a cuentas a terceros
</t>
    </r>
    <r>
      <rPr>
        <rFont val="Arial"/>
        <b/>
        <color theme="1"/>
      </rPr>
      <t>Esquema de firmas 2 Nivel
Idioma Español</t>
    </r>
    <r>
      <rPr>
        <rFont val="Arial"/>
        <color theme="1"/>
      </rPr>
      <t xml:space="preserve">
Moneda de cuenta origen y destino  igual
Operación de monto superior al disponible de la cuenta 
Monto superior a 10 Millones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</si>
  <si>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 Ahorro</t>
    </r>
    <r>
      <rPr>
        <rFont val="Arial"/>
        <color theme="1"/>
      </rPr>
      <t xml:space="preserve">
Destino </t>
    </r>
    <r>
      <rPr>
        <rFont val="Arial"/>
        <b/>
        <color theme="1"/>
      </rPr>
      <t>PA-USD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</si>
  <si>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 xml:space="preserve">Buscar por nombre del tercero y seleccionar uno no destacado
Tercero: PA-USD-Ahorro
</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21,000,000.00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</si>
  <si>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única 
Usuario Administrador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</si>
  <si>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LPS Corrientes</t>
    </r>
    <r>
      <rPr>
        <rFont val="Arial"/>
        <color theme="1"/>
      </rPr>
      <t xml:space="preserve">
Destino </t>
    </r>
    <r>
      <rPr>
        <rFont val="Arial"/>
        <b/>
        <color theme="1"/>
      </rPr>
      <t>PA-</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</si>
  <si>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LPS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Buscar por Nombre del tercero selecciono un resultado destacado
Tercero PA-USD-Ahorro</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83789.01
Si la cuenta origen y destino no tienen la misma moneda se debe presentar dos campos así:
</t>
    </r>
    <r>
      <rPr>
        <rFont val="Arial"/>
        <color theme="1"/>
      </rPr>
      <t xml:space="preserve">Envía: Se debe mostrar las iniciales de la moneda origen con el símbolo de la divisa según aplique ( dólares, colones, lempiras) y espacio para que el usuario pueda ingresar el monto. Ingresar el valor de Monto LPS 
Recibe: Se debe mostrar las iniciales de la moneda origen con el símbolo de la divisa según aplique ( dólares, colones, lempiras) 
</t>
    </r>
    <r>
      <rPr>
        <rFont val="Arial"/>
        <b/>
        <color theme="1"/>
      </rPr>
      <t xml:space="preserve">Escribir el monto equivalente a $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</si>
  <si>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Maestro </t>
    </r>
    <r>
      <rPr>
        <rFont val="Arial"/>
        <b/>
        <color theme="1"/>
      </rPr>
      <t>2</t>
    </r>
    <r>
      <rPr>
        <rFont val="Arial"/>
        <color theme="1"/>
      </rPr>
      <t xml:space="preserve">
Acceso a Transferir 
Acceso a la empresa cuenta origen
Esquema de firmas 2 Nivel
Idioma Español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</si>
  <si>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LPS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</si>
  <si>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</si>
  <si>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única 
Usuario Rol Operador
Acceso a Transferir 
Crear transferencias regionales a cuentas a terceros
</t>
    </r>
    <r>
      <rPr>
        <rFont val="Arial"/>
        <b/>
        <color theme="1"/>
      </rPr>
      <t>Esquema de firmas 2 Nivel
Idioma Inglés</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</si>
  <si>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-Ahorro-válido y en estado Activo
</t>
    </r>
  </si>
  <si>
    <r>
      <rPr>
        <rFont val="Arial"/>
        <color theme="1"/>
      </rPr>
      <t>"Paso 1. Origen: En esta sección se deben mostrar los siguientes campos: 
País Origen: es una lista desplegable con las opciones (Honduras, Panamá, Costa Rica y El Salvador  junto con la imagen de la bandera de cada país.)
Seleccionar HN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 xml:space="preserve">Buscar por alias y seleccionar un destino no destacado
Tercero PA-USD-Ahorro
</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2</t>
    </r>
    <r>
      <rPr>
        <rFont val="Arial"/>
        <b/>
        <color theme="1"/>
      </rPr>
      <t>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</si>
  <si>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t>
    </r>
    <r>
      <rPr>
        <rFont val="Arial"/>
        <b/>
        <color theme="1"/>
      </rPr>
      <t>Aprobación Directa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</si>
  <si>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-Ahorro-válido y en estado Activo
</t>
    </r>
  </si>
  <si>
    <r>
      <rPr>
        <rFont val="Arial"/>
        <b/>
        <color theme="1"/>
      </rPr>
      <t>Administración Dual</t>
    </r>
    <r>
      <rPr>
        <rFont val="Arial"/>
        <color theme="1"/>
      </rPr>
      <t xml:space="preserve">
Usuario Rol Administrador 
Acceso a Transferir 
Crear transferencias regionales a cuentas a terceros
Envió de operación exitosa
Esquema de firmas 1 Nivel
Idioma </t>
    </r>
    <r>
      <rPr>
        <rFont val="Arial"/>
        <b/>
        <color theme="1"/>
      </rPr>
      <t>Español</t>
    </r>
    <r>
      <rPr>
        <rFont val="Arial"/>
        <color theme="1"/>
      </rPr>
      <t xml:space="preserve">
Editar Monto inicial 
Validar que los campos y los mensajes se muestren en ingles
Descargar comprobante</t>
    </r>
  </si>
  <si>
    <r>
      <rPr>
        <rFont val="Arial"/>
        <color theme="1"/>
      </rPr>
      <t xml:space="preserve">El perfilamiento únicamente a crear peraciones 
Validación de Campos
Empresa a utilizar debe estar marcada en </t>
    </r>
    <r>
      <rPr>
        <rFont val="Arial"/>
        <b/>
        <color theme="1"/>
      </rPr>
      <t>Control Center como "</t>
    </r>
    <r>
      <rPr>
        <rFont val="Arial"/>
        <color theme="1"/>
      </rPr>
      <t>Transferencias a terceros con destino autorizado"
Empresa a utilizar de DvHN- Ahorro
El usuario tiene marcado la opción de ver saldos
Cuenta Origen debe tener saldo suficiente 
Destino PA- USD</t>
    </r>
    <r>
      <rPr>
        <rFont val="Arial"/>
        <b/>
        <color theme="1"/>
      </rPr>
      <t xml:space="preserve">
</t>
    </r>
    <r>
      <rPr>
        <rFont val="Arial"/>
        <color theme="1"/>
      </rPr>
      <t xml:space="preserve">Cuenta </t>
    </r>
    <r>
      <rPr>
        <rFont val="Arial"/>
        <b/>
        <color theme="1"/>
      </rPr>
      <t>USD</t>
    </r>
    <r>
      <rPr>
        <rFont val="Arial"/>
        <color theme="1"/>
      </rPr>
      <t xml:space="preserve"> Corriente-válido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</si>
  <si>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HN</t>
    </r>
    <r>
      <rPr>
        <rFont val="Arial"/>
        <color theme="1"/>
      </rPr>
      <t xml:space="preserve">
Empresa: Es una lista desplegable que debe presentar el nombre de las empresas sobre las cuales el usuario tiene acceso para realizar transferencias regionales. 
Tipo de cuenta*: Permite seleccionar el tipo de cuenta origen, aparece texto: “Elija el tipo de cuenta” posterior se habilitan los tipos de cuenta de acuerdo al país origen así:
Tipología de cuentas por país:
Cuenta origen*: Se debe habilitar una búsqueda sencilla para “buscar” y seleccionar una única cuenta, una vez el usuario de clic debe debe tener un elemento que permita visualizar toda la información relevante de los productos a los cuales tiene acceso, las cuentas que aquí se presenten deben ser las que el usuario tiene asociadas en su grupo de productos con estado “activas”, 
El usuario  tiene permiso para ver la opción de ver saldos por lo que solo muestra la información de la cuenta 
La información que se muestra por producto es:
- Nombre de cuenta o alias: Se debe presentar el nombre de la cuenta o alias asignado.
- Número de cuenta:  enmascarado
- Divisa: Debe mostrar el nombre de la moneda de apertura
</t>
    </r>
    <r>
      <rPr>
        <rFont val="Arial"/>
        <b/>
        <color theme="1"/>
      </rPr>
      <t>Saldo puede visualizar el disponible de la cuenta ordenante</t>
    </r>
    <r>
      <rPr>
        <rFont val="Arial"/>
        <color theme="1"/>
      </rPr>
      <t xml:space="preserve">
</t>
    </r>
    <r>
      <rPr>
        <rFont val="Arial"/>
        <b/>
        <color theme="1"/>
      </rPr>
      <t>Buscar cuenta origen Ahorro</t>
    </r>
    <r>
      <rPr>
        <rFont val="Arial"/>
        <color theme="1"/>
      </rPr>
      <t xml:space="preserve">
Una vez el usuario tenga la información ingresada se habilita el botón de “continuar” donde le permite continuar con el flujo de la cuenta destino.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Buscar por nombre del tercero seleccionar un registro destacado 
Tercero PA-USD-Corriente</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t>
    </r>
    <r>
      <rPr>
        <rFont val="Arial"/>
        <b/>
        <color theme="1"/>
      </rPr>
      <t xml:space="preserve">
Seleccionar Continuar
</t>
    </r>
    <r>
      <rPr>
        <rFont val="Arial"/>
        <color theme="1"/>
      </rPr>
      <t xml:space="preserve">Paso 2 
Monto: Las opciones que se muestran en pantalla dependen de la divisa de apertura de la cuenta origen y destino así:
Si la cuenta origen y destino es aperturada en dólares americanos USD se debe habilitar el campo “monto a transferir” donde el usuario de ingresar el valor, en este campo aparece el símbolo de la moneda en la que realiza la transferencia  “USD $”, teniendo en cuenta que la divisa de origen y destino es la misma no aplica “tasa de cambio”.
</t>
    </r>
    <r>
      <rPr>
        <rFont val="Arial"/>
        <b/>
        <color theme="1"/>
      </rPr>
      <t xml:space="preserve">Monto $1800.00
Costo de la transacción: Si posee comisión se mostrará el monto , si es gratis se mostrará a Cero
</t>
    </r>
    <r>
      <rPr>
        <rFont val="Arial"/>
        <color theme="1"/>
      </rPr>
      <t xml:space="preserve">Seleccionar Continuar
Paso 3
Paso de Notificación -Opcional y detalle de transacción 
Notificación: (Opcional) El canal permite ingresar correo electrónico opcional  donde los usuarios recibirán la notificación del traslado al lado debe estar el botón de “agregar” una vez se da clic a esta opción el canal debe mostrar el correo ingresado al lado debe estar el icono que haga referencia a eliminar, y nuevamente queda habilitado el espacio si el cliente requiere ingresar en total hasta 6 correos electrónicos que recibirán notificación.
</t>
    </r>
    <r>
      <rPr>
        <rFont val="Arial"/>
        <b/>
        <color theme="1"/>
      </rPr>
      <t xml:space="preserve">Ingresar 1 cuentas de correo electrónico que puedan tener una longuitud hasta de 60 caracteres&gt; Seleccionar Agregar </t>
    </r>
    <r>
      <rPr>
        <rFont val="Arial"/>
        <color theme="1"/>
      </rPr>
      <t xml:space="preserve"> visualizar que se encuentren adicionados y muestren un icono de Eliminar 
Detalle de la transacción - Campo obligatorio:es un campo alfanumérico de 140 caracteres. Campo obligatorio, mínimo de 15 caracteres y no debe permitir caracteres especiales
</t>
    </r>
    <r>
      <rPr>
        <rFont val="Arial"/>
        <b/>
        <color theme="1"/>
      </rPr>
      <t xml:space="preserve">Ingresar Descripción de 15 caracteres
</t>
    </r>
    <r>
      <rPr>
        <rFont val="Arial"/>
        <color theme="1"/>
      </rPr>
      <t xml:space="preserve">Botón continuar se debe mostrar activo 
</t>
    </r>
    <r>
      <rPr>
        <rFont val="Arial"/>
        <b/>
        <color theme="1"/>
      </rPr>
      <t xml:space="preserve">No debe mostrar pantalla de  Egreso de divisas, solamente aplica cuando la cuenta origen es SV
</t>
    </r>
    <r>
      <rPr>
        <rFont val="Arial"/>
        <color theme="1"/>
      </rPr>
      <t xml:space="preserve">Paso 4
Confirmación:  Una vez el usuario de clic a esta opción debe actualizar la pantalla e informar que el usuario se encuentra en el track “confirmación”, en esta sección se deben mostrar los siguientes campos de salida. En este punto no se puede modificar la información ingresada en los pasos anteriores, si el usuario desea modificar algún dato debe dar clic en el elemento de “Regresar” donde podrá editar.
Botón Continuar
</t>
    </r>
    <r>
      <rPr>
        <rFont val="Arial"/>
        <b/>
        <color theme="1"/>
      </rPr>
      <t xml:space="preserve">Seleccionar &gt; Regresar 
</t>
    </r>
    <r>
      <rPr>
        <rFont val="Arial"/>
        <color theme="1"/>
      </rPr>
      <t xml:space="preserve">Modificar el monto original 
</t>
    </r>
    <r>
      <rPr>
        <rFont val="Arial"/>
        <b/>
        <color theme="1"/>
      </rPr>
      <t xml:space="preserve">Monto Modificado $180.00
Seleccionar Continuar
</t>
    </r>
    <r>
      <rPr>
        <rFont val="Arial"/>
        <color theme="1"/>
      </rPr>
      <t xml:space="preserve">
</t>
    </r>
    <r>
      <rPr>
        <rFont val="Arial"/>
        <b/>
        <color theme="1"/>
      </rPr>
      <t xml:space="preserve">Paso 5
</t>
    </r>
    <r>
      <rPr>
        <rFont val="Arial"/>
        <color theme="1"/>
      </rPr>
      <t xml:space="preserve">Una vez el usuario de clic a “confirmar” se debe actualizar la pantalla y sobre poner una opción en donde a el usuario le permite ingresar el código de confirmación de Soft Token, o hard token para Colombia
</t>
    </r>
  </si>
  <si>
    <r>
      <rPr>
        <rFont val="Arial"/>
        <color theme="1"/>
      </rPr>
      <t xml:space="preserve">Si la operación es exitosa actualiza la pantalla y muestra: 
Estado: será  “Aprobada”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permite descargar en pdf. 
</t>
    </r>
    <r>
      <rPr>
        <rFont val="Arial"/>
        <b/>
        <color theme="1"/>
      </rPr>
      <t>Descargar comprobante en .PDF</t>
    </r>
    <r>
      <rPr>
        <rFont val="Arial"/>
        <color theme="1"/>
      </rPr>
      <t xml:space="preserve">
</t>
    </r>
  </si>
  <si>
    <r>
      <rPr>
        <rFont val="Arial"/>
        <color theme="1"/>
      </rPr>
      <t xml:space="preserve">Administración </t>
    </r>
    <r>
      <rPr>
        <rFont val="Arial"/>
        <b/>
        <color theme="1"/>
      </rPr>
      <t>Dual</t>
    </r>
    <r>
      <rPr>
        <rFont val="Arial"/>
        <color theme="1"/>
      </rPr>
      <t xml:space="preserve">
Usuario Rol Operador
Acceso a Transferir 
Crear transferencias regionales a cuentas a terceros
Esquema de firmas 1 Nivel
Idioma </t>
    </r>
    <r>
      <rPr>
        <rFont val="Arial"/>
        <b/>
        <color theme="1"/>
      </rPr>
      <t>Español</t>
    </r>
    <r>
      <rPr>
        <rFont val="Arial"/>
        <color theme="1"/>
      </rPr>
      <t xml:space="preserve">
Moneda de cuenta origen y destino  origen es diferente a USD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</si>
  <si>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LPS Ahorro</t>
    </r>
    <r>
      <rPr>
        <rFont val="Arial"/>
        <color theme="1"/>
      </rPr>
      <t xml:space="preserve">
El usuario tiene marcado la opción de ver saldos
Cuenta Origen debe tener saldo suficiente 
Destino CR- CRC -Ahorro-Maestra-válido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</si>
  <si>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t>
    </r>
    <r>
      <rPr>
        <rFont val="Arial"/>
        <b/>
        <color theme="1"/>
      </rPr>
      <t>Seleccionar 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Saldo puede visualizar el disponible de la cuenta ordenante
</t>
    </r>
    <r>
      <rPr>
        <rFont val="Arial"/>
        <b/>
        <color theme="1"/>
      </rPr>
      <t>Buscar cuenta origen LPS Ahorro</t>
    </r>
    <r>
      <rPr>
        <rFont val="Arial"/>
        <color theme="1"/>
      </rPr>
      <t xml:space="preserve">
Se habilita el botón de “continuar” donde le permite continuar con el flujo de la cuenta destino si la información de los campos esta completa.
Pais Destino:No debe presentar el país que fue seleccionado en el campo “País Origen”
Seleccionar el país destino CR
</t>
    </r>
    <r>
      <rPr>
        <rFont val="Arial"/>
        <b/>
        <color theme="1"/>
      </rPr>
      <t>Tipo de cuenta Ahorro-CRC</t>
    </r>
    <r>
      <rPr>
        <rFont val="Arial"/>
        <color theme="1"/>
      </rPr>
      <t xml:space="preserve">
Ingrese número de cuenta válido y completo
Seleccionar Validar 
Seleccionar Continuar se encuentre inactivo</t>
    </r>
  </si>
  <si>
    <r>
      <rPr>
        <rFont val="Arial"/>
        <color theme="1"/>
      </rPr>
      <t>Administración</t>
    </r>
    <r>
      <rPr>
        <rFont val="Arial"/>
        <b/>
        <color theme="1"/>
      </rPr>
      <t xml:space="preserve"> Dual</t>
    </r>
    <r>
      <rPr>
        <rFont val="Arial"/>
        <color theme="1"/>
      </rPr>
      <t xml:space="preserve">
Usuario Rol Operador
Acceso a Transferir 
Crear transferencias regionales a cuentas a terceros
Esquema de firmas 1 Nivel
Idioma Ingles
Moneda de cuenta origen y destino  origen es diferente 
Operación de monto superior al disponible de la cuenta 
Pendiente de aprobación por 1 Aprobador
</t>
    </r>
    <r>
      <rPr>
        <rFont val="Arial"/>
        <b/>
        <color theme="1"/>
      </rPr>
      <t>Validar que los campos y los mensajes se encuentren traducidos correctamente</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</si>
  <si>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LPS Corrientes</t>
    </r>
    <r>
      <rPr>
        <rFont val="Arial"/>
        <color theme="1"/>
      </rPr>
      <t xml:space="preserve">
</t>
    </r>
    <r>
      <rPr>
        <rFont val="Arial"/>
        <b/>
        <color theme="1"/>
      </rPr>
      <t xml:space="preserve">Cuenta Origen No debe tener saldo suficiente </t>
    </r>
    <r>
      <rPr>
        <rFont val="Arial"/>
        <color theme="1"/>
      </rPr>
      <t xml:space="preserve">
Destino SV- USD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</si>
  <si>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LPS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
    </r>
    <r>
      <rPr>
        <rFont val="Arial"/>
        <b/>
        <color theme="1"/>
      </rPr>
      <t>Buscar el tercero por el nombre seleccionar uno destacado
Tercero SV-USD-Ahorro</t>
    </r>
    <r>
      <rPr>
        <rFont val="Arial"/>
        <color theme="1"/>
      </rPr>
      <t xml:space="preserve">
Texto: Escoja la cuenta destino,solo se muestran cuentas registradas cómo destino autorizado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LPS 15500.00- Ingresar un monto superior al disponible de la cuenta origen
Si la cuenta origen y destino no tienen la misma moneda se debe presentar dos campos así:
</t>
    </r>
    <r>
      <rPr>
        <rFont val="Arial"/>
        <color theme="1"/>
      </rPr>
      <t>Envía: Se debe mostrar las iniciales de la moneda origen con el símbolo de la divisa según aplique ( dólares, colones, lempiras) y espacio para que el usuario pueda ingresar el monto. Ingresar el valor de Monto LPS 15500.00
Recibe: Se debe mostrar las iniciales de la moneda origen con el símbolo de la divisa según aplique ( dólares, colones, lempiras) 
El usuario podrá 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15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</si>
  <si>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Si la operación es exitosa actualiza la pantalla y muestra: 
Estado: será “Pendiente”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 la pantalla del submódulo de Transferencias donde puede crear una nueva o realizar consultas si aplica de acuerdo a las funcionalidades asignadas.
Nueva Transferencia: Al dar clic inicia el flujo para crear una nueva operación. 
</t>
    </r>
    <r>
      <rPr>
        <rFont val="Arial"/>
        <b/>
        <color theme="1"/>
      </rPr>
      <t>Descargar comprobante en .PDF</t>
    </r>
    <r>
      <rPr>
        <rFont val="Arial"/>
        <color theme="1"/>
      </rPr>
      <t xml:space="preserve">
</t>
    </r>
  </si>
  <si>
    <r>
      <rPr>
        <rFont val="Arial"/>
        <color theme="1"/>
      </rPr>
      <t xml:space="preserve">Administración </t>
    </r>
    <r>
      <rPr>
        <rFont val="Arial"/>
        <b/>
        <color theme="1"/>
      </rPr>
      <t>Dual</t>
    </r>
    <r>
      <rPr>
        <rFont val="Arial"/>
        <color theme="1"/>
      </rPr>
      <t xml:space="preserve">
Usuario Aprobador
Acceso a Transferir 
Acceso a la empresa cuenta origen
Esquema de firmas 1 Nivel
Idioma Español 
Operación Fallida por Insuficiencia de fondos</t>
    </r>
  </si>
  <si>
    <r>
      <rPr>
        <rFont val="Arial"/>
        <color theme="1"/>
      </rPr>
      <t xml:space="preserve">El perfilamiento Aprobador
Validación de Campos
Empresa a utilizar debe estar marcada en Control Center como "Transferencias a terceros con destino autorizado"
</t>
    </r>
    <r>
      <rPr>
        <rFont val="Arial"/>
        <b/>
        <color theme="1"/>
      </rPr>
      <t>Empresa a utilizar de DvHN- LPS Corrientes</t>
    </r>
    <r>
      <rPr>
        <rFont val="Arial"/>
        <color theme="1"/>
      </rPr>
      <t xml:space="preserve">
</t>
    </r>
    <r>
      <rPr>
        <rFont val="Arial"/>
        <b/>
        <color theme="1"/>
      </rPr>
      <t xml:space="preserve">Cuenta Origen No debe tener saldo suficiente </t>
    </r>
    <r>
      <rPr>
        <rFont val="Arial"/>
        <color theme="1"/>
      </rPr>
      <t xml:space="preserve">
Visualizar operación pendiente de Aplicación
</t>
    </r>
  </si>
  <si>
    <r>
      <rPr>
        <rFont val="Arial"/>
        <color theme="1"/>
      </rPr>
      <t>Si el esquema de firma finaliza con la autorización del usuario, se actualiza la pantalla y el canal debe informar el estado así: 
Si la operación es exitosa actualiza la pantalla y muestra: 
Estado: será  “</t>
    </r>
    <r>
      <rPr>
        <rFont val="Arial"/>
        <b/>
        <color theme="1"/>
      </rPr>
      <t>Rechazada con Error</t>
    </r>
    <r>
      <rPr>
        <rFont val="Arial"/>
        <color theme="1"/>
      </rPr>
      <t xml:space="preserve">”- Puede mostrar el error por el cual no se aplico- Dependerá del enumerado del core al mostrar este tipo de mensajes 
Monto a enviar: Se debe mostrar el valor a enviar
Monto a debitar: se muestra el valor debitado de la cuenta origen.
Costo de la transacción: Se muestra el valor de cobro de la transacción.
Fecha y hora: Se debe mostrar la fecha y hora de creación.
Número de transacción: debe mostrar el número único de identificación de la Tx en el canal
Finalizar: Al dar clic actualiza la pantalla y lo redirecciona al Home. 
Comprobante: Una vez finalizada la transacción de manera exitosa debe mostrar el resumen de la misma y un elemento que haga referencia a que el usuario puede realizar descarga del comprobante de la operación en formato PDF. </t>
    </r>
  </si>
  <si>
    <r>
      <rPr>
        <rFont val="Arial"/>
        <color theme="1"/>
      </rPr>
      <t xml:space="preserve">Administración Dual
Usuario Rol Operador
Acceso a Transferir 
Crear transferencias regionales a cuentas a terceros
</t>
    </r>
    <r>
      <rPr>
        <rFont val="Arial"/>
        <b/>
        <color theme="1"/>
      </rPr>
      <t>Esquema de firmas 2 Nivel
Idioma Español</t>
    </r>
    <r>
      <rPr>
        <rFont val="Arial"/>
        <color theme="1"/>
      </rPr>
      <t xml:space="preserve">
Moneda de cuenta origen y destino  origen es diferente 
Pendiente de aprobación por 1 Aprobador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</si>
  <si>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 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</si>
  <si>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LPS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Buscarlo por Alias y seleccionar un registro destacado
Tercero CR-Colones- Ahorro</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Colones   2400000.00-
Si la cuenta origen y destino no tienen la misma moneda se debe presentar dos campos así:
</t>
    </r>
    <r>
      <rPr>
        <rFont val="Arial"/>
        <color theme="1"/>
      </rPr>
      <t xml:space="preserve">
Recibe: Se debe mostrar las iniciales de la moneda origen con el símbolo de la divisa según aplique ( dólares, colones, lempiras) 
</t>
    </r>
    <r>
      <rPr>
        <rFont val="Arial"/>
        <b/>
        <color theme="1"/>
      </rPr>
      <t xml:space="preserve">Escribir el monto equivalente a $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Si posee comisión se mostrará el monto , si es gratis se mostrará a Cero</t>
    </r>
    <r>
      <rPr>
        <rFont val="Arial"/>
        <color theme="1"/>
      </rPr>
      <t xml:space="preserve">
Seleccionar Continuar
Paso 3
Paso de Notificación -Opcional y detalle de transacción 
Notificación: (Opcional) 
Ingresar ninguna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60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</si>
  <si>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 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</si>
  <si>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Administración Dual
Usuario Aprobador </t>
    </r>
    <r>
      <rPr>
        <rFont val="Arial"/>
        <b/>
        <color theme="1"/>
      </rPr>
      <t>2</t>
    </r>
    <r>
      <rPr>
        <rFont val="Arial"/>
        <color theme="1"/>
      </rPr>
      <t xml:space="preserve">
Acceso a Transferir 
Acceso a la empresa cuenta origen
Esquema de firmas 2 Nivel
Idioma Español 
</t>
    </r>
    <r>
      <rPr>
        <rFont val="Arial"/>
        <b/>
        <color theme="1"/>
      </rPr>
      <t xml:space="preserve">Rechazar la operación </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</si>
  <si>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USDCorrientes</t>
    </r>
    <r>
      <rPr>
        <rFont val="Arial"/>
        <color theme="1"/>
      </rPr>
      <t xml:space="preserve">
Destino </t>
    </r>
    <r>
      <rPr>
        <rFont val="Arial"/>
        <b/>
        <color theme="1"/>
      </rPr>
      <t>CR-</t>
    </r>
    <r>
      <rPr>
        <rFont val="Arial"/>
        <color theme="1"/>
      </rPr>
      <t xml:space="preserve"> </t>
    </r>
    <r>
      <rPr>
        <rFont val="Arial"/>
        <b/>
        <color theme="1"/>
      </rPr>
      <t xml:space="preserve">Colones </t>
    </r>
    <r>
      <rPr>
        <rFont val="Arial"/>
        <color theme="1"/>
      </rPr>
      <t xml:space="preserve"> -Ahorro-válido y en estado Activo
</t>
    </r>
  </si>
  <si>
    <r>
      <rPr>
        <rFont val="Arial"/>
        <color theme="1"/>
      </rPr>
      <t xml:space="preserve">
Seleccione la opción de </t>
    </r>
    <r>
      <rPr>
        <rFont val="Arial"/>
        <b/>
        <color theme="1"/>
      </rPr>
      <t xml:space="preserve">Rechazar
</t>
    </r>
    <r>
      <rPr>
        <rFont val="Arial"/>
        <color theme="1"/>
      </rPr>
      <t xml:space="preserve">Colocar un motivo en el campo 
Ingresar un token válido 
Validar que toda la información que se seleccione se muestre en las diferentes etapas 
El soft token deberá seleccionar la semilla activada por el usuario previamente
</t>
    </r>
  </si>
  <si>
    <r>
      <rPr>
        <rFont val="Arial"/>
        <color theme="1"/>
      </rPr>
      <t xml:space="preserve">
si fue rechazado debe mostrar el Texto “Rechazado” seguida de las causales adjuntas Detalle Mensajería 
El detalle de las operaciones debe estar disponible para que el usuario pueda realizar la consulta del mismo y obtener todo el detalle del rechazo desde el submódulo de consultas. 
</t>
    </r>
    <r>
      <rPr>
        <rFont val="Arial"/>
        <b/>
        <color theme="1"/>
      </rPr>
      <t xml:space="preserve">Validar que la operación no se encuentre debitada de la cuenta origen y acreditada en la cuenta destino
</t>
    </r>
    <r>
      <rPr>
        <rFont val="Arial"/>
        <color theme="1"/>
      </rPr>
      <t>Validar en consultas que posee el estado de Rechazado</t>
    </r>
  </si>
  <si>
    <r>
      <rPr>
        <rFont val="Arial"/>
        <color theme="1"/>
      </rPr>
      <t xml:space="preserve">Administración Dual
Usuario con aprobación directa la cree y autorice - esquema de firmas 2 niveles ( no quedará pendiente de autorización)
Acceso a Transferir 
Crear transferencias regionales a cuentas a terceros
</t>
    </r>
    <r>
      <rPr>
        <rFont val="Arial"/>
        <b/>
        <color theme="1"/>
      </rPr>
      <t>Esquema de firmas 2 Nivel
Idioma Inglés</t>
    </r>
    <r>
      <rPr>
        <rFont val="Arial"/>
        <color theme="1"/>
      </rPr>
      <t xml:space="preserve">
Moneda de cuenta origen y destino  igual
Operación de monto superior al disponible de la cuenta 
Monto superior a 10 Millones 
Validar que los mensajes y los campos se visualicen correctamente</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</si>
  <si>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 Ahorro</t>
    </r>
    <r>
      <rPr>
        <rFont val="Arial"/>
        <color theme="1"/>
      </rPr>
      <t xml:space="preserve">
Destino </t>
    </r>
    <r>
      <rPr>
        <rFont val="Arial"/>
        <b/>
        <color theme="1"/>
      </rPr>
      <t>PA-USD</t>
    </r>
    <r>
      <rPr>
        <rFont val="Arial"/>
        <color theme="1"/>
      </rPr>
      <t xml:space="preserve"> -Ahorro-válido y en estado Activo
</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</si>
  <si>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t>
    </r>
    <r>
      <rPr>
        <rFont val="Arial"/>
        <b/>
        <color theme="1"/>
      </rPr>
      <t>origen USD -Ahorro</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 xml:space="preserve">Buscar el tercero por nombre de tercero
Tercero- PA-Ahorro
</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12,040,000.00 USD
</t>
    </r>
    <r>
      <rPr>
        <rFont val="Arial"/>
        <color theme="1"/>
      </rPr>
      <t xml:space="preserve">
</t>
    </r>
    <r>
      <rPr>
        <rFont val="Arial"/>
        <b/>
        <color theme="1"/>
      </rPr>
      <t xml:space="preserve">Costo de la transacción: Si posee comisión se mostrará el monto 
</t>
    </r>
    <r>
      <rPr>
        <rFont val="Arial"/>
        <color theme="1"/>
      </rPr>
      <t xml:space="preserve">Seleccionar Continuar
</t>
    </r>
  </si>
  <si>
    <r>
      <rPr>
        <rFont val="Arial"/>
        <color theme="1"/>
      </rPr>
      <t xml:space="preserve">Administración Dual
Usuario Administrador
Acceso a Transferir 
Crear transferencias regionales a cuentas a terceros
</t>
    </r>
    <r>
      <rPr>
        <rFont val="Arial"/>
        <b/>
        <color theme="1"/>
      </rPr>
      <t>Esquema de firmas 2 Nivel
Idioma Inglés</t>
    </r>
    <r>
      <rPr>
        <rFont val="Arial"/>
        <color theme="1"/>
      </rPr>
      <t xml:space="preserve">
Moneda de cuenta origen y destino  origen es diferente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</si>
  <si>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LPS Corrientes</t>
    </r>
    <r>
      <rPr>
        <rFont val="Arial"/>
        <color theme="1"/>
      </rPr>
      <t xml:space="preserve">
Destino </t>
    </r>
    <r>
      <rPr>
        <rFont val="Arial"/>
        <b/>
        <color theme="1"/>
      </rPr>
      <t>PA-</t>
    </r>
    <r>
      <rPr>
        <rFont val="Arial"/>
        <color theme="1"/>
      </rPr>
      <t xml:space="preserve"> </t>
    </r>
    <r>
      <rPr>
        <rFont val="Arial"/>
        <b/>
        <color theme="1"/>
      </rPr>
      <t>USD</t>
    </r>
    <r>
      <rPr>
        <rFont val="Arial"/>
        <color theme="1"/>
      </rPr>
      <t xml:space="preserve"> -Ahorro-válido y en estado Activo
Empresa a utilizar no posee cobro de comisión</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</si>
  <si>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t>
    </r>
    <r>
      <rPr>
        <rFont val="Arial"/>
        <b/>
        <color theme="1"/>
      </rPr>
      <t xml:space="preserve">Permiso para visualizar el saldo de la cuenta </t>
    </r>
    <r>
      <rPr>
        <rFont val="Arial"/>
        <color theme="1"/>
      </rPr>
      <t xml:space="preserve">
Buscar cuenta </t>
    </r>
    <r>
      <rPr>
        <rFont val="Arial"/>
        <b/>
        <color theme="1"/>
      </rPr>
      <t>origen LPS -Corriente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Buscar tercero por Alias y seleccionar registro destacado
Tercero: PA-USD-Ahorro</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 xml:space="preserve">Monto 1879.01
Si la cuenta origen y destino no tienen la misma moneda se debe presentar dos campos así:
</t>
    </r>
    <r>
      <rPr>
        <rFont val="Arial"/>
        <color theme="1"/>
      </rPr>
      <t xml:space="preserve">Envía: Se debe mostrar las iniciales de la moneda origen con el símbolo de la divisa según aplique ( dólares, colones, lempiras) y espacio para que el usuario pueda ingresar el monto. Ingresar el valor de Monto LPS 
Recibe: Se debe mostrar las iniciales de la moneda origen con el símbolo de la divisa según aplique ( dólares, colones, lempiras) 
</t>
    </r>
    <r>
      <rPr>
        <rFont val="Arial"/>
        <b/>
        <color theme="1"/>
      </rPr>
      <t xml:space="preserve">Escribir el monto equivalente a $ 
</t>
    </r>
    <r>
      <rPr>
        <rFont val="Arial"/>
        <color theme="1"/>
      </rPr>
      <t>Interactuar con cualquiera de los dos campos es decir si requiere puede ingresar el monto que requiere en el campo “envía” o “recibe” y el canal deberá bloquear la escritura en el otro campo y únicamente será visual, debe realizar la conversión al campo contraparte informando el monto que el usuario recibirá o será debitado. el usuario únicamente podrá interactuar con valor que ingresa, para interactuar con el otro debe primero eliminar la información ingresada anteriormente.</t>
    </r>
    <r>
      <rPr>
        <rFont val="Arial"/>
        <b/>
        <color theme="1"/>
      </rPr>
      <t xml:space="preserve"> 
Mostrar el valor en USD a recibir al beneficiario 
Tasa de cambio:</t>
    </r>
    <r>
      <rPr>
        <rFont val="Arial"/>
        <color theme="1"/>
      </rPr>
      <t xml:space="preserve">Muestra el valor de tasa diaria
</t>
    </r>
    <r>
      <rPr>
        <rFont val="Arial"/>
        <b/>
        <color theme="1"/>
      </rPr>
      <t>Costo de la transacción: Es gratis se mostrará a Cero</t>
    </r>
    <r>
      <rPr>
        <rFont val="Arial"/>
        <color theme="1"/>
      </rPr>
      <t xml:space="preserve">
Seleccionar Continuar
Paso 3
Paso de Notificación -Opcional y detalle de transacción 
Notificación: (Opcional) 
Ingresar 1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t>
    </r>
    <r>
      <rPr>
        <rFont val="Arial"/>
        <b/>
        <color theme="1"/>
      </rPr>
      <t>Descripción de 10</t>
    </r>
    <r>
      <rPr>
        <rFont val="Arial"/>
        <color theme="1"/>
      </rPr>
      <t xml:space="preserve"> caracteres- </t>
    </r>
    <r>
      <rPr>
        <rFont val="Arial"/>
        <b/>
        <color theme="1"/>
      </rPr>
      <t>Muestra mensaje que no cumple con los caracteres Mínimos. Ingresa una descripcion con la longitud correcta</t>
    </r>
    <r>
      <rPr>
        <rFont val="Arial"/>
        <color theme="1"/>
      </rPr>
      <t xml:space="preserve">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</si>
  <si>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única 
Usuario Maestro </t>
    </r>
    <r>
      <rPr>
        <rFont val="Arial"/>
        <b/>
        <color theme="1"/>
      </rPr>
      <t>2</t>
    </r>
    <r>
      <rPr>
        <rFont val="Arial"/>
        <color theme="1"/>
      </rPr>
      <t xml:space="preserve">
Acceso a Transferir 
Acceso a la empresa cuenta origen
Esquema de firmas 2 Nivel
Idioma Ingles
</t>
    </r>
    <r>
      <rPr>
        <rFont val="Arial"/>
        <b/>
        <color theme="1"/>
      </rPr>
      <t>Aprobación la operación operación fallida
Validar que los mensajes y los campos muestran se encuentren traducidos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</si>
  <si>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LPS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-Ahorro-válido y en estado Activo
</t>
    </r>
  </si>
  <si>
    <r>
      <rPr>
        <rFont val="Arial"/>
        <color theme="1"/>
      </rPr>
      <t xml:space="preserve">
La respuesta del core origen es </t>
    </r>
    <r>
      <rPr>
        <rFont val="Arial"/>
        <b/>
        <color theme="1"/>
      </rPr>
      <t>fallida</t>
    </r>
    <r>
      <rPr>
        <rFont val="Arial"/>
        <color theme="1"/>
      </rPr>
      <t xml:space="preserve">
En caso de una caída y no pueda ejecutar el traslado deberá informar: “ Intente más tarde” En estos momentos no podemos atender su solicitud.
La operación no se procesa y queda como rechazada con Errores
No se visualiza el débito de la cuenta ordenante ni el crédito en la beneficiario</t>
    </r>
  </si>
  <si>
    <r>
      <rPr>
        <rFont val="Arial"/>
        <color theme="1"/>
      </rPr>
      <t xml:space="preserve">Administración dual
Usuario Rol Operador
Acceso a Transferir 
Crear transferencias regionales a cuentas a terceros
</t>
    </r>
    <r>
      <rPr>
        <rFont val="Arial"/>
        <b/>
        <color theme="1"/>
      </rPr>
      <t>Esquema de firmas 2 Nivel
Idioma Español</t>
    </r>
    <r>
      <rPr>
        <rFont val="Arial"/>
        <color theme="1"/>
      </rPr>
      <t xml:space="preserve">
Moneda de cuenta origen y destino </t>
    </r>
    <r>
      <rPr>
        <rFont val="Arial"/>
        <b/>
        <color theme="1"/>
      </rPr>
      <t>USD</t>
    </r>
    <r>
      <rPr>
        <rFont val="Arial"/>
        <color theme="1"/>
      </rPr>
      <t xml:space="preserve">
Operación de monto disponible de la cuenta 
Pendiente de aprobación por 1 Aprobador
</t>
    </r>
    <r>
      <rPr>
        <rFont val="Arial"/>
        <b/>
        <color theme="1"/>
      </rPr>
      <t>Validar que la información y el mensaje se muestre con la traducción correcta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</si>
  <si>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-Corriente-válido y en estado Activo
</t>
    </r>
  </si>
  <si>
    <r>
      <rPr>
        <rFont val="Arial"/>
        <color theme="1"/>
      </rPr>
      <t>"Paso 1. Origen: En esta sección se deben mostrar los siguientes campos: 
País Origen: es una lista desplegable con las opciones (Honduras, Panamá, Costa Rica y El Salvador  junto con la imagen de la bandera de cada país.)
Seleccionar HN
Tipo de cuenta*: Permite seleccionar el tipo de cuenta origen, aparece texto: “Elija el tipo de cuenta” posterior se habilitan los
Informacion concatenada:- Nombre de cuenta o alias+ Número de cuenta+ Divisa: Moneda de apertura
Buscar cuenta origen USD -</t>
    </r>
    <r>
      <rPr>
        <rFont val="Arial"/>
        <b/>
        <color theme="1"/>
      </rPr>
      <t>Corriente</t>
    </r>
    <r>
      <rPr>
        <rFont val="Arial"/>
        <color theme="1"/>
      </rPr>
      <t xml:space="preserve">
Se habilita el botón de “continuar” donde le permite continuar con el flujo de la cuenta destino si la información de los campos esta completa.
Destino
Cuenta Destino:Se debe habilitar una búsqueda sencilla para “buscar” y seleccionar  un destino registrado previamente,
Barra de búsqueda: El canal debe tener una barra de búsqueda que permita ingresar el número de un producto, debe tener la capacidad de identificar el criterio ingresado vs los productos asociados al usuario y actualizar los resultados de acuerdo al criterio. si la información no encuentra información debe informar la causal de error.
Texto: Escoja la cuenta destino,solo se muestran cuentas registradas cómo destino autorizado
</t>
    </r>
    <r>
      <rPr>
        <rFont val="Arial"/>
        <b/>
        <color theme="1"/>
      </rPr>
      <t>Buscarlo por nombre del registro y seleccionar uno no destacado
Tercero-PA-USD-Corriente</t>
    </r>
    <r>
      <rPr>
        <rFont val="Arial"/>
        <color theme="1"/>
      </rPr>
      <t xml:space="preserve">
Resultado: Debe mostrar la siguiente información por cada producto, los registros marcados como “favoritos” se priorizan en la pantalla
La información por cada registro será: Concatenado Nombre de Empresa o alias+Número de cuenta sin enmascarar+Divisa
Una vez seleccionada el destino actualiza la pantalla con el resumen del producto seleccionado.
Seleccionar Continuar
Paso 2 
Monto: Las opciones que se muestran en pantalla dependen de la divisa de apertura de la cuenta origen y destino así:
Si la cuenta origen y destino es aperturada en dólares americanos USD se debe habilitar el campo “monto a transferir” donde el usuario de ingresar el valor, 
</t>
    </r>
    <r>
      <rPr>
        <rFont val="Arial"/>
        <b/>
        <color theme="1"/>
      </rPr>
      <t>Monto: Disponible menor a la cuenta origen</t>
    </r>
    <r>
      <rPr>
        <rFont val="Arial"/>
        <color theme="1"/>
      </rPr>
      <t xml:space="preserve">
Costo de la transacción: Si posee comisión se mostrará el monto 
Seleccionar Continuar
Paso 3
Paso de Notificación -Opcional y detalle de transacción 
Notificación: (Opcional) 
Ingresar 2 cuentas de correo electrónico que puedan tener una longuitud hasta de 60 caracteres&gt; Seleccionar Agregar  visualizar que se encuentren adicionados y muestren un icono de Eliminar 
Detalle de la transacción - Campo obligatorio:es un campo alfanumérico de 140 caracteres. Campo obligatorio, mínimo de 15 caracteres y no debe permitir caracteres especiales
Ingresar Descripción de 2</t>
    </r>
    <r>
      <rPr>
        <rFont val="Arial"/>
        <b/>
        <color theme="1"/>
      </rPr>
      <t>0</t>
    </r>
    <r>
      <rPr>
        <rFont val="Arial"/>
        <color theme="1"/>
      </rPr>
      <t xml:space="preserve"> caracteres
Botón continuar se debe mostrar activo si se ingreso la información completa de lo contrario se visualiza Inactivo
No debe mostrar pantalla de  Egreso de divisas, solamente aplica cuando la cuenta origen es SV
Paso 4
Confirmación:  Una vez el usuario de clic a esta opción debe actualizar la pantalla e informar que el usuario se encuentra en el track “confirmación”, en esta sección se deben mostrar los siguientes campos de salida. 
Información se muestra solo de lectura se visualiza Botón Continuar
Muestra Icono de  &gt; Regresar 
Seleccionar Continuar
Paso 5
Una vez el usuario de clic a “confirmar” se debe actualizar la pantalla y sobre poner una opción en donde a el usuario le permite ingresar el código de confirmación de Soft Token, o hard token para Colombia</t>
    </r>
  </si>
  <si>
    <r>
      <rPr>
        <rFont val="Arial"/>
        <color theme="1"/>
      </rPr>
      <t xml:space="preserve">Administración Dual
Usuario </t>
    </r>
    <r>
      <rPr>
        <rFont val="Arial"/>
        <b/>
        <color theme="1"/>
      </rPr>
      <t>Aprobación Directa</t>
    </r>
    <r>
      <rPr>
        <rFont val="Arial"/>
        <color theme="1"/>
      </rPr>
      <t xml:space="preserve">
Acceso a Transferir 
Acceso a la empresa cuenta origen
Esquema de firmas 2 Nivel
Idioma </t>
    </r>
    <r>
      <rPr>
        <rFont val="Arial"/>
        <b/>
        <color theme="1"/>
      </rPr>
      <t>Inglés</t>
    </r>
    <r>
      <rPr>
        <rFont val="Arial"/>
        <color theme="1"/>
      </rPr>
      <t xml:space="preserve">
</t>
    </r>
    <r>
      <rPr>
        <rFont val="Arial"/>
        <b/>
        <color theme="1"/>
      </rPr>
      <t>Aprobación la operación operación fallida</t>
    </r>
  </si>
  <si>
    <r>
      <rPr>
        <rFont val="Arial"/>
        <color theme="1"/>
      </rPr>
      <t xml:space="preserve">El perfilamiento únicamente a crear peraciones 
Validación de Campos
Empresa a utilizar debe estar marcada en Control Center como "Transferencias a terceros con destino autorizado"
</t>
    </r>
    <r>
      <rPr>
        <rFont val="Arial"/>
        <b/>
        <color theme="1"/>
      </rPr>
      <t>Empresa a utilizar de DvHN- USD Corrientes</t>
    </r>
    <r>
      <rPr>
        <rFont val="Arial"/>
        <color theme="1"/>
      </rPr>
      <t xml:space="preserve">
Destino </t>
    </r>
    <r>
      <rPr>
        <rFont val="Arial"/>
        <b/>
        <color theme="1"/>
      </rPr>
      <t>PA-</t>
    </r>
    <r>
      <rPr>
        <rFont val="Arial"/>
        <color theme="1"/>
      </rPr>
      <t xml:space="preserve"> </t>
    </r>
    <r>
      <rPr>
        <rFont val="Arial"/>
        <b/>
        <color theme="1"/>
      </rPr>
      <t xml:space="preserve">USD </t>
    </r>
    <r>
      <rPr>
        <rFont val="Arial"/>
        <color theme="1"/>
      </rPr>
      <t xml:space="preserve">-Corriente-válido y en estado Activo
</t>
    </r>
  </si>
  <si>
    <r>
      <rPr>
        <rFont val="Arial"/>
        <color theme="1"/>
      </rPr>
      <t xml:space="preserve">El perfilamiento únicamente a crear peraciones 
No posee
Empresa a utilizar debe estar marcada en </t>
    </r>
    <r>
      <rPr>
        <rFont val="Arial"/>
        <b/>
        <color theme="1"/>
      </rPr>
      <t>Control Center como "</t>
    </r>
    <r>
      <rPr>
        <rFont val="Arial"/>
        <color theme="1"/>
      </rPr>
      <t>Transferencias a terceros con cuenta origen"</t>
    </r>
  </si>
  <si>
    <r>
      <rPr>
        <rFont val="Arial"/>
        <color theme="1"/>
      </rPr>
      <t xml:space="preserve">El perfilamiento únicamente a crear peraciones 
No posee
Empresa a utilizar debe estar marcada en </t>
    </r>
    <r>
      <rPr>
        <rFont val="Arial"/>
        <b/>
        <color theme="1"/>
      </rPr>
      <t>Control Center como "</t>
    </r>
    <r>
      <rPr>
        <rFont val="Arial"/>
        <color theme="1"/>
      </rPr>
      <t>Transferencias a terceros con cuenta origen"</t>
    </r>
  </si>
  <si>
    <t>Empresa a utilizar debe estar marcada en Control Center como "Transferencias a terceros con cuenta origen
El perfilamiento únicamente a consultas no tiene acceso a  crear transacciones</t>
  </si>
  <si>
    <t>Empresa a utilizar debe estar marcada en Control Center como "Transferencias a terceros con cuenta origen
El módulo se encuentra deshabilitado completamente o presente inconvenientes</t>
  </si>
  <si>
    <t>Empresa a utilizar debe estar marcada en Control Center como "Transferencias a terceros con cuenta origen
No tener no asignados permisos de grupo de productos de la sociedad a utilizar</t>
  </si>
  <si>
    <r>
      <rPr>
        <rFont val="Arial"/>
        <color theme="1"/>
      </rPr>
      <t xml:space="preserve">Administración unica
Usuario Rol Administrador
Acceso a Crear 
Empresa seleccionada </t>
    </r>
    <r>
      <rPr>
        <rFont val="Arial"/>
        <b/>
        <color theme="1"/>
      </rPr>
      <t xml:space="preserve">CR
</t>
    </r>
    <r>
      <rPr>
        <rFont val="Arial"/>
        <color theme="1"/>
      </rPr>
      <t>Idioma Español</t>
    </r>
  </si>
  <si>
    <r>
      <rPr>
        <rFont val="Arial"/>
        <color theme="1"/>
      </rPr>
      <t xml:space="preserve">Empresa a utilizar debe estar marcada en Control Center como "Transferencias a terceros con cuenta origen
</t>
    </r>
    <r>
      <rPr>
        <rFont val="Arial"/>
        <b/>
        <color theme="1"/>
      </rPr>
      <t>Utilizar una empresa con cuenta origen que no posee registros de terceros
Empresa cuenta origen USD- Maestra-Ahorro</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</si>
  <si>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CR</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t>
    </r>
    <r>
      <rPr>
        <rFont val="Arial"/>
        <b/>
        <color theme="1"/>
      </rPr>
      <t xml:space="preserve">USD-Maestra- Ahorro </t>
    </r>
    <r>
      <rPr>
        <rFont val="Arial"/>
        <color theme="1"/>
      </rPr>
      <t xml:space="preserve">
Se habilita el botón de “continuar” donde le permite continuar con el flujo de la cuenta destino si la información de los campos esta completa.
Destino
Cuenta
Escoja la cuenta destino, solo se muestran cuentas registradas como destinos autorizados 
Favoritos se muestran en los resultados superiores
Otros destinos se muestran de forma los resultados en la parte inferior.
</t>
    </r>
    <r>
      <rPr>
        <rFont val="Arial"/>
        <b/>
        <color theme="1"/>
      </rPr>
      <t xml:space="preserve">Buscar por Alias 
Buscar un destino no registrado de la cuenta origen.
No muestra resultados
</t>
    </r>
    <r>
      <rPr>
        <rFont val="Arial"/>
        <color theme="1"/>
      </rPr>
      <t xml:space="preserve">Seleccionar Continuar no se muestra activo el botón
</t>
    </r>
  </si>
  <si>
    <t>Validar el mensaje de error en pantalla</t>
  </si>
  <si>
    <t>No se encuentra registro del tercero</t>
  </si>
  <si>
    <t>No permite continuar el proceso de pago</t>
  </si>
  <si>
    <r>
      <rPr>
        <rFont val="Arial"/>
        <color theme="1"/>
      </rPr>
      <t xml:space="preserve">Administración unica
Usuario Rol Administrador
Acceso a Crear 
Empresa seleccionada </t>
    </r>
    <r>
      <rPr>
        <rFont val="Arial"/>
        <b/>
        <color theme="1"/>
      </rPr>
      <t xml:space="preserve">HN
</t>
    </r>
    <r>
      <rPr>
        <rFont val="Arial"/>
        <color theme="1"/>
      </rPr>
      <t>Idioma Español</t>
    </r>
  </si>
  <si>
    <r>
      <rPr>
        <rFont val="Arial"/>
        <color theme="1"/>
      </rPr>
      <t xml:space="preserve">Empresa a utilizar debe estar marcada en Control Center como "Transferencias a terceros con cuenta origen
</t>
    </r>
    <r>
      <rPr>
        <rFont val="Arial"/>
        <b/>
        <color theme="1"/>
      </rPr>
      <t>Utilizar una empresa con cuenta origen que no posee registros de terceros
Empresa cuenta origen CRC-Corriente</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</si>
  <si>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HN</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t>
    </r>
    <r>
      <rPr>
        <rFont val="Arial"/>
        <b/>
        <color theme="1"/>
      </rPr>
      <t xml:space="preserve">USD- Ahorro </t>
    </r>
    <r>
      <rPr>
        <rFont val="Arial"/>
        <color theme="1"/>
      </rPr>
      <t xml:space="preserve">
Se habilita el botón de “continuar” donde le permite continuar con el flujo de la cuenta destino si la información de los campos esta completa.
Destino
Cuenta
Escoja la cuenta destino, solo se muestran cuentas registradas como destinos autorizados 
Favoritos se muestran en los resultados superiores
Otros destinos se muestran de forma los resultados en la parte inferior.
</t>
    </r>
    <r>
      <rPr>
        <rFont val="Arial"/>
        <b/>
        <color theme="1"/>
      </rPr>
      <t xml:space="preserve">Buscar por Titular de Terceros 
Buscar un destino no registrado de la cuenta origen.
No muestra resultados
</t>
    </r>
    <r>
      <rPr>
        <rFont val="Arial"/>
        <color theme="1"/>
      </rPr>
      <t xml:space="preserve">Seleccionar Continuar no se muestra activo el botón
</t>
    </r>
  </si>
  <si>
    <r>
      <rPr>
        <rFont val="Arial"/>
        <color theme="1"/>
      </rPr>
      <t xml:space="preserve">Administración unica
Usuario Rol Administrador
Acceso a Crear 
Empresa seleccionada </t>
    </r>
    <r>
      <rPr>
        <rFont val="Arial"/>
        <b/>
        <color theme="1"/>
      </rPr>
      <t xml:space="preserve">SV
</t>
    </r>
    <r>
      <rPr>
        <rFont val="Arial"/>
        <color theme="1"/>
      </rPr>
      <t>Idioma Español</t>
    </r>
  </si>
  <si>
    <r>
      <rPr>
        <rFont val="Arial"/>
        <color theme="1"/>
      </rPr>
      <t xml:space="preserve">Empresa a utilizar debe estar marcada en Control Center como "Transferencias a terceros con cuenta origen
</t>
    </r>
    <r>
      <rPr>
        <rFont val="Arial"/>
        <b/>
        <color theme="1"/>
      </rPr>
      <t>Utilizar una empresa con cuenta origen que no posee registros de terceros
Empresa cuenta origen USD-Corriente</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</si>
  <si>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SV</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t>
    </r>
    <r>
      <rPr>
        <rFont val="Arial"/>
        <b/>
        <color theme="1"/>
      </rPr>
      <t>USD- Corriente</t>
    </r>
    <r>
      <rPr>
        <rFont val="Arial"/>
        <color theme="1"/>
      </rPr>
      <t xml:space="preserve">
Se habilita el botón de “continuar” donde le permite continuar con el flujo de la cuenta destino si la información de los campos esta completa.
Destino
Cuenta
Escoja la cuenta destino, solo se muestran cuentas registradas como destinos autorizados 
Favoritos se muestran en los resultados superiores
Otros destinos se muestran de forma los resultados en la parte inferior.
</t>
    </r>
    <r>
      <rPr>
        <rFont val="Arial"/>
        <b/>
        <color theme="1"/>
      </rPr>
      <t xml:space="preserve">Buscar por número de cuenta del destino
Buscar un destino no registrado de la cuenta origen.
No muestra resultados
</t>
    </r>
    <r>
      <rPr>
        <rFont val="Arial"/>
        <color theme="1"/>
      </rPr>
      <t xml:space="preserve">Seleccionar Continuar no se muestra activo el botón
</t>
    </r>
  </si>
  <si>
    <r>
      <rPr>
        <rFont val="Arial"/>
        <color theme="1"/>
      </rPr>
      <t xml:space="preserve">Administración unica
Usuario Rol Administrador
Acceso a Crear 
Empresa seleccionada </t>
    </r>
    <r>
      <rPr>
        <rFont val="Arial"/>
        <b/>
        <color theme="1"/>
      </rPr>
      <t xml:space="preserve">PA
</t>
    </r>
    <r>
      <rPr>
        <rFont val="Arial"/>
        <color theme="1"/>
      </rPr>
      <t>Idioma Español</t>
    </r>
  </si>
  <si>
    <r>
      <rPr>
        <rFont val="Arial"/>
        <color theme="1"/>
      </rPr>
      <t xml:space="preserve">Empresa a utilizar debe estar marcada en Control Center como "Transferencias a terceros con cuenta origen
</t>
    </r>
    <r>
      <rPr>
        <rFont val="Arial"/>
        <b/>
        <color theme="1"/>
      </rPr>
      <t>Utilizar una empresa con cuenta origen que no posee registros de terceros
Empresa cuenta origen USD-Corriente</t>
    </r>
  </si>
  <si>
    <r>
      <rPr>
        <rFont val="Arial"/>
        <color theme="1"/>
      </rPr>
      <t xml:space="preserve">Paso 1. Origen: En esta sección se deben mostrar los siguientes campos: 
País Origen: es una lista desplegable con las opciones (Honduras, Panamá, Costa Rica y El Salvador  junto con la imagen de la bandera de cada país.)
Seleccionar </t>
    </r>
    <r>
      <rPr>
        <rFont val="Arial"/>
        <b/>
        <color theme="1"/>
      </rPr>
      <t>PA</t>
    </r>
    <r>
      <rPr>
        <rFont val="Arial"/>
        <color theme="1"/>
      </rPr>
      <t xml:space="preserve">
Tipo de cuenta*: Permite seleccionar el tipo de cuenta origen, aparece texto: “Elija el tipo de cuenta” posterior se habilitan los
Informacion concatenada:- Nombre de cuenta o alias+ Número de cuenta+ Divisa: Moneda de apertura
Buscar cuenta origen </t>
    </r>
    <r>
      <rPr>
        <rFont val="Arial"/>
        <b/>
        <color theme="1"/>
      </rPr>
      <t>USD- Corriente</t>
    </r>
    <r>
      <rPr>
        <rFont val="Arial"/>
        <color theme="1"/>
      </rPr>
      <t xml:space="preserve">
Se habilita el botón de “continuar” donde le permite continuar con el flujo de la cuenta destino si la información de los campos esta completa.
Destino
Cuenta
Escoja la cuenta destino, solo se muestran cuentas registradas como destinos autorizados 
Favoritos se muestran en los resultados superiores
Otros destinos se muestran de forma los resultados en la parte inferior.
</t>
    </r>
    <r>
      <rPr>
        <rFont val="Arial"/>
        <b/>
        <color theme="1"/>
      </rPr>
      <t xml:space="preserve">Buscar por número Alias de tercero
Buscar un destino no registrado de la cuenta origen.
No muestra resultados
</t>
    </r>
    <r>
      <rPr>
        <rFont val="Arial"/>
        <color theme="1"/>
      </rPr>
      <t xml:space="preserve">Seleccionar Continuar no se muestra activo el botón
</t>
    </r>
  </si>
  <si>
    <t>Migración Destinos Autorizados</t>
  </si>
  <si>
    <t>Validación de Destinos Autorizados</t>
  </si>
  <si>
    <t>Seleccionar el menú de Transferir 
Ingresar al menú de Destinos Autorizados
Seleccionar Consultar</t>
  </si>
  <si>
    <t xml:space="preserve">El usuario debe de tener asignada la funcionalidad de consulta de productos para que se habilite el acceso </t>
  </si>
  <si>
    <t>El cliente que no posea registros no debe mostrar resultados
Seleccionar Botón buscar</t>
  </si>
  <si>
    <t xml:space="preserve">Visualizar las opciones de :
Botón Buscar 
Filtrar
Descargar Reporte
Crear Destino
</t>
  </si>
  <si>
    <t>No muestra resultado y se encuentra vacío el tabla debe mostrar un mensaje y en el resultado de la páginación debe mostrar 0 resultados de 999</t>
  </si>
  <si>
    <t>El cliente  posee registros no debe mostrar resultados
Seleccionar Botón buscar</t>
  </si>
  <si>
    <t>Muestra resultado y se encuentra los destinos según lo registrado en el canal anterior, validar la cantidad de registros que se muestra y el nombre del destinario</t>
  </si>
  <si>
    <t>El cliente  posee registros debe mostrar resultados
Seleccionar Botón buscar</t>
  </si>
  <si>
    <t>Muestra resultado y se encuentra los destinos según lo registrado en el canal anterior, validar la cantidad de registros que se muestra y el nombre del destinario
Debe validarse la coincidencia con el registro cargado por background</t>
  </si>
  <si>
    <t>El usuario debe de tener asignada la funcionalidad de consulta de productos para que se habilite el acceso 
Validar que los resgistros pertenezcan a otra sociedad</t>
  </si>
  <si>
    <t>Muestra resultado y se encuentra los destinos según lo registrado en el canal anterior, validar la cantidad de registros que se muestra y el nombre del destinario
Ejecutar una busqueda para validar que los registros no poseen información de otra sociedad</t>
  </si>
  <si>
    <t>F</t>
  </si>
  <si>
    <t>Posición consolidada cuentas de ahorro y corriente</t>
  </si>
  <si>
    <t>Posición Consolidada</t>
  </si>
  <si>
    <t>Esta funcionalidad le permite a los usuarios visualizar el resumen de la información consolidada de todos los productos a los que tiene acceso</t>
  </si>
  <si>
    <t xml:space="preserve">El usuario debe de ingresar en la opción de “productos” o en la ocpion de la tarjeta de productos desde el dashboard el canal deberá actualizar la pantalla y mostrar la consulta consolidada de cuentas de ahorro y corriente donde visualizará un resumen general de los saldos de sus productos en dólares americanos, se debe de tener en cosideracion que saldos son de referencia para facilitar al usuario la comprensión del saldo en la divisa local a dólares </t>
  </si>
  <si>
    <t>En esta opcion debe permitir que el usuario visualice los saldos de las cuentas activas</t>
  </si>
  <si>
    <t xml:space="preserve">El detalle de los saldos solo podran visualizarlo los usuarios que tengan acceso a la consulta de saldos, se debe de considerar que los saldos son de referencia para facilitar al usuario la comprensión de la divisa local a dólares </t>
  </si>
  <si>
    <t>Se debe de mostrar el saldo consolidado de todos los productos con exito</t>
  </si>
  <si>
    <t>Ingresar al canal con usuario administrador o autorizante, seleccionando todas las sociedades y visualizar el resumen de la información consolidada de todos los productos a los que tiene acceso</t>
  </si>
  <si>
    <t xml:space="preserve">El usuario debe de validar que el saldo consolidado se muestre el total de los productos de las empresas con las que inició sesión </t>
  </si>
  <si>
    <t>El usuario debe de acceder al canal seleccionando todas las empresas para validar el saldo total</t>
  </si>
  <si>
    <t>el canal debe de permitir visulaizar el saldo consolidado de los productos de las empresas con las que inició sesión</t>
  </si>
  <si>
    <t>Ingresar al canal con usuario autorizante y seleccione la sociedad de HN</t>
  </si>
  <si>
    <t>El usuario debe de consultar una cuenta con estatus "bloqueada, embargada o inactiva"</t>
  </si>
  <si>
    <t>Validar que el canal NO le permita visualizar saldos ni movimientos para cuentas con estatus "bloqueada, embargada o inactiva"</t>
  </si>
  <si>
    <r>
      <rPr>
        <rFont val="Fira Sans Extra Condensed"/>
        <color theme="1"/>
      </rPr>
      <t xml:space="preserve">Se debe de validar que al dar clic en el detalle se muestre un mensaje que diga </t>
    </r>
    <r>
      <rPr>
        <rFont val="Fira Sans Extra Condensed"/>
        <b/>
        <color theme="1"/>
      </rPr>
      <t>“Cuenta Bloqueada, El detalle de la cuenta no se puede mostrar. Le invitamos a contactar al ejecutivo comercial ”</t>
    </r>
  </si>
  <si>
    <t>No debe de permitir el acceso a las cuentas con estatus bloqueda o inactiva</t>
  </si>
  <si>
    <t>Ingresar al canal con usuario autorizante y seleccione la sociedad de SV</t>
  </si>
  <si>
    <t>Se debe validar que permita visualizar la información al dar clic en el detalle del producto</t>
  </si>
  <si>
    <t>El canal realiza la consulta enviando una solicitud al core de cada país si alguna cuenta está bloqueada, el canal no retorna el saldo y se puede presentar un mensaje recibido: “Bloqueo” o “Cuenta embargada”  esto dependera del core de cada pais</t>
  </si>
  <si>
    <t>Debe de permitir hacer la consulta de "bloqueada, embargada o inactiva" si el core de cada pais lo permite, caso contrario se debe de mostrar un mensaje de "bloqueo o cuenta embargad" con exito</t>
  </si>
  <si>
    <t>Ingresar al canal con usuario autorizante y seleccione la sociedad de PA</t>
  </si>
  <si>
    <t>Ingresar al canal con usuario autorizante y seleccione la sociedad de CR</t>
  </si>
  <si>
    <t>Ingresar al canal con usuario autorizante y seleccione la sociedad de COL</t>
  </si>
  <si>
    <t>Ingresar al canal con usuario autorizante y seleccione la sociedad de MIA</t>
  </si>
  <si>
    <t>Posición Consolidada/ Características</t>
  </si>
  <si>
    <t>Para acceder a la posición consolidada el usuario debe dar clic en “productos” o en la tarjeta de cuentas desde el Dashboard</t>
  </si>
  <si>
    <t>Al acceder al módulo de productos y se presente la posición consolidada mientras carga la información, se debe  mostrar en pantalla,  el “Skeleton” de las funcionalidades.</t>
  </si>
  <si>
    <t>La información que se muestra en pantalla debe ser únicamente de productos asignados al usuario por el usuario administrador.</t>
  </si>
  <si>
    <t>El usuario solo debe de visualizar los productos que le fueron asigandos por el admnistrador</t>
  </si>
  <si>
    <t>Posición Consolidada/ Productos</t>
  </si>
  <si>
    <t xml:space="preserve">El usuario debe de validar que en la parte superior de la pantalla se muestre un texto: que diga ”Cuentas”, </t>
  </si>
  <si>
    <t>El canal debe hacer referencia que el usuario que está en la consulta de cuentas, para el MVP,  se visualice únicamente los productos de cuentas de ahorro y corrientes</t>
  </si>
  <si>
    <t>Se debeb de validar que se muestren las cuentas corrientes y de ahorros de acuerdo a los accesos que haya asignado el administrador</t>
  </si>
  <si>
    <t>En los siguientes evolutivos el canal mostrará productos como tarjetas de creditos, prestamos, entre otros, dependiendo de los prodcutos que tenga cada pais</t>
  </si>
  <si>
    <t>Que el usuario pueda visualizar las cuentas que se le haya permitido el acceso</t>
  </si>
  <si>
    <t xml:space="preserve">Posición consolidada  / Resumen general de consulta </t>
  </si>
  <si>
    <t>El usuario debe de ingresar al canal seleccionado todas las sociedades de la empresa</t>
  </si>
  <si>
    <t>El canal debe mostrar en pantalla un resumen de los diferentes saldos consolidados de los productos que tiene asociados y de las empresas que seleccionó en el inicio de sesión, los saldos se deben de mostrar en dólares americanos</t>
  </si>
  <si>
    <t>El usuario debe de validar que el saldo se muestre en USD</t>
  </si>
  <si>
    <t xml:space="preserve">Si una de las cuentas se encuentra inactiva o cerrada, no se mostrara el saldo de esta, en el caso que la cuenta tuviera fondos </t>
  </si>
  <si>
    <t>El saldo total de las cuentas se debe de mostrar en modeda USD con exito</t>
  </si>
  <si>
    <t>Posición consolidada  / Resumen general de consulta : Total de Productos (Cuentas activas)</t>
  </si>
  <si>
    <t>El usuario admistrador debe de ingresar con todas las sociedades de la empresa</t>
  </si>
  <si>
    <t xml:space="preserve">Verificar que al usuario se le muestre en total de productos dependiendo de las empresas que tenga asociadas y con las que inicio la sesión. </t>
  </si>
  <si>
    <t>Se debe de validar que el canal le muestre todos los productos a los que el usuario tenga acceso</t>
  </si>
  <si>
    <t>Le muestre los productos con exito</t>
  </si>
  <si>
    <t>Posición consolidada  / Resumen general de consulta : Saldo Total</t>
  </si>
  <si>
    <t>El usuario debe visualizar  el saldo total consolidado en dólares americanos del total de  productos que se muestran en la consulta de cuentas ahorros y corrientes de todas las páginas, este valor debe corresponder al mismo presentado en la tarjeta del dashboard.</t>
  </si>
  <si>
    <t xml:space="preserve">Validar que se muestre el saldo total consolidado se muestre en dolares y sea el mismo que se muestra en la tarjeta del dashboard .(Panel o canal) </t>
  </si>
  <si>
    <t xml:space="preserve">El saldo total del consolidado se debe de mostrar de forma exitosa </t>
  </si>
  <si>
    <t>Posición consolidada  / Resumen general de consulta : Saldo Disponible</t>
  </si>
  <si>
    <t>Validar que la suma en Dólares americanos de acuerdo a la selección inicial, se debe de mostrar el saldo total disponible del que la empresa puede disponer para que pueda realizar transferencias, pagos o retiros.</t>
  </si>
  <si>
    <t xml:space="preserve">El usuario debe de validar que la cuenta no posea saldo retenido, para confirmar que el saldo dispoible sea el real </t>
  </si>
  <si>
    <t>El saldo retenido se mostrara en el saldo total disponible, por lo que se debe de realizar el proceso de liberacion de fondos, antes de ejecutar una transferencia o pagos (Aplica para los paises ( HN/ PA/ CR/ SV/ COL/ MIA )</t>
  </si>
  <si>
    <t>El saldo disponible se muestre de forma correcta</t>
  </si>
  <si>
    <t>Posición consolidada  / Resumen general de consulta : Saldo retenido</t>
  </si>
  <si>
    <t>Ingresar al canal con usuario administrador o autorizante, y seleccionar la sociedad de SV</t>
  </si>
  <si>
    <t>Validar que se muestre el saldo retenido de las operaciones entrantes a SV en caso de haber recibido</t>
  </si>
  <si>
    <t>El usuario debe de tener acceso a validar el saldo retenido</t>
  </si>
  <si>
    <t>Para el SV solo aplica el saldo retenido, de transferencias regionales entrantes</t>
  </si>
  <si>
    <t>En el caso que la cuenta posea saldo retenito, este se debe de mostrar con exito</t>
  </si>
  <si>
    <t>Ingresar al canal con usuario operador, y seleccionar la sociedad de HN</t>
  </si>
  <si>
    <t>El usuario debe de validar si se muestra saldo retenido</t>
  </si>
  <si>
    <t>Para la sociedad de HN, el usuario puede validar si posee saldo retenido de cheques</t>
  </si>
  <si>
    <t xml:space="preserve">El saldo retenido depende de las Regulacion del estado de cada pais </t>
  </si>
  <si>
    <t>Ingresar al canal con usuario autorizante, y seleccione la sociedad de PA</t>
  </si>
  <si>
    <t>Posición consolidada  / Resumen general de consulta : Tasas de cambio</t>
  </si>
  <si>
    <t xml:space="preserve">Acceder al canal con un usuario autorizante, Dentro del módulo de “productos” se debe crear una opción que permita visualizar a los clientes los valores de tasas de conversión de las monedas de apertura </t>
  </si>
  <si>
    <r>
      <rPr>
        <rFont val="Fira Sans Extra Condensed"/>
        <color theme="1"/>
      </rPr>
      <t>El usuario autorizante debe de validar que la conversión se pueda realizar con las diferentes monedas  (</t>
    </r>
    <r>
      <rPr>
        <rFont val="Fira Sans Extra Condensed"/>
        <b/>
        <color theme="1"/>
      </rPr>
      <t>Pesos colombianos, Lempiras, Colones, Euros</t>
    </r>
    <r>
      <rPr>
        <rFont val="Fira Sans Extra Condensed"/>
        <color theme="1"/>
      </rPr>
      <t>) a dólares americanos con el cual se calculara y se mostrara el total de saldos en dólares en la consulta consolidada</t>
    </r>
  </si>
  <si>
    <t>El valor de la tasa de cambio se mostrara los mas actualizado posible al momento de la interacción del usuario: eje
- Se deben de mostrar 2 decimales
- Se redondea el segundo decimal dependiendo del tercer decimal (mayor o igual a 5 se aproxima al siguiente número)</t>
  </si>
  <si>
    <t>El valor de la tasa de cambio puede variar dependiendo del dia que se haga la consulta</t>
  </si>
  <si>
    <t>La conversion de moneda se realice de manera exitosa</t>
  </si>
  <si>
    <t>Posición consolidada  / Listado de resultados</t>
  </si>
  <si>
    <t>Acceder al canal con un usuario operador, En el listado se debe mostrar una tabla de resultado con detalle de los productos que el usuario tiene asignados de las empresas con las que actualizó la sesión</t>
  </si>
  <si>
    <t>El usuario operador debe de validar que la información de los productos en el canal se muestren las iniciales del nombre y la bandera del país de acuerdo al origen del producto y el código ISO asignado a los países</t>
  </si>
  <si>
    <r>
      <rPr>
        <rFont val="Fira Sans Extra Condensed"/>
        <color theme="1"/>
      </rPr>
      <t xml:space="preserve">Se debe de validar que el nombre y la bandera de cada pais se muestre de acuerdo al origen del producto:  
</t>
    </r>
    <r>
      <rPr>
        <rFont val="Fira Sans Extra Condensed"/>
        <b/>
        <color theme="1"/>
      </rPr>
      <t>Colombia: COL
Panamá: PAN
Costa Rica: CRI
Honduras: HND
El Salvador: SLV
Estados Unidos: USA</t>
    </r>
  </si>
  <si>
    <t>Se debe de mostar la bandera de cada pais de acuerdo al pais que correponda exitosamente</t>
  </si>
  <si>
    <t>El usuario debe de validar que el detalle de cada producto de la empresa se muestre de forma correcta en la tabla de resultado</t>
  </si>
  <si>
    <r>
      <rPr>
        <rFont val="Fira Sans Extra Condensed"/>
        <color theme="1"/>
      </rPr>
      <t xml:space="preserve">El usuario debe de consultar la tabla de prodcutos y validar que se muestre en el siguiente orden
</t>
    </r>
    <r>
      <rPr>
        <rFont val="Fira Sans Extra Condensed"/>
        <b/>
        <color theme="1"/>
      </rPr>
      <t>- Pais
- Empresa
- Número de cuenta
- Tipo de cuenta
- Saldo moneda local
- Saldo Referencia USD</t>
    </r>
  </si>
  <si>
    <t>El detalle de los producto de cada empresa se muestre de forma correcta en la tabla de resultado</t>
  </si>
  <si>
    <t>Posición consolidada / Opción para ordenar Información de Saldos</t>
  </si>
  <si>
    <t>El usuario debe de visulaizar en pantalla un elemento o boton que le permita ordenar el resultado de los saldos</t>
  </si>
  <si>
    <t>El usuario debe de dar clic en los titulos de las columnas y debe de mostrar la siguiente opcion
- De mayor a menor
- De menor a mayor</t>
  </si>
  <si>
    <t>Posición consolidada / Filtros de Búsqueda</t>
  </si>
  <si>
    <t xml:space="preserve">El usuario debe de validar que se le muestre una opcion (boton) para que le permita realizar un filtro </t>
  </si>
  <si>
    <r>
      <rPr>
        <rFont val="Fira Sans Extra Condensed"/>
        <color theme="1"/>
      </rPr>
      <t xml:space="preserve">El usuario debe de validar que el canal le permita aplicar los siguientes filtros:
</t>
    </r>
    <r>
      <rPr>
        <rFont val="Fira Sans Extra Condensed"/>
        <b/>
        <color theme="1"/>
      </rPr>
      <t>- Pais: de acuerdo a los productos asignados a las empresas en la selección inicial al ingreso del módulo
- Producto:  Número de cuenta, debe tener una opción que permita seleccionar de un listado desplegable el número del producto
- Tipo de Cuenta: (cuenta ahorro, cuenta corriente, cuenta ahorro maestra).
- Monto referencia USD: Que permita aplicar filtros por rango de saldo, debe habilitar un espacio donde el usuario puede ingresar un monto mínimo y/o un monto máximo</t>
    </r>
  </si>
  <si>
    <t>- El botón de “Aplicar”  únicamente se habilita cuando el usuario seleccione al menos una opción de los filtros seleccionados
- En la pantalla de resultados se mostraran los filtros aplicados a la consulta seguido de un elemento “x” que permite eliminar el filtro desde la pantalla de resultados.
-  Se mostrara un botón para “borrar”, el cual únicamente se activa cuando hay información</t>
  </si>
  <si>
    <t>Posición consolidada / Generación de Reportes</t>
  </si>
  <si>
    <t xml:space="preserve">Ingresar al modulo con usuario autorizador y seleccionar todas las empresas, En la opcion de modulo de productos se debe de mostrar un boton que permita la descarga de reportes </t>
  </si>
  <si>
    <t>El usuario debe de validar que dentro del modulo de productos de cuentas de ahorro y corrientes se muestre un boton que le permita realizar la descarga de las consultas realizadas</t>
  </si>
  <si>
    <r>
      <rPr>
        <rFont val="Fira Sans Extra Condensed"/>
        <color theme="1"/>
      </rPr>
      <t xml:space="preserve">Validar que al usuario le permita elejir los siguientes formatos:
</t>
    </r>
    <r>
      <rPr>
        <rFont val="Fira Sans Extra Condensed"/>
        <b/>
        <color theme="1"/>
      </rPr>
      <t>(Checkbox) PDF    (.pdf)
(Checkbox) Excel  (.xlsx) 
(Checkbox) Plano  (.txt)</t>
    </r>
  </si>
  <si>
    <t xml:space="preserve">El botón “Descargar”: únicamente se habilita cuando se selecciona al menos una opción.
</t>
  </si>
  <si>
    <t>Se debe de mostar los formatos de descarga con exito</t>
  </si>
  <si>
    <r>
      <rPr>
        <rFont val="Fira Sans Extra Condensed"/>
        <color theme="1"/>
      </rPr>
      <t xml:space="preserve">Al realizar la descarga en PDF se debe de validar que se muestre 
</t>
    </r>
    <r>
      <rPr>
        <rFont val="Fira Sans Extra Condensed"/>
        <b/>
        <color theme="1"/>
      </rPr>
      <t xml:space="preserve">- Nombre del banco en la parte superior
- El contenido del resultado de la consulta en la parte inferior de manera ordenada y clara. </t>
    </r>
  </si>
  <si>
    <r>
      <rPr>
        <rFont val="Fira Sans Extra Condensed"/>
        <color theme="1"/>
      </rPr>
      <t>Si la generación del reporte no se puede realizar en línea por el tamaño se debe mostrar el siguiente mensaje: “</t>
    </r>
    <r>
      <rPr>
        <rFont val="Fira Sans Extra Condensed"/>
        <b/>
        <color theme="1"/>
      </rPr>
      <t>El reporte se enviará al buzón de notificaciones del módulo regional.</t>
    </r>
  </si>
  <si>
    <t>La informacion descargada debe de conincidir  con la “Selección de país”, si fue aplicada</t>
  </si>
  <si>
    <t xml:space="preserve">Al realizar la descarga en excel se debe de validar que debe coincidir con la “Selección de país”, si fue aplicada y que contenga la información del total de resultados de todas las páginas que se muestran en el resultado.  </t>
  </si>
  <si>
    <r>
      <rPr>
        <rFont val="Fira Sans Extra Condensed"/>
        <color theme="1"/>
      </rPr>
      <t>Si la generación del reporte no se puede realizar en línea por el tamaño se debe mostrar el siguiente mensaje: “</t>
    </r>
    <r>
      <rPr>
        <rFont val="Fira Sans Extra Condensed"/>
        <b/>
        <color theme="1"/>
      </rPr>
      <t>El reporte se enviará al buzón de notificaciones del módulo regional.</t>
    </r>
  </si>
  <si>
    <r>
      <rPr>
        <rFont val="Fira Sans Extra Condensed"/>
        <color theme="1"/>
      </rPr>
      <t>Si la generación del reporte no se puede realizar en línea por el tamaño se debe mostrar el siguiente mensaje: “</t>
    </r>
    <r>
      <rPr>
        <rFont val="Fira Sans Extra Condensed"/>
        <b/>
        <color theme="1"/>
      </rPr>
      <t>El reporte se enviará al buzón de notificaciones del módulo regional.</t>
    </r>
  </si>
  <si>
    <t>Posición consolidada / Paginación</t>
  </si>
  <si>
    <t>Ingresar al modulo con usuario operador seleccionar todas las empreas</t>
  </si>
  <si>
    <t>El usuario debe de realizar consultas de cuentas corrientes y de ahorros para que se muestre el número de páginas que arroja la consulta</t>
  </si>
  <si>
    <r>
      <rPr>
        <rFont val="Fira Sans Extra Condensed"/>
        <color theme="1"/>
      </rPr>
      <t xml:space="preserve">El usuario debe de validar que la paginacion se muestre en la parte superior del resultado
</t>
    </r>
    <r>
      <rPr>
        <rFont val="Fira Sans Extra Condensed"/>
        <b/>
        <color theme="1"/>
      </rPr>
      <t>- Se presentará hasta 50 registros por página
- La paginación debe permitir al usuario moverse de la página posterior y anterior mostrando numéricamente en cúal pagina se encuentray cuantas paginas existen en la consulta.</t>
    </r>
  </si>
  <si>
    <t>Posición consolidada / Cambio de idioma</t>
  </si>
  <si>
    <t>El usuario debe de consultar los productos, para validar que se muestre de forma correcta en idioma ingles</t>
  </si>
  <si>
    <t>El usuario debe de consultar los productos, para validar que se muestre de forma correcta en idioma español</t>
  </si>
  <si>
    <t>CP 01</t>
  </si>
  <si>
    <t>Transferencias Internacionales - Individual</t>
  </si>
  <si>
    <t>Visualización del módulo de transferencias internacionales</t>
  </si>
  <si>
    <t>Usuario posea el perfil de transacciones previamente asignado</t>
  </si>
  <si>
    <t xml:space="preserve">El Módulo de Transferencias Internacionales únicamente debe ser visible para usuarios que tengan el servicio asignado previamente por el administrador del módulo regional. </t>
  </si>
  <si>
    <t>Visualización del módulo de transferencias</t>
  </si>
  <si>
    <t>CP 02</t>
  </si>
  <si>
    <t xml:space="preserve">Las opciones para crear transferencias Internacionales únicamente debe permitir generarlas desde la web de un ordenador es decir no se debe habilitar de manera responsive para dispositivos móviles. </t>
  </si>
  <si>
    <t>Validar en dispositivo movil que la pantalla no se vuelva responsive</t>
  </si>
  <si>
    <t>CP 03</t>
  </si>
  <si>
    <t>Si la transferencia es realizada desde un producto en Colombia, teniendo en cuenta que únicamente los productos son aperturados en pesos Colombianos, el usuario debe realizar negociación de divisa para trasladar el monto en Dólares americanos.</t>
  </si>
  <si>
    <t>- Realizar negociación de divisa para trasladar el monto en Dólares americanos.
- Revisar a nivel interno que la tx viaje en dólares.</t>
  </si>
  <si>
    <t>Transferencia internacional enviada en Pesos Colombianos correctamente</t>
  </si>
  <si>
    <t>CP 04</t>
  </si>
  <si>
    <t xml:space="preserve">Antes de ejecutar la transferencia el canal debe realizar validación del centralizador de listas restrictivas, incluyendo para el flujo de transferencias cuentas a terceros. </t>
  </si>
  <si>
    <t>- Si el destinatario se encuentra dentro de listas restrictivas la tx mostrará error al momento de la confirmación.</t>
  </si>
  <si>
    <t xml:space="preserve">-Validación en listas exitosa.
-Transacción exitosa </t>
  </si>
  <si>
    <t>CP 05</t>
  </si>
  <si>
    <t>Usuario posea el perfil de transacciones previamente asignado con el Rol Consultor</t>
  </si>
  <si>
    <t>EL usuario con rol consultor visualizarán el siguiente Submódulo: 
Transferir: (Habilitada)
- Consultas (Deshabilitada hasta que tenga algo que consultar)
Destinos Autorizados Internacionales. (Habilitada si tiene la funcionalidad asignada)
- Consultas (Deshabilitada hasta que tenga algo que consultar)</t>
  </si>
  <si>
    <t xml:space="preserve">El sistema debe controlar los límites transaccionales, acceso a cuentas (grupo de productos)  y esquemas de firma parametrizados previamente por el usuario administrador. </t>
  </si>
  <si>
    <t xml:space="preserve">Visualización y acceso exitoso al módulo transferir y destinos autorizados </t>
  </si>
  <si>
    <t>CP 06</t>
  </si>
  <si>
    <t>Usuario posea el perfil de transacciones previamente asignado con el Rol Preparador</t>
  </si>
  <si>
    <t>El usuario con rol Preparador visualizará el siguiente Submódulo: 
Transferir: (Habilitada)
- Crear transferencias Internacionales  (Habilitada)
- Consultas (Deshabilitada hasta que tenga algo que consultar)
Destinos Autorizados Internacionales. (Habilitada si tiene la funcionalidad asignada)
- Consultas (Deshabilitada hasta que tenga algo que consultar)</t>
  </si>
  <si>
    <t>CP 07</t>
  </si>
  <si>
    <t>Usuario posea el perfil de transacciones previamente asignado con el Rol Autorizador</t>
  </si>
  <si>
    <t xml:space="preserve">El usuario con rol Autorizador visualizará el siguiente Submódulo: 
Transferir: (Habilitada)
- Crear transferencias Internacionales. (Únicamente se muestra si tiene habilitada la opción de preparar transferencias)
- Crear transferencias internacionales. (Únicamente se muestra si tiene habilitada la opción de preparar transferencias)
- Consultas (Habilitada hasta que exista un proceso por consultar)
Programar Transferencia. (Habilitada únicamente si tiene habilitada la opción de preparar transferencias)
Destinos Autorizados Internacionales. (Habilitada si tiene la funcionalidad asignada)
- Consultas (Deshabilitada hasta que tenga algo que consultar)
</t>
  </si>
  <si>
    <t>CP 08</t>
  </si>
  <si>
    <t>Las transferencias Internacionales pueden ser realizadas a cualquier banco del mundo que se encuentre en las plataformas de SWIFT o Cualquier otro proveedor que el banco use</t>
  </si>
  <si>
    <t>Si el Swift no se encuentra dentro del core bancario mostrará mensaje de error y no permitirá continuar al siguiente paso</t>
  </si>
  <si>
    <t>- Validación de swift de forma exitosa si se encuentra registrado en el core bancario.</t>
  </si>
  <si>
    <t>CP 09</t>
  </si>
  <si>
    <t>Se debe habilitar la opción de Menú llamada “Transferencias / Internacionales”. Una vez el usuario de clic se debe presentar la siguiente información:  
Título de la pantalla “Transferencias internacionales</t>
  </si>
  <si>
    <t>Validación de ingreso exitoso a la opción de transferencias internacionales</t>
  </si>
  <si>
    <t>CP 10</t>
  </si>
  <si>
    <t>Usuario ingrese a la opción de transferencias al exterior internacionales y presente algun inconveniente, mostrará la información en pantalla se debe presentar un modal con el texto:  “Intente más tarde, en estos momentos no podemos atender su solicitud.”</t>
  </si>
  <si>
    <t>- Validación de error exitoso</t>
  </si>
  <si>
    <t>CP 11</t>
  </si>
  <si>
    <t>Usuario ingrese en día feriado o no hábil para el core, mostrará el siguiente mensaje: “Acceso denegado, Usted no tiene permisos de acceso por el día de hoy, contacte a su administrador para más información.”</t>
  </si>
  <si>
    <t>CP 12</t>
  </si>
  <si>
    <t>Usuario intenta realizar la creación de una transferencia pero no tiene acceso de acuerdo al rol y permisos debe informar: ”Acceso denegado, el usuario no está autorizado para crear transacciones, contacte a su administrador para más información.”</t>
  </si>
  <si>
    <t>CP 13</t>
  </si>
  <si>
    <t xml:space="preserve">Usuario tenga la funcionalidad asignada pero le hayan quitado o no tenga asignados permisos de grupo de productos al intentar crear una transferencia el canal debe informar:  “Opción no disponible, no tiene grupo de productos asignados, contacte a su administrador para más información.”
</t>
  </si>
  <si>
    <t>CP 14</t>
  </si>
  <si>
    <r>
      <rPr>
        <rFont val="Fira Sans Extra Condensed"/>
        <color theme="1"/>
        <sz val="10.0"/>
      </rPr>
      <t xml:space="preserve">Usuario tenga la funcionalidad de transferencia internacional con destino autorizado e intenta ingresar a la opción de transferir internacional sin tener un destino autorizado registrado el canal no debe permitir acceder y debe informar: “Opción no disponible, primero debe registrar un “destino autorizado” para utilizar esta opción, ¿Desea crear un destino autorizado? seguido de la opciones:
</t>
    </r>
    <r>
      <rPr>
        <rFont val="Fira Sans Extra Condensed"/>
        <b/>
        <color theme="1"/>
        <sz val="10.0"/>
      </rPr>
      <t>Cancelar:</t>
    </r>
    <r>
      <rPr>
        <rFont val="Fira Sans Extra Condensed"/>
        <color theme="1"/>
        <sz val="10.0"/>
      </rPr>
      <t xml:space="preserve"> Al dar clic debe dejar al usuario en la pantalla de selección el tipo de transferencia.
</t>
    </r>
    <r>
      <rPr>
        <rFont val="Fira Sans Extra Condensed"/>
        <b/>
        <color theme="1"/>
        <sz val="10.0"/>
      </rPr>
      <t>Crear:</t>
    </r>
    <r>
      <rPr>
        <rFont val="Fira Sans Extra Condensed"/>
        <color theme="1"/>
        <sz val="10.0"/>
      </rPr>
      <t xml:space="preserve"> El canal debe redirigir al usuario a la experiencia al primer paso para iniciar el registro de un destino autorizado dentro del canal. </t>
    </r>
  </si>
  <si>
    <t>CP 15</t>
  </si>
  <si>
    <r>
      <rPr>
        <rFont val="Fira Sans Extra Condensed"/>
        <color theme="1"/>
        <sz val="10.0"/>
      </rPr>
      <t xml:space="preserve">Al ingresar a la funcionalidad de transferencias al exterior deberá mostrar el siguiente offcanva:
</t>
    </r>
    <r>
      <rPr>
        <rFont val="Fira Sans Extra Condensed"/>
        <b/>
        <color theme="1"/>
        <sz val="10.0"/>
      </rPr>
      <t xml:space="preserve">Título: </t>
    </r>
    <r>
      <rPr>
        <rFont val="Fira Sans Extra Condensed"/>
        <color theme="1"/>
        <sz val="10.0"/>
      </rPr>
      <t xml:space="preserve">Requisitos y alcance
</t>
    </r>
    <r>
      <rPr>
        <rFont val="Fira Sans Extra Condensed"/>
        <b/>
        <color theme="1"/>
        <sz val="10.0"/>
      </rPr>
      <t xml:space="preserve">Elemento de cerrar: </t>
    </r>
    <r>
      <rPr>
        <rFont val="Fira Sans Extra Condensed"/>
        <color theme="1"/>
        <sz val="10.0"/>
      </rPr>
      <t xml:space="preserve">Debe existir un elemento que le permita al usuario cerrar y volver. 
</t>
    </r>
    <r>
      <rPr>
        <rFont val="Fira Sans Extra Condensed"/>
        <b/>
        <color theme="1"/>
        <sz val="10.0"/>
      </rPr>
      <t xml:space="preserve">Descripción: </t>
    </r>
    <r>
      <rPr>
        <rFont val="Fira Sans Extra Condensed"/>
        <color theme="1"/>
        <sz val="10.0"/>
      </rPr>
      <t>Antes de realizar una transferencia Internacional debe conocer lo siguiente: 
1. Esta opción permite realizar transferencias a cualquier Banco del mundo. Para los destinos que tengan cuentas en cualquier país donde Davivienda tenga presencia se debe realizar la opción “Transferencias Regionales”.
2. Verifique que los datos del banco receptor (nombre, país, Código SWIFT/BIC) sean correctos y estén actualizados.   
3. Recuerde que puede requerir aprobación adicional de acuerdo al esquema de firma definido.
En la parte inferior debe estar habilitado el botón de “Aceptar” una vez el usuario de clic debe actualizar la pantalla donde inicia la confección de la transacción</t>
    </r>
  </si>
  <si>
    <t>Visualización de texto informativo correctamente.</t>
  </si>
  <si>
    <t>CP 16</t>
  </si>
  <si>
    <t xml:space="preserve">Se debe crear una opción de Menú llamada “Transferencias / Internacionales / Individuales. Una vez el usuario de clic a la opción “individual”  se debe presentar la siguiente información
Elemento para regresar: Debe estar habilitada una opción que le permita al usuario volver si así lo requiere. (Datos de Transacción)
</t>
  </si>
  <si>
    <t>Visualización correcta del menú</t>
  </si>
  <si>
    <t>CP 17</t>
  </si>
  <si>
    <t>CP 18</t>
  </si>
  <si>
    <t>CP 19</t>
  </si>
  <si>
    <t>CP 20</t>
  </si>
  <si>
    <t>CP 21</t>
  </si>
  <si>
    <t>CP 22</t>
  </si>
  <si>
    <t>CP 23</t>
  </si>
  <si>
    <t>CP 24</t>
  </si>
  <si>
    <t>CP 25</t>
  </si>
  <si>
    <t>CP 26</t>
  </si>
  <si>
    <t>CP 27</t>
  </si>
  <si>
    <t>CP 28</t>
  </si>
  <si>
    <t>CP 29</t>
  </si>
  <si>
    <t>CP 30</t>
  </si>
  <si>
    <t>CP 31</t>
  </si>
  <si>
    <t>CP 32</t>
  </si>
  <si>
    <t>CP 33</t>
  </si>
  <si>
    <t>Detalle movimiento de cuenta</t>
  </si>
  <si>
    <r>
      <rPr>
        <rFont val="Fira Sans Extra Condensed"/>
        <b/>
        <color theme="1"/>
      </rPr>
      <t>Características</t>
    </r>
    <r>
      <rPr>
        <rFont val="Fira Sans Extra Condensed"/>
        <color theme="1"/>
      </rPr>
      <t xml:space="preserve"> - Detalle movimiento de cuenta</t>
    </r>
  </si>
  <si>
    <t>Validar que al ingresar a la funcionalidad para visualizar  el detalle de los movimientos de cuentas el boton este habilitado</t>
  </si>
  <si>
    <t>La información que muestre en detalle el movimiento depende de la almacenada y disponible en el core de cada país.</t>
  </si>
  <si>
    <t>La consulta de movimientos de cuenta se realice con exito</t>
  </si>
  <si>
    <r>
      <rPr>
        <rFont val="Fira Sans Extra Condensed"/>
        <b/>
        <color theme="1"/>
      </rPr>
      <t>Descripción</t>
    </r>
    <r>
      <rPr>
        <rFont val="Fira Sans Extra Condensed"/>
        <color theme="1"/>
      </rPr>
      <t xml:space="preserve"> - Detalle movimiento de cuenta</t>
    </r>
  </si>
  <si>
    <t>Ingresar al modulo regional con usuario  autorizante y seleccionar todas las sociedades</t>
  </si>
  <si>
    <t>Se debe de habilitar una boton  que permita a los usuarios obtener mayor detalle de movimientos de sus cuentas</t>
  </si>
  <si>
    <r>
      <rPr>
        <rFont val="Fira Sans Extra Condensed"/>
        <color theme="1"/>
      </rPr>
      <t xml:space="preserve">Validar que al ingresar al detalle de movimiento de sus cuentas se muestren las siguientes opciones: 
</t>
    </r>
    <r>
      <rPr>
        <rFont val="Fira Sans Extra Condensed"/>
        <b/>
        <color theme="1"/>
      </rPr>
      <t>Productos / Posición Consolidada / Detalle de cuenta (Movimientos) / Detalle del movimiento</t>
    </r>
  </si>
  <si>
    <r>
      <rPr>
        <rFont val="Fira Sans Extra Condensed"/>
        <color theme="1"/>
      </rPr>
      <t xml:space="preserve">Mensajería Transversal:
- En caso de una caída de los servicios del core local al momento de la consulta y el canal no pueda retornar información se debe presentar un mensaje: </t>
    </r>
    <r>
      <rPr>
        <rFont val="Fira Sans Extra Condensed"/>
        <b/>
        <color theme="1"/>
      </rPr>
      <t>“Intente nuevamente más tarde, en este momento no está disponible la información”</t>
    </r>
  </si>
  <si>
    <t>Se debe de mostrar el detalle de movimientos con exito</t>
  </si>
  <si>
    <t>Detalle de Movimiento</t>
  </si>
  <si>
    <t>Ingresar al modulo regional con usuario  operador y seleccionar todas las sociedades</t>
  </si>
  <si>
    <t>Se debe de mostrar un elemento (boton) en pantalla que permita al usuario volver a la página anterior, ligada a la experiencia transversal de “regresar”</t>
  </si>
  <si>
    <t>Se debe de validar que el boton de regresar  este habilotado y permita regresar a la pantalla anterior</t>
  </si>
  <si>
    <t>El boton de regresar funcione con exito</t>
  </si>
  <si>
    <t>Ingresar al modulo regional con usuario  consultor y seleccionar todas las sociedades</t>
  </si>
  <si>
    <t>Al ingresar al detalle del movimiento de cuenta se debe de mostrar el nombre del tipo de movimiento</t>
  </si>
  <si>
    <t>El usuario debe de acceder al detalle de movimientos y validar que se muestre 
- Transferencia recibida
- Transferencia saliente</t>
  </si>
  <si>
    <t>El detalle que se podrá acceder dependerá de lo que almacena en core de cada país</t>
  </si>
  <si>
    <t>Se debe de mostrar el detalle de movimientos salientes o entrantes con exito</t>
  </si>
  <si>
    <r>
      <rPr>
        <rFont val="Fira Sans Extra Condensed"/>
        <color theme="1"/>
      </rPr>
      <t xml:space="preserve">El usuario debe de acceder al detalle de movimientos y validar que se muestren los siguientes titulos:
</t>
    </r>
    <r>
      <rPr>
        <rFont val="Fira Sans Extra Condensed"/>
        <b/>
        <color theme="1"/>
      </rPr>
      <t>- Valor: Se debe mostrar el valor por el cual se registró el movimiento seguido de la divisa de la cuenta y en la que se registró el movimiento, ejemplo: USD, LPS, CRC, EUR.
- Tipo de movimiento: Se debe de mostrar si la operacion es “Entrada” o “Salida”
- Fecha y hora: Se debe de mostrar la hora y fecha en la que hizo el movimiento en formato dd/mm/aaaa, y  HH:MM a.m./p.m.
- Canal: Se debe de mostrar el monbre del canal en la que hizo el movimiento si es sucursal o canal virtual
- Número de transacción: Se debe mostrar el número de transacción que responde el core. (10 caracteres)
- País: Se debe de mostrar el país al que pertenece el producto consultado
- Empresa: Se debe mostrar el nombre que responda el Core del país
- Tipo de cuenta: Se debe mostrar el tipo de cuenta ya sea ( Cuenta ahorro, Cuenta corriente o maestra)
- Número del producto: Se debe mostrar el número de la cuenta sobre la cual se realiza la consulta
- Nombre del producto: Se debe mostrar el nombre del producto o Alias del producto consultado
- Detalle: Se debe mostrar la descripción del movimiento si aplica.  que responda el core, 30 caracteres</t>
    </r>
  </si>
  <si>
    <t xml:space="preserve">Debe de mostrar con exito el tipo de movimiento si es entrada o salida </t>
  </si>
  <si>
    <t>Ingresar al modulo regional y usuario con aprobacion directa - Pais SV</t>
  </si>
  <si>
    <t xml:space="preserve">Se debe de ingresar al detalle de movimientos de cuenta corriente / ahorros </t>
  </si>
  <si>
    <t xml:space="preserve">El usuario debe de validar que al consultar el detalle de moviminetos de la cuenta se muestren los datos de acuerdo al pais y cuenta seleccionada </t>
  </si>
  <si>
    <t>Ingresar al modulo regional con usuario autorizante - Pais HN</t>
  </si>
  <si>
    <t>Ingresar al modulo regional con usuario operador - Pais PA</t>
  </si>
  <si>
    <t>Ingresar al modulo regional con usuario consultor - Pais CR</t>
  </si>
  <si>
    <t>Ingresar al modulo regional con usuario consultor - Pais COL</t>
  </si>
  <si>
    <t>Ingresar al modulo regional con usuario consultor - Pais MIA</t>
  </si>
  <si>
    <t>Detalle de Movimiento/ Opción detalle descarga MT 103</t>
  </si>
  <si>
    <t>Al realizar la consulta de transferencia internacional al dar clic a la opción de “ver detalle” el canal no muestra la pantalla con el detalle sino que se debe generar la descarga del archivo  que permite visualizar el comprobante swift, El archivo descargado debe de ser en formato PDF</t>
  </si>
  <si>
    <t>El usuario debe de seleccioanr el detalle de movimiento de una transferencia internacional  y descargarlo, se debe de validar que permita visualizar el comprobante Swift con el detalle y soporte del pago enviado y que este sea  descargado en formato PDF</t>
  </si>
  <si>
    <t>- El MT103 - aplica unicamente para transferencia internacionales - En caso que la descarga no se pueda generar por algún error se debe presentar mensaje: “Error en descarga intente más tarde”</t>
  </si>
  <si>
    <t>La descarga de MT103 en formato PDF se realice con exito</t>
  </si>
  <si>
    <r>
      <rPr>
        <rFont val="Fira Sans Extra Condensed"/>
        <b/>
        <color theme="1"/>
      </rPr>
      <t>Descargar</t>
    </r>
    <r>
      <rPr>
        <rFont val="Fira Sans Extra Condensed"/>
        <color theme="1"/>
      </rPr>
      <t xml:space="preserve"> - Detalle de Movimiento de cuenta</t>
    </r>
  </si>
  <si>
    <t xml:space="preserve">Al ingresar al canal y dar clic en el detalle de movimiento se debe de mostrar un boton que permita al usuario autogestionar de manera sencilla la descarga del detalle de movimiento en formato pdf, el archivo debe descargarse al navegador y el usuario debe seleccionar si lo guarda o lo abre. </t>
  </si>
  <si>
    <r>
      <rPr>
        <rFont val="Fira Sans Extra Condensed"/>
        <color theme="1"/>
      </rPr>
      <t xml:space="preserve">Se debe de validar que al realizar la descarga se muestre el mensaje de “ Descarga exitosa.”
y en el formato se muestre los siguientes titulos: 
</t>
    </r>
    <r>
      <rPr>
        <rFont val="Fira Sans Extra Condensed"/>
        <b/>
        <color theme="1"/>
      </rPr>
      <t xml:space="preserve">- Presencia de la marca de Davivienda en la parte superior
- Título: Detalle de movimiento
- Resultado: contenido de la consulta en la parte inferior de manera ordenada y clara seguido 
 - Movimiento (ingreso o egreso) </t>
    </r>
  </si>
  <si>
    <t xml:space="preserve">- Se debe mostrar el resultado teniendo en cuenta la Información que se muestra depende del resultado de la consulta del core de cada país origen
- En caso que la descarga no se pueda generar por algún error se debe presentar mensaje: “Descarga fallida. intente más tarde”  </t>
  </si>
  <si>
    <t>La desacarga se realice con exito</t>
  </si>
  <si>
    <r>
      <rPr>
        <rFont val="Fira Sans Extra Condensed"/>
        <b/>
        <color theme="1"/>
      </rPr>
      <t>Descargar</t>
    </r>
    <r>
      <rPr>
        <rFont val="Fira Sans Extra Condensed"/>
        <color theme="1"/>
      </rPr>
      <t xml:space="preserve"> - Detalle de Movimiento de cuenta</t>
    </r>
  </si>
  <si>
    <r>
      <rPr>
        <rFont val="Fira Sans Extra Condensed"/>
        <color theme="1"/>
      </rPr>
      <t xml:space="preserve">Se debe de validar que al realizar la descarga se muestre el mensaje de “ Descarga exitosa.”
y en el formato se muestre los siguientes titulos: 
</t>
    </r>
    <r>
      <rPr>
        <rFont val="Fira Sans Extra Condensed"/>
        <b/>
        <color theme="1"/>
      </rPr>
      <t xml:space="preserve">- Presencia de la marca de Davivienda en la parte superior
- Título: Detalle de movimiento
- Resultado: contenido de la consulta en la parte inferior de manera ordenada y clara seguido 
 - Movimiento (ingreso o egreso) </t>
    </r>
  </si>
  <si>
    <r>
      <rPr>
        <rFont val="Fira Sans Extra Condensed"/>
        <b/>
        <color theme="1"/>
      </rPr>
      <t>Descargar</t>
    </r>
    <r>
      <rPr>
        <rFont val="Fira Sans Extra Condensed"/>
        <color theme="1"/>
      </rPr>
      <t xml:space="preserve"> - Detalle de Movimiento de cuenta</t>
    </r>
  </si>
  <si>
    <r>
      <rPr>
        <rFont val="Fira Sans Extra Condensed"/>
        <color theme="1"/>
      </rPr>
      <t xml:space="preserve">Se debe de validar que al realizar la descarga se muestre el mensaje de “ Descarga exitosa.”
y en el formato se muestre los siguientes titulos: 
</t>
    </r>
    <r>
      <rPr>
        <rFont val="Fira Sans Extra Condensed"/>
        <b/>
        <color theme="1"/>
      </rPr>
      <t xml:space="preserve">- Presencia de la marca de Davivienda en la parte superior
- Título: Detalle de movimiento
- Resultado: contenido de la consulta en la parte inferior de manera ordenada y clara seguido 
 - Movimiento (ingreso o egreso) </t>
    </r>
  </si>
  <si>
    <r>
      <rPr>
        <rFont val="Fira Sans Extra Condensed"/>
        <b/>
        <color theme="1"/>
      </rPr>
      <t>Descargar</t>
    </r>
    <r>
      <rPr>
        <rFont val="Fira Sans Extra Condensed"/>
        <color theme="1"/>
      </rPr>
      <t xml:space="preserve"> - Detalle de Movimiento de cuenta</t>
    </r>
  </si>
  <si>
    <r>
      <rPr>
        <rFont val="Fira Sans Extra Condensed"/>
        <color theme="1"/>
      </rPr>
      <t xml:space="preserve">Se debe de validar que al realizar la descarga se muestre el mensaje de “ Descarga exitosa.”
y en el formato se muestre los siguientes titulos: 
</t>
    </r>
    <r>
      <rPr>
        <rFont val="Fira Sans Extra Condensed"/>
        <b/>
        <color theme="1"/>
      </rPr>
      <t xml:space="preserve">- Presencia de la marca de Davivienda en la parte superior
- Título: Detalle de movimiento
- Resultado: contenido de la consulta en la parte inferior de manera ordenada y clara seguido 
 - Movimiento (ingreso o egreso) </t>
    </r>
  </si>
  <si>
    <r>
      <rPr>
        <rFont val="Fira Sans Extra Condensed"/>
        <b/>
        <color theme="1"/>
      </rPr>
      <t>Descargar</t>
    </r>
    <r>
      <rPr>
        <rFont val="Fira Sans Extra Condensed"/>
        <color theme="1"/>
      </rPr>
      <t xml:space="preserve"> - Detalle de Movimiento de cuenta</t>
    </r>
  </si>
  <si>
    <r>
      <rPr>
        <rFont val="Fira Sans Extra Condensed"/>
        <color theme="1"/>
      </rPr>
      <t xml:space="preserve">Se debe de validar que al realizar la descarga se muestre el mensaje de “ Descarga exitosa.”
y en el formato se muestre los siguientes titulos: 
</t>
    </r>
    <r>
      <rPr>
        <rFont val="Fira Sans Extra Condensed"/>
        <b/>
        <color theme="1"/>
      </rPr>
      <t xml:space="preserve">- Presencia de la marca de Davivienda en la parte superior
- Título: Detalle de movimiento
- Resultado: contenido de la consulta en la parte inferior de manera ordenada y clara seguido 
 - Movimiento (ingreso o egreso) </t>
    </r>
  </si>
  <si>
    <r>
      <rPr>
        <rFont val="Fira Sans Extra Condensed"/>
        <b/>
        <color theme="1"/>
      </rPr>
      <t>Descargar</t>
    </r>
    <r>
      <rPr>
        <rFont val="Fira Sans Extra Condensed"/>
        <color theme="1"/>
      </rPr>
      <t xml:space="preserve"> - Detalle de Movimiento de cuenta</t>
    </r>
  </si>
  <si>
    <r>
      <rPr>
        <rFont val="Fira Sans Extra Condensed"/>
        <color theme="1"/>
      </rPr>
      <t xml:space="preserve">Se debe de validar que al realizar la descarga se muestre el mensaje de “ Descarga exitosa.”
y en el formato se muestre los siguientes titulos: 
</t>
    </r>
    <r>
      <rPr>
        <rFont val="Fira Sans Extra Condensed"/>
        <b/>
        <color theme="1"/>
      </rPr>
      <t xml:space="preserve">- Presencia de la marca de Davivienda en la parte superior
- Título: Detalle de movimiento
- Resultado: contenido de la consulta en la parte inferior de manera ordenada y clara seguido 
 - Movimiento (ingreso o egreso) </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</si>
  <si>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</si>
  <si>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su dispositivo movil </t>
    </r>
    <r>
      <rPr>
        <rFont val="Fira Sans Extra Condensed"/>
        <b/>
        <color theme="1"/>
      </rPr>
      <t>Android</t>
    </r>
    <r>
      <rPr>
        <rFont val="Fira Sans Extra Condensed"/>
        <color theme="1"/>
      </rPr>
      <t xml:space="preserve"> y navegador </t>
    </r>
    <r>
      <rPr>
        <rFont val="Fira Sans Extra Condensed"/>
        <b/>
        <color theme="1"/>
      </rPr>
      <t xml:space="preserve">google chrome, </t>
    </r>
    <r>
      <rPr>
        <rFont val="Fira Sans Extra Condensed"/>
        <color theme="1"/>
      </rPr>
      <t xml:space="preserve">y utilice la versión </t>
    </r>
    <r>
      <rPr>
        <rFont val="Fira Sans Extra Condensed"/>
        <b/>
        <color theme="1"/>
      </rPr>
      <t>responsive</t>
    </r>
    <r>
      <rPr>
        <rFont val="Fira Sans Extra Condensed"/>
        <color theme="1"/>
      </rPr>
      <t xml:space="preserve"> </t>
    </r>
  </si>
  <si>
    <t>Validar que para la version Responsive se visualicen los detalles de movimientos de cuenta,  que sean rapidos y eficientes</t>
  </si>
  <si>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</si>
  <si>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su dispositivo movil </t>
    </r>
    <r>
      <rPr>
        <rFont val="Fira Sans Extra Condensed"/>
        <b/>
        <color theme="1"/>
      </rPr>
      <t>IOS</t>
    </r>
    <r>
      <rPr>
        <rFont val="Fira Sans Extra Condensed"/>
        <color theme="1"/>
      </rPr>
      <t xml:space="preserve"> y navegador </t>
    </r>
    <r>
      <rPr>
        <rFont val="Fira Sans Extra Condensed"/>
        <b/>
        <color theme="1"/>
      </rPr>
      <t xml:space="preserve">google chrome, </t>
    </r>
    <r>
      <rPr>
        <rFont val="Fira Sans Extra Condensed"/>
        <color theme="1"/>
      </rPr>
      <t xml:space="preserve">y utilice la versión </t>
    </r>
    <r>
      <rPr>
        <rFont val="Fira Sans Extra Condensed"/>
        <b/>
        <color theme="1"/>
      </rPr>
      <t>responsive</t>
    </r>
    <r>
      <rPr>
        <rFont val="Fira Sans Extra Condensed"/>
        <color theme="1"/>
      </rPr>
      <t xml:space="preserve"> </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</si>
  <si>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</si>
  <si>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su dispositivo movil </t>
    </r>
    <r>
      <rPr>
        <rFont val="Fira Sans Extra Condensed"/>
        <b/>
        <color theme="1"/>
      </rPr>
      <t xml:space="preserve">IOS </t>
    </r>
    <r>
      <rPr>
        <rFont val="Fira Sans Extra Condensed"/>
        <color theme="1"/>
      </rPr>
      <t xml:space="preserve">y navegador </t>
    </r>
    <r>
      <rPr>
        <rFont val="Fira Sans Extra Condensed"/>
        <b/>
        <color theme="1"/>
      </rPr>
      <t>zafari</t>
    </r>
    <r>
      <rPr>
        <rFont val="Fira Sans Extra Condensed"/>
        <color theme="1"/>
      </rPr>
      <t xml:space="preserve">, </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</si>
  <si>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</si>
  <si>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una tablet </t>
    </r>
    <r>
      <rPr>
        <rFont val="Fira Sans Extra Condensed"/>
        <b/>
        <color theme="1"/>
      </rPr>
      <t>Android</t>
    </r>
    <r>
      <rPr>
        <rFont val="Fira Sans Extra Condensed"/>
        <color theme="1"/>
      </rPr>
      <t xml:space="preserve"> y navegador </t>
    </r>
    <r>
      <rPr>
        <rFont val="Fira Sans Extra Condensed"/>
        <b/>
        <color theme="1"/>
      </rPr>
      <t xml:space="preserve">google chrome </t>
    </r>
  </si>
  <si>
    <t>El usuario debe de validar que le permita visualizar los detalles de los movimientos de cuenta de forma rapida y eficiente</t>
  </si>
  <si>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</si>
  <si>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una tablet </t>
    </r>
    <r>
      <rPr>
        <rFont val="Fira Sans Extra Condensed"/>
        <b/>
        <color theme="1"/>
      </rPr>
      <t>IOS</t>
    </r>
    <r>
      <rPr>
        <rFont val="Fira Sans Extra Condensed"/>
        <color theme="1"/>
      </rPr>
      <t xml:space="preserve"> y navegador </t>
    </r>
    <r>
      <rPr>
        <rFont val="Fira Sans Extra Condensed"/>
        <b/>
        <color theme="1"/>
      </rPr>
      <t>google chrome.</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</si>
  <si>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</si>
  <si>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una tablet </t>
    </r>
    <r>
      <rPr>
        <rFont val="Fira Sans Extra Condensed"/>
        <b/>
        <color theme="1"/>
      </rPr>
      <t xml:space="preserve">IOS </t>
    </r>
    <r>
      <rPr>
        <rFont val="Fira Sans Extra Condensed"/>
        <color theme="1"/>
      </rPr>
      <t xml:space="preserve">y navegador </t>
    </r>
    <r>
      <rPr>
        <rFont val="Fira Sans Extra Condensed"/>
        <b/>
        <color theme="1"/>
      </rPr>
      <t>zafari</t>
    </r>
    <r>
      <rPr>
        <rFont val="Fira Sans Extra Condensed"/>
        <color theme="1"/>
      </rPr>
      <t>.</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</si>
  <si>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</si>
  <si>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una computadora de escritorio el navegador </t>
    </r>
    <r>
      <rPr>
        <rFont val="Fira Sans Extra Condensed"/>
        <b/>
        <color theme="1"/>
      </rPr>
      <t>google chrome</t>
    </r>
    <r>
      <rPr>
        <rFont val="Fira Sans Extra Condensed"/>
        <color theme="1"/>
      </rPr>
      <t>.</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</si>
  <si>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</si>
  <si>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una computadora de escritorio utilizando el navegador </t>
    </r>
    <r>
      <rPr>
        <rFont val="Fira Sans Extra Condensed"/>
        <b/>
        <color theme="1"/>
      </rPr>
      <t>Mozilla firefox</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</si>
  <si>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</si>
  <si>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una computadora de escritorio utilizando el navegador </t>
    </r>
    <r>
      <rPr>
        <rFont val="Fira Sans Extra Condensed"/>
        <b/>
        <color theme="1"/>
      </rPr>
      <t>Edge</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</si>
  <si>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</si>
  <si>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una computadora de escritorio utilizando el navegador </t>
    </r>
    <r>
      <rPr>
        <rFont val="Fira Sans Extra Condensed"/>
        <b/>
        <color theme="1"/>
      </rPr>
      <t>Explorer</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</si>
  <si>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</si>
  <si>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su laptop utilizando el navegador </t>
    </r>
    <r>
      <rPr>
        <rFont val="Fira Sans Extra Condensed"/>
        <b/>
        <color theme="1"/>
      </rPr>
      <t>google chrome</t>
    </r>
    <r>
      <rPr>
        <rFont val="Fira Sans Extra Condensed"/>
        <color theme="1"/>
      </rPr>
      <t>.</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</si>
  <si>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</si>
  <si>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su laptop utilizando el navegador </t>
    </r>
    <r>
      <rPr>
        <rFont val="Fira Sans Extra Condensed"/>
        <b/>
        <color theme="1"/>
      </rPr>
      <t>Mozilla firefox</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</si>
  <si>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</si>
  <si>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su laptop utilizando el navegador </t>
    </r>
    <r>
      <rPr>
        <rFont val="Fira Sans Extra Condensed"/>
        <b/>
        <color theme="1"/>
      </rPr>
      <t>Edge</t>
    </r>
  </si>
  <si>
    <r>
      <rPr>
        <rFont val="Fira Sans Extra Condensed"/>
        <b/>
        <color theme="1"/>
      </rPr>
      <t>Compatibilidad</t>
    </r>
    <r>
      <rPr>
        <rFont val="Fira Sans Extra Condensed"/>
        <color theme="1"/>
      </rPr>
      <t xml:space="preserve"> - Detalle de Movimiento de cuenta</t>
    </r>
  </si>
  <si>
    <r>
      <rPr>
        <rFont val="Fira Sans Extra Condensed"/>
        <color theme="1"/>
      </rPr>
      <t xml:space="preserve">Que el usuario ingrese desde su laptop utilizando el navegador </t>
    </r>
    <r>
      <rPr>
        <rFont val="Fira Sans Extra Condensed"/>
        <b/>
        <color theme="1"/>
      </rPr>
      <t>Explorer</t>
    </r>
  </si>
  <si>
    <r>
      <rPr>
        <rFont val="Fira Sans Extra Condensed"/>
        <b/>
        <color theme="1"/>
      </rPr>
      <t xml:space="preserve">Cambio de idioma -  </t>
    </r>
    <r>
      <rPr>
        <rFont val="Fira Sans Extra Condensed"/>
        <b val="0"/>
        <color theme="1"/>
      </rPr>
      <t>Detalle de Movimiento de cuenta</t>
    </r>
  </si>
  <si>
    <t xml:space="preserve">- El usuario debe de consultar el detalle de movimientos de cuenta, para validar que se muestre de forma correcta en idioma ingles y los textos del canal deben corresponder </t>
  </si>
  <si>
    <r>
      <rPr>
        <rFont val="Fira Sans Extra Condensed"/>
        <b/>
        <color theme="1"/>
      </rPr>
      <t xml:space="preserve">Cambio de idioma -  </t>
    </r>
    <r>
      <rPr>
        <rFont val="Fira Sans Extra Condensed"/>
        <b val="0"/>
        <color theme="1"/>
      </rPr>
      <t>Detalle de Movimiento de cuenta</t>
    </r>
  </si>
  <si>
    <t>Destinos Autorizados CAM</t>
  </si>
  <si>
    <t>Usuario Operador
Perfil Operador 
Usuario no tiene permiso para crear destinos solamente para consultar</t>
  </si>
  <si>
    <t xml:space="preserve">El cliente se encuentre perfilado como: Validar destinos autorizados, 
Permiso unicamente de operador para el usuario
El usuario no posea permisos para crear destinos </t>
  </si>
  <si>
    <t>Seleccionar el menú de Transferir 
Ingresar al menú de Destinos Autorizados
Seleccionar Consulta de Destinos Autorizados</t>
  </si>
  <si>
    <t xml:space="preserve">El usuario no visualiza dentro de Consultas el botón  "Crear destinos" en la parte superior derecha </t>
  </si>
  <si>
    <t>Perfil únicamente de consultas</t>
  </si>
  <si>
    <t>El usuario al ingrear al módulo solamente visualiza el resultado de los destino, no le aparece la opcíon crear, puede consultar el detalle de cada registro 
Si un usuario intenta realizar la creación de un destino autorizado pero no tiene acceso de acuerdo al rol y permisos debe informar: ”Acceso denegado, el usuario no está autorizado, contacte a su administrador para más información.”</t>
  </si>
  <si>
    <t xml:space="preserve">
Consulta de Destinos autorizados 
Usuario Operador
Cliente no posea registros </t>
  </si>
  <si>
    <t>El cliente se encuentre perfilado como: Validar destinos autorizados, 
Permiso unicamente de creador para el usuario
El usuario no posea permisos para módulo</t>
  </si>
  <si>
    <t>Seleccionar el menú de Transferir 
Ingresar al menú de Destinos Autorizados
Seleccionar Consultar de Destinos Autorizados</t>
  </si>
  <si>
    <t>El cliente no le muestra el menú de Destinos Autorizados dentro del Transferir</t>
  </si>
  <si>
    <t>Perfilamiento realizado previamente</t>
  </si>
  <si>
    <t xml:space="preserve">El usuario no visualiza la opción de destinos autorizados </t>
  </si>
  <si>
    <t>El cliente se encuentre perfilado como: Validar destinos autorizados, 
Permiso unicamente de creador para el usuario</t>
  </si>
  <si>
    <t>Mensaje de error "La búsqueda no presenta resultados"
No muestra resultado y se encuentra vacío el tabla debe mostrar un mensaje y en el resultado de la páginación debe mostrar 0 resultados de 999</t>
  </si>
  <si>
    <t xml:space="preserve">Consulta de Destinos autorizados 
Usuario Operador
Cliente posea registros terceros de 1 o varios países
Muestre resultados
Valide que posea la información completa de las columnas </t>
  </si>
  <si>
    <r>
      <rPr>
        <rFont val="Arial"/>
        <color theme="1"/>
      </rPr>
      <t xml:space="preserve">El cliente debe poseer destinos migrados por el banco de 1 o varios paises 
Botón de Crear Destinos - </t>
    </r>
    <r>
      <rPr>
        <rFont val="Arial"/>
        <b/>
        <color theme="1"/>
      </rPr>
      <t>Activo si tiene permiso</t>
    </r>
    <r>
      <rPr>
        <rFont val="Arial"/>
        <color theme="1"/>
      </rPr>
      <t xml:space="preserve">- Parte superior derecha 
Iconos : Buscar - Filtrar- Descargar Reporte- Resultados y Páginación.
Columnas de los resultados: 
Seleccionador
Marcación especial Estrella
País: Muestra la imagen gráfica del país al cual pertenece el registro
Nombre del destino: El Canal debe mostrar el nombre del alias registrado si no fue registrado muestra nombre del titular
Tipo de cuenta:si es una cuenta ahorro o corriente
Número de cuenta: Debe mostrar la cuenta registrada sin enmascarar
Accionable por registro que es un botón representado por 3 puntos </t>
    </r>
  </si>
  <si>
    <t>Visualizar cada campo que se presenta en pantalla debe tener contenido dependiendo el resultado</t>
  </si>
  <si>
    <r>
      <rPr>
        <rFont val="Arial"/>
        <color theme="1"/>
      </rPr>
      <t xml:space="preserve">Muestra los resultados default que posee la sociedad con la información de cada campo
En la páginación muestre la páginación y los botones de desplazamiento </t>
    </r>
    <r>
      <rPr>
        <rFont val="Arial"/>
        <b/>
        <color theme="1"/>
      </rPr>
      <t xml:space="preserve">debe mostrar Número inicial de página  del total de las páginas y los botones de desplazamiento </t>
    </r>
    <r>
      <rPr>
        <rFont val="Arial"/>
        <color theme="1"/>
      </rPr>
      <t xml:space="preserve">
Validar que al seleccionar una número de página especifica muestre los resultados correspondientes- 
Navegar por las páginas si posee páginación</t>
    </r>
  </si>
  <si>
    <t>Consulta de Destinos autorizados 
Usuario Operador
Cliente posea registros terceros de 1 o varios países
Muestre resultados
Realice la búsqueda de resultados por medio de filtros 
Realice el desplazamiento por botones de atras y siguiente</t>
  </si>
  <si>
    <t>El cliente se encuentre perfilado como: Validar destinos autorizados, 
Permiso unicamente de creador para el usuario
Debe de tener más de 55 registros pueden ser de diferentes países</t>
  </si>
  <si>
    <t>Seleccionar el menú de Transferir 
Ingresar al menú de Destinos Autorizados
Seleccionar&gt; Consultar de Destinos Autorizados</t>
  </si>
  <si>
    <t>En el resultado debe mostrar los resultado de la búsqueda 
Visualizar la opción de desplazamiento seleccionar la siguiente Página 
Seleccionar la opción de Filtros 
Elegir País
Elegir campo Nombre del destino
Seleccionar Tipo de cuenta
Seleccionar Aplicar despues de cada elección
Seleccionar Borrar despues de cada resultado</t>
  </si>
  <si>
    <t>El contenido de los destinos puede tener diferentes registros.
La páginación de los registros se efectua en grupos de 50</t>
  </si>
  <si>
    <t>1.En la selección de los botones de desplazamiento puede seleccionarse la página 2 y debe mostrar el resultado del contenido de las páginas 
2.Seleccionar ícono de Filtrar  
3.Seleccionar país : Seleccionar cada uno de los países y debe mostrar el resultado según el filtro realizado mínimo 1 resultado por país.
4.Seleccionar Borrar Filtro  
5.Seleccionar Nombre del destino: Ingresar el nombre de 1 de los resultados por página Al seleccionarlo puede existir coincidencia si el registro se encuentra mostrará los resultados.
6.Seleccionar Borar Filtro
7.Seleccionar Tipo de cuenta : Seleccionar Ahorros y mostrará ese resultado 
Seleccionará Cuenta corriente , mostrará todas las coincidencias
Validar que se movilice en la parte inferior el usuario podrá usar el scroll y el teclado. 
La paginación debe permitir al usuario moverse de la página posterior y anterior mostrando numéricamente en cúal pagina se encuentra y cuantas paginas existen en la consulta.
Al seleccionar un campo especifico como filtro deberá seleccionar Aplicar: Al dar clic el canal actualiza la pantalla donde muestra los grupos de productos, mostrando como resultado únicamente los grupos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Al seleccionar Borrar : permitirá borrar la seleccion de los filtros utilizados</t>
  </si>
  <si>
    <t>Consulta de Destinos autorizados 
Usuario Operador
Cliente posea registros terceros de 1 o varios países
Muestre resultados
Realice la búsqueda de resultados por medio de filtros 
Realice el desplazamiento en hojas de registros 
Selección de Inicio y fin</t>
  </si>
  <si>
    <t>En el resultado debe mostrar los resultado de la búsqueda 
Seleccionar la opción de desplazamiento seleccionar la siguiente Página 
Seleccionar la opción de Filtros 
Elegir País
Elegir campo Nombre del destino
Seleccionar Tipo de cuenta
Seleccionar Aplicar despues de cada elección
Seleccionar Borrar despues de cada resultado</t>
  </si>
  <si>
    <t>En la selección de los botones de desplazamiento puede seleccionarse la página 2 y debe mostrar el resultado.
Seleccionar país : Seleccionar cada uno de los países y debe mostrar el resultado según el filtro realizado
Seleccionar Nombre del destino: Al seleccionarlo puede existir coincidencia si el registro se encuentra mostrará los resultados.
Seleccionar Tipo de cuenta : Seleccionar Ahorros y mostrará ese resultado debe seleccionar cada tipo y al finalizar borrar el filtro para seleccionar uno nuevo.
Seleccionará Cuenta corriente , mostrará todas las coincidencias
Validar que se movilice en la parte inferior el usuario podrá usar el scroll y el teclado. 
La paginación debe permitir al usuario moverse de la página posterior y anterior mostrando numéricamente en cúal pagina se encuentra y cuantas paginas existen en la consulta.
Al seleccionar un campo especifico como filtro deberá seleccionar Aplicar: Al dar clic el canal actualiza la pantalla donde muestra los grupos de productos, mostrando como resultado únicamente los grupos que cumplan con los criterios buscados,  en caso que el usuario requiera  seleccionar o eliminar alguna selección la podrá aplicar la novedad de manera manual 
En la parte superior del resultado se debe mostrar el nombre del filtro aplicado y una opción en el mismo texto que permita “eliminar” el filtro. Adicional se debe habilitar el elemento de “borrar filtros” al dar clic elimina todos los filtros aplicados.
Al seleccionar Borrar : permitirá borrar la seleccion de los filtros utilizados</t>
  </si>
  <si>
    <t xml:space="preserve">
Debe ejecutarse una descarga con cada uno de los filtros 
Solamente descargar selección seleccionar más de 15 registros 
Todos los formatos y selección masiva</t>
  </si>
  <si>
    <t>Consulta de Destinos autorizados 
Usuario Operador
Cliente posea registros terceros de 1 o varios países
Muestre resultados
Realice la descarga de reporte en formato PDF y Excel
Ejecutar consulta con filtro
El cliente se encuentre perfilado como: Validar destinos autorizados, 
Permiso unicamente de creador para el usuario
Debe de tener más de 55 registros pueden ser de diferentes países</t>
  </si>
  <si>
    <t>En el resultado debe mostrar el detalle de la búsqueda.
No seleccionar ningún filtro 
Seleccionar opción Descargar Reportes
Se mostrará elegir la opción de formato:
Excel
PDF</t>
  </si>
  <si>
    <t>Seleccione la opción Excel: El sistema generará el archivo como descarga con formato .xls
Presione botón de Descargar debe mostrarse activo
Seleccionar la opción de PDF: Sistema generará el archivo como formato .pdf 
Presione botón de Descargar debe mostrarse activo
Si el usuario requiere realizar una descarga masiva de los resultado que se muestran en pantlla debe seleccionar primero los checkbox y cuando tenga seleccionado al menos un registro el canal habilita la opción de “descargar selección”</t>
  </si>
  <si>
    <r>
      <rPr>
        <rFont val="Arial"/>
        <color theme="1"/>
      </rPr>
      <t xml:space="preserve">
- Si la descarga se realiza de manera satisfactoria actualiza la pantalla e informa en la parte superior “Descarga exitosa”
-Si la descarga contiene demasiados registros se debe mostrar  un mensaje " </t>
    </r>
    <r>
      <rPr>
        <rFont val="Arial"/>
        <b/>
        <color theme="1"/>
      </rPr>
      <t>El reporte se enviará al buzón de Notificaciones del Módulo Regional"</t>
    </r>
    <r>
      <rPr>
        <rFont val="Arial"/>
        <color theme="1"/>
      </rPr>
      <t xml:space="preserve"> y se podrá descargar desde el menú de Notificaciones
- En caso que la descarga no se pueda generar por algún error se debe presentar mensaje:</t>
    </r>
    <r>
      <rPr>
        <rFont val="Arial"/>
        <b/>
        <color theme="1"/>
      </rPr>
      <t xml:space="preserve"> “Descarga fallida. Intente más tarde”
</t>
    </r>
    <r>
      <rPr>
        <rFont val="Arial"/>
        <color theme="1"/>
      </rPr>
      <t xml:space="preserve">
En el formato en PDF en canal debe mostrar:
Nombre del banco en la parte superior
Fecha y hora de la descarga en formato dd-mm-aaaa hh:mm am-pm
Titulo: Destinos Autorizados.
Resultado: Contenido de la consulta en la parte inferior de manera ordenada y clara País
Nombre del destino completo
Tipo de cuenta
Número de cuenta enmascarado y si fue marcado como destacado se muestra la estrella marcada
Si el usuario requiere realizar una descarga masiva de los resultado que se muestran en pantlla debe seleccionar primero los checkbox y cuando tenga seleccionado al menos un registro el canal habilita la opción de “descargar selección”
</t>
    </r>
  </si>
  <si>
    <t xml:space="preserve">Consulta de Destinos autorizados 
Realice la descarga de reporte en formato PDF y Excel
Ejecutar consulta con filtro
Deje ejecutarse una descarga con cada uno de los filtros </t>
  </si>
  <si>
    <t>Usuario Operador
Cliente posea registros terceros de 1 o varios países
Muestre resultados
El cliente se encuentre perfilado como: Validar destinos autorizados, 
Permiso unicamente de creador para el usuario
Debe de tener minimo 55 registros pueden ser de diferentes países</t>
  </si>
  <si>
    <t>Seleccionar el menú de Transferir 
Ingresar al menú de Destinos Autorizados
Seleccionar  Consultar de Destinos Autorizado</t>
  </si>
  <si>
    <t>En el resultado debe mostrar el detalle de la búsqueda.
1.Seleccionar Filtro :
Seleccionar filto País Panamá. Costa Rica, Honduras, El Salvador según corresponda su país
Seleccionar Aplicar 
Seleccionar Descargar Reportes
2.Seleccionar Filtro :
+Nombre del destino: Buscar por el nombre de uno de los destinos que presentan en el resultado
Seleccionar Aplicar.
Seleccionar Descargar Reportes
3.Seleccionar Filtro  
+Tipo de cuenta: permite elegir el tipo de cuenta registrada 
Seleccionar Aplicar 
Seleccionar Descargar Reportes</t>
  </si>
  <si>
    <r>
      <rPr>
        <rFont val="Arial"/>
        <color theme="1"/>
      </rPr>
      <t xml:space="preserve">Seleccionar con filtro </t>
    </r>
    <r>
      <rPr>
        <rFont val="Arial"/>
        <b/>
        <color theme="1"/>
      </rPr>
      <t xml:space="preserve">País en formato &gt; </t>
    </r>
    <r>
      <rPr>
        <rFont val="Arial"/>
        <color theme="1"/>
      </rPr>
      <t xml:space="preserve"> Excel: El sistema generará el archivo como descarga con formato .xls 
Seleccionar con filtro </t>
    </r>
    <r>
      <rPr>
        <rFont val="Arial"/>
        <b/>
        <color theme="1"/>
      </rPr>
      <t xml:space="preserve">Nombre del destino&gt; </t>
    </r>
    <r>
      <rPr>
        <rFont val="Arial"/>
        <color theme="1"/>
      </rPr>
      <t xml:space="preserve">opción de PDF: Sistema generará el archivo como formato .pdf 
Seleccionar con filtro </t>
    </r>
    <r>
      <rPr>
        <rFont val="Arial"/>
        <b/>
        <color theme="1"/>
      </rPr>
      <t xml:space="preserve">Tipo de Cuenta &gt; </t>
    </r>
    <r>
      <rPr>
        <rFont val="Arial"/>
        <color theme="1"/>
      </rPr>
      <t xml:space="preserve">en Excel 
</t>
    </r>
  </si>
  <si>
    <t>En el formato en PDF en canal debe mostrar:
Nombre del banco en la parte superior
Fecha y hora de la descarga en formato dd-mm-aaaa hh:mm am-pm
Titulo: Destinos Autorizados.
Resultado: Contenido de la consulta en la parte inferior de manera ordenada y clara de: país, Nombre del destino completo, Tipo de cuenta, número de cuenta enmascarado y si fue marcado como destacado.  
Resultados 
Si la descarga se realiza de manera satisfactoria actualiza la pantalla e informa en la parte superior “Descarga exitosa”
- En caso que la descarga no se pueda generar por algún error se debe presentar mensaje: “Descarga fallida. Intente más tarde”</t>
  </si>
  <si>
    <t xml:space="preserve">
Realice la descarga de reporte en formato Excel
Ejecutar consulta con filtro
Deje ejecutarse una descarga con selección</t>
  </si>
  <si>
    <t>Consulta de Destinos autorizados 
Usuario Operador
Cliente posea registros terceros de 1 o varios países
Muestre resultados
El cliente se encuentre perfilado como: Validar destinos autorizados, 
Permiso unicamente de creador para el usuario
Debe de tener más de 55 registros pueden ser de diferentes países destinos</t>
  </si>
  <si>
    <t>En el resultado debe mostrar el detalle de la búsqueda.
Seleccionar Filtro :
+País.
+Nombre del destino
+Tipo de cuenta: permite elegir el tipo de cuenta registrada
Debe mostrar resultado de los destinos</t>
  </si>
  <si>
    <r>
      <rPr>
        <rFont val="Arial"/>
        <color theme="1"/>
      </rPr>
      <t xml:space="preserve">
Seleccionar el filtro Tipo de Cuenta &gt;
Seleccionar todos los tipos de cuenta</t>
    </r>
    <r>
      <rPr>
        <rFont val="Arial"/>
        <b/>
        <color theme="1"/>
      </rPr>
      <t xml:space="preserve">
Seleccionar del resultado 20 registros 
</t>
    </r>
    <r>
      <rPr>
        <rFont val="Arial"/>
        <color theme="1"/>
      </rPr>
      <t>Seleccionar Descarga de reportes</t>
    </r>
    <r>
      <rPr>
        <rFont val="Arial"/>
        <b/>
        <color theme="1"/>
      </rPr>
      <t xml:space="preserve"> &gt;</t>
    </r>
    <r>
      <rPr>
        <rFont val="Arial"/>
        <color theme="1"/>
      </rPr>
      <t xml:space="preserve">Formato Excel
Si el usuario requiere realizar una descarga masiva debe seleccionar primero los checkbox y cuando tenga seleccionado al menos un registro el canal habilita la opción de “descargar selección”
</t>
    </r>
  </si>
  <si>
    <t xml:space="preserve">
Resultados
Debe mostrar únicamente los registros marcados en total 20 registros
Si la descarga se realiza de manera satisfactoria actualiza la pantalla e informa en la parte superior “Descarga exitosa”
- En caso que la descarga no se pueda generar por algún error se debe presentar mensaje: “Descarga fallida. Intente más tarde”</t>
  </si>
  <si>
    <t xml:space="preserve">Consulta de Destinos autorizados 
Usuario Operador
Cliente posea registros terceros de 1 o varios países
Muestre más de 200 resultados
Realice la descarga de reporte en formato PDF y Excel
Descarga en back ground </t>
  </si>
  <si>
    <t xml:space="preserve">
Debe de tener más de 200 registros pueden ser de diferentes países</t>
  </si>
  <si>
    <t xml:space="preserve">
El cliente se encuentre perfilado como: Validar destinos autorizados, 
Permiso unicamente de creador para el usuario
Seleccionar el menú de Transferir 
Ingresar al menú de Destinos Autorizados
Seleccionar Consultar de Destinos Autorizados</t>
  </si>
  <si>
    <t xml:space="preserve">En el resultado debe mostrar el detalle de la búsqueda.
Seleccionar Filtro :
+País.
+Nombre del destino
+Tipo de cuenta: permite elegir el tipo de cuenta registrada 
Descarga : Seleccionar con filtro País&gt; Seleccionar todos los países destino 
Seleccionar Filtrar &gt; mostrara la condición seleccionado
Mostrará el resultado del filtro 
Seleccionar Descargar Reporte , Elegir tipo de descarga en formato &gt;  PDF: El sistema generará el archivo como descarga con formato .xls 
</t>
  </si>
  <si>
    <t xml:space="preserve">
Nombre del banco en la parte superior
Título: Detalle del destino autorizado.
Resultado: Contenido de la consulta en la parte inferior de manera ordenada y clara así:
Información de la operación: (número de transacción, fecha y hora, estado)
Destino: (Nombre de la cuenta, país, tipo de cuenta, número de la cuenta)
Origen: solo se debe mostrar si aplica (Nombre de la cuenta, país, empresa, tipo de la cuenta, número y moneda de la cuenta)
Notificación: Solo se muestra su fue registrada ( correos ingresados)
</t>
  </si>
  <si>
    <t>En el formato en PDF en canal debe mostrar:
Nombre del banco en la parte superior
Fecha y hora del reporte.
Titulo: Destinos Autorizados.
Resultado: Contenido de la consulta en la parte inferior de manera ordenada y clara de: país, Nombre del destino, Tipo de cuenta, número de cuenta y si fue marcado como destacado
- Si la generación del reporte no se puede realizar en línea por el tamaño se debe mostrar el siguiente modal: “El reporte se enviará al buzón de notificaciones del módulo regional.”</t>
  </si>
  <si>
    <t xml:space="preserve">
Realice la descarga de 1 registro </t>
  </si>
  <si>
    <t>Consulta de Destinos autorizados 
Usuario Operador
Cliente posea registros terceros de 1 o varios países
Muestre resultados
El cliente se encuentre perfilado como: Validar destinos autorizados, 
Permiso unicamente de creador para el usuario
Debe de tener más de 55 registros pueden ser de diferentes países</t>
  </si>
  <si>
    <t xml:space="preserve">En el resultado debe mostrar las siguientes opciones:
+Buscar
+Filtrar
+Descargar reporte
Muestra los resultados de los registros 
Seleccione 1 registro puede ser no destacado
Muestra el detalle del tercero opción de los 3 puntos
</t>
  </si>
  <si>
    <t xml:space="preserve">Al ingresar al detalle del registro debe mostrarse los botones 
Destacar-Estrella
Editar- Lápiz
Nube: Descargar
Eliminar: Basurero
Información del detalle de destino
Seleccione dentro del detalle la opción de descargar
Al descargar el registro se muestra el resultado en un archivo de PDF con la información de todos los campos </t>
  </si>
  <si>
    <t xml:space="preserve">
Realice la marcación de Favoritos desde el detalle del destino</t>
  </si>
  <si>
    <t>Consulta de Destinos autorizados 
Usuario Operador
Cliente posea registros terceros de 1 o varios países
Muestre resultados
El cliente se encuentre perfilado para: Validar destinos autorizados, 
Permiso unicamente de creador para el usuario
Debe de tener más de 55 registros pueden ser de diferentes países</t>
  </si>
  <si>
    <t xml:space="preserve">En el resultado debe mostrar el detalle de la búsqueda.
Seleccionar Filtro :
+País
Seleccionar un pais especifico
Muestra el resultado
Seleccione un resultado 
Seleccionar Detalle (3 puntos) </t>
  </si>
  <si>
    <t xml:space="preserve">Seleccionar la estrella y validar que se muestre como destacado.
Permita visualizar si un destino autorizado fue marcado cómo “destacado”, los destinos autorizados marcados con esta opción deben ser mostrados en la parte superior de la tabla de resultados.  
</t>
  </si>
  <si>
    <t>Al visulizar el resultado los primeros resultados se muestran como destacados 
En la parte inferior se mostrarán los resultados normales 
Utilizar el filtro de País antes seleccionado en el paso 1
Validar que los registros se muestren según la condición 
Confirmar que el registro marcado como destacado se muestre con la insgnia y se muesta al inicio del resultado</t>
  </si>
  <si>
    <t xml:space="preserve">
Realice la desmarcación de Favoritos</t>
  </si>
  <si>
    <t xml:space="preserve">
Consulta de Destinos autorizados 
Usuario Autorizante
Cliente posea registros terceros de 1 o varios países
Muestre resultados
El cliente se encuentre perfilado como: Validar destinos autorizados, 
Permiso unicamente de creador para el usuario
Debe de tener más de 10 registros pueden ser de diferentes países</t>
  </si>
  <si>
    <t xml:space="preserve">En el resultado debe mostrar las siguientes opciones:
+Buscar
+Filtrar&gt; Seleccionar Filtro de cuenta &gt;Tipo Ahorro
Seleccionar Aplicar 
+Descargar reporte
Muestra los resultados de los registros
Seleccione 1 registro destacado (marcado con una estrella)
Seleccionar opción de detalle 
Seleccione la estrella </t>
  </si>
  <si>
    <t>De mostrar el detalle el destino desmarcado
Seleccionar el botón &lt;  para regresar a la consulta y los resultados
Realice nuevamente la consulta 
Realice una consulta utilizando el filtro desde el campo de Nombre del destino
Ingresar el nombre del destino desmarcado
Permite visualizar el registro desmarcado y se visualiza que se desplaza en la parte inferior de los resultado tipicos.</t>
  </si>
  <si>
    <t>Se presenta el registro sin la marcación y no se prioriza la posición de consulta</t>
  </si>
  <si>
    <t xml:space="preserve">
Realice la eliminación de 1 registro individual
No finaliza el proceso 
No queda Pendiente de aprobación</t>
  </si>
  <si>
    <t>Consulta de Destinos autorizados 
Usuario Operador
Cliente posea registros terceros de 1 o varios países
Muestre resultados
El cliente se encuentre perfilado como: Validar destinos autorizados, 
Permiso unicamente de creador para el usuario
Debe de tener más de 10 registros pueden ser de diferentes países</t>
  </si>
  <si>
    <t>En el resultado debe mostrar las siguientes opciones:
+Buscar
+Filtrar
+Descargar reporte
Muestra los resultados de los registros
Seleccione 1 registro destacado (marcado con una estrella)
Seleccionar la opción de los 3 puntos 
Elegir Eliminar</t>
  </si>
  <si>
    <t xml:space="preserve">Al seleccionar el detalle 
Seleccionar el icono de eliminar
Muestra un mensaje de confirmación
¿Quiere eliminar el destino?
Si lo elimina tendra que crear nuevo destinos? antes de realizar las transacciones.
Muestra los botones de “Volver” y “Eliminar",
Seleccionar Volver </t>
  </si>
  <si>
    <t>Al seleccionar la opción de Volver muestra la pantalla anterior donde se muestra la selección , finaliza la prueba mostrando la pantalla de resultados
No debe retar al usuario a ingresar el token.</t>
  </si>
  <si>
    <t xml:space="preserve">
Realice la eliminación de registro individual
La solicitud queda Pendiente de aprobación</t>
  </si>
  <si>
    <t>Al seleccionar el detalle 
Seleccionar el icono de eliminar
Muestra un mensaje de confirmación
¿Quiere eliminar el destino?
Si lo elimina tendra que crear nuevo destinos? antes de realizar las transacciones.
Muestra los botones de “Volver” y “Eliminar",
Seleccionar Eliminar</t>
  </si>
  <si>
    <t>Muestra un cuadro de dialogo 
Autenticación
Clave dinámica
Ingrese la clave dinámica que aparecer en el token, para continuar 
&gt;Ingresar la clave dinámica valida del soft token, detect ID , hard token según aplica el dominio del usuario.
&gt;Si el token es válido mostrará un mensaje  "La eliminación de los destinos se envió para aprobación"Quedará en estado pendiente hasta que el esque de firmas se complete.
&gt;Si el token es invalido deberá mostrar un mensaje que ingrese el token valido. 
Ingresar nuevamente a la consulta de resultados y validar que en el detalle del registro se muestre en estado " Pendiente autorización"</t>
  </si>
  <si>
    <t xml:space="preserve">
Autorizar  la eliminación de registro individual
Aprobación exitosa</t>
  </si>
  <si>
    <t>Autorización 
Usuario Autorizante 
Administración Cliente único
Cliente posea registros terceros de 1 o varios países
Muestre resultados
Permiso a Autorizaciones Administrativas
Usuario pefil : Administrador/ Autorizante
Esquema de firmas Lijero
Administración Cliente único</t>
  </si>
  <si>
    <t xml:space="preserve">Seleccionar el menú de Autorización 
Usuario debe permanecer al esquema de firmas 
</t>
  </si>
  <si>
    <t xml:space="preserve">Debe poseer permisos para Transacciones No Monetarias
Seleccionar la opción de Filtrar
Seleccionar Tipo de operación
Seleccionar Destino Autorizados
Seleccionar Aplicar
Debe mostrar resultado </t>
  </si>
  <si>
    <t xml:space="preserve">Seleccionar el destino a terceros
Seleccionar la opción  Aprobar 
Muestra una ventana emergente "Clave Dinámica"
Ingrese la clave dinamida que aparece según el token asignado, se muestra el botón Continuar activado seleccionar
Muestre el mensaje Estado de autorización "Procesada"
</t>
  </si>
  <si>
    <r>
      <rPr>
        <rFont val="Arial"/>
        <color theme="1"/>
      </rPr>
      <t xml:space="preserve">Validar que se Muestren los siguientes campos: tipo de operación, Cantidad de transacciones procesadas, Usuario Autorizador , Fecha y hora de aprobación
en la parte superior muestra un botón Descargar 
Seleccionar Descargar
Se muestra un botón de Finalizar 
El canal debe mostrar un elemento en la parte superior que le permita al usuario deshacer la solicitud de eliminación, similar a la funcionalidad de eliminar un correo electrónico, la duración debe durar 10 segundos los cuales deben ser parametrizables, al dar clic en deshacer el canal elimina la solicitud y restablece los valores, esta funcionalidad únicamente aplica para cuando el esquema de firma permite al usuario autogestionar y no depende de una siguiente autorización.  
</t>
    </r>
    <r>
      <rPr>
        <rFont val="Arial"/>
        <b/>
        <color theme="1"/>
      </rPr>
      <t>Validar que visualice el botón deshacer</t>
    </r>
  </si>
  <si>
    <t xml:space="preserve">
Realice la eliminación de destinos masiva +10 registro
Pendiente de aprobación </t>
  </si>
  <si>
    <t>Consulta de Destinos autorizados 
Usuario Operador
Administración Cliente único
Cliente posea registros terceros de 1 o varios países
Muestre resultados
El cliente se encuentre perfilado como: Validar destinos autorizados, 
Permiso unicamente de creador para el usuario
Debe de tener más de10 registros pueden ser de diferentes países</t>
  </si>
  <si>
    <t>En el resultado debe mostrar las siguientes opciones:
+Buscar
+Filtrar utilizar la condición de Tipo de cuenta seleccione las que se muestran en pantalla (Ahorro, Corriente, Cuenta Maestra)
+Descargar reporte
Muestra los resultados de los registros
Seleccione 5 registro destacado (marcado con una estrella)
Seleccione 5 registros no destacados
Seleccionar la opción de los 3 puntos de forma individual por cada registro.
Elegir Eliminar</t>
  </si>
  <si>
    <t xml:space="preserve">
Muestra una ventana emergente por cada uno de los elementos marcados 
¿Quiere eliminar los destinos registrados?
Si lo elimina tendrá que crear un nuevo destino 
antes de lrealizar las transacciones 
Muestra los botones de “Volver” y “Eliminar",
Seleccionar Eliminar
Muestra una ventana emergente "Clave Dinámica"
Ingrese la clave dinamida que aparece según el token asignado, se muestra el botón Continuar activado seleccionar
Muestre el mensaje Estado de autorización "Procesada"</t>
  </si>
  <si>
    <t xml:space="preserve"> Posterior debe retar al usuario a ingresar la clave de confirmación
Muestra un mensaje indicando que "La eliminación de los destinos se envió para aprobación"Quedará en estado pendiente hasta que el esquema de firmas se complete"
Ingresar nuevamente a la consulta de resultados y validar que en el detalle del registro se muestre en estado "Pendiente autorización"</t>
  </si>
  <si>
    <t xml:space="preserve">
Autorizar  la eliminación de registro masiva
Aprobación Fallida</t>
  </si>
  <si>
    <t>Autorización
Usuario Autorizante 
Administración Cliente único
Debe poseer permisos para autorizaciones Administrativas en el país donde se realizó la solicitud.</t>
  </si>
  <si>
    <t xml:space="preserve">Deben de solicitar a uno de los core que coloque un Delay para realizar el siguiente ejercicio de transacción fallida.
Seleccionar la opción  Aprobar 
Muestra una ventana emergente "Clave Dinámica"
Ingrese la clave dinamida que aparece según el token asignado, se muestra el botón Continuar activado seleccionar
En caso que se presente error en el momento de la novedad se debe presentar mensaje “Eliminación fallida, intente más tarde”  </t>
  </si>
  <si>
    <t xml:space="preserve">
Eliminación No Finaliza:  Una vez de clic a la novedad el canal en la parte superior  presentará el siguiente mensaje: “Solicitud pendiente” y mantendrá el registro de la consulta con estado “Pendiente” de acuerdo al esquema de firmas definido por el grupo regional los usuarios con rol “autorizador” deberán gestionar la novedad por el Módulo de Autorizaciones donde se visualizará la solicitud por el submódulo de autorizaciones no monetarias. 
</t>
  </si>
  <si>
    <t xml:space="preserve">
Realice la eliminación de registro individual
Pendiente de aprobación- Solicitar Rechazar gestión</t>
  </si>
  <si>
    <t>En el resultado debe mostrar las siguientes opciones:
+Buscar
+Filtrar utilizar la condición de Tipo de cuenta seleccione las que se muestran en pantalla (Ahorro, Corriente, Cuenta Maestra)
+Descargar reporte
Muestra los resultados de los registros
Seleccione 5 registro destacado (marcado con una estrella)
Seleccionar la opción de los 3 puntos de forma individual por cada registro.
Elegir Eliminar</t>
  </si>
  <si>
    <t xml:space="preserve">
Muestra una ventana emergente por cada uno de los elementos marcados 
¿Quiere eliminar los destinos registrados?
Si lo elimina tendrá que crear un nuevo destino 
antes de lrealizar las transacciones 
Muestra los botones de “Volver” y “Eliminar",
Seleccionar Eliminar.
Seleccionar la opción  Aprobar 
Muestra una ventana emergente "Clave Dinámica"
Ingrese la clave dinamida que aparece según el token asignado, se muestra el botón Continuar activado seleccionar
</t>
  </si>
  <si>
    <t xml:space="preserve">
Muestra un mensaje indicando que "La eliminación de los destinos se envió para aprobación"Quedará en estado pendiente hasta que el esquema de firmas se complete"
Ingresar nuevamente a la consulta de resultados y validar que en el detalle del registro se muestre en estado "Pendiente autorización"</t>
  </si>
  <si>
    <t xml:space="preserve">
Rechazo exitoso la eliminación de registro individual</t>
  </si>
  <si>
    <t>Según perfilamiento deberá ingresar la opción Autorizaciones Administrativas</t>
  </si>
  <si>
    <t xml:space="preserve">Debe poseer permisos para Transacciones No Monetarias
Seleccionar la opción de Filtrar
Seleccionar Tipo de operación
Seleccionar Destino Autorizados
Seleccionar Aplicar
Debe mostrar resultado de los registros con solicitud pendiente </t>
  </si>
  <si>
    <t xml:space="preserve">Seleccionar el destino a terceros
Seleccionar la opción  Rechazar
</t>
  </si>
  <si>
    <t>El usuario deberá validar el mensaje de confirmación de la gestión y debera solicitar al usuario Operador revisar que los registros se encuentren en el estado inicial 
Muestra el mensaje de Aprobación rechazada:
-Países 
-Tipo de transaccion
-No. de transacciones
-Se muestra Tipo de operación 
-Muestra activo de el botón de Finalizar.
Validar que los registros existan en la consulta nuevamente.</t>
  </si>
  <si>
    <t xml:space="preserve">Consulta de Destinos autorizados 
Usuario Operador
Administración Cliente único
Cliente posea registros terceros de 1 o varios países
Muestre resultados
Realice la eliminación de registro masiva-
Pendiente de aprobación </t>
  </si>
  <si>
    <t>En el resultado debe mostrar las siguientes opciones:
+Buscar
+Filtrar utilizar la condición de Tipo de cuenta seleccione las que se muestran en pantalla (Ahorro, Corriente, Cuenta Maestra)
+Descargar reporte
Muestra los resultados de los registros
Seleccione 2 registro destacado (marcado con una estrella)
Seleccionar la opción de los 5 puntos de forma individual por cada registro.
Elegir Eliminar</t>
  </si>
  <si>
    <t xml:space="preserve">
Muestra una ventana emergente por cada uno de los elementos marcados 
¿Quiere eliminar los destinos registrados?
Si lo elimina tendrá que crear un nuevo destino 
antes de lrealizar las transacciones 
Muestra los botones de “Volver” y “Eliminar",
Seleccionar Eliminar.
Seleccionar la opción  Aprobar 
Muestra una ventana emergente "Clave Dinámica"
Ingrese la clave dinamida que aparece según el token asignado, se muestra el botón Continuar activado seleccionar
Muestre el mensaje Estado de autorización "Procesada"</t>
  </si>
  <si>
    <t xml:space="preserve">
Autorizar  la eliminación de registro masiva, autorizar parcialmente los registros
Aprobación exitosa</t>
  </si>
  <si>
    <t xml:space="preserve">Autorización de Destinos autorizados 
Administrador Cliente único
Usuario Autorizante 
Cliente posea registros terceros de 1 o varios países
Muestre resultados
Usuario Autorizante 
Debe poseer permisos para autorizaciones Administrativas en el país donde se realizó la solicitud </t>
  </si>
  <si>
    <t xml:space="preserve">Debe poseer permisos para Transacciones No Monetarias
Seleccionar la opción de Filtrar
Seleccionar Tipo de operación
Seleccionar Destino Autorizados
Seleccionar Aplicar
Debe mostrar resultado del total de la solicitud de eliminación solamente seleccione 4 de 7 solicitudes </t>
  </si>
  <si>
    <r>
      <rPr>
        <rFont val="Arial"/>
        <color theme="1"/>
      </rPr>
      <t xml:space="preserve">Seleccionar el destino a terceros Seleccionar la opción  Aprobar Muestra una ventana emergente "Clave Dinámica"Ingrese la clave dinamida que aparece según el token asignado, se muestra el botón Continuar activado seleccionar
Muestre el mensaje Estado de autorización "Procesada" únicamente las 4 seleccionadas
</t>
    </r>
    <r>
      <rPr>
        <rFont val="Arial"/>
        <b/>
        <color theme="1"/>
      </rPr>
      <t>Eliminación Finalizada:  Una vez de clic a la novedad el canal en la parte superior  presentará el siguiente mensaje: “Eliminación exitosa” y desaparecerá el registro de la consulta, en los logs debe quedar la traza de la eliminación.</t>
    </r>
    <r>
      <rPr>
        <rFont val="Arial"/>
        <color theme="1"/>
      </rPr>
      <t xml:space="preserve"> 
Validar que los 3 restantes destinos se encuentran pendientes de aprobación</t>
    </r>
  </si>
  <si>
    <t>El usuario deberá validar el mensaje de confirmación de la gestión y debera revisar que los registros se encuentren eliminados</t>
  </si>
  <si>
    <t xml:space="preserve">
Realice la eliminación de TODOS los registros
Pendiente de aprobación </t>
  </si>
  <si>
    <t xml:space="preserve">
Usuario Operador
Administración Cliente único
Cliente posea registros terceros de 1 o varios países
Muestre resultados
El cliente se encuentre perfilado como: Validar destinos autorizados, 
Permiso unicamente de creador para el usuario
Debe  solicitar la eliminación únicamente de 1 país puede ser el que posea menor cantidad de registros</t>
  </si>
  <si>
    <t>En el resultado debe mostrar las siguientes opciones:
+Buscar
+Filtrar
+Descargar reporte
Muestra los resultados de los registros- Deben seleccionar todos los registros 
Seleccione TODOS registros pueden contener caracteristicas sin destacados o destacados
Seleccionar la opción de los 3 puntos 
Elegir Eliminar</t>
  </si>
  <si>
    <t xml:space="preserve">
Ingresar nuevamente a la consulta de resultados y validar que en el detalle del registro se muestre en estado "Pendiente autorización"</t>
  </si>
  <si>
    <t xml:space="preserve">
Autorizar  la eliminación de TODOS los registros
Aprobación exitosa</t>
  </si>
  <si>
    <t xml:space="preserve">
Autorización de Destinos autorizados 
Administración Cliente único
Autorizador Directo 
Cliente posea registros terceros de 1 o varios países
Debe poseer permisos para autorizaciones Administrativas en el país donde se realizó la solicitud </t>
  </si>
  <si>
    <t xml:space="preserve">
El usuario deberá validar el mensaje de confirmación de la gestión y debera solicitar al usuario Operador validar que los registros se encuentren eliminados</t>
  </si>
  <si>
    <t xml:space="preserve">
Autorizar  la eliminación de registro masiva de +10 registros
Aprobación exitosa
Usuario Autorizante </t>
  </si>
  <si>
    <t>Autorización de Destinos autorizados 
Cliente posea registros terceros de 1 o varios países
Muestre resultados
El cliente se encuentre perfilado como: Validar destinos autorizados, 
Permiso unicamente de creador para el usuario
Debe de tener más de 10 registros pueden ser de diferentes países</t>
  </si>
  <si>
    <t>Muestra los resultados de los registros
Seleccione  registro destacado (marcado con una estrella)
Seleccione  registros no destacados
Seleccionar la opción de los 3 puntos 
Elegir Eliminar</t>
  </si>
  <si>
    <r>
      <rPr>
        <rFont val="Arial"/>
        <color theme="1"/>
      </rPr>
      <t xml:space="preserve">Validar que se Muestren los siguientes campos: tipo de operación, Cantidad de transacciones procesadas, Usuario Autorizador , Fecha y hora de aprobación
en la parte superior muestra un botón Descargar 
Seleccionar Descargar
Se muestra un botón de Finalizar 
El canal debe mostrar un elemento en la parte superior que le permita al usuario deshacer la solicitud de eliminación, similar a la funcionalidad de eliminar un correo electrónico, la duración debe durar 10 segundos los cuales deben ser parametrizables, al dar clic en deshacer el canal elimina la solicitud y restablece los valores, esta funcionalidad únicamente aplica para cuando el esquema de firma permite al usuario autogestionar y no depende de una siguiente autorización.  
</t>
    </r>
    <r>
      <rPr>
        <rFont val="Arial"/>
        <b/>
        <color theme="1"/>
      </rPr>
      <t>Validar que visualice el botón deshacer</t>
    </r>
  </si>
  <si>
    <t xml:space="preserve">
Cliente Administración única
Cliente con Esquema de Firmas Moderado
Realice la eliminación de registro individual
Estado "Pendiente de aprobación"</t>
  </si>
  <si>
    <t xml:space="preserve">En el resultado debe mostrar las siguientes opciones:
+Buscar
+Filtrar
+Descargar reporte
Muestra los resultados de los registros
Seleccione 1 registro destacado (marcado con una estrella)
Seleccionar la opción de los 3 puntos 
</t>
  </si>
  <si>
    <t xml:space="preserve">
Cliente con Esquema de Firmas Moderado
Autorización 1°Nivel
Estado Pendiente de aprobación</t>
  </si>
  <si>
    <t xml:space="preserve">Seleccionar el destino a terceros
Seleccionar la opción  Aprobar 
Muestra una ventana emergente "Clave Dinámica"
Ingrese la clave dinamida que aparece según el token asignado, se muestra el botón Continuar activado seleccionar
</t>
  </si>
  <si>
    <t xml:space="preserve">Validar que se Muestren los siguientes campos: tipo de operación, Cantidad de transacciones procesadas, Usuario Autorizador , Fecha y hora de aprobación
en la parte superior muestra un botón Descargar 
Seleccionar Descargar
Se muestra un botón de Finalizar 
Validar en el detalle del registro se muestre en estado "Pendiente autorización
</t>
  </si>
  <si>
    <t xml:space="preserve">
Autorizar la eliminación
Cliente con Esquema de Firmas Moderado
Autorización 2°Nivel
Aprobación exitosa</t>
  </si>
  <si>
    <t xml:space="preserve">
Administración Cliente único
Usuario Administrados
Debe poseer permisos para autorizaciones Administrativas en el país donde se realizó la solicitud </t>
  </si>
  <si>
    <t xml:space="preserve">Autorización 
Usuario Autorizante 
Administración Cliente único
Cliente posea registros terceros de 1 o varios países
Muestre resultados
Permiso a Autorizaciones Administrativas
Usuario pefil : Administrador/ Autorizante
</t>
  </si>
  <si>
    <t>El usuario deberá validar el mensaje de confirmación de la gestión y debera solicitar al usuario Operador revisar que los registros se encuentren en el estado inicial 
Muestra el mensaje de Aprobación rechazada:
-Países 
-Tipo de transaccion
-No. de transacciones
-Se muestra Tipo de operación 
-Muestra activo de el botón de Finalizar.
Validar que los registros No existan en la consulta nuevamente.</t>
  </si>
  <si>
    <t xml:space="preserve"> 
Usuario Autorizante
Cliente con Esquema de Firmas Moderado
Autorizar  la eliminación de registro individual
Estado de la gestión Pendiente de aprobación</t>
  </si>
  <si>
    <t xml:space="preserve">
Cliente posea registros terceros de 1 o varios países
Muestre resultados
El cliente se encuentre perfilado como: Validar destinos autorizados, 
Permiso unicamente de Autorizante
No Debe poseer una solicitud previamente
</t>
  </si>
  <si>
    <t xml:space="preserve">En el resultado debe mostrar las siguientes opciones:
+Buscar
+Filtrar
+Descargar reporte
Muestra los resultados de los registros
Seleccione 3 registro 
Seleccionar la opción de los 3 puntos 
</t>
  </si>
  <si>
    <t xml:space="preserve">
Usuario Administrador / Aprobación N2
Cliente con Esquema de Firmas Moderado
Aprobación Fallida</t>
  </si>
  <si>
    <t xml:space="preserve">
Aprobar gestión anterior del Autorizante 1
Usuario Autorizante 
Debe poseer permisos para autorizaciones Administrativas en el país donde se realizó la solicitud </t>
  </si>
  <si>
    <t xml:space="preserve">
Administración Cliente dual
Cliente con Esquema de Firmas Moderado
Realice la eliminación de registro individual
Pendiente de aprobación- Solicitar Rechazar gestión</t>
  </si>
  <si>
    <t xml:space="preserve">
Consulta de Destinos autorizados 
Usuario Operador
El cliente se encuentre perfilado como: Validar destinos autorizados, 
Permiso unicamente de creador para el usuario
Debe de tener más de10 registros pueden ser de diferentes países</t>
  </si>
  <si>
    <t xml:space="preserve">En el resultado debe mostrar las siguientes opciones:
+Buscar
+Filtrar
+Descargar reporte
Muestra los resultados de los registros
Seleccione 4 registro destacados 
Seleccionar la opción de los 3 puntos 
</t>
  </si>
  <si>
    <t xml:space="preserve">
Administración Cliente dual
Cliente con Esquema de Firmas Moderado
Autorizar  la eliminación de registro individual
Rechazo exitoso
</t>
  </si>
  <si>
    <t xml:space="preserve">Usuario Autorizante 
Debe poseer permisos para autorizaciones Administrativas en el país donde se realizó la solicitud </t>
  </si>
  <si>
    <t xml:space="preserve">Seleccionar el menú de Autorización 
Usuario debe permanecer al esquema de firmas 
Seleccionar la opción de Rechazar </t>
  </si>
  <si>
    <t>Muestra un mensaje de Rechazo exitoso</t>
  </si>
  <si>
    <t xml:space="preserve">El usuario deberá validar el mensaje de confirmación de la gestión y debera solicitar al usuario Operador revisar que los registros se encuentren en el estado inicial </t>
  </si>
  <si>
    <t>Rechazo de solicitud
2 do Usuario Autorizante 
Administración Cliente Dual
No visualice la gestión del usuarios operador</t>
  </si>
  <si>
    <t>Seleccionar opción de Autorizar la gestión</t>
  </si>
  <si>
    <t>Realizar la consulta de dentro del rango de la solicitud</t>
  </si>
  <si>
    <t>El usuario no debe visualizar la gestión pendiente ya que el primer autorizante la rechazo.
Si se visualiza la gestión es un error</t>
  </si>
  <si>
    <t>Validación de campos para crear un destino 
Usuario Operador
Administración Único
Validación de campos vacíos o incompletos no permite finalizar el registro</t>
  </si>
  <si>
    <t>Empresa a utilizar PA
Destino DvSV
No ingresar información o selección de campos obligatoria</t>
  </si>
  <si>
    <r>
      <rPr>
        <rFont val="Arial"/>
        <color theme="1"/>
      </rPr>
      <t xml:space="preserve">"Se realiza la inscripción de un Tercero distinto a la cuenta origen
Ingresar al menú Transferir
Ingresar Destinos Autorizados
Elegir el botón Crear
Titulo:Destino 
Validar los botones y opciones que se muestran en pantallas 
Ingrese la información del destino
Seleccione el país:Es una lista desplegable con las opciones de:  Panamá, Costa Rica, Honduras y El Salvador  junto con la imagen de la bandera de cada país.
</t>
    </r>
    <r>
      <rPr>
        <rFont val="Arial"/>
        <b/>
        <color theme="1"/>
      </rPr>
      <t xml:space="preserve">&gt; No seleccionar el país </t>
    </r>
    <r>
      <rPr>
        <rFont val="Arial"/>
        <color theme="1"/>
      </rPr>
      <t xml:space="preserve">
Ingrese el número de cuenta: Espacio en el cual el usuario podrá ingresar alfanuméricamente hasta 22 caracteres. 
&gt; Ingresar cuenta válida
</t>
    </r>
    <r>
      <rPr>
        <rFont val="Arial"/>
        <b/>
        <color theme="1"/>
      </rPr>
      <t xml:space="preserve">Visualice el botón Continuar </t>
    </r>
  </si>
  <si>
    <t xml:space="preserve">Ingresen datos válidos y completos. adicional debe mostrar mensajes claros de error si algún campo no ha sido proporcionado correctamente, ejemplo: 
No se puede continuar con la novedad debido a:
El campo "País destino" está vacío.
</t>
  </si>
  <si>
    <t>Validar que el campo de País no se encuentre seleccionado</t>
  </si>
  <si>
    <t xml:space="preserve">No permite continuar si el país no se encuentra seleccionado </t>
  </si>
  <si>
    <t>Validación de campos para crear un destino 
Usuario Operador
Administración Único
Validación de campos correo electrónico de campo opcional
Adicionar 6 cuentas correo y eliminar 1 correo 
Guardar registro</t>
  </si>
  <si>
    <t xml:space="preserve">Empresa a utilizar PA
Destino DvSV
</t>
  </si>
  <si>
    <r>
      <rPr>
        <rFont val="Arial"/>
        <color theme="1"/>
      </rPr>
      <t>"Se realiza la inscripción de un Tercero distinto a la cuenta origen
Ingresar al menú Transferir
Ingresar Destinos Autorizados
Elegir el botón Crear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 SV
Ingrese el número de cuenta: Espacio en el cual el usuario podrá ingresar alfanuméricamente hasta 22 caracteres. 
&gt; Ingresar cuenta válida
Visualice el botón Continuar</t>
    </r>
    <r>
      <rPr>
        <rFont val="Arial"/>
        <b/>
        <color theme="1"/>
      </rPr>
      <t xml:space="preserve">
</t>
    </r>
    <r>
      <rPr>
        <rFont val="Arial"/>
        <color theme="1"/>
      </rPr>
      <t xml:space="preserve">Asigne un nombre a la cuenta "Alias" : (Opcional) Campo libre alfanumérico de hasta 40 caracteres donde el usuario podrá ingresar el nombre de fácil recordación, podrá agregar una descripción o nombre personalizado para el destino autorizado, lo que facilitará la identificación y selección futura de los destinos durante el proceso de transferencia. debe tener un contador que permita visualizar los caracteres usados y restantes. </t>
    </r>
    <r>
      <rPr>
        <rFont val="Arial"/>
        <b/>
        <color theme="1"/>
      </rPr>
      <t>Valide el contador de caracteres al disminuir o aumentar</t>
    </r>
    <r>
      <rPr>
        <rFont val="Arial"/>
        <color theme="1"/>
      </rPr>
      <t xml:space="preserve">
Posterior nuevamente se habilita el botón de “Continuar”</t>
    </r>
  </si>
  <si>
    <t xml:space="preserve">
1.Validar que en campo Cuenta que es opcional al ingresar caracteres especiales no se muestren en pantalla o permita continuar
2. Validar que al ingresar los 6 correos electrónicos se muestren en pantalla 
2.1 Ingresar 3 correos hasta con con caracteres especiales con longitud de 60 caracteres 
2.2 Ingresas 3 correo corrientes menores a 60 caracteres
2.3 Eliminar 1 de las cuentas de correo.
2.4 Se visualiza 5 cuentas de correo electrónico</t>
  </si>
  <si>
    <t xml:space="preserve">
Correo: Espacio alfanumérico con caracteres especiales con longitud de 60 caracteres, el  usuario puede ingresar de uno a seis correos de manera opcional para que se notifique una vez se realiza la transferencia monetaria exitosa, una vez ingresada la información estará un botón que se llama “Agregar” una vez de clic a esta opción el canal debe mostrar el correo ingresado y al lado del mismo debe estar  un icono de una papelera que haga referencia a eliminar, adicional el espacio queda nuevamente habilitado para ingresar un nuevo correo, el canal debe mostrar el siguiente texto: “Los correos electrónicos que registre en este punto recibirán una notificación de transferencia exitosa realizadas al destino registrado” 
Posterior nuevamente se habilita el botón de “Continuar”</t>
  </si>
  <si>
    <t>"Confirmación: Una vez el usuario de clic a “confirmar” se debe actualizar la pantalla y sobre poner una opción en donde a el usuario le permite ingresar el código de confirmación, este espacio únicamente debe permitir ingresar números, adicional debe tener un botón de “Cancelar”  y un botón de “Aprobar” una vez el usuario de clic debe validar el código ingresado y mostrará la siguiente mensajería según aplique.
El registro se visualiza desde la opción de Consulta y debe visualizar que el detalle muestre la información ingresada"</t>
  </si>
  <si>
    <t>Validación de campos para crear un destino 
Usuario Operador
Administración Único
Validación de cuenta beneficiaria Fallida porque no existe</t>
  </si>
  <si>
    <t>Empresa a utilizar  PA
Destino DvSV
Cuenta destino incorrecta</t>
  </si>
  <si>
    <r>
      <rPr>
        <rFont val="Arial"/>
        <color theme="1"/>
      </rPr>
      <t xml:space="preserve">"Se realiza la inscripción de un Tercero distinto a la cuenta origen
Ingresar al menú Transferir
Ingresar Destinos Autorizados
Elegir el botón Crear
Titulo:Destino 
Validar los botones y opciones que se muestran en pantallas 
Ingrese la información del destino
Seleccione el país:Es una lista desplegable con las opciones de:  Panamá, Costa Rica, Honduras y El Salvador  junto con la imagen de la bandera de cada país.
</t>
    </r>
    <r>
      <rPr>
        <rFont val="Arial"/>
        <b/>
        <color theme="1"/>
      </rPr>
      <t>&gt; Elegir País cuenta origen SV</t>
    </r>
    <r>
      <rPr>
        <rFont val="Arial"/>
        <color theme="1"/>
      </rPr>
      <t xml:space="preserve">
Ingrese el número de cuenta: Espacio en el cual el usuario podrá ingresar alfanuméricamente hasta 22 caracteres. 
&gt; ingresar cuenta destino :000000000001
</t>
    </r>
    <r>
      <rPr>
        <rFont val="Arial"/>
        <b/>
        <color theme="1"/>
      </rPr>
      <t>Visualice el botón Activo de  Continuar cuando ingrese la información</t>
    </r>
    <r>
      <rPr>
        <rFont val="Arial"/>
        <color theme="1"/>
      </rPr>
      <t>.
Seleccionar regresar Para modificar el oaís cuenta origen sea PA
Seleccione continuar</t>
    </r>
  </si>
  <si>
    <t xml:space="preserve">El canal debe validar que la cuenta del tercero ingresada por el usuario exista en el core del país destino.
Cuenta destino no existe y el canal solicita al usuario revisar la cuenta ingresada. </t>
  </si>
  <si>
    <t xml:space="preserve">El canal muestre los botones de Continuar desactivo y el botón regresar para iniciar o editar la información del registro </t>
  </si>
  <si>
    <t xml:space="preserve">Muestra el mensaje : “Cuenta destino no existe, verifique los datos ingresados ”
</t>
  </si>
  <si>
    <t>Cree un destino 
Usuario Autorizante
Administración Único
Inscripción Exitosa- utilizar Regresar y editar</t>
  </si>
  <si>
    <t>Empresa a utilizar CR
Destino SV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</si>
  <si>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SV
Ingrese el número de cuenta: Espacio en el cual el usuario podrá ingresar alfanuméricamente hasta 22 caracteres. 
Ingrese el número de cuenta válida
Visualice el botón Activo de  Continuar cuando ingrese la información.
Validar el campo " Asigne un nombre a la cuenta"-Campo Opcional 
Dejar en blanco el espacio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 xml:space="preserve">Ingrese el correos para la notificación: 
Título: Correos para la notificación
Elemento para regresar.
Descripción: Ingrese máximo 6 correos diferentes para compartir el detalle de la transacción. </t>
    </r>
  </si>
  <si>
    <t>Si la validación de la cuenta destino es correcta el canal debe actualizar la información que se muestra en pantalla y debe mostrar una tarjeta con la información “quemada” es decir mostrando que la validación de la cuenta ingresada es exitosa con la siguiente información:
País: Se debe mostrar el nombre y bandera del país ingresado.
Titular de la cuenta: Se debe presentar el beneficiario de la cuenta.
Número de la cuenta: se debe mostrar el número de la cuenta sin enmascarar.
Divisa: El canal debe mostrar la divisa de apertura de la cuenta ingresada. 
Tipo: debe mostrar el tipo del producto (Ahorro - Corriente)</t>
  </si>
  <si>
    <r>
      <rPr>
        <rFont val="Arial"/>
        <color theme="1"/>
      </rPr>
      <t xml:space="preserve">Confirmación: Una vez el usuario de clic a esta opción debe actualizar la pantalla e informar que el usuario se encuentra en el track de  “confirmación”, en esta sección se deben mostrar los siguientes campos de salida. En este punto no se puede modificar la información ingresada en el paso anterior, si el usuario desea modificar algún dato debe dar clic en el botón “Regresar” 
Seleccionar Regresar 
Modificar Alias del producto y </t>
    </r>
    <r>
      <rPr>
        <rFont val="Arial"/>
        <b/>
        <color theme="1"/>
      </rPr>
      <t>colocarle un Nombre</t>
    </r>
    <r>
      <rPr>
        <rFont val="Arial"/>
        <color theme="1"/>
      </rPr>
      <t xml:space="preserve">
Seleccionar continuar </t>
    </r>
  </si>
  <si>
    <t>Confirmación: Una vez el usuario de clic a “confirmar” se debe actualizar la pantalla y sobre poner una opción en donde a el usuario le permite ingresar el código de confirmación, este espacio únicamente debe permitir ingresar números, adicional debe tener un botón de “Cancelar”  y un botón de “Aprobar” una vez el usuario de clic debe validar el código ingresado y mostrará la siguiente mensajería según aplique.
El registro se visualiza desde la opción de Consulta y debe visualizar que el detalle muestre la información ingresada</t>
  </si>
  <si>
    <t>Cree un destino 
Usuario administrador
Administración Único
Inscripción Exitosa</t>
  </si>
  <si>
    <t>Empresa a utilizar HN
Destino DvPA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</si>
  <si>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PA
Ingrese el número de cuenta: Espacio en el cual el usuario podrá ingresar alfanuméricamente hasta 22 caracteres. 
Ingrese el número de cuenta válido
Visualice el botón Activo de  Continuar cuando ingrese la información.
Validar el campo " Asigne un nombre a la cuenta"-Campo Opcional 
Dejar en blanco el espacio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 xml:space="preserve">Ingrese el correos para la notificación: 
Título: Correos para la notificación
Elemento para regresar.
Descripción: Ingrese máximo 6 correos diferentes para compartir el detalle de la transacción. </t>
    </r>
  </si>
  <si>
    <t>Confirmación: Una vez el usuario de clic a esta opción debe actualizar la pantalla e informar que el usuario se encuentra en el track de  “confirmación”, en esta sección se deben mostrar los siguientes campos de salida. En este punto no se puede modificar la información ingresada en el paso anterior, si el usuario desea modificar algún dato debe dar clic en el botón “Regresar” donde podrá editar, en esta pantalla se debe mostrar la siguiente información de manera no editable: 
Destino: 
Nombre de la cuenta: El canal debe validar en el core el nombre del titular de la cuenta y mostrar en pantalla el nombre cómo lo retorna el core local
País: Se debe mostrar el país seleccionado en el paso 1.
Tipo de cuenta: se debe mostrar el tipo de producto, si el usuario no lo ingresó el canal debe validar en el core y actualizar el campo. 
Número de cuenta: se debe mostrar el número de la cuenta destino ingresada.
Divisa: El canal debe mostrar en pantalla la divisa de apertura del producto destino.
Alias del producto: Se debe mostrar el nombre si fue registrado en el paso 1.</t>
  </si>
  <si>
    <t xml:space="preserve">Confirmación: Una vez el usuario de clic a “confirmar” se debe actualizar la pantalla y sobre poner una opción en donde a el usuario le permite ingresar el código de confirmación, este espacio únicamente debe permitir ingresar números, adicional debe tener un botón de “Cancelar”  y un botón de “Aprobar” una vez el usuario de clic debe validar el código ingresado y mostrará la siguiente mensajería según aplique.
El registro se visualiza desde la opción de Consulta y debe visualizar que el detalle muestre la información ingresada
Adicional esta pantalla debe tener los siguientes accionables:
Finalizar: Al dar clic actualiza la pantalla y lo redirecciona al Home. 
Crear otro destino: Al dar clic lo redirecciona al primer paso para la creación.
Comprobante: Esta opción permite realizar la descarga de la información del destino autorizado registrado como se visualiza en pantalla,  el usuario debe seleccionar el tipo de formato (Excel y/o  PDF)  el formato de PDF vendrá por default, y el archivo debe descargarse al navegador y el usuario debe seleccionar si lo guarda o lo abre. 
</t>
  </si>
  <si>
    <t>Cree un destino 
Usuario Autorizante
Administración Único
Inscripción Exitosa</t>
  </si>
  <si>
    <t>Empresa a utilizar SV
Destino DvPA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</si>
  <si>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cuenta origen PA
Ingrese el número de cuenta: Espacio en el cual el usuario podrá ingresar alfanuméricamente hasta 22 caracteres. 
Ingrese el número de cuenta válida.
Visualice el botón Activo de  Continuar cuando ingrese la información.
Validar el campo " Asigne un nombre a la cuenta"-Campo Opcional 
Dejar en blanco el espacio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 xml:space="preserve">Ingrese el correos para la notificación: 
Título: Correos para la notificación
Elemento para regresar.
Descripción: Ingrese máximo 6 correos diferentes para compartir el detalle de la transacción. </t>
    </r>
  </si>
  <si>
    <t xml:space="preserve">Cree un destino 
Usuario Autorizante
Administración Único
Inscripción no exitosa por registro duplicado - ya existente </t>
  </si>
  <si>
    <t>Empresa a Utilizar HN
Destino DvPA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</si>
  <si>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cuenta origen </t>
    </r>
    <r>
      <rPr>
        <rFont val="Arial"/>
        <b/>
        <color theme="1"/>
      </rPr>
      <t>PA</t>
    </r>
    <r>
      <rPr>
        <rFont val="Arial"/>
        <color theme="1"/>
      </rPr>
      <t xml:space="preserve">
Ingrese el número de cuenta válido
Visualice el botón Activo de  Continuar cuando ingrese la información.
Validar el campo " Asigne un nombre a la cuenta"-Campo Opcional 
Dejar en blanco el espacio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 xml:space="preserve">Ingrese el correos para la notificación: 
Título: Correos para la notificación
Elemento para regresar.
Descripción: Ingrese máximo 2 correos diferentes para compartir el detalle de la transacción. </t>
    </r>
  </si>
  <si>
    <t xml:space="preserve">Si la cuenta destino ya está registrada se debe mostrar el mensaje “Cuenta destino registrada, Esta cuenta ya se encuentra asignada como un destino. Asigne una nuevo”
</t>
  </si>
  <si>
    <t>Cuenta ingresada se encuentra registradad previamente, en el caso se presenta un ejemplo de cuenta pero puede utilizar una registrada previamente</t>
  </si>
  <si>
    <t>No permite continuar el proceso de registro del tercero</t>
  </si>
  <si>
    <t xml:space="preserve">Cree un destino 
Usuario Autorizante
Administración Único
Modificar el registro en la etapa 4 de Confirmación </t>
  </si>
  <si>
    <t>Origen cuenta HN
Destino DvPA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</si>
  <si>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PA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6 correos diferentes para compartir el detalle de la transacción. </t>
    </r>
  </si>
  <si>
    <r>
      <rPr>
        <rFont val="Arial"/>
        <color theme="1"/>
      </rPr>
      <t xml:space="preserve">Etapa 4 Confirmación: Una vez el usuario de clic a esta opción debe actualizar la pantalla e informar que el usuario se encuentra en el track de  “confirmación”, en esta sección se deben mostrar los siguientes campos de salida. En este punto no se puede modificar la información ingresada en el paso anterior, si el usuario desea modificar algún dato debe dar clic en el botón “Regresar” donde podrá editar, en esta pantalla se debe mostrar la siguiente información de manera no editable: 
</t>
    </r>
    <r>
      <rPr>
        <rFont val="Arial"/>
        <b/>
        <color theme="1"/>
      </rPr>
      <t>Seleccionar Regresar y modificar el Alias del producto.</t>
    </r>
    <r>
      <rPr>
        <rFont val="Arial"/>
        <color theme="1"/>
      </rPr>
      <t xml:space="preserve">
Alias del producto: Se debe mostrar el nombre si fue registrado en el paso 1.
Continuar hasta finalizar</t>
    </r>
  </si>
  <si>
    <t>Cree un destino Autorizante
Administración único
Usuario operador 
Pendiente de aprobación 
Validación de la cuenta en Lista No exitosa</t>
  </si>
  <si>
    <t>Origen cuenta CR
Destino DvPA</t>
  </si>
  <si>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cuenta origen HN
Ingrese el número de cuenta: Espacio en el cual el usuario podrá ingresar alfanuméricamente hasta 22 caracteres. 
Ingrese el número de cuenta válida
Etapa 2 &gt; Visualice el botón Activo de  Continuar 
</t>
  </si>
  <si>
    <t>Validar una cuenta del beneficiario se encuentre en lista</t>
  </si>
  <si>
    <t>Creación Rechazada: 
Rechazo: Si fue rechazado debe mostrar  el Texto “Rechazado” seguida de la causal: 
   - Error creación destino autorizado, intente nuevamente</t>
  </si>
  <si>
    <t>No se finaliza el proceso de registro del destino , si se intenta registrar nuevamente muestra el mensaje de error.</t>
  </si>
  <si>
    <t>Cree un destino Autorizante
Administración única
Usuario Autorizante
Ingresar tipo Holding
Fallido el registro</t>
  </si>
  <si>
    <t>Empresa cuenta SV
Destino DvCR--Cuenta Maestra
Cuenta Inactiva</t>
  </si>
  <si>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cuenta origen CR
Ingrese el número de cuenta: Espacio en el cual el usuario podrá ingresar alfanuméricamente hasta 22 caracteres. 
Ingrese el número de cuenta válida
Etapa 2 &gt; Visualice el botón Activo de  Continuar 
</t>
  </si>
  <si>
    <t>Validar una cuenta del beneficiario 
Cuenta destino no existe y el canal solicita al usuario revisar la cuenta ingresada. mensajería: “Cuenta destino no existe, verifique los datos ingresados ”</t>
  </si>
  <si>
    <t>Utilizar una cuenta beneficiario Inactiva
No le permite continuar con el registro</t>
  </si>
  <si>
    <t>Al consultar los destinos la cuenta no se encuentra registrada</t>
  </si>
  <si>
    <t xml:space="preserve">Cree un destino Autorizante
Administración única
Usuario Autorizante
Muestre resultados
</t>
  </si>
  <si>
    <t>Empresa a utilizar  CR
Destino CR</t>
  </si>
  <si>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cuenta origen CR
No le debe permitir el registro de Empresa a utilizar sea la misma que país destino
</t>
  </si>
  <si>
    <t>No permite continuar con el proceso, para crear un destino debe ser país diferente al beneficiario</t>
  </si>
  <si>
    <t>Cree un destino 
Usuario Autorizante
Administración Único
Inscripción Exitosa
Cuenta destino Ahorro</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</si>
  <si>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SV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6 correos diferentes para compartir el detalle de la transacción. </t>
    </r>
  </si>
  <si>
    <t>Cree un destino 
Usuario Autorizante
Administración Único
Inscripción Exitosa
Cuenta destino Corriente</t>
  </si>
  <si>
    <t>Empresa a utilizar CR
Destino PA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</si>
  <si>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PA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3 correos diferentes para compartir el detalle de la transacción. </t>
    </r>
  </si>
  <si>
    <t>Empresa a utilizar PA
Destino SV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</si>
  <si>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SV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4 correos diferentes para compartir el detalle de la transacción. </t>
    </r>
  </si>
  <si>
    <t>Empresa a utilizar PA
Destino CR-Cuenta Maestra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</si>
  <si>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CR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4 correos diferentes para compartir el detalle de la transacción. </t>
    </r>
  </si>
  <si>
    <t>Empresa a utilizar PA
Destino HN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</si>
  <si>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HN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1 correos diferentes para compartir el detalle de la transacción. </t>
    </r>
  </si>
  <si>
    <t>Cree un destino 
Usuario Administrador
Administración Único
Inscripción Exitosa
Cuenta destino Corriente</t>
  </si>
  <si>
    <t>Empresa a utilizar HN
Destino SV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</si>
  <si>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SV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1 correos diferentes para compartir el detalle de la transacción. </t>
    </r>
  </si>
  <si>
    <t>Cree un destino 
Usuario Administrador
Administración Único
Inscripción Exitosa
Cuenta destino Ahorro</t>
  </si>
  <si>
    <t>Empresa a utilizar HN
Destino CR-Cuenta Maestra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</si>
  <si>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CR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2 correos diferentes para compartir el detalle de la transacción. </t>
    </r>
  </si>
  <si>
    <t>Empresa a utilizar HN
Destino PA
Cuenta destino debe estar activa 
Debe validado Ok en lista el destino</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</si>
  <si>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PA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2  correos diferentes para compartir el detalle de la transacción. </t>
    </r>
  </si>
  <si>
    <t>Crear destinos - OP
Administración única
Usuario Operador crea la solicitud
Solicitar autorización de solitud</t>
  </si>
  <si>
    <t>Usuario Operador cree un destino nuevo
Empresa origen  diferente al destino
Destino PA</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</si>
  <si>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PA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2  correos diferentes para compartir el detalle de la transacción. </t>
    </r>
  </si>
  <si>
    <r>
      <rPr>
        <rFont val="Arial"/>
        <color theme="1"/>
      </rPr>
      <t>Confirmación: Una vez el usuario de clic a “confirmar” se debe actualizar la pantalla y sobre poner una opción en donde a el usuario le permite ingresar el código de confirmación, este espacio únicamente debe permitir ingresar números, adicional debe tener un botón de “Cancelar”  y un botón de “Aprobar” una vez el usuario de clic debe validar el código ingresado y mostrará la siguiente mensajería según aplique.
Seleccionar Aprobar el mensaje que debe mostrar es "</t>
    </r>
    <r>
      <rPr>
        <rFont val="Arial"/>
        <b/>
        <color theme="1"/>
      </rPr>
      <t>Pendiente "</t>
    </r>
    <r>
      <rPr>
        <rFont val="Arial"/>
        <color theme="1"/>
      </rPr>
      <t xml:space="preserve">
El registro se visualiza desde la opción de Consulta y debe visualizar que el detalle muestre la información ingresada
Debe Solicitar al usuario autorizante dicha aprobación</t>
    </r>
  </si>
  <si>
    <t xml:space="preserve"> 
Usuario Autorizante 
Cliente Administración única
Autorizar  la gestión de creación
Aprobación exitosa</t>
  </si>
  <si>
    <t>El usuario posee perfil de Autorizantes sobre el país dominio de la solicitud</t>
  </si>
  <si>
    <t xml:space="preserve">Seleccionar el menú de Autorización 
Seleccionar Consultar según las fechas de la solicitud
</t>
  </si>
  <si>
    <t xml:space="preserve">
Muestra los resultados de los registros- 
Debe seleccionar el destino pendiente de Aprobación </t>
  </si>
  <si>
    <t>Debe visualizar las opciones de Autorizar o Rechazar adicionalmente debe motrar el detalle de la solicitud ejecutada previamente 
Novedad Finaliza:
Si el esquema de firma finaliza con la autorización del usuario, se actualiza la pantalla y el canal debe informar el estado así:  
Creación Exitosa: 
Título: Creación de destino exitosa: 
Información de la operación: 
Estado: “Aprobada”
Fecha y Hora creación: Se debe presentar la hora y fecha en la que se grabó la novedad.
Número de Transacción: Se debe mostrar el número único de identificación de la novedad.
Adicional esta pantalla debe tener los siguientes accionables:
Finalizar: Al dar clic actualiza la pantalla y lo redirecciona al Home. 
Crear otro destino: Al dar clic lo redirecciona al primer paso para la creación.</t>
  </si>
  <si>
    <t>Solicitará que el usuario ingrese Clave Dinámica del Token
Novedad Finaliza:
Si el esquema de firma finaliza con la autorización del usuario,
La gestión debe quedar Aprobada y podra consultar el nuevo registro desde el menú de consulta destinos</t>
  </si>
  <si>
    <t>Crear destinos - OP
Administración única
Usuario Operador crea la solicitud
Solicitar Rechazo de solitud</t>
  </si>
  <si>
    <t>Usuario Operador cree un destino nuevo
Empresa origen  diferente al destino
Destino HN- Cuenta en Lempiras</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</si>
  <si>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HN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2  correos diferentes para compartir el detalle de la transacción. </t>
    </r>
  </si>
  <si>
    <r>
      <rPr>
        <rFont val="Arial"/>
        <color theme="1"/>
      </rPr>
      <t>Confirmación: Una vez el usuario de clic a “confirmar” se debe actualizar la pantalla y sobre poner una opción en donde a el usuario le permite ingresar el código de confirmación, este espacio únicamente debe permitir ingresar números, adicional debe tener un botón de “Cancelar”  y un botón de “Aprobar” una vez el usuario de clic debe validar el código ingresado y mostrará la siguiente mensajería según aplique.
Seleccionar Aprobar el mensaje que debe mostrar es "</t>
    </r>
    <r>
      <rPr>
        <rFont val="Arial"/>
        <b/>
        <color theme="1"/>
      </rPr>
      <t>Pendiente "</t>
    </r>
    <r>
      <rPr>
        <rFont val="Arial"/>
        <color theme="1"/>
      </rPr>
      <t xml:space="preserve">
El registro se visualiza desde la opción de Consulta y debe visualizar que el detalle muestre la información ingresada
Debe Solicitar al usuario autorizante dicha aprobación</t>
    </r>
  </si>
  <si>
    <t xml:space="preserve"> 
Usuario Autorizante 
Cliente Administración única
Autorizar  la gestión de creación
Rechazo exitoso</t>
  </si>
  <si>
    <t xml:space="preserve">Usuario se le presenta 2 gestiones 
"Aprobar "
"Rechazar" </t>
  </si>
  <si>
    <t>Solicitará que el usuario ingrese Clave Dinámica del Token
Seleccionar Rechazar y debe mostrar un campo donde permita ingresar un motivo completar con Caso No.55
Validar que el registro destino autorizado no exista</t>
  </si>
  <si>
    <t>Realice la Creación de registro individual
Administración Cliente Dual
Usuario Operador
Cliente registra nuevo destino 
Pendiente de aprobación</t>
  </si>
  <si>
    <t>El usuario posee permisos para crear destinos 
Dominio de 1 o varios países 
Perfil únicamente de Creación</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</si>
  <si>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PA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1correo para compartir el detalle de la transacción. </t>
    </r>
  </si>
  <si>
    <r>
      <rPr>
        <rFont val="Arial"/>
        <color theme="1"/>
      </rPr>
      <t>Confirmación: Una vez el usuario de clic a “confirmar” se debe actualizar la pantalla y sobre poner una opción en donde a el usuario le permite ingresar el código de confirmación, este espacio únicamente debe permitir ingresar números, adicional debe tener un botón de “Cancelar”  y un botón de “Aprobar” una vez el usuario de clic debe validar el código ingresado y mostrará la siguiente mensajería según aplique.
Seleccionar Aprobar el mensaje que debe mostrar es "</t>
    </r>
    <r>
      <rPr>
        <rFont val="Arial"/>
        <b/>
        <color theme="1"/>
      </rPr>
      <t>Pendiente "</t>
    </r>
    <r>
      <rPr>
        <rFont val="Arial"/>
        <color theme="1"/>
      </rPr>
      <t xml:space="preserve">
El registro se visualiza desde la opción de Consulta y debe visualizar que el detalle muestre la información ingresada
Debe Solicitar al usuario autorizante dicha aprobación</t>
    </r>
  </si>
  <si>
    <t xml:space="preserve">Autorizar la creación
Administración Cliente Dual
Usuario Autorizante 1° Nivel
Pendiente de aprobación </t>
  </si>
  <si>
    <t xml:space="preserve">Usuario Autorizante con permisos de dominio países multiples
</t>
  </si>
  <si>
    <r>
      <rPr>
        <rFont val="Arial"/>
        <color theme="1"/>
      </rPr>
      <t>Confirmación: Una vez el usuario de clic a “confirmar” se debe actualizar la pantalla y sobre poner una opción en donde a el usuario le permite ingresar el código de confirmación, este espacio únicamente debe permitir ingresar números, adicional debe tener un botón de “Cancelar”  y un botón de “Aprobar” una vez el usuario de clic debe validar el código ingresado y mostrará la siguiente mensajería según aplique.
Seleccionar Aprobar el mensaje que debe mostrar es "</t>
    </r>
    <r>
      <rPr>
        <rFont val="Arial"/>
        <b/>
        <color theme="1"/>
      </rPr>
      <t>Pendiente "</t>
    </r>
    <r>
      <rPr>
        <rFont val="Arial"/>
        <color theme="1"/>
      </rPr>
      <t xml:space="preserve">
El registro se visualiza desde la opción de Consulta y debe visualizar que el detalle muestre la información ingresada
Debe Solicitar al usuario autorizante dicha aprobación</t>
    </r>
  </si>
  <si>
    <t>Autorizar la creación
Administración Cliente Dual
Usuario Autorizante 2 Nivel  
Aprobación exitosa</t>
  </si>
  <si>
    <t xml:space="preserve">Confirmación: Una vez el usuario de clic a “confirmar” se debe actualizar la pantalla y sobre poner una opción en donde a el usuario le permite ingresar el código de confirmación, este espacio únicamente debe permitir ingresar números, adicional debe tener un botón de “Cancelar”  y un botón de “Aprobar” una vez el usuario de clic debe validar el código ingresado y mostrará la siguiente mensajería según aplique.
</t>
  </si>
  <si>
    <t>Realice la eliminación de registro individual
Administración Cliente Dual
Usuario Operador
Cliente posea registros nuevos creados previamente (no migrados)
Pendiente de aprobación</t>
  </si>
  <si>
    <t>Usuario poseea permisos de creador 
Dominio de destinos de varios países</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</si>
  <si>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PA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en blanco el espacio 
Visualice en esta etapa 
- Nombre Alias o Producto
- Número de producto enmascarado.
- Divisa apertura. 
Posterior nuevamente se habilita el botón de “Continuar”
Seleccionar </t>
    </r>
    <r>
      <rPr>
        <rFont val="Arial"/>
        <b/>
        <color theme="1"/>
      </rPr>
      <t xml:space="preserve">Continuar
Una vez que el cliente haya ingresado toda la información necesaria y esté satisfecho con los datos proporcionados, debe haber un botón claramente visible para “Continuar”  y regresar.
</t>
    </r>
    <r>
      <rPr>
        <rFont val="Arial"/>
        <color theme="1"/>
      </rPr>
      <t>Etapa 3</t>
    </r>
    <r>
      <rPr>
        <rFont val="Arial"/>
        <b/>
        <color theme="1"/>
      </rPr>
      <t xml:space="preserve">
</t>
    </r>
    <r>
      <rPr>
        <rFont val="Arial"/>
        <color theme="1"/>
      </rPr>
      <t xml:space="preserve">Ingrese el correos para la notificación: 
Título: Correos para la notificación
Elemento para regresar.
Descripción: Ingrese máximo 2 correos diferentes para compartir el detalle de la transacción. </t>
    </r>
  </si>
  <si>
    <r>
      <rPr>
        <rFont val="Arial"/>
        <color theme="1"/>
      </rPr>
      <t>Confirmación: Una vez el usuario de clic a “confirmar” se debe actualizar la pantalla y sobre poner una opción en donde a el usuario le permite ingresar el código de confirmación, este espacio únicamente debe permitir ingresar números, adicional debe tener un botón de “Cancelar”  y un botón de “Aprobar” una vez el usuario de clic debe validar el código ingresado y mostrará la siguiente mensajería según aplique.
Seleccionar Aprobar el mensaje que debe mostrar es "</t>
    </r>
    <r>
      <rPr>
        <rFont val="Arial"/>
        <b/>
        <color theme="1"/>
      </rPr>
      <t>Pendiente "</t>
    </r>
    <r>
      <rPr>
        <rFont val="Arial"/>
        <color theme="1"/>
      </rPr>
      <t xml:space="preserve">
El registro se visualiza desde la opción de Consulta y debe visualizar que el detalle muestre la información ingresada
Debe Solicitar al usuario autorizante dicha aprobación</t>
    </r>
  </si>
  <si>
    <t>Autorizar la eliminación
Administración Cliente Dual
Usuario Autorizante 1° Nivel
Pendiente de aprobación la eliminación</t>
  </si>
  <si>
    <t>Seleccionar Aprobar el mensaje que debe mostrar es "Pendiente</t>
  </si>
  <si>
    <t>Confirmación: Una vez el usuario de clic a “confirmar” se debe actualizar la pantalla y sobre poner una opción en donde a el usuario le permite ingresar el código de confirmación, este espacio únicamente debe permitir ingresar números, adicional debe tener un botón de “Cancelar”  y un botón de “Aprobar” una vez el usuario de clic debe validar el código ingresado y mostrará la siguiente mensajería según aplique.</t>
  </si>
  <si>
    <t>Autorizar la eliminación
Administración Cliente Dual
Usuario Autorizante 2 Nivel  
Eliminación  exitosa</t>
  </si>
  <si>
    <t xml:space="preserve">Eliminación Finaliza:  Una vez de clic a la novedad el canal en la parte superior  presentará el siguiente mensaje: “Eliminación exitosa” y desaparecerá el registro de la consulta, en los logs debe quedar la traza de la eliminación. </t>
  </si>
  <si>
    <t>Solicitará que el usuario ingrese Clave Dinámica del Token
Novedad Finaliza:
Si el esquema de firma finaliza con la autorización del usuario,
La gestión debe quedar Aprobada y podra consultar el la eliminación de registro desde el menú de consulta destinos</t>
  </si>
  <si>
    <t xml:space="preserve">Cree un destino 
Usuario Autorizante
Administración Único
Inscripción Exitosa
Cuenta destino Ahorro
</t>
  </si>
  <si>
    <t>Empresa a utilizar PA
Destino HN
Cuenta destino debe estar activa 
Debe validado Ok en lista el destino
Grupo Regional debe estar marcado como  “destinos autorizados con cuenta origen"
Cuenta origen y destino pueden estar vinculadas previamente de forma exitosa</t>
  </si>
  <si>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HN cuenta en Lempiras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Colocar el nombre de Alias para diferenciar el registro puede ser Longitud de 25 caracteres
Visualice en esta etapa 
- Nombre Alias o Producto
- Número de producto enmascarado.
- Divisa apertura. 
Posterior nuevamente se habilita el botón de “Continuar”
Seleccionar Continuar
Una vez que el cliente haya ingresado toda la información necesaria y esté satisfecho con los datos proporcionados, debe haber un botón claramente visible para “Continuar”  y regresar.
</t>
  </si>
  <si>
    <t>Muestra una pantalla de Origen con el botón de regresar "&gt;"
País Origen 
Empresa: Seleccionar la empresa individual
Valique que al no seleccionar ninguno de los campos no se activa el botón continuar
Valide País se muestre Listado desplegable de las opciones de Panamá , Costa Rica, Honduras y El Salvador pero únicamente se excluya el país de la empresa seleccionada.
Empresa: Muestra el listado de empresa que se han consolidado para el caso de Holding o de empresa especifica muestra la información puntual.
Elija el tipo de cuenta: Teniendo en cuenta el país origen se habilita una opción que permite ingresar el tipo de cuenta  ejemplo: Ahorros- Ahorros-Maestra, Corriente</t>
  </si>
  <si>
    <t xml:space="preserve">Seleccione País : Panamá
Empresa: Selecciona empresa de Pa que tenga cuenta en USD
Elija tipo de cuenta Ahorros 
Seleccione la cuenta origen tipo USD
En el cuadro Resumen se validará 
Nombre
Número de cuenta
Divisas
Debe habilitar un elemento que permita "editar" la información al dar clic vuelve a la opción para realizar la selección del producto origen .
Se muestra activo el botón continuar.
Etapa 3
Ingrese el correos para la notificación:  Máximo de 60 caracteres
Título: Correos para la notificación
Elemento para regresar.
Descripción: Ingrese máximo 2 correos diferentes para compartir el detalle de la transacción. "
Se debe seleccionar Continuar </t>
  </si>
  <si>
    <t>Confirmación : Una vez el usuario de clic a esta opción debe actualizar la pantalla e informar que el usuario se encuentra en el track de  “confirmación”, en esta sección se deben mostrar los siguientes campos de salida. 
En este punto no se puede modificar la información ingresada en el paso anterior, si el usuario desea modificar algún dato debe dar clic en el botón “Regresar” donde podrá editar, en esta pantalla se debe mostrar la siguiente información de manera no editable.
Clave dinámica : Ingresar una clave dinámica , valida y seleccionar Continuar 
Una vez el usuario de clic para confirmar el canal debe mostrar mensaje Estado: “Aprobada”
Fecha y Hora creación: Se debe presentar la hora y fecha en la que se grabó la novedad.
Número de Transacción: Se debe mostrar el número único de identificación de la novedad.
Adicional esta pantalla debe tener los siguientes accionables:
Finalizar - Crear nuevo - Comprobante</t>
  </si>
  <si>
    <t xml:space="preserve">Cree un destino 
Usuario Autorizante
Administración Único
Inscripción NO Exitosa
Cuenta destino ya se encuentra registrada 
</t>
  </si>
  <si>
    <t>Empresa a utilizar PA
Destino HN
Cuenta destino debe estar activa 
Debe validado Ok en lista el destino
Grupo Regional debe estar marcado como  “destinos autorizados con cuenta origen"
Utilizar una cuenta origen y destino ya vinculadas previamente</t>
  </si>
  <si>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HN cuenta en Lempiras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Colocar el nombre de Alias para diferenciar el registro puede ser Longitud de 25 caracteres
Visualice en esta etapa 
- Nombre Alias o Producto
- Número de producto enmascarado.
- Divisa apertura. 
Posterior nuevamente se habilita el botón de “Continuar”
Seleccionar Continuar
Una vez que el cliente haya ingresado toda la información necesaria y esté satisfecho con los datos proporcionados, debe haber un botón claramente visible para “Continuar”  y regresar.
</t>
  </si>
  <si>
    <t>Seleccione País : Panamá
Empresa: Selecciona empresa de Pa que tenga cuenta en USD
Elija tipo de cuenta Ahorros 
Seleccione la cuenta origen tipo USD
En el cuadro Resumen se validará 
Nombre
Número de cuenta
Divisas
Debe habilitar un elemento que permita "editar" la información al dar clic vuelve a la opción para realizar la selección del producto origen .
Se muestra activo el botón continuar.
Muestra un mensaje de Error.</t>
  </si>
  <si>
    <t>Al presionar continuar se valida un mensaje de error
Si la cuenta destino ya está registrada se debe mostrar el mensaje “Cuenta destino registrada, Esta cuenta ya se encuentra asignada como un destino. Asigne una nuevo”
No permite continuar con el proceso
Inscripción Fallida</t>
  </si>
  <si>
    <t xml:space="preserve">Cree un destino 
Usuario Autorizante
Administración Único
Inscripción NO Exitosa
Cuenta destino Ahorro porque ninguna de las monedas es USD
</t>
  </si>
  <si>
    <t>Empresa a utilizar HN -Cuenta en Lempiras
Destino CR- Colones Ticos Ahorro Maestro
Cuenta destino debe estar activa 
Debe validado Ok en lista el destino
Grupo Regional debe estar marcado como  “destinos autorizados con cuenta origen"</t>
  </si>
  <si>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CR cuenta en Colones Ticos  Tipo cuenta Ahorro -maestro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Colocar el nombre de Alias para diferenciar el registro puede ser Longitud de 25 caracteres
Visualice en esta etapa 
- Nombre Alias o Producto
- Número de producto enmascarado.
- Divisa apertura. 
Posterior nuevamente se habilita el botón de “Continuar”
Seleccionar Continuar
Una vez que el cliente haya ingresado toda la información necesaria y esté satisfecho con los datos proporcionados, debe haber un botón claramente visible para “Continuar”  y regresar.
</t>
  </si>
  <si>
    <t xml:space="preserve">Muestra una pantalla de Origen con el botón de regresar "&gt;"
País Origen 
Empresa: Seleccionar la empresa individual
Valique que al no seleccionar ninguno de los campos no se activa el botón continuar
Valide País se muestre Listado desplegable de las opciones de Panamá , Costa Rica, Honduras y El Salvador pero únicamente se excluya el país de la empresa seleccionada.
Empresa: Muestra el listado de empresa que se han consolidado para el caso de Holding o de empresa especifica muestra la información puntual.
Elija el tipo de cuenta: Teniendo en cuenta el país origen se habilita una opción que permite ingresar el tipo de cuenta  ejemplo: Ahorros- Ahorros-Maestra, Corriente
</t>
  </si>
  <si>
    <r>
      <rPr>
        <rFont val="Arial"/>
        <color theme="1"/>
      </rPr>
      <t xml:space="preserve">Seleccione País : Honduras
Empresa: Selecciona empresa de HN que tenga cuenta en USD
Elija tipo de cuenta Ahorros en Lempiras
</t>
    </r>
    <r>
      <rPr>
        <rFont val="Arial"/>
        <b/>
        <color theme="1"/>
      </rPr>
      <t>Si en el paso 1, el canal identifica que la cuenta destino ingresada es en una moneda diferente a dólar americano, en este punto el canal únicamente debe mostrar productos con cuenta origen en dólar americano teniendo en cuenta la regla de traslados que una de las puntas debe ser en USD.</t>
    </r>
    <r>
      <rPr>
        <rFont val="Arial"/>
        <color theme="1"/>
      </rPr>
      <t xml:space="preserve"> </t>
    </r>
  </si>
  <si>
    <t>No permite continuar con el proceso
Inscripción Fallida</t>
  </si>
  <si>
    <t>Cree un destino 
Usuario Autorizante
Administración Único
Cuenta destino se encuentra en lista
Inscripción NO Exitosa</t>
  </si>
  <si>
    <t>Empresa a utilizar SV -Cuenta en USD
Destino CR- Colones Ticos Ahorro Maestro
Cuenta destino debe estar activa 
Debe validado en lista
Grupo Regional debe estar marcado como  “destinos autorizados con cuenta origen"</t>
  </si>
  <si>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CR
Ingrese el número de cuenta: Espacio en el cual el usuario podrá ingresar alfanuméricamente hasta 22 caracteres. 
Ingrese el número de cuenta válida
</t>
  </si>
  <si>
    <t>No puede continuar con el proceso
Debe presentar un mensaje de Error en pantalla indicando que no se puede inscribir
Puede seleccionar el botón de regresar para editar y colocar una cuenta valida o Finalizar la prueba</t>
  </si>
  <si>
    <t>Cuenta ingresada se encuentre en lista</t>
  </si>
  <si>
    <t>Cree un destino 
Usuario Autorizante
Administración Único
Cuenta destino no existe- incompleta
Inscripción NO Exitosa</t>
  </si>
  <si>
    <t>Empresa a utilizar SV -Cuenta en USD
Destino PA- Corriente
Cuenta destino debe estar activa 
Debe validado en lista
Grupo Regional debe estar marcado como  “destinos autorizados con cuenta origen"</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</si>
  <si>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PA
Ingrese el número de cuenta: Espacio en el cual el usuario podrá ingresar alfanuméricamente hasta 22 caracteres. 
</t>
    </r>
    <r>
      <rPr>
        <rFont val="Arial"/>
        <b/>
        <color theme="1"/>
      </rPr>
      <t xml:space="preserve">Ingrese el número de cuenta No activa 
Cuenta con longitud correcta </t>
    </r>
    <r>
      <rPr>
        <rFont val="Arial"/>
        <color theme="1"/>
      </rPr>
      <t xml:space="preserve"> &gt; Visualice el botón Activo de  Continuar 
</t>
    </r>
  </si>
  <si>
    <t>No puede continuar con el proceso
Debe presentar un mensaje de Error en pantalla indicando que no se puede inscribir
Puede seleccionar el botón de regresar para editar y colocar una cuenta valida o Finalizar la prueba.
Cuenta destino no existe y el canal solicita al usuario revisar la cuenta ingresada. mensajería: "Cuenta destino no existe, verifique los datos ingresados"</t>
  </si>
  <si>
    <t>Cuenta en estado diferente  " Activa"</t>
  </si>
  <si>
    <t>Cree un destino 
Usuario Autorizante
Administración Único
Cuenta destino no existe
Inscripción NO Exitosa</t>
  </si>
  <si>
    <t>Empresa a utilizar HN -Cuenta en USD
Destino SV- Corriente
Cuenta destino debe estar activa 
Debe validado en lista
Grupo Regional debe estar marcado como  “destinos autorizados con cuenta origen"</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</si>
  <si>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SV
Ingrese el número de cuenta: Espacio en el cual el usuario podrá ingresar alfanuméricamente hasta 22 caracteres. 
</t>
    </r>
    <r>
      <rPr>
        <rFont val="Arial"/>
        <b/>
        <color theme="1"/>
      </rPr>
      <t xml:space="preserve">Ingrese el número de cuenta incompleta
Cuenta con longitud incorrecta </t>
    </r>
    <r>
      <rPr>
        <rFont val="Arial"/>
        <color theme="1"/>
      </rPr>
      <t xml:space="preserve">
Visualice el botón Activo de  Continuar</t>
    </r>
  </si>
  <si>
    <t xml:space="preserve">No puede continuar con el proceso
Debe presentar un mensaje de Error en pantalla indicando que no se puede inscribir
Puede seleccionar el botón de regresar para editar y colocar una cuenta valida o Finalizar la prueba.
Cuenta destino" está vacío o es inválido muestra mensaje: “Número incorrecto o incompleto”
</t>
  </si>
  <si>
    <t>Cuenta en incompleta de acuerdo a la concatenación del pais destino</t>
  </si>
  <si>
    <t>Cree un destino 
Usuario Autorizante
Administración Único
Cuenta origen en estado diferente a Activa
Inscripción NO Exitosa</t>
  </si>
  <si>
    <t>Empresa a utilizar CR
Destino PA
Cuenta destino debe estar activa 
Debe validado Ok en lista el destino
Grupo Regional debe estar marcado como  “destinos autorizados con cuenta origen"
Utilizar una cuenta origen y destino ya vinculadas previamente</t>
  </si>
  <si>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PA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Colocar el nombre de Alias para diferenciar el registro puede ser Longitud de 25 caracteres
Visualice en esta etapa 
- Nombre Alias o Producto
- Número de producto enmascarado.
- Divisa apertura. 
Posterior nuevamente se habilita el botón de “Continuar”
Seleccionar Continuar
Una vez que el cliente haya ingresado toda la información necesaria y esté satisfecho con los datos proporcionados, debe haber un botón claramente visible para “Continuar”  y regresar.
</t>
  </si>
  <si>
    <r>
      <rPr>
        <rFont val="Arial"/>
        <color theme="1"/>
      </rPr>
      <t xml:space="preserve">Seleccione País : Costa Rica
Empresa: Selecciona empresa de Pa que tenga cuenta en USD
Elija tipo de cuenta Ahorros 
</t>
    </r>
    <r>
      <rPr>
        <rFont val="Arial"/>
        <b/>
        <color theme="1"/>
      </rPr>
      <t>Seleccione la cuenta origen tipo USD- que se encuentra en otro estado de "Activa" puede ser controlada, Inactiva</t>
    </r>
    <r>
      <rPr>
        <rFont val="Arial"/>
        <color theme="1"/>
      </rPr>
      <t xml:space="preserve">
En el cuadro Resumen se validará 
Nombre
Número de cuenta
Divisas
Debe habilitar un elemento que permita "editar" la información al dar clic vuelve a la opción para realizar la selección del producto origen .
Se muestra activo el botón continuar.
Muestra un mensaje de Error.</t>
    </r>
  </si>
  <si>
    <r>
      <rPr>
        <rFont val="Arial"/>
        <color theme="1"/>
      </rPr>
      <t xml:space="preserve">Cree un destino 
Usuario Autorizante
Administración Único
Inscripción Exitosa
Cuenta destino Ahorro y utilizar editar para modificar la cuenta final </t>
    </r>
    <r>
      <rPr>
        <rFont val="Arial"/>
        <b/>
        <color theme="1"/>
      </rPr>
      <t>Corriente</t>
    </r>
    <r>
      <rPr>
        <rFont val="Arial"/>
        <color theme="1"/>
      </rPr>
      <t xml:space="preserve">
</t>
    </r>
  </si>
  <si>
    <t xml:space="preserve">Empresa a utilizar PA
Destino CR
Cuenta destino debe estar activa 
Debe validado Ok en lista el destino
Grupo Regional debe estar marcado como  “destinos autorizados con cuenta origen"
</t>
  </si>
  <si>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CR cuenta en Colones Ticos -Ahorros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Colocar el nombre de Alias para diferenciar el registro puede ser Longitud de 25 caracteres
Visualice en esta etapa 
- Nombre Alias o Producto
- Número de producto enmascarado.
- Divisa apertura. 
Posterior nuevamente se habilita el botón de “Continuar”
Seleccionar Continuar
Una vez que el cliente haya ingresado toda la información necesaria y esté satisfecho con los datos proporcionados, debe haber un botón claramente visible para “Continuar”  y regresar.
</t>
  </si>
  <si>
    <r>
      <rPr>
        <rFont val="Arial"/>
        <color theme="1"/>
      </rPr>
      <t xml:space="preserve">Seleccione País : Panamá
Empresa: Selecciona empresa de Pa que tenga cuenta en USD
Elija tipo de cuenta Ahorros 
Seleccione la cuenta origen tipo USD
En el cuadro Resumen se validará 
Nombre
Número de cuenta
Divisas
Debe habilitar un elemento que permita "editar" la información al dar clic vuelve a la opción para realizar la selección del producto origen .
Se muestra activo el botón continuar.
</t>
    </r>
    <r>
      <rPr>
        <rFont val="Arial"/>
        <b/>
        <color theme="1"/>
      </rPr>
      <t>Se debe seleccionar Editar y debe regresar al paso 1 se debe cambiar el tipo de cuenta e ingresar una cuenta Corriente del mismo país destino Luego continuar con los pasos hasta la etapa 3</t>
    </r>
    <r>
      <rPr>
        <rFont val="Arial"/>
        <color theme="1"/>
      </rPr>
      <t xml:space="preserve">
Etapa 3
Ingrese el correos para la notificación:  Máximo de 60 caracteres
Título: Correos para la notificación
Elemento para regresar.
Descripción: Ingrese máximo 2 correos diferentes para compartir el detalle de la transacción. "
Se debe seleccionar Continuar </t>
    </r>
  </si>
  <si>
    <t>Cree un destino 
Usuario Operador 
Administración Único
Inscripción Pendiente Autorización 
Cuenta destino Ahorro Personas</t>
  </si>
  <si>
    <t xml:space="preserve">Empresa a utilizar HN
Destino CR
Cuenta destino debe estar activa 
Debe validado Ok en lista el destino
Grupo Regional debe estar marcado como  “destinos autorizados con cuenta origen"
</t>
  </si>
  <si>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CR cuenta en Euros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Colocar el nombre de Alias para diferenciar el registro puede ser Longitud de 25 caracteres
Visualice en esta etapa 
- Nombre Alias o Producto
- Número de producto enmascarado.
- Divisa apertura. 
Posterior nuevamente se habilita el botón de “Continuar”
Seleccionar Continuar
Una vez que el cliente haya ingresado toda la información necesaria y esté satisfecho con los datos proporcionados, debe haber un botón claramente visible para “Continuar”  y regresar.
</t>
  </si>
  <si>
    <t xml:space="preserve">Seleccione País : Honduras
Empresa: Selecciona empresa de Pa que tenga cuenta en USD
Elija tipo de cuenta Ahorros 
Seleccione la cuenta origen tipo USD
En el cuadro Resumen se validará 
Nombre
Número de cuenta
Divisas
Debe habilitar un elemento que permita "editar" la información al dar clic vuelve a la opción para realizar la selección del producto origen .
Se muestra activo el botón continuar.
Etapa 3
Ingrese el correos para la notificación:  Máximo de 60 caracteres
Título: Correos para la notificación
Elemento para regresar.
Descripción: Ingrese máximo 3 correos diferentes para compartir el detalle de la transacción. "
Se debe seleccionar Continuar </t>
  </si>
  <si>
    <t xml:space="preserve">Confirmación : Una vez el usuario de clic a esta opción debe actualizar la pantalla e informar que el usuario se encuentra en el track de  “confirmación”, en esta sección se deben mostrar los siguientes campos de salida. 
En este punto no se puede modificar la información ingresada en el paso anterior, si el usuario desea modificar algún dato debe dar clic en el botón “Regresar” donde podrá editar, en esta pantalla se debe mostrar la siguiente información de manera no editable.
Clave dinámica : Ingresar una clave dinámica , valida y seleccionar Continuar 
Una vez el usuario de clic para confirmar el canal debe mostrar mensaje Estado: “Pendiente”
Se muestra la información del registro </t>
  </si>
  <si>
    <t>Autorizar la creación
Administración Cliente único
Usuario Autorizante 1  
Aprobación exitosa</t>
  </si>
  <si>
    <t xml:space="preserve">Grupo Regional debe estar marcado como  “destinos autorizados con cuenta origen"
Usuario Autorizante con permisos de dominio países multiples
</t>
  </si>
  <si>
    <t xml:space="preserve">
Muestra los resultados de los registros- 
Debe seleccionar el destino pendiente de Aprobación 
Debe seleccionar Cuenta destino CR cuenta origen HN</t>
  </si>
  <si>
    <t xml:space="preserve">Consulta de Destinos autorizados 
Usuario Operador
Administración Cliente único
Cliente posea registros terceros de 1 o varios países
Muestre resultados
Realice la descarga de 1 registro </t>
  </si>
  <si>
    <t>Grupo Regional debe estar marcado como  “destinos autorizados con cuenta origen" 
Permiso unicamente de creador para el usuario
Debe de tener más de 55 registros pueden ser de diferentes países</t>
  </si>
  <si>
    <t>En el resultado debe mostrar las siguientes opciones:
+Buscar
+Filtrar
+Descargar reporte
Muestra los resultados de los registros
Seleccione 1 registro
Muestra el detalle del tercero 
Seleccione dentro del detalle la opción de descargar</t>
  </si>
  <si>
    <t xml:space="preserve">Al ingresar al detalle del registro debe mostrarse los botones 
Destacar-Estrella
Editar- Lápiz
Nube: Descargar
Eliminar: Basurero
Seleccionar Descargar 
Formato de seleccionar .PDF
Al descargar el registro se muestra el resultado en un archivo de PDF con la información de todos los campos </t>
  </si>
  <si>
    <t xml:space="preserve">Comprobante: Esta opción permite realizar la descarga de la información del destino autorizado registrado como se visualiza en pantalla,  el usuario debe seleccionar el tipo de formato (Excel y/o  PDF)  el formato de PDF vendrá por default, y el archivo debe descargarse al navegador y el usuario debe seleccionar si lo guarda o lo abre. 
En caso que la descarga no se pueda generar por algún error se debe presentar mensaje: “Error en descarga intente más tarde”  
PDF    (.pdf)
En el formato en PDF en canal debe mostrar el Nombre del banco en la parte superior y el contenido de la consulta en la parte inferior de manera ordenada y clara.
Debe mostrar estos Campos en el detalle
Título: Creación de destino exitosa: 
Información de la operación: 
Estado: “Aprobada”
Fecha y Hora creación: Se debe presentar la hora y fecha en la que se grabó la novedad.
Número de Transacción: Se debe mostrar el número único de identificación de la novedad.
Adicional esta pantalla debe tener los siguientes accionables:
Finalizar: Al dar clic actualiza la pantalla y lo redirecciona al Home. 
Crear otro destino: Al dar clic lo redirecciona al primer paso para la creación.
</t>
  </si>
  <si>
    <t xml:space="preserve">Consulta de Destinos autorizados 
Usuario Operador
Administración Cliente único
Cliente posea registros terceros de 1 o varios países
Muestre resultados
Realice la descarga de reporte en formato PDF y Excel
Ejecutar consulta con filtro
Deje ejecutarse una descarga con cada uno de los filtros 
Solamente descargar selección seleccionar más de 15 registros </t>
  </si>
  <si>
    <t>Grupo Regional debe estar marcado como  “destinos autorizados con cuenta origen" 
El cliente se encuentre perfilado como: Validar destinos autorizados, 
Permiso unicamente de creador para el usuario
Debe de tener más de 55 registros pueden ser de diferentes países</t>
  </si>
  <si>
    <t>En el resultado debe mostrar el detalle de la búsqueda.
No seleccionar ningún filtro 
Seleccionar Descargar Reportes</t>
  </si>
  <si>
    <t xml:space="preserve">Seleccione la opción Excel: El sistema generará el archivo como descarga con formato .xls 
Seleccionar la opción de PDF: Sistema generará el archivo como formato .pdf 
</t>
  </si>
  <si>
    <t xml:space="preserve">
En el formato en PDF en canal debe mostrar:
Nombre del banco en la parte superior
Fecha y hora de la descarga en formato dd-mm-aaaa hh:mm am-pm
Titulo: Destinos Autorizados.
Resultado: Contenido de la consulta en la parte inferior de manera ordenada y clara de: país, Nombre del destino completo, Tipo de cuenta, número de cuenta enmascarado y si fue marcado como destacado.  
- En caso que la descarga no se pueda generar por algún error se debe presentar mensaje: “Descarga fallida. Intente más tarde”  
- Si la descarga se realiza de manera satisfactoria actualiza la pantalla e informa en la parte superior “Descarga exitosa”
Si el usuario requiere realizar una descarga masiva debe seleccionar primero los checkbox y cuando tenga seleccionado al menos un registro el canal habilita la opción de “descargar selección”
</t>
  </si>
  <si>
    <t>Autorización 
Usuario Autorizante 
Administración Cliente único
Cliente posea registros terceros de 1 o varios países
Muestre resultados
Autorizar  la eliminación de registro individual
Aprobación exitosa</t>
  </si>
  <si>
    <t xml:space="preserve">Usuario Autorizante 
Grupo Regional debe estar marcado como  “destinos autorizados con cuenta origen" 
Debe poseer permisos para autorizaciones Administrativas en el país donde se realizó la solicitud </t>
  </si>
  <si>
    <r>
      <rPr>
        <rFont val="Arial"/>
        <color theme="1"/>
      </rPr>
      <t xml:space="preserve">Eliminación Finaliza:  Una vez de clic a la novedad el canal en la parte superior  presentará el siguiente mensaje: “Eliminación exitosa” y desaparecerá el registro de la consulta, en los logs debe quedar la traza de la eliminación. 
El canal debe mostrar un elemento en la parte superior que le permita al usuario deshacer la solicitud de eliminación, similar a la funcionalidad de eliminar un correo electrónico, la duración debe durar 10 segundos los cuales deben ser parametrizables, al dar clic en deshacer el canal elimina la solicitud y restablece los valores, esta funcionalidad únicamente aplica para cuando el esquema de firma permite al usuario autogestionar y no depende de una siguiente autorización.  
</t>
    </r>
    <r>
      <rPr>
        <rFont val="Arial"/>
        <b/>
        <color theme="1"/>
      </rPr>
      <t>Validar que visualice el botón deshacer</t>
    </r>
  </si>
  <si>
    <t xml:space="preserve">Cree un destino 
Usuario Autorizante
Administración Dual
Inscripción Exitosa-Pendiente de aprobación
Cuenta destino Ahorro
</t>
  </si>
  <si>
    <t>Empresa a utilizar CR
Destino SV
Cuenta destino debe estar activa 
Debe validado Ok en lista el destino
Grupo Regional debe estar marcado como  “destinos autorizados con cuenta origen"
Cuenta origen y destino pueden estar vinculadas previamente de forma exitosa</t>
  </si>
  <si>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SV cuenta en USD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
Dejar Colocar el nombre de Alias para diferenciar el registro puede ser Longitud de 25 caracteres
Visualice en esta etapa 
- Nombre Alias o Producto
- Número de producto enmascarado.
- Divisa apertura. 
Posterior nuevamente se habilita el botón de “Continuar”
Seleccionar Continuar
Una vez que el cliente haya ingresado toda la información necesaria y esté satisfecho con los datos proporcionados, debe haber un botón claramente visible para “Continuar”  y regresar.
</t>
  </si>
  <si>
    <t xml:space="preserve">Seleccione País : Costa Rica
Empresa: Selecciona empresa de Pa que tenga cuenta en USD
Elija tipo de cuenta Ahorros -Maestra
Seleccione la cuenta origen tipo CRC
En el cuadro Resumen se validará 
Nombre
Número de cuenta
Divisas
Debe habilitar un elemento que permita "editar" la información al dar clic vuelve a la opción para realizar la selección del producto origen .
Se muestra activo el botón continuar.
Etapa 3
Ingrese el correos para la notificación:  Máximo de 60 caracteres
Título: Correos para la notificación
Elemento para regresar.
Descripción: Ingrese máximo 2 correos diferentes para compartir el detalle de la transacción. "
Se debe seleccionar Continuar </t>
  </si>
  <si>
    <r>
      <rPr>
        <rFont val="Arial"/>
        <color theme="1"/>
      </rPr>
      <t>Confirmación : Una vez el usuario de clic a esta opción debe actualizar la pantalla e informar que el usuario se encuentra en el track de  “confirmación”, en esta sección se deben mostrar los siguientes campos de salida. 
En este punto no se puede modificar la información ingresada en el paso anterior, si el usuario desea modificar algún dato debe dar clic en el botón “Regresar” donde podrá editar, en esta pantalla se debe mostrar la siguiente información de manera no editable.
Clave dinámica : Ingresar una clave dinámica , valida y seleccionar Continuar 
Si la novedad no finaliza con está autorización de acuerdo al esquema de firma definido  el canal debe informar</t>
    </r>
    <r>
      <rPr>
        <rFont val="Arial"/>
        <b/>
        <color theme="1"/>
      </rPr>
      <t>“Pendiente de aprobación</t>
    </r>
    <r>
      <rPr>
        <rFont val="Arial"/>
        <color theme="1"/>
      </rPr>
      <t xml:space="preserve">, La creación del destino se envió para aprobación. Quedará en estado pendiente hasta que el esquema de firmas se complete.” posterior debe mostrar:
Información de la Operación
Estado: será “Pendiente”
Fecha y hora: Se debe presentar la fecha y hora de la creación. 
Número de Transacción: Se debe mostrar el número único de identificación de la novedad.  
El canal habilitará las siguientes opciones:
Finalizar: Al dar clic actualiza la pantalla y lo redirecciona al Home. 
Crear otro destino: Al dar clic lo redirecciona al primer paso para la creación.
</t>
    </r>
  </si>
  <si>
    <t xml:space="preserve">
Muestra los resultados de los registros- 
Debe seleccionar el destino pendiente de Aprobación 
Debe seleccionar Cuenta destino SV cuenta origen CR  ahorro maestra</t>
  </si>
  <si>
    <t xml:space="preserve">Cree un destino 
Usuario Autorizante
Administración Dual
Inscripción NO Exitosa
Cuenta destino ya se encuentra registrada 
</t>
  </si>
  <si>
    <r>
      <rPr>
        <rFont val="Arial"/>
        <color theme="1"/>
      </rPr>
      <t xml:space="preserve">Seleccione País : Honduras
Empresa: Selecciona empresa de HN que tenga cuenta en USD
Elija tipo de cuenta Ahorros en Lempiras
</t>
    </r>
    <r>
      <rPr>
        <rFont val="Arial"/>
        <b/>
        <color theme="1"/>
      </rPr>
      <t>Si en el paso 1, el canal identifica que la cuenta destino ingresada es en una moneda diferente a dólar americano, en este punto el canal únicamente debe mostrar productos con cuenta origen en dólar americano teniendo en cuenta la regla de traslados que una de las puntas debe ser en USD.</t>
    </r>
    <r>
      <rPr>
        <rFont val="Arial"/>
        <color theme="1"/>
      </rPr>
      <t xml:space="preserve"> </t>
    </r>
  </si>
  <si>
    <t>Cree un destino 
Usuario Autorizante
Administración Dual
Cuenta destino se encuentra en lista
Inscripción NO Exitosa</t>
  </si>
  <si>
    <t>Cree un destino 
Usuario Autorizante
Administración Dual
Cuenta destino no existe- incompleta
Inscripción NO Exitosa</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</si>
  <si>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PA
Ingrese el número de cuenta: Espacio en el cual el usuario podrá ingresar alfanuméricamente hasta 22 caracteres. 
</t>
    </r>
    <r>
      <rPr>
        <rFont val="Arial"/>
        <b/>
        <color theme="1"/>
      </rPr>
      <t xml:space="preserve">Ingrese el número de cuenta No activa 
Cuenta con longitud correcta </t>
    </r>
    <r>
      <rPr>
        <rFont val="Arial"/>
        <color theme="1"/>
      </rPr>
      <t xml:space="preserve"> &gt; Visualice el botón Activo de  Continuar 
</t>
    </r>
  </si>
  <si>
    <t>Cree un destino 
Usuario Autorizante
Administración Dual
Cuenta destino no existe
Inscripción NO Exitosa</t>
  </si>
  <si>
    <r>
      <rPr>
        <rFont val="Arial"/>
        <color theme="1"/>
      </rPr>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SV
Ingrese el número de cuenta: Espacio en el cual el usuario podrá ingresar alfanuméricamente hasta 22 caracteres. 
</t>
    </r>
    <r>
      <rPr>
        <rFont val="Arial"/>
        <b/>
        <color theme="1"/>
      </rPr>
      <t xml:space="preserve">Ingrese el número de cuenta incompleta
Cuenta con longitud incorrecta </t>
    </r>
    <r>
      <rPr>
        <rFont val="Arial"/>
        <color theme="1"/>
      </rPr>
      <t xml:space="preserve">
Visualice el botón Activo de  Continuar</t>
    </r>
  </si>
  <si>
    <t>Cree un destino 
Usuario Autorizante
Administración Dual
Cuenta origen en estado diferente a Activa
Inscripción NO Exitosa</t>
  </si>
  <si>
    <r>
      <rPr>
        <rFont val="Arial"/>
        <color theme="1"/>
      </rPr>
      <t xml:space="preserve">Seleccione País : Costa Rica
Empresa: Selecciona empresa de Pa que tenga cuenta en USD
Elija tipo de cuenta Ahorros 
</t>
    </r>
    <r>
      <rPr>
        <rFont val="Arial"/>
        <b/>
        <color theme="1"/>
      </rPr>
      <t>Seleccione la cuenta origen tipo USD- que se encuentra en otro estado de "Activa" puede ser controlada, Inactiva</t>
    </r>
    <r>
      <rPr>
        <rFont val="Arial"/>
        <color theme="1"/>
      </rPr>
      <t xml:space="preserve">
En el cuadro Resumen se validará 
Nombre
Número de cuenta
Divisas
Debe habilitar un elemento que permita "editar" la información al dar clic vuelve a la opción para realizar la selección del producto origen .
Se muestra activo el botón continuar.
Muestra un mensaje de Error.</t>
    </r>
  </si>
  <si>
    <r>
      <rPr>
        <rFont val="Arial"/>
        <color theme="1"/>
      </rPr>
      <t xml:space="preserve">Cree un destino 
Usuario Autorizante
Administración Dual
Inscripción Exitosa
Cuenta destino Ahorro y utilizar editar para modificar la cuenta final </t>
    </r>
    <r>
      <rPr>
        <rFont val="Arial"/>
        <b/>
        <color theme="1"/>
      </rPr>
      <t>Corriente</t>
    </r>
    <r>
      <rPr>
        <rFont val="Arial"/>
        <color theme="1"/>
      </rPr>
      <t xml:space="preserve">
</t>
    </r>
  </si>
  <si>
    <t xml:space="preserve">Se realiza la inscripción de un Tercero distinto a la cuenta origen
Ingresar al menú Transferir
Ingresar Destinos Autorizados
Elegir el botón Crear
Etapa 1
Titulo:Destino 
Validar los botones y opciones que se muestran en pantallas 
Ingrese la información del destino
Seleccione el país:Es una lista desplegable con las opciones de:  Panamá, Costa Rica, Honduras y El Salvador  junto con la imagen de la bandera de cada país.
&gt; Elegir País CR cuenta en Euros -Ahorros
Ingrese el número de cuenta: Espacio en el cual el usuario podrá ingresar alfanuméricamente hasta 22 caracteres. 
Ingrese el número de cuenta válida
Etapa 2 &gt; Visualice el botón Activo de  Continuar 
Cuando ingrese la información.
Validar el campo "" Asigne un nombre a la cuenta"-Campo Opcional 
Dejar Colocar el nombre de Alias para diferenciar el registro puede ser Longitud de 25 caracteres
Visualice en esta etapa 
- Nombre Alias o Producto
- Número de producto enmascarado.
- Divisa apertura. 
Posterior nuevamente se habilita el botón de “Continuar”
Seleccionar Continuar
Una vez que el cliente haya ingresado toda la información necesaria y esté satisfecho con los datos proporcionados, debe haber un botón claramente visible para “Continuar”  y regresar.
</t>
  </si>
  <si>
    <r>
      <rPr>
        <rFont val="Arial"/>
        <color theme="1"/>
      </rPr>
      <t xml:space="preserve">Seleccione País : Panamá
Empresa: Selecciona empresa de Pa que tenga cuenta en USD
Elija tipo de cuenta Ahorros 
Seleccione la cuenta origen tipo USD
En el cuadro Resumen se validará 
Nombre
Número de cuenta
Divisas
Debe habilitar un elemento que permita "editar" la información al dar clic vuelve a la opción para realizar la selección del producto origen .
Se muestra activo el botón continuar.
</t>
    </r>
    <r>
      <rPr>
        <rFont val="Arial"/>
        <b/>
        <color theme="1"/>
      </rPr>
      <t>Se debe seleccionar Editar y debe regresar al paso 1 se debe cambiar el tipo de cuenta e ingresar una cuenta Corriente del mismo país destino Luego continuar con los pasos hasta la etapa 3</t>
    </r>
    <r>
      <rPr>
        <rFont val="Arial"/>
        <color theme="1"/>
      </rPr>
      <t xml:space="preserve">
Etapa 3
Ingrese el correos para la notificación:  Máximo de 60 caracteres
Título: Correos para la notificación
Elemento para regresar.
Descripción: Ingrese máximo 2 correos diferentes para compartir el detalle de la transacción. "
Se debe seleccionar Continuar </t>
    </r>
  </si>
  <si>
    <t xml:space="preserve">Cree un destino 
Usuario Operador 1
Administración Dual
Inscripción Pendiente Autorización 
Cuenta destino Ahorro </t>
  </si>
  <si>
    <t>Autorizar la creación
Administración Cliente Dual
Usuario Autorizante   1
Aprobación Pendiente 2° Nvel</t>
  </si>
  <si>
    <t xml:space="preserve">
Muestra los resultados de los registros- 
Debe seleccionar el destino pendiente de Aprobación 
Debe seleccionar Cuenta destino CR cuenta origen PA</t>
  </si>
  <si>
    <t>Solicitará que el usuario ingrese Clave Dinámica del Token
Novedad Finaliza:
Pendiente de Aprobación para el segundo autorizante o usuario que posea perfil de Gestiones Administrativas</t>
  </si>
  <si>
    <t>Autorizar la creación
Administración Cliente Dual
Usuario Autorizante   2- Administrador 
Aprobación Exitosa</t>
  </si>
  <si>
    <t xml:space="preserve">Consulta de Destinos autorizados 
Usuario Operador
Administración Cliente Dual
Cliente posea registros terceros de 1 o varios países
Muestre resultados
Realice la descarga de 1 registro </t>
  </si>
  <si>
    <t xml:space="preserve">Consulta de Destinos autorizados 
Usuario Operador
Administración Cliente Dual
Cliente posea registros terceros de 1 o varios países
Muestre resultados
Realice la descarga de reporte en formato PDF y Excel
Ejecutar consulta con filtro
Deje ejecutarse una descarga con cada uno de los filtros 
Solamente descargar selección seleccionar más de 15 registros </t>
  </si>
  <si>
    <t xml:space="preserve">Autorización 
Usuario Autorizante 
Administración Cliente Dual
Cliente posea registros terceros de 1 o varios países
Muestre resultados
Autorizar  la eliminación de registro individual
Aprobación pendiente </t>
  </si>
  <si>
    <r>
      <rPr>
        <rFont val="Arial"/>
        <color theme="1"/>
      </rPr>
      <t xml:space="preserve">Eliminación Finaliza:  Una vez de clic a la novedad el canal en la parte superior  presentará el siguiente mensaje: “Pendiente"
El canal debe mostrar un elemento en la parte superior que le permita al usuario deshacer la solicitud de eliminación, similar a la funcionalidad de eliminar un correo electrónico, la duración debe durar 10 segundos los cuales deben ser parametrizables, al dar clic en deshacer el canal elimina la solicitud y restablece los valores, esta funcionalidad únicamente aplica para cuando el esquema de firma permite al usuario autogestionar y no depende de una siguiente autorización.  
</t>
    </r>
    <r>
      <rPr>
        <rFont val="Arial"/>
        <b/>
        <color theme="1"/>
      </rPr>
      <t>Validar que visualice el botón deshacer</t>
    </r>
  </si>
  <si>
    <t xml:space="preserve">
Muestra los resultados de los registros- 
Debe seleccionar el destino pendiente de Aprobación 
Debe seleccionar la que se encuentre pendiente de elimación </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</si>
</sst>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scheme val="minor"/>
    </font>
    <font>
      <b/>
      <color theme="1"/>
      <name val="Arial"/>
      <scheme val="minor"/>
    </font>
    <font>
      <sz val="14.0"/>
      <color theme="1"/>
      <name val="Arial"/>
      <scheme val="minor"/>
    </font>
    <font>
      <b/>
      <sz val="10.0"/>
      <color rgb="FFFFFFFF"/>
      <name val="Fira Sans Extra Condensed"/>
    </font>
    <font>
      <sz val="10.0"/>
      <color rgb="FFFFFFFF"/>
      <name val="Fira Sans Extra Condensed"/>
    </font>
    <font>
      <sz val="10.0"/>
      <color theme="1"/>
      <name val="Fira Sans Extra Condensed"/>
    </font>
    <font>
      <u/>
      <color rgb="FF0000FF"/>
    </font>
    <font>
      <color theme="1"/>
      <name val="Fira Sans Extra Condensed"/>
    </font>
    <font>
      <sz val="11.0"/>
      <color theme="1"/>
      <name val="Fira Sans Extra Condensed"/>
    </font>
    <font/>
    <font>
      <sz val="9.0"/>
      <color rgb="FF000000"/>
      <name val="Arial"/>
    </font>
    <font>
      <sz val="10.0"/>
      <color rgb="FF000000"/>
      <name val="Fira Sans Extra Condensed"/>
    </font>
    <font>
      <color theme="1"/>
      <name val="Arial"/>
    </font>
    <font>
      <b/>
      <color theme="1"/>
      <name val="Fira Sans Extra Condensed"/>
    </font>
    <font>
      <u/>
      <color rgb="FF0000FF"/>
      <name val="Fira Sans Extra Condensed"/>
    </font>
    <font>
      <color theme="1"/>
      <name val="Encode Sans Condensed"/>
    </font>
    <font>
      <sz val="9.0"/>
      <color theme="1"/>
      <name val="Arial"/>
    </font>
    <font>
      <b/>
      <sz val="10.0"/>
      <color theme="1"/>
      <name val="Fira Sans Extra Condensed"/>
    </font>
    <font>
      <color rgb="FF000000"/>
      <name val="Arial"/>
      <scheme val="minor"/>
    </font>
  </fonts>
  <fills count="28">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D9EAD3"/>
        <bgColor rgb="FFD9EAD3"/>
      </patternFill>
    </fill>
    <fill>
      <patternFill patternType="solid">
        <fgColor rgb="FFEAD1DC"/>
        <bgColor rgb="FFEAD1DC"/>
      </patternFill>
    </fill>
    <fill>
      <patternFill patternType="solid">
        <fgColor rgb="FFFF9900"/>
        <bgColor rgb="FFFF9900"/>
      </patternFill>
    </fill>
    <fill>
      <patternFill patternType="solid">
        <fgColor rgb="FFFF0000"/>
        <bgColor rgb="FFFF0000"/>
      </patternFill>
    </fill>
    <fill>
      <patternFill patternType="solid">
        <fgColor rgb="FFFCE5CD"/>
        <bgColor rgb="FFFCE5CD"/>
      </patternFill>
    </fill>
    <fill>
      <patternFill patternType="solid">
        <fgColor rgb="FF00FFFF"/>
        <bgColor rgb="FF00FFFF"/>
      </patternFill>
    </fill>
    <fill>
      <patternFill patternType="solid">
        <fgColor rgb="FF6D9EEB"/>
        <bgColor rgb="FF6D9EEB"/>
      </patternFill>
    </fill>
    <fill>
      <patternFill patternType="solid">
        <fgColor rgb="FF76A5AF"/>
        <bgColor rgb="FF76A5AF"/>
      </patternFill>
    </fill>
    <fill>
      <patternFill patternType="solid">
        <fgColor rgb="FFF6B26B"/>
        <bgColor rgb="FFF6B26B"/>
      </patternFill>
    </fill>
    <fill>
      <patternFill patternType="solid">
        <fgColor rgb="FF00FF00"/>
        <bgColor rgb="FF00FF00"/>
      </patternFill>
    </fill>
    <fill>
      <patternFill patternType="solid">
        <fgColor rgb="FFFFFF00"/>
        <bgColor rgb="FFFFFF00"/>
      </patternFill>
    </fill>
    <fill>
      <patternFill patternType="solid">
        <fgColor rgb="FFD5A6BD"/>
        <bgColor rgb="FFD5A6BD"/>
      </patternFill>
    </fill>
    <fill>
      <patternFill patternType="solid">
        <fgColor theme="0"/>
        <bgColor theme="0"/>
      </patternFill>
    </fill>
    <fill>
      <patternFill patternType="solid">
        <fgColor rgb="FFF4CCCC"/>
        <bgColor rgb="FFF4CCCC"/>
      </patternFill>
    </fill>
    <fill>
      <patternFill patternType="solid">
        <fgColor rgb="FFA4C2F4"/>
        <bgColor rgb="FFA4C2F4"/>
      </patternFill>
    </fill>
    <fill>
      <patternFill patternType="solid">
        <fgColor rgb="FF6FA8DC"/>
        <bgColor rgb="FF6FA8DC"/>
      </patternFill>
    </fill>
    <fill>
      <patternFill patternType="solid">
        <fgColor rgb="FF9FC5E8"/>
        <bgColor rgb="FF9FC5E8"/>
      </patternFill>
    </fill>
    <fill>
      <patternFill patternType="solid">
        <fgColor rgb="FFE06666"/>
        <bgColor rgb="FFE06666"/>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E6B8AF"/>
        <bgColor rgb="FFE6B8AF"/>
      </patternFill>
    </fill>
    <fill>
      <patternFill patternType="solid">
        <fgColor rgb="FFB6D7A8"/>
        <bgColor rgb="FFB6D7A8"/>
      </patternFill>
    </fill>
    <fill>
      <patternFill patternType="solid">
        <fgColor rgb="FF3C78D8"/>
        <bgColor rgb="FF3C78D8"/>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bottom style="dotted">
        <color rgb="FF000000"/>
      </bottom>
    </border>
    <border>
      <bottom style="dotted">
        <color rgb="FF000000"/>
      </bottom>
    </border>
    <border>
      <right style="thin">
        <color rgb="FF000000"/>
      </right>
      <bottom style="dotted">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0" fillId="0" fontId="1" numFmtId="0" xfId="0" applyAlignment="1" applyFont="1">
      <alignment readingOrder="0"/>
    </xf>
    <xf borderId="1" fillId="2" fontId="1" numFmtId="0" xfId="0" applyAlignment="1" applyBorder="1" applyFill="1" applyFont="1">
      <alignment readingOrder="0"/>
    </xf>
    <xf borderId="2" fillId="2" fontId="1" numFmtId="0" xfId="0" applyAlignment="1" applyBorder="1" applyFont="1">
      <alignment readingOrder="0"/>
    </xf>
    <xf borderId="3" fillId="2" fontId="1" numFmtId="0" xfId="0" applyAlignment="1" applyBorder="1" applyFont="1">
      <alignment readingOrder="0"/>
    </xf>
    <xf borderId="0" fillId="3" fontId="1" numFmtId="0" xfId="0" applyAlignment="1" applyFill="1" applyFont="1">
      <alignment readingOrder="0"/>
    </xf>
    <xf borderId="4" fillId="3" fontId="1" numFmtId="0" xfId="0" applyAlignment="1" applyBorder="1" applyFont="1">
      <alignment readingOrder="0"/>
    </xf>
    <xf borderId="5" fillId="3" fontId="1" numFmtId="0" xfId="0" applyAlignment="1" applyBorder="1" applyFont="1">
      <alignment readingOrder="0"/>
    </xf>
    <xf borderId="5" fillId="3" fontId="1" numFmtId="0" xfId="0" applyBorder="1" applyFont="1"/>
    <xf borderId="6" fillId="3" fontId="1" numFmtId="0" xfId="0" applyBorder="1" applyFont="1"/>
    <xf borderId="0" fillId="3" fontId="1" numFmtId="0" xfId="0" applyFont="1"/>
    <xf borderId="7" fillId="0" fontId="1" numFmtId="0" xfId="0" applyAlignment="1" applyBorder="1" applyFont="1">
      <alignment readingOrder="0"/>
    </xf>
    <xf borderId="8" fillId="0" fontId="1" numFmtId="0" xfId="0" applyAlignment="1" applyBorder="1" applyFont="1">
      <alignment readingOrder="0"/>
    </xf>
    <xf borderId="8" fillId="0" fontId="1" numFmtId="0" xfId="0" applyBorder="1" applyFont="1"/>
    <xf borderId="9" fillId="0" fontId="1" numFmtId="0" xfId="0" applyBorder="1" applyFont="1"/>
    <xf borderId="10" fillId="0" fontId="1" numFmtId="0" xfId="0" applyAlignment="1" applyBorder="1" applyFont="1">
      <alignment readingOrder="0"/>
    </xf>
    <xf borderId="11" fillId="0" fontId="1" numFmtId="0" xfId="0" applyAlignment="1" applyBorder="1" applyFont="1">
      <alignment readingOrder="0"/>
    </xf>
    <xf borderId="11" fillId="0" fontId="1" numFmtId="0" xfId="0" applyBorder="1" applyFont="1"/>
    <xf borderId="12" fillId="0" fontId="1" numFmtId="0" xfId="0" applyBorder="1" applyFont="1"/>
    <xf borderId="0" fillId="0" fontId="1" numFmtId="0" xfId="0" applyAlignment="1" applyFont="1">
      <alignment horizontal="center"/>
    </xf>
    <xf borderId="0" fillId="0" fontId="1" numFmtId="0" xfId="0" applyAlignment="1" applyFont="1">
      <alignment horizontal="center" readingOrder="0"/>
    </xf>
    <xf borderId="0" fillId="0" fontId="1" numFmtId="0" xfId="0" applyFont="1"/>
    <xf borderId="0" fillId="4" fontId="1" numFmtId="0" xfId="0" applyAlignment="1" applyFill="1" applyFont="1">
      <alignment readingOrder="0"/>
    </xf>
    <xf borderId="0" fillId="5" fontId="1" numFmtId="0" xfId="0" applyAlignment="1" applyFill="1" applyFont="1">
      <alignment readingOrder="0"/>
    </xf>
    <xf borderId="0" fillId="5" fontId="1" numFmtId="0" xfId="0" applyFont="1"/>
    <xf borderId="0" fillId="5" fontId="1" numFmtId="0" xfId="0" applyAlignment="1" applyFont="1">
      <alignment horizontal="center"/>
    </xf>
    <xf borderId="0" fillId="5" fontId="1" numFmtId="0" xfId="0" applyAlignment="1" applyFont="1">
      <alignment horizontal="center" readingOrder="0"/>
    </xf>
    <xf borderId="0" fillId="6" fontId="2" numFmtId="0" xfId="0" applyAlignment="1" applyFill="1" applyFont="1">
      <alignment readingOrder="0"/>
    </xf>
    <xf borderId="0" fillId="6" fontId="1" numFmtId="0" xfId="0" applyFont="1"/>
    <xf borderId="0" fillId="6" fontId="3" numFmtId="0" xfId="0" applyAlignment="1" applyFont="1">
      <alignment horizontal="center" readingOrder="0"/>
    </xf>
    <xf borderId="11" fillId="6" fontId="3" numFmtId="0" xfId="0" applyAlignment="1" applyBorder="1" applyFont="1">
      <alignment horizontal="center"/>
    </xf>
    <xf borderId="13" fillId="7" fontId="4" numFmtId="0" xfId="0" applyAlignment="1" applyBorder="1" applyFill="1" applyFont="1">
      <alignment horizontal="center" readingOrder="0" shrinkToFit="0" vertical="center" wrapText="1"/>
    </xf>
    <xf borderId="13" fillId="7" fontId="4" numFmtId="0" xfId="0" applyAlignment="1" applyBorder="1" applyFont="1">
      <alignment horizontal="center" shrinkToFit="0" vertical="center" wrapText="1"/>
    </xf>
    <xf borderId="14" fillId="7" fontId="5" numFmtId="0" xfId="0" applyAlignment="1" applyBorder="1" applyFont="1">
      <alignment readingOrder="0" shrinkToFit="0" vertical="center" wrapText="1"/>
    </xf>
    <xf borderId="14" fillId="7" fontId="4" numFmtId="0" xfId="0" applyAlignment="1" applyBorder="1" applyFont="1">
      <alignment readingOrder="0" shrinkToFit="0" vertical="center" wrapText="1"/>
    </xf>
    <xf borderId="11" fillId="7" fontId="4" numFmtId="0" xfId="0" applyAlignment="1" applyBorder="1" applyFont="1">
      <alignment readingOrder="0" shrinkToFit="0" vertical="center" wrapText="1"/>
    </xf>
    <xf borderId="13" fillId="7" fontId="5" numFmtId="0" xfId="0" applyAlignment="1" applyBorder="1" applyFont="1">
      <alignment readingOrder="0" shrinkToFit="0" vertical="center" wrapText="1"/>
    </xf>
    <xf borderId="0" fillId="7" fontId="5" numFmtId="0" xfId="0" applyAlignment="1" applyFont="1">
      <alignment readingOrder="0" shrinkToFit="0" vertical="center" wrapText="1"/>
    </xf>
    <xf borderId="13" fillId="3" fontId="6" numFmtId="0" xfId="0" applyAlignment="1" applyBorder="1" applyFont="1">
      <alignment horizontal="left" readingOrder="0" shrinkToFit="0" vertical="center" wrapText="1"/>
    </xf>
    <xf borderId="13" fillId="0" fontId="1" numFmtId="0" xfId="0" applyAlignment="1" applyBorder="1" applyFont="1">
      <alignment horizontal="left" readingOrder="0" shrinkToFit="0" vertical="center" wrapText="1"/>
    </xf>
    <xf borderId="13" fillId="0" fontId="1" numFmtId="0" xfId="0" applyAlignment="1" applyBorder="1" applyFont="1">
      <alignment horizontal="center" readingOrder="0" shrinkToFit="0" vertical="center" wrapText="1"/>
    </xf>
    <xf borderId="13" fillId="0" fontId="1" numFmtId="0" xfId="0" applyAlignment="1" applyBorder="1" applyFont="1">
      <alignment readingOrder="0" shrinkToFit="0" vertical="center" wrapText="1"/>
    </xf>
    <xf borderId="13" fillId="3" fontId="1" numFmtId="0" xfId="0" applyAlignment="1" applyBorder="1" applyFont="1">
      <alignment horizontal="left" readingOrder="0" shrinkToFit="0" vertical="center" wrapText="1"/>
    </xf>
    <xf borderId="13" fillId="3" fontId="1" numFmtId="0" xfId="0" applyAlignment="1" applyBorder="1" applyFont="1">
      <alignment readingOrder="0" shrinkToFit="0" vertical="center" wrapText="1"/>
    </xf>
    <xf borderId="13" fillId="3" fontId="1" numFmtId="0" xfId="0" applyAlignment="1" applyBorder="1" applyFont="1">
      <alignment horizontal="center" readingOrder="0" shrinkToFit="0" vertical="center" wrapText="1"/>
    </xf>
    <xf borderId="13" fillId="8" fontId="6" numFmtId="0" xfId="0" applyAlignment="1" applyBorder="1" applyFill="1" applyFont="1">
      <alignment horizontal="left" readingOrder="0" shrinkToFit="0" vertical="center" wrapText="1"/>
    </xf>
    <xf borderId="13" fillId="8" fontId="1" numFmtId="0" xfId="0" applyAlignment="1" applyBorder="1" applyFont="1">
      <alignment horizontal="left" readingOrder="0" shrinkToFit="0" vertical="center" wrapText="1"/>
    </xf>
    <xf borderId="13" fillId="8" fontId="1" numFmtId="0" xfId="0" applyAlignment="1" applyBorder="1" applyFont="1">
      <alignment readingOrder="0" shrinkToFit="0" vertical="center" wrapText="1"/>
    </xf>
    <xf borderId="13" fillId="8" fontId="1" numFmtId="0" xfId="0" applyAlignment="1" applyBorder="1" applyFont="1">
      <alignment horizontal="center" readingOrder="0" shrinkToFit="0" vertical="center" wrapText="1"/>
    </xf>
    <xf borderId="13" fillId="0" fontId="1" numFmtId="0" xfId="0" applyAlignment="1" applyBorder="1" applyFont="1">
      <alignment readingOrder="0" shrinkToFit="0" vertical="center" wrapText="1"/>
    </xf>
    <xf borderId="13" fillId="9" fontId="6" numFmtId="0" xfId="0" applyAlignment="1" applyBorder="1" applyFill="1" applyFont="1">
      <alignment horizontal="left" readingOrder="0" shrinkToFit="0" vertical="center" wrapText="1"/>
    </xf>
    <xf borderId="13" fillId="9" fontId="1" numFmtId="0" xfId="0" applyAlignment="1" applyBorder="1" applyFont="1">
      <alignment horizontal="left" readingOrder="0" shrinkToFit="0" vertical="center" wrapText="1"/>
    </xf>
    <xf borderId="13" fillId="9" fontId="1" numFmtId="0" xfId="0" applyAlignment="1" applyBorder="1" applyFont="1">
      <alignment readingOrder="0" shrinkToFit="0" vertical="center" wrapText="1"/>
    </xf>
    <xf borderId="13" fillId="9" fontId="1" numFmtId="0" xfId="0" applyAlignment="1" applyBorder="1" applyFont="1">
      <alignment horizontal="center" readingOrder="0" shrinkToFit="0" vertical="center" wrapText="1"/>
    </xf>
    <xf borderId="13" fillId="0" fontId="7" numFmtId="0" xfId="0" applyAlignment="1" applyBorder="1" applyFont="1">
      <alignment readingOrder="0" shrinkToFit="0" vertical="center" wrapText="1"/>
    </xf>
    <xf borderId="13" fillId="0" fontId="6" numFmtId="0" xfId="0" applyAlignment="1" applyBorder="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6" numFmtId="0" xfId="0" applyAlignment="1" applyFont="1">
      <alignment shrinkToFit="0" vertical="center" wrapText="1"/>
    </xf>
    <xf borderId="13" fillId="0" fontId="8" numFmtId="0" xfId="0" applyAlignment="1" applyBorder="1" applyFont="1">
      <alignment readingOrder="0" shrinkToFit="0" vertical="center" wrapText="1"/>
    </xf>
    <xf borderId="13" fillId="0" fontId="8" numFmtId="0" xfId="0" applyAlignment="1" applyBorder="1" applyFont="1">
      <alignment readingOrder="0"/>
    </xf>
    <xf borderId="13" fillId="10" fontId="6" numFmtId="0" xfId="0" applyAlignment="1" applyBorder="1" applyFill="1" applyFont="1">
      <alignment horizontal="left" readingOrder="0" shrinkToFit="0" vertical="center" wrapText="1"/>
    </xf>
    <xf borderId="13" fillId="10" fontId="8" numFmtId="0" xfId="0" applyAlignment="1" applyBorder="1" applyFont="1">
      <alignment readingOrder="0" shrinkToFit="0" vertical="center" wrapText="1"/>
    </xf>
    <xf borderId="13" fillId="10" fontId="8" numFmtId="0" xfId="0" applyAlignment="1" applyBorder="1" applyFont="1">
      <alignment readingOrder="0"/>
    </xf>
    <xf borderId="0" fillId="10" fontId="1" numFmtId="0" xfId="0" applyFont="1"/>
    <xf borderId="13" fillId="0" fontId="8" numFmtId="0" xfId="0" applyAlignment="1" applyBorder="1" applyFont="1">
      <alignment shrinkToFit="0" vertical="center" wrapText="1"/>
    </xf>
    <xf borderId="14" fillId="7" fontId="4" numFmtId="0" xfId="0" applyAlignment="1" applyBorder="1" applyFont="1">
      <alignment horizontal="center" readingOrder="0" shrinkToFit="0" vertical="center" wrapText="1"/>
    </xf>
    <xf borderId="11" fillId="7" fontId="4" numFmtId="0" xfId="0" applyAlignment="1" applyBorder="1" applyFont="1">
      <alignment horizontal="center" readingOrder="0" shrinkToFit="0" vertical="center" wrapText="1"/>
    </xf>
    <xf borderId="0" fillId="7" fontId="4" numFmtId="0" xfId="0" applyAlignment="1" applyFont="1">
      <alignment horizontal="center" readingOrder="0" shrinkToFit="0" vertical="center" wrapText="1"/>
    </xf>
    <xf borderId="13" fillId="9" fontId="8" numFmtId="0" xfId="0" applyAlignment="1" applyBorder="1" applyFont="1">
      <alignment readingOrder="0" shrinkToFit="0" vertical="center" wrapText="1"/>
    </xf>
    <xf borderId="0" fillId="7" fontId="4" numFmtId="0" xfId="0" applyAlignment="1" applyFont="1">
      <alignment readingOrder="0" shrinkToFit="0" vertical="center" wrapText="1"/>
    </xf>
    <xf borderId="13" fillId="11" fontId="6" numFmtId="0" xfId="0" applyAlignment="1" applyBorder="1" applyFill="1" applyFont="1">
      <alignment horizontal="center" readingOrder="0" shrinkToFit="0" vertical="center" wrapText="1"/>
    </xf>
    <xf borderId="13" fillId="3" fontId="6" numFmtId="0" xfId="0" applyAlignment="1" applyBorder="1" applyFont="1">
      <alignment readingOrder="0" shrinkToFit="0" vertical="center" wrapText="1"/>
    </xf>
    <xf borderId="13" fillId="0" fontId="6" numFmtId="0" xfId="0" applyAlignment="1" applyBorder="1" applyFont="1">
      <alignment readingOrder="0" shrinkToFit="0" vertical="center" wrapText="1"/>
    </xf>
    <xf borderId="13" fillId="0" fontId="9" numFmtId="0" xfId="0" applyAlignment="1" applyBorder="1" applyFont="1">
      <alignment readingOrder="0" shrinkToFit="0" vertical="center" wrapText="1"/>
    </xf>
    <xf borderId="13" fillId="0" fontId="6" numFmtId="0" xfId="0" applyAlignment="1" applyBorder="1" applyFont="1">
      <alignment shrinkToFit="0" vertical="center" wrapText="1"/>
    </xf>
    <xf borderId="0" fillId="0" fontId="6" numFmtId="0" xfId="0" applyAlignment="1" applyFont="1">
      <alignment readingOrder="0" shrinkToFit="0" vertical="center" wrapText="1"/>
    </xf>
    <xf borderId="13" fillId="0" fontId="6" numFmtId="0" xfId="0" applyAlignment="1" applyBorder="1" applyFont="1">
      <alignment horizontal="center" readingOrder="0" shrinkToFit="0" vertical="center" wrapText="1"/>
    </xf>
    <xf borderId="13" fillId="3" fontId="6" numFmtId="0" xfId="0" applyAlignment="1" applyBorder="1" applyFont="1">
      <alignment shrinkToFit="0" vertical="center" wrapText="1"/>
    </xf>
    <xf borderId="0" fillId="12" fontId="6" numFmtId="0" xfId="0" applyAlignment="1" applyFill="1" applyFont="1">
      <alignment readingOrder="0" shrinkToFit="0" vertical="center" wrapText="1"/>
    </xf>
    <xf borderId="13" fillId="13" fontId="6" numFmtId="0" xfId="0" applyAlignment="1" applyBorder="1" applyFill="1" applyFont="1">
      <alignment horizontal="center" readingOrder="0" shrinkToFit="0" vertical="center" wrapText="1"/>
    </xf>
    <xf borderId="13" fillId="14" fontId="6" numFmtId="0" xfId="0" applyAlignment="1" applyBorder="1" applyFill="1" applyFont="1">
      <alignment readingOrder="0" shrinkToFit="0" vertical="center" wrapText="1"/>
    </xf>
    <xf borderId="13" fillId="0" fontId="6" numFmtId="0" xfId="0" applyAlignment="1" applyBorder="1" applyFont="1">
      <alignment horizontal="center" shrinkToFit="0" vertical="center" wrapText="1"/>
    </xf>
    <xf borderId="13" fillId="15" fontId="6" numFmtId="0" xfId="0" applyAlignment="1" applyBorder="1" applyFill="1" applyFont="1">
      <alignment readingOrder="0" shrinkToFit="0" vertical="center" wrapText="1"/>
    </xf>
    <xf borderId="13" fillId="16" fontId="6" numFmtId="0" xfId="0" applyAlignment="1" applyBorder="1" applyFill="1" applyFont="1">
      <alignment horizontal="center" readingOrder="0" shrinkToFit="0" vertical="center" wrapText="1"/>
    </xf>
    <xf borderId="13" fillId="3" fontId="6" numFmtId="0" xfId="0" applyAlignment="1" applyBorder="1" applyFont="1">
      <alignment horizontal="center" readingOrder="0" shrinkToFit="0" vertical="center" wrapText="1"/>
    </xf>
    <xf borderId="0" fillId="3" fontId="6" numFmtId="0" xfId="0" applyAlignment="1" applyFont="1">
      <alignment shrinkToFit="0" vertical="center" wrapText="1"/>
    </xf>
    <xf borderId="13" fillId="14" fontId="6" numFmtId="0" xfId="0" applyAlignment="1" applyBorder="1" applyFont="1">
      <alignment horizontal="center" readingOrder="0" shrinkToFit="0" vertical="center" wrapText="1"/>
    </xf>
    <xf borderId="13" fillId="14" fontId="9" numFmtId="0" xfId="0" applyAlignment="1" applyBorder="1" applyFont="1">
      <alignment readingOrder="0" shrinkToFit="0" vertical="center" wrapText="1"/>
    </xf>
    <xf borderId="13" fillId="14" fontId="8" numFmtId="0" xfId="0" applyAlignment="1" applyBorder="1" applyFont="1">
      <alignment shrinkToFit="0" wrapText="1"/>
    </xf>
    <xf borderId="13" fillId="14" fontId="8" numFmtId="0" xfId="0" applyAlignment="1" applyBorder="1" applyFont="1">
      <alignment readingOrder="0" shrinkToFit="0" wrapText="1"/>
    </xf>
    <xf borderId="13" fillId="17" fontId="6" numFmtId="0" xfId="0" applyAlignment="1" applyBorder="1" applyFill="1" applyFont="1">
      <alignment horizontal="center" readingOrder="0" shrinkToFit="0" vertical="center" wrapText="1"/>
    </xf>
    <xf borderId="0" fillId="10" fontId="6" numFmtId="0" xfId="0" applyAlignment="1" applyFont="1">
      <alignment readingOrder="0" shrinkToFit="0" vertical="center" wrapText="1"/>
    </xf>
    <xf borderId="0" fillId="18" fontId="6" numFmtId="0" xfId="0" applyAlignment="1" applyFill="1" applyFont="1">
      <alignment shrinkToFit="0" vertical="center" wrapText="1"/>
    </xf>
    <xf borderId="0" fillId="0" fontId="8" numFmtId="0" xfId="0" applyAlignment="1" applyFont="1">
      <alignment readingOrder="0" shrinkToFit="0" vertical="center" wrapText="1"/>
    </xf>
    <xf borderId="0" fillId="3" fontId="6" numFmtId="0" xfId="0" applyAlignment="1" applyFont="1">
      <alignment readingOrder="0" shrinkToFit="0" vertical="center" wrapText="1"/>
    </xf>
    <xf borderId="0" fillId="19" fontId="6" numFmtId="0" xfId="0" applyAlignment="1" applyFill="1" applyFont="1">
      <alignment shrinkToFit="0" vertical="center" wrapText="1"/>
    </xf>
    <xf borderId="15" fillId="3" fontId="6" numFmtId="0" xfId="0" applyAlignment="1" applyBorder="1" applyFont="1">
      <alignment shrinkToFit="0" vertical="center" wrapText="1"/>
    </xf>
    <xf borderId="16" fillId="0" fontId="10" numFmtId="0" xfId="0" applyBorder="1" applyFont="1"/>
    <xf borderId="17" fillId="0" fontId="10" numFmtId="0" xfId="0" applyBorder="1" applyFont="1"/>
    <xf borderId="13" fillId="17" fontId="6" numFmtId="0" xfId="0" applyAlignment="1" applyBorder="1" applyFont="1">
      <alignment readingOrder="0" shrinkToFit="0" vertical="center" wrapText="1"/>
    </xf>
    <xf borderId="0" fillId="20" fontId="6" numFmtId="0" xfId="0" applyAlignment="1" applyFill="1" applyFont="1">
      <alignment shrinkToFit="0" vertical="center" wrapText="1"/>
    </xf>
    <xf borderId="13" fillId="8" fontId="6" numFmtId="0" xfId="0" applyAlignment="1" applyBorder="1" applyFont="1">
      <alignment readingOrder="0" shrinkToFit="0" vertical="center" wrapText="1"/>
    </xf>
    <xf borderId="13" fillId="3" fontId="11" numFmtId="0" xfId="0" applyBorder="1" applyFont="1"/>
    <xf borderId="13" fillId="21" fontId="6" numFmtId="0" xfId="0" applyAlignment="1" applyBorder="1" applyFill="1" applyFont="1">
      <alignment horizontal="center" readingOrder="0" shrinkToFit="0" vertical="center" wrapText="1"/>
    </xf>
    <xf borderId="13" fillId="3" fontId="8" numFmtId="0" xfId="0" applyAlignment="1" applyBorder="1" applyFont="1">
      <alignment readingOrder="0" shrinkToFit="0" vertical="center" wrapText="1"/>
    </xf>
    <xf borderId="0" fillId="0" fontId="6" numFmtId="0" xfId="0" applyAlignment="1" applyFont="1">
      <alignment horizontal="center" shrinkToFit="0" vertical="center" wrapText="1"/>
    </xf>
    <xf borderId="13" fillId="3" fontId="12" numFmtId="0" xfId="0" applyAlignment="1" applyBorder="1" applyFont="1">
      <alignment readingOrder="0" shrinkToFit="0" vertical="center" wrapText="1"/>
    </xf>
    <xf borderId="0" fillId="5" fontId="6" numFmtId="0" xfId="0" applyAlignment="1" applyFont="1">
      <alignment shrinkToFit="0" vertical="center" wrapText="1"/>
    </xf>
    <xf borderId="0" fillId="22" fontId="6" numFmtId="0" xfId="0" applyAlignment="1" applyFill="1" applyFont="1">
      <alignment shrinkToFit="0" vertical="center" wrapText="1"/>
    </xf>
    <xf borderId="13" fillId="0" fontId="12" numFmtId="0" xfId="0" applyAlignment="1" applyBorder="1" applyFont="1">
      <alignment readingOrder="0" shrinkToFit="0" vertical="center" wrapText="1"/>
    </xf>
    <xf borderId="13" fillId="0" fontId="13" numFmtId="0" xfId="0" applyAlignment="1" applyBorder="1" applyFont="1">
      <alignment readingOrder="0" shrinkToFit="0" vertical="center" wrapText="1"/>
    </xf>
    <xf borderId="0" fillId="0" fontId="13" numFmtId="0" xfId="0" applyAlignment="1" applyFont="1">
      <alignment shrinkToFit="0" vertical="center" wrapText="1"/>
    </xf>
    <xf borderId="15" fillId="3" fontId="6" numFmtId="0" xfId="0" applyAlignment="1" applyBorder="1" applyFont="1">
      <alignment horizontal="center" readingOrder="0" shrinkToFit="0" vertical="center" wrapText="1"/>
    </xf>
    <xf borderId="2" fillId="3" fontId="6" numFmtId="0" xfId="0" applyAlignment="1" applyBorder="1" applyFont="1">
      <alignment horizontal="center" readingOrder="0" shrinkToFit="0" vertical="center" wrapText="1"/>
    </xf>
    <xf borderId="0" fillId="3" fontId="6" numFmtId="0" xfId="0" applyAlignment="1" applyFont="1">
      <alignment horizontal="center" readingOrder="0" shrinkToFit="0" vertical="center" wrapText="1"/>
    </xf>
    <xf borderId="0" fillId="23" fontId="6" numFmtId="0" xfId="0" applyAlignment="1" applyFill="1" applyFont="1">
      <alignment shrinkToFit="0" vertical="center" wrapText="1"/>
    </xf>
    <xf borderId="13" fillId="3" fontId="6" numFmtId="0" xfId="0" applyAlignment="1" applyBorder="1" applyFont="1">
      <alignment readingOrder="0" shrinkToFit="0" vertical="center" wrapText="1"/>
    </xf>
    <xf borderId="0" fillId="24" fontId="6" numFmtId="0" xfId="0" applyAlignment="1" applyFill="1" applyFont="1">
      <alignment shrinkToFit="0" vertical="center" wrapText="1"/>
    </xf>
    <xf borderId="15" fillId="3" fontId="6" numFmtId="0" xfId="0" applyAlignment="1" applyBorder="1" applyFont="1">
      <alignment readingOrder="0" shrinkToFit="0" vertical="center" wrapText="1"/>
    </xf>
    <xf borderId="15" fillId="0" fontId="6" numFmtId="0" xfId="0" applyAlignment="1" applyBorder="1" applyFont="1">
      <alignment readingOrder="0" shrinkToFit="0" vertical="center" wrapText="1"/>
    </xf>
    <xf borderId="13" fillId="0" fontId="14" numFmtId="0" xfId="0" applyAlignment="1" applyBorder="1" applyFont="1">
      <alignment readingOrder="0" shrinkToFit="0" vertical="center" wrapText="1"/>
    </xf>
    <xf borderId="0" fillId="0" fontId="1" numFmtId="0" xfId="0" applyAlignment="1" applyFont="1">
      <alignment shrinkToFit="0" wrapText="1"/>
    </xf>
    <xf borderId="0" fillId="0" fontId="1" numFmtId="0" xfId="0" applyAlignment="1" applyFont="1">
      <alignment vertical="center"/>
    </xf>
    <xf borderId="13" fillId="0" fontId="8" numFmtId="0" xfId="0" applyAlignment="1" applyBorder="1" applyFont="1">
      <alignment readingOrder="0" vertical="center"/>
    </xf>
    <xf borderId="0" fillId="0" fontId="1" numFmtId="0" xfId="0" applyAlignment="1" applyFont="1">
      <alignment readingOrder="0" vertical="center"/>
    </xf>
    <xf borderId="13" fillId="23" fontId="6" numFmtId="0" xfId="0" applyAlignment="1" applyBorder="1" applyFont="1">
      <alignment readingOrder="0" shrinkToFit="0" vertical="center" wrapText="1"/>
    </xf>
    <xf borderId="13" fillId="23" fontId="12" numFmtId="0" xfId="0" applyAlignment="1" applyBorder="1" applyFont="1">
      <alignment readingOrder="0" shrinkToFit="0" vertical="center" wrapText="1"/>
    </xf>
    <xf borderId="13" fillId="5" fontId="8" numFmtId="0" xfId="0" applyAlignment="1" applyBorder="1" applyFont="1">
      <alignment readingOrder="0" shrinkToFit="0" vertical="center" wrapText="1"/>
    </xf>
    <xf borderId="13" fillId="0" fontId="8" numFmtId="0" xfId="0" applyAlignment="1" applyBorder="1" applyFont="1">
      <alignment readingOrder="0" shrinkToFit="0" wrapText="1"/>
    </xf>
    <xf borderId="13" fillId="0" fontId="8" numFmtId="0" xfId="0" applyAlignment="1" applyBorder="1" applyFont="1">
      <alignment readingOrder="0" shrinkToFit="0" vertical="bottom" wrapText="1"/>
    </xf>
    <xf borderId="13" fillId="3" fontId="8" numFmtId="0" xfId="0" applyAlignment="1" applyBorder="1" applyFont="1">
      <alignment readingOrder="0" shrinkToFit="0" wrapText="1"/>
    </xf>
    <xf borderId="13" fillId="3" fontId="8" numFmtId="0" xfId="0" applyAlignment="1" applyBorder="1" applyFont="1">
      <alignment shrinkToFit="0" wrapText="1"/>
    </xf>
    <xf borderId="13" fillId="0" fontId="8" numFmtId="0" xfId="0" applyAlignment="1" applyBorder="1" applyFont="1">
      <alignment shrinkToFit="0" wrapText="1"/>
    </xf>
    <xf borderId="0" fillId="3" fontId="6" numFmtId="0" xfId="0" applyAlignment="1" applyFont="1">
      <alignment horizontal="left" readingOrder="0" shrinkToFit="0" vertical="center" wrapText="1"/>
    </xf>
    <xf borderId="0" fillId="0" fontId="8" numFmtId="0" xfId="0" applyAlignment="1" applyFont="1">
      <alignment shrinkToFit="0" vertical="center" wrapText="1"/>
    </xf>
    <xf borderId="13" fillId="0" fontId="8" numFmtId="0" xfId="0" applyAlignment="1" applyBorder="1" applyFont="1">
      <alignment shrinkToFit="0" vertical="center" wrapText="1"/>
    </xf>
    <xf borderId="13" fillId="0" fontId="8" numFmtId="0" xfId="0" applyAlignment="1" applyBorder="1" applyFont="1">
      <alignment readingOrder="0" shrinkToFit="0" vertical="center" wrapText="1"/>
    </xf>
    <xf borderId="13" fillId="0" fontId="15" numFmtId="0" xfId="0" applyAlignment="1" applyBorder="1" applyFont="1">
      <alignment readingOrder="0" shrinkToFit="0" vertical="center" wrapText="1"/>
    </xf>
    <xf borderId="0" fillId="0" fontId="8" numFmtId="0" xfId="0" applyAlignment="1" applyFont="1">
      <alignment readingOrder="0" vertical="center"/>
    </xf>
    <xf borderId="13" fillId="0" fontId="16" numFmtId="0" xfId="0" applyAlignment="1" applyBorder="1" applyFont="1">
      <alignment readingOrder="0" shrinkToFit="0" vertical="center" wrapText="1"/>
    </xf>
    <xf borderId="13" fillId="7" fontId="4" numFmtId="0" xfId="0" applyAlignment="1" applyBorder="1" applyFont="1">
      <alignment horizontal="left" readingOrder="0" shrinkToFit="0" vertical="center" wrapText="1"/>
    </xf>
    <xf borderId="13" fillId="7" fontId="4" numFmtId="0" xfId="0" applyAlignment="1" applyBorder="1" applyFont="1">
      <alignment horizontal="left" shrinkToFit="0" vertical="center" wrapText="1"/>
    </xf>
    <xf borderId="14" fillId="7" fontId="4" numFmtId="0" xfId="0" applyAlignment="1" applyBorder="1" applyFont="1">
      <alignment horizontal="left" readingOrder="0" shrinkToFit="0" vertical="center" wrapText="1"/>
    </xf>
    <xf borderId="11" fillId="7" fontId="4" numFmtId="0" xfId="0" applyAlignment="1" applyBorder="1" applyFont="1">
      <alignment horizontal="left" readingOrder="0" shrinkToFit="0" vertical="center" wrapText="1"/>
    </xf>
    <xf borderId="0" fillId="7" fontId="4" numFmtId="0" xfId="0" applyAlignment="1" applyFont="1">
      <alignment horizontal="left" readingOrder="0" shrinkToFit="0" vertical="center" wrapText="1"/>
    </xf>
    <xf borderId="13" fillId="7" fontId="4" numFmtId="0" xfId="0" applyAlignment="1" applyBorder="1" applyFont="1">
      <alignment horizontal="left" readingOrder="0" shrinkToFit="0" vertical="top" wrapText="1"/>
    </xf>
    <xf borderId="0" fillId="0" fontId="1" numFmtId="0" xfId="0" applyAlignment="1" applyFont="1">
      <alignment horizontal="left" shrinkToFit="0" vertical="center" wrapText="1"/>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center" wrapText="1"/>
    </xf>
    <xf borderId="13" fillId="0" fontId="11" numFmtId="0" xfId="0" applyAlignment="1" applyBorder="1" applyFont="1">
      <alignment horizontal="left" readingOrder="0" shrinkToFit="0" vertical="center" wrapText="1"/>
    </xf>
    <xf borderId="13" fillId="0" fontId="11" numFmtId="0" xfId="0" applyAlignment="1" applyBorder="1" applyFont="1">
      <alignment readingOrder="0" shrinkToFit="0" vertical="center" wrapText="1"/>
    </xf>
    <xf borderId="0" fillId="0" fontId="11" numFmtId="0" xfId="0" applyAlignment="1" applyFont="1">
      <alignment readingOrder="0" shrinkToFit="0" vertical="center" wrapText="1"/>
    </xf>
    <xf borderId="13" fillId="25" fontId="6" numFmtId="0" xfId="0" applyAlignment="1" applyBorder="1" applyFill="1" applyFont="1">
      <alignment horizontal="left" readingOrder="0" shrinkToFit="0" vertical="center" wrapText="1"/>
    </xf>
    <xf borderId="13" fillId="25" fontId="1" numFmtId="0" xfId="0" applyAlignment="1" applyBorder="1" applyFont="1">
      <alignment horizontal="left" readingOrder="0" shrinkToFit="0" vertical="center" wrapText="1"/>
    </xf>
    <xf borderId="0" fillId="25" fontId="1" numFmtId="0" xfId="0" applyAlignment="1" applyFont="1">
      <alignment horizontal="center" readingOrder="0" shrinkToFit="0" vertical="top" wrapText="1"/>
    </xf>
    <xf borderId="0" fillId="25" fontId="1" numFmtId="0" xfId="0" applyAlignment="1" applyFont="1">
      <alignment horizontal="left" shrinkToFit="0" vertical="center" wrapText="1"/>
    </xf>
    <xf borderId="13" fillId="22" fontId="6" numFmtId="0" xfId="0" applyAlignment="1" applyBorder="1" applyFont="1">
      <alignment horizontal="left" readingOrder="0" shrinkToFit="0" vertical="center" wrapText="1"/>
    </xf>
    <xf borderId="13" fillId="22" fontId="1" numFmtId="0" xfId="0" applyAlignment="1" applyBorder="1" applyFont="1">
      <alignment horizontal="left" readingOrder="0" shrinkToFit="0" vertical="center" wrapText="1"/>
    </xf>
    <xf borderId="0" fillId="22" fontId="1" numFmtId="0" xfId="0" applyAlignment="1" applyFont="1">
      <alignment horizontal="left" readingOrder="0" shrinkToFit="0" vertical="top" wrapText="1"/>
    </xf>
    <xf borderId="0" fillId="22" fontId="1" numFmtId="0" xfId="0" applyAlignment="1" applyFont="1">
      <alignment horizontal="left" shrinkToFit="0" vertical="center" wrapText="1"/>
    </xf>
    <xf borderId="13" fillId="17" fontId="6" numFmtId="0" xfId="0" applyAlignment="1" applyBorder="1" applyFont="1">
      <alignment horizontal="left" readingOrder="0" shrinkToFit="0" vertical="center" wrapText="1"/>
    </xf>
    <xf borderId="13" fillId="17" fontId="1" numFmtId="0" xfId="0" applyAlignment="1" applyBorder="1" applyFont="1">
      <alignment horizontal="left" readingOrder="0" shrinkToFit="0" vertical="center" wrapText="1"/>
    </xf>
    <xf borderId="0" fillId="17" fontId="1" numFmtId="0" xfId="0" applyAlignment="1" applyFont="1">
      <alignment horizontal="left" readingOrder="0" shrinkToFit="0" vertical="top" wrapText="1"/>
    </xf>
    <xf borderId="0" fillId="17" fontId="1" numFmtId="0" xfId="0" applyAlignment="1" applyFont="1">
      <alignment horizontal="left" shrinkToFit="0" vertical="center" wrapText="1"/>
    </xf>
    <xf borderId="13" fillId="0" fontId="1" numFmtId="0" xfId="0" applyAlignment="1" applyBorder="1" applyFont="1">
      <alignment horizontal="left" shrinkToFit="0" vertical="center" wrapText="1"/>
    </xf>
    <xf borderId="13" fillId="13" fontId="1" numFmtId="0" xfId="0" applyAlignment="1" applyBorder="1" applyFont="1">
      <alignment horizontal="left" readingOrder="0" shrinkToFit="0" vertical="center" wrapText="1"/>
    </xf>
    <xf borderId="0" fillId="13" fontId="1" numFmtId="0" xfId="0" applyAlignment="1" applyFont="1">
      <alignment horizontal="left" shrinkToFit="0" vertical="center" wrapText="1"/>
    </xf>
    <xf borderId="13" fillId="26" fontId="6" numFmtId="0" xfId="0" applyAlignment="1" applyBorder="1" applyFill="1" applyFont="1">
      <alignment horizontal="left" readingOrder="0" shrinkToFit="0" vertical="center" wrapText="1"/>
    </xf>
    <xf borderId="13" fillId="26" fontId="13" numFmtId="0" xfId="0" applyAlignment="1" applyBorder="1" applyFont="1">
      <alignment horizontal="left" shrinkToFit="0" vertical="center" wrapText="1"/>
    </xf>
    <xf borderId="13" fillId="26" fontId="13" numFmtId="0" xfId="0" applyAlignment="1" applyBorder="1" applyFont="1">
      <alignment horizontal="left" readingOrder="0" shrinkToFit="0" vertical="center" wrapText="1"/>
    </xf>
    <xf borderId="0" fillId="26" fontId="1" numFmtId="0" xfId="0" applyAlignment="1" applyFont="1">
      <alignment horizontal="left" shrinkToFit="0" vertical="center" wrapText="1"/>
    </xf>
    <xf borderId="13" fillId="26" fontId="13" numFmtId="0" xfId="0" applyAlignment="1" applyBorder="1" applyFont="1">
      <alignment shrinkToFit="0" vertical="center" wrapText="1"/>
    </xf>
    <xf borderId="13" fillId="26" fontId="13" numFmtId="0" xfId="0" applyAlignment="1" applyBorder="1" applyFont="1">
      <alignment readingOrder="0" shrinkToFit="0" vertical="center" wrapText="1"/>
    </xf>
    <xf borderId="0" fillId="26" fontId="13" numFmtId="0" xfId="0" applyAlignment="1" applyFont="1">
      <alignment shrinkToFit="0" vertical="center" wrapText="1"/>
    </xf>
    <xf borderId="13" fillId="26" fontId="17" numFmtId="0" xfId="0" applyAlignment="1" applyBorder="1" applyFont="1">
      <alignment shrinkToFit="0" vertical="center" wrapText="1"/>
    </xf>
    <xf borderId="13" fillId="0" fontId="13" numFmtId="0" xfId="0" applyAlignment="1" applyBorder="1" applyFont="1">
      <alignment shrinkToFit="0" vertical="center" wrapText="1"/>
    </xf>
    <xf borderId="13" fillId="0" fontId="13" numFmtId="0" xfId="0" applyAlignment="1" applyBorder="1" applyFont="1">
      <alignment shrinkToFit="0" vertical="center" wrapText="1"/>
    </xf>
    <xf borderId="13" fillId="0" fontId="13" numFmtId="0" xfId="0" applyAlignment="1" applyBorder="1" applyFont="1">
      <alignment horizontal="left" shrinkToFit="0" vertical="center" wrapText="1"/>
    </xf>
    <xf borderId="0" fillId="0" fontId="13" numFmtId="0" xfId="0" applyFont="1"/>
    <xf borderId="13" fillId="0" fontId="17" numFmtId="0" xfId="0" applyAlignment="1" applyBorder="1" applyFont="1">
      <alignment shrinkToFit="0" vertical="center" wrapText="1"/>
    </xf>
    <xf borderId="13" fillId="0" fontId="13" numFmtId="0" xfId="0" applyAlignment="1" applyBorder="1" applyFont="1">
      <alignment shrinkToFit="0" wrapText="1"/>
    </xf>
    <xf borderId="0" fillId="0" fontId="17" numFmtId="0" xfId="0" applyAlignment="1" applyFont="1">
      <alignment shrinkToFit="0" wrapText="1"/>
    </xf>
    <xf borderId="13" fillId="4" fontId="13" numFmtId="0" xfId="0" applyAlignment="1" applyBorder="1" applyFont="1">
      <alignment shrinkToFit="0" vertical="center" wrapText="1"/>
    </xf>
    <xf borderId="13" fillId="27" fontId="6" numFmtId="0" xfId="0" applyAlignment="1" applyBorder="1" applyFill="1" applyFont="1">
      <alignment horizontal="left" readingOrder="0" shrinkToFit="0" vertical="center" wrapText="1"/>
    </xf>
    <xf borderId="13" fillId="27" fontId="1" numFmtId="0" xfId="0" applyAlignment="1" applyBorder="1" applyFont="1">
      <alignment horizontal="left" readingOrder="0" shrinkToFit="0" vertical="center" wrapText="1"/>
    </xf>
    <xf borderId="0" fillId="27" fontId="1" numFmtId="0" xfId="0" applyAlignment="1" applyFont="1">
      <alignment horizontal="left" readingOrder="0" shrinkToFit="0" vertical="top" wrapText="1"/>
    </xf>
    <xf borderId="0" fillId="27" fontId="1" numFmtId="0" xfId="0" applyAlignment="1" applyFont="1">
      <alignment horizontal="left" shrinkToFit="0" vertical="center" wrapText="1"/>
    </xf>
    <xf borderId="0" fillId="26" fontId="1" numFmtId="0" xfId="0" applyAlignment="1" applyFont="1">
      <alignment horizontal="left" readingOrder="0" shrinkToFit="0" vertical="top" wrapText="1"/>
    </xf>
    <xf borderId="13" fillId="26" fontId="17" numFmtId="0" xfId="0" applyAlignment="1" applyBorder="1" applyFont="1">
      <alignment readingOrder="0" shrinkToFit="0" vertical="center" wrapText="1"/>
    </xf>
    <xf borderId="0" fillId="0" fontId="1" numFmtId="0" xfId="0" applyAlignment="1" applyFont="1">
      <alignment horizontal="left" shrinkToFit="0" vertical="top" wrapText="1"/>
    </xf>
    <xf borderId="0" fillId="0" fontId="18" numFmtId="0" xfId="0" applyAlignment="1" applyFont="1">
      <alignment horizontal="center" shrinkToFit="0" vertical="center" wrapText="1"/>
    </xf>
    <xf borderId="13" fillId="0" fontId="1" numFmtId="0" xfId="0" applyBorder="1" applyFont="1"/>
    <xf borderId="13" fillId="0" fontId="6" numFmtId="0" xfId="0" applyAlignment="1" applyBorder="1" applyFont="1">
      <alignment horizontal="left" shrinkToFit="0" vertical="center" wrapText="1"/>
    </xf>
    <xf borderId="0" fillId="0" fontId="6" numFmtId="0" xfId="0" applyAlignment="1" applyFont="1">
      <alignment horizontal="left" shrinkToFit="0" vertical="center" wrapText="1"/>
    </xf>
    <xf borderId="0" fillId="0" fontId="1" numFmtId="0" xfId="0" applyAlignment="1" applyFont="1">
      <alignment horizontal="center" vertical="center"/>
    </xf>
    <xf borderId="13" fillId="0" fontId="1" numFmtId="0" xfId="0" applyAlignment="1" applyBorder="1" applyFont="1">
      <alignment horizontal="center" readingOrder="0" vertical="center"/>
    </xf>
    <xf borderId="13" fillId="0" fontId="1" numFmtId="0" xfId="0" applyAlignment="1" applyBorder="1" applyFont="1">
      <alignment readingOrder="0" vertical="center"/>
    </xf>
    <xf borderId="13" fillId="3" fontId="12" numFmtId="0" xfId="0" applyAlignment="1" applyBorder="1" applyFont="1">
      <alignment horizontal="left" readingOrder="0" shrinkToFit="0" vertical="center" wrapText="1"/>
    </xf>
    <xf borderId="13" fillId="3" fontId="19" numFmtId="0" xfId="0" applyAlignment="1" applyBorder="1" applyFont="1">
      <alignment horizontal="left" readingOrder="0" shrinkToFit="0" vertical="center" wrapText="1"/>
    </xf>
    <xf borderId="13" fillId="3" fontId="19" numFmtId="0" xfId="0" applyAlignment="1" applyBorder="1" applyFont="1">
      <alignment readingOrder="0" vertical="center"/>
    </xf>
    <xf borderId="13" fillId="3" fontId="19" numFmtId="0" xfId="0" applyAlignment="1" applyBorder="1" applyFont="1">
      <alignment readingOrder="0" shrinkToFit="0" vertical="center" wrapText="1"/>
    </xf>
    <xf borderId="13" fillId="3" fontId="19" numFmtId="0" xfId="0" applyAlignment="1" applyBorder="1" applyFont="1">
      <alignment horizontal="center" readingOrder="0" vertical="center"/>
    </xf>
    <xf borderId="0" fillId="3" fontId="19" numFmtId="0" xfId="0" applyFont="1"/>
    <xf borderId="0" fillId="3" fontId="19" numFmtId="0" xfId="0" applyAlignment="1" applyFont="1">
      <alignment horizontal="center" vertical="center"/>
    </xf>
    <xf borderId="13" fillId="3" fontId="1" numFmtId="0" xfId="0" applyAlignment="1" applyBorder="1" applyFont="1">
      <alignment horizontal="center" readingOrder="0" vertical="center"/>
    </xf>
    <xf borderId="0" fillId="3" fontId="1" numFmtId="0" xfId="0" applyAlignment="1" applyFont="1">
      <alignment horizontal="center" vertical="center"/>
    </xf>
    <xf borderId="0" fillId="0" fontId="13" numFmtId="0" xfId="0" applyAlignment="1" applyFont="1">
      <alignment vertical="center"/>
    </xf>
    <xf borderId="0" fillId="0" fontId="13" numFmtId="0" xfId="0" applyAlignment="1" applyFont="1">
      <alignment horizontal="center" vertical="center"/>
    </xf>
    <xf borderId="14" fillId="0" fontId="13" numFmtId="0" xfId="0" applyAlignment="1" applyBorder="1" applyFont="1">
      <alignment readingOrder="0" shrinkToFit="0" vertical="center" wrapText="1"/>
    </xf>
    <xf borderId="0" fillId="0" fontId="1" numFmtId="0" xfId="0" applyAlignment="1" applyFont="1">
      <alignment horizontal="center" shrinkToFit="0" vertical="center" wrapText="1"/>
    </xf>
    <xf borderId="13" fillId="14" fontId="6" numFmtId="0" xfId="0" applyAlignment="1" applyBorder="1" applyFont="1">
      <alignment horizontal="left" readingOrder="0" shrinkToFit="0" vertical="center" wrapText="1"/>
    </xf>
    <xf borderId="13" fillId="14" fontId="1" numFmtId="0" xfId="0" applyAlignment="1" applyBorder="1" applyFont="1">
      <alignment horizontal="left" readingOrder="0" shrinkToFit="0" vertical="center" wrapText="1"/>
    </xf>
    <xf borderId="13" fillId="14" fontId="1" numFmtId="0" xfId="0" applyAlignment="1" applyBorder="1" applyFont="1">
      <alignment readingOrder="0" shrinkToFit="0" vertical="center" wrapText="1"/>
    </xf>
    <xf borderId="13" fillId="14" fontId="1" numFmtId="0" xfId="0" applyAlignment="1" applyBorder="1" applyFont="1">
      <alignment horizontal="center" readingOrder="0" vertical="center"/>
    </xf>
    <xf borderId="0" fillId="14" fontId="1" numFmtId="0" xfId="0" applyFont="1"/>
    <xf borderId="0" fillId="14" fontId="1" numFmtId="0" xfId="0" applyAlignment="1" applyFont="1">
      <alignment horizontal="center"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3" numFmtId="0" xfId="0" applyAlignment="1" applyFont="1">
      <alignment horizontal="center" readingOrder="0" shrinkToFit="0" vertical="center" wrapText="1"/>
    </xf>
    <xf borderId="0" fillId="0" fontId="13" numFmtId="0" xfId="0" applyAlignment="1" applyFont="1">
      <alignment horizontal="center" shrinkToFit="0" vertical="center" wrapText="1"/>
    </xf>
    <xf borderId="0" fillId="0" fontId="13" numFmtId="0" xfId="0" applyAlignment="1" applyFont="1">
      <alignment horizontal="center" readingOrder="0" vertical="center"/>
    </xf>
    <xf borderId="15" fillId="0" fontId="6" numFmtId="0" xfId="0" applyAlignment="1" applyBorder="1" applyFont="1">
      <alignment horizontal="left" readingOrder="0" shrinkToFit="0" vertical="center" wrapText="1"/>
    </xf>
    <xf borderId="15" fillId="0" fontId="13" numFmtId="0" xfId="0" applyAlignment="1" applyBorder="1" applyFont="1">
      <alignment shrinkToFit="0" vertical="center" wrapText="1"/>
    </xf>
    <xf borderId="15" fillId="0" fontId="13" numFmtId="0" xfId="0" applyAlignment="1" applyBorder="1" applyFont="1">
      <alignment readingOrder="0" shrinkToFit="0" vertical="center" wrapText="1"/>
    </xf>
    <xf borderId="0" fillId="0" fontId="6"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542925</xdr:colOff>
      <xdr:row>50</xdr:row>
      <xdr:rowOff>95250</xdr:rowOff>
    </xdr:from>
    <xdr:ext cx="3400425" cy="18383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el.p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youtube.com/watch?v=HyP8sXi6Qeo" TargetMode="External"/><Relationship Id="rId2" Type="http://schemas.openxmlformats.org/officeDocument/2006/relationships/hyperlink" Target="https://www.youtube.com/watch?v=HyP8sXi6Qeo"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5.13"/>
    <col customWidth="1" min="3" max="3" width="31.63"/>
    <col customWidth="1" min="5" max="5" width="20.25"/>
  </cols>
  <sheetData>
    <row r="1">
      <c r="A1" s="1"/>
      <c r="B1" s="1"/>
      <c r="C1" s="1"/>
      <c r="D1" s="1"/>
      <c r="E1" s="1"/>
    </row>
    <row r="2">
      <c r="A2" s="1"/>
      <c r="B2" s="2" t="s">
        <v>0</v>
      </c>
      <c r="C2" s="3" t="s">
        <v>1</v>
      </c>
      <c r="D2" s="3" t="s">
        <v>2</v>
      </c>
      <c r="E2" s="4" t="s">
        <v>3</v>
      </c>
    </row>
    <row r="3">
      <c r="A3" s="5"/>
      <c r="B3" s="6">
        <v>0.0</v>
      </c>
      <c r="C3" s="7" t="s">
        <v>4</v>
      </c>
      <c r="D3" s="8"/>
      <c r="E3" s="9"/>
      <c r="F3" s="10"/>
      <c r="G3" s="10"/>
      <c r="H3" s="10"/>
      <c r="I3" s="10"/>
      <c r="J3" s="10"/>
      <c r="K3" s="10"/>
      <c r="L3" s="10"/>
      <c r="M3" s="10"/>
      <c r="N3" s="10"/>
      <c r="O3" s="10"/>
      <c r="P3" s="10"/>
      <c r="Q3" s="10"/>
      <c r="R3" s="10"/>
      <c r="S3" s="10"/>
      <c r="T3" s="10"/>
      <c r="U3" s="10"/>
      <c r="V3" s="10"/>
      <c r="W3" s="10"/>
      <c r="X3" s="10"/>
      <c r="Y3" s="10"/>
      <c r="Z3" s="10"/>
      <c r="AA3" s="10"/>
      <c r="AB3" s="10"/>
    </row>
    <row r="4">
      <c r="A4" s="1"/>
      <c r="B4" s="11">
        <v>1.0</v>
      </c>
      <c r="C4" s="12" t="s">
        <v>5</v>
      </c>
      <c r="D4" s="13"/>
      <c r="E4" s="14"/>
    </row>
    <row r="5">
      <c r="A5" s="1"/>
      <c r="B5" s="11">
        <v>2.0</v>
      </c>
      <c r="C5" s="12" t="s">
        <v>6</v>
      </c>
      <c r="D5" s="13"/>
      <c r="E5" s="14"/>
    </row>
    <row r="6">
      <c r="A6" s="1"/>
      <c r="B6" s="11">
        <v>3.0</v>
      </c>
      <c r="C6" s="12" t="s">
        <v>7</v>
      </c>
      <c r="D6" s="13"/>
      <c r="E6" s="14"/>
    </row>
    <row r="7">
      <c r="A7" s="1"/>
      <c r="B7" s="11">
        <v>4.0</v>
      </c>
      <c r="C7" s="12" t="s">
        <v>8</v>
      </c>
      <c r="D7" s="13"/>
      <c r="E7" s="14"/>
    </row>
    <row r="8">
      <c r="A8" s="1"/>
      <c r="B8" s="15">
        <v>5.0</v>
      </c>
      <c r="C8" s="16" t="s">
        <v>9</v>
      </c>
      <c r="D8" s="17"/>
      <c r="E8"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2.38"/>
    <col hidden="1" min="2" max="4" width="12.63"/>
  </cols>
  <sheetData>
    <row r="1">
      <c r="A1" s="1" t="s">
        <v>10</v>
      </c>
      <c r="B1" s="1" t="s">
        <v>11</v>
      </c>
      <c r="C1" s="1" t="s">
        <v>2</v>
      </c>
      <c r="D1" s="1" t="s">
        <v>12</v>
      </c>
      <c r="E1" s="1" t="s">
        <v>13</v>
      </c>
      <c r="F1" s="1" t="s">
        <v>14</v>
      </c>
      <c r="G1" s="1" t="s">
        <v>15</v>
      </c>
      <c r="H1" s="1" t="s">
        <v>16</v>
      </c>
      <c r="I1" s="1" t="s">
        <v>17</v>
      </c>
      <c r="J1" s="1" t="s">
        <v>18</v>
      </c>
      <c r="K1" s="1" t="s">
        <v>19</v>
      </c>
      <c r="L1" s="1" t="s">
        <v>20</v>
      </c>
    </row>
    <row r="2">
      <c r="A2" s="1" t="s">
        <v>21</v>
      </c>
      <c r="B2" s="1" t="s">
        <v>22</v>
      </c>
      <c r="C2" s="1" t="s">
        <v>23</v>
      </c>
      <c r="E2" s="19">
        <f>'HU001_PER - Single sign on - SS'!M2</f>
        <v>43</v>
      </c>
      <c r="F2" s="20" t="s">
        <v>24</v>
      </c>
      <c r="G2" s="20" t="s">
        <v>24</v>
      </c>
      <c r="H2" s="20" t="s">
        <v>24</v>
      </c>
      <c r="I2" s="20" t="s">
        <v>24</v>
      </c>
      <c r="J2" s="20" t="s">
        <v>24</v>
      </c>
      <c r="K2" s="20" t="s">
        <v>24</v>
      </c>
      <c r="L2" s="21">
        <f>'HU001_PER - Single sign on - SS'!M2</f>
        <v>43</v>
      </c>
    </row>
    <row r="3">
      <c r="A3" s="1" t="s">
        <v>25</v>
      </c>
      <c r="B3" s="1" t="s">
        <v>22</v>
      </c>
      <c r="C3" s="1" t="s">
        <v>26</v>
      </c>
      <c r="E3" s="19">
        <f>'HU002_PER - Home Módulo Regiona'!L2</f>
        <v>45</v>
      </c>
      <c r="F3" s="20">
        <f>'HU001_PER - Single sign on - SS'!M3</f>
        <v>9</v>
      </c>
      <c r="G3" s="20" t="s">
        <v>24</v>
      </c>
      <c r="H3" s="20" t="s">
        <v>24</v>
      </c>
      <c r="I3" s="20" t="s">
        <v>24</v>
      </c>
      <c r="J3" s="20" t="s">
        <v>24</v>
      </c>
      <c r="K3" s="20" t="s">
        <v>24</v>
      </c>
      <c r="L3" s="21">
        <f>'HU002_PER - Home Módulo Regiona'!L2</f>
        <v>45</v>
      </c>
    </row>
    <row r="4">
      <c r="A4" s="1" t="s">
        <v>27</v>
      </c>
      <c r="B4" s="1" t="s">
        <v>22</v>
      </c>
      <c r="C4" s="1" t="s">
        <v>26</v>
      </c>
      <c r="E4" s="19">
        <f>'HU003_PER - Accesos Rápidos'!K3</f>
        <v>36</v>
      </c>
      <c r="F4" s="20" t="s">
        <v>24</v>
      </c>
      <c r="G4" s="20" t="s">
        <v>24</v>
      </c>
      <c r="H4" s="20" t="s">
        <v>24</v>
      </c>
      <c r="I4" s="20" t="s">
        <v>24</v>
      </c>
      <c r="J4" s="20" t="s">
        <v>24</v>
      </c>
      <c r="K4" s="20" t="s">
        <v>24</v>
      </c>
      <c r="L4" s="21">
        <f>'HU003_PER - Accesos Rápidos'!K3</f>
        <v>36</v>
      </c>
    </row>
    <row r="5">
      <c r="A5" s="1" t="s">
        <v>28</v>
      </c>
      <c r="B5" s="1" t="s">
        <v>22</v>
      </c>
      <c r="C5" s="1" t="s">
        <v>26</v>
      </c>
      <c r="E5" s="19">
        <f>'HU004 - Posición Consolidada cu'!M9</f>
        <v>23</v>
      </c>
      <c r="F5" s="19">
        <f>'HU004 - Posición Consolidada cu'!M3</f>
        <v>2</v>
      </c>
      <c r="G5" s="19">
        <f>'HU004 - Posición Consolidada cu'!M4</f>
        <v>2</v>
      </c>
      <c r="H5" s="19">
        <f>'HU004 - Posición Consolidada cu'!M5</f>
        <v>2</v>
      </c>
      <c r="I5" s="19">
        <f>'HU004 - Posición Consolidada cu'!M6</f>
        <v>2</v>
      </c>
      <c r="J5" s="19">
        <f>'HU004 - Posición Consolidada cu'!M7</f>
        <v>2</v>
      </c>
      <c r="K5" s="19">
        <f>'HU004 - Posición Consolidada cu'!M8</f>
        <v>2</v>
      </c>
      <c r="L5" s="21">
        <f>'HU004 - Posición Consolidada cu'!M2</f>
        <v>35</v>
      </c>
    </row>
    <row r="6">
      <c r="A6" s="1" t="s">
        <v>29</v>
      </c>
      <c r="B6" s="1" t="s">
        <v>22</v>
      </c>
      <c r="C6" s="1" t="s">
        <v>26</v>
      </c>
      <c r="E6" s="19">
        <f>'HU005_PER - Consulta detallada '!M3</f>
        <v>45</v>
      </c>
      <c r="F6" s="19">
        <f>'HU006_PER - Detalle movimiento '!M3</f>
        <v>3</v>
      </c>
      <c r="G6" s="19">
        <f>'HU005_PER - Consulta detallada '!M5</f>
        <v>3</v>
      </c>
      <c r="H6" s="19">
        <f>'HU005_PER - Consulta detallada '!M6</f>
        <v>3</v>
      </c>
      <c r="I6" s="19">
        <f>'HU005_PER - Consulta detallada '!M7</f>
        <v>3</v>
      </c>
      <c r="J6" s="19">
        <f>'HU005_PER - Consulta detallada '!M8</f>
        <v>3</v>
      </c>
      <c r="K6" s="19">
        <f>'HU005_PER - Consulta detallada '!M9</f>
        <v>3</v>
      </c>
      <c r="L6" s="21">
        <f>'HU005_PER - Consulta detallada '!M2</f>
        <v>63</v>
      </c>
    </row>
    <row r="7">
      <c r="A7" s="1" t="s">
        <v>30</v>
      </c>
      <c r="B7" s="1" t="s">
        <v>22</v>
      </c>
      <c r="C7" s="1" t="s">
        <v>26</v>
      </c>
      <c r="E7" s="19">
        <f>'HU006_PER - Detalle movimiento '!M9</f>
        <v>21</v>
      </c>
      <c r="F7" s="19">
        <f>'HU006_PER - Detalle movimiento '!M3</f>
        <v>3</v>
      </c>
      <c r="G7" s="19">
        <f>'HU006_PER - Detalle movimiento '!M4</f>
        <v>3</v>
      </c>
      <c r="H7" s="19">
        <f>'HU006_PER - Detalle movimiento '!M5</f>
        <v>3</v>
      </c>
      <c r="I7" s="19">
        <f>'HU006_PER - Detalle movimiento '!M6</f>
        <v>3</v>
      </c>
      <c r="J7" s="19">
        <f>'HU006_PER - Detalle movimiento '!M7</f>
        <v>3</v>
      </c>
      <c r="K7" s="19">
        <f>'HU006_PER - Detalle movimiento '!M8</f>
        <v>3</v>
      </c>
      <c r="L7" s="21">
        <f>'HU006_PER - Detalle movimiento '!M2</f>
        <v>39</v>
      </c>
    </row>
    <row r="8">
      <c r="A8" s="1" t="s">
        <v>31</v>
      </c>
      <c r="B8" s="1" t="s">
        <v>22</v>
      </c>
      <c r="C8" s="1" t="s">
        <v>26</v>
      </c>
      <c r="E8" s="19">
        <f>'HU007_PER - Consulta y descarga'!N3</f>
        <v>7</v>
      </c>
      <c r="F8" s="19">
        <f>'HU007_PER - Consulta y descarga'!N9</f>
        <v>2</v>
      </c>
      <c r="G8" s="19">
        <f>'HU007_PER - Consulta y descarga'!N7</f>
        <v>2</v>
      </c>
      <c r="H8" s="19">
        <f>'HU007_PER - Consulta y descarga'!N6</f>
        <v>2</v>
      </c>
      <c r="I8" s="19">
        <f>'HU007_PER - Consulta y descarga'!N5</f>
        <v>2</v>
      </c>
      <c r="J8" s="19">
        <f>'HU007_PER - Consulta y descarga'!N4</f>
        <v>2</v>
      </c>
      <c r="K8" s="19">
        <f>'HU007_PER - Consulta y descarga'!N8</f>
        <v>2</v>
      </c>
      <c r="L8" s="21">
        <f>'HU007_PER - Consulta y descarga'!N2</f>
        <v>19</v>
      </c>
    </row>
    <row r="9">
      <c r="A9" s="1" t="s">
        <v>32</v>
      </c>
      <c r="B9" s="1" t="s">
        <v>22</v>
      </c>
      <c r="C9" s="22" t="s">
        <v>33</v>
      </c>
      <c r="D9" s="1" t="s">
        <v>34</v>
      </c>
      <c r="E9" s="19">
        <f>'HU008_PER - Módulo de administr'!M2</f>
        <v>135</v>
      </c>
      <c r="F9" s="20" t="s">
        <v>24</v>
      </c>
      <c r="G9" s="20" t="s">
        <v>24</v>
      </c>
      <c r="H9" s="20" t="s">
        <v>24</v>
      </c>
      <c r="I9" s="20" t="s">
        <v>24</v>
      </c>
      <c r="J9" s="20" t="s">
        <v>24</v>
      </c>
      <c r="K9" s="20" t="s">
        <v>24</v>
      </c>
      <c r="L9" s="21">
        <f>'HU008_PER - Módulo de administr'!M2</f>
        <v>135</v>
      </c>
    </row>
    <row r="10">
      <c r="A10" s="1" t="s">
        <v>35</v>
      </c>
      <c r="B10" s="1" t="s">
        <v>22</v>
      </c>
      <c r="C10" s="22" t="s">
        <v>33</v>
      </c>
      <c r="E10" s="19">
        <f>'HU009_PER - Grupo de Productos'!M2</f>
        <v>211</v>
      </c>
      <c r="F10" s="20" t="s">
        <v>24</v>
      </c>
      <c r="G10" s="20" t="s">
        <v>24</v>
      </c>
      <c r="H10" s="20" t="s">
        <v>24</v>
      </c>
      <c r="I10" s="20" t="s">
        <v>24</v>
      </c>
      <c r="J10" s="20" t="s">
        <v>24</v>
      </c>
      <c r="K10" s="20" t="s">
        <v>24</v>
      </c>
      <c r="L10" s="21">
        <f>'HU009_PER - Grupo de Productos'!M2</f>
        <v>211</v>
      </c>
    </row>
    <row r="11">
      <c r="A11" s="1" t="s">
        <v>36</v>
      </c>
      <c r="B11" s="1" t="s">
        <v>22</v>
      </c>
      <c r="C11" s="22" t="s">
        <v>33</v>
      </c>
      <c r="E11" s="19">
        <f>'HU010_PER - Administración clie'!N2</f>
        <v>424</v>
      </c>
      <c r="F11" s="20" t="s">
        <v>24</v>
      </c>
      <c r="G11" s="20" t="s">
        <v>24</v>
      </c>
      <c r="H11" s="20" t="s">
        <v>24</v>
      </c>
      <c r="I11" s="20" t="s">
        <v>24</v>
      </c>
      <c r="J11" s="20" t="s">
        <v>24</v>
      </c>
      <c r="K11" s="20" t="s">
        <v>24</v>
      </c>
      <c r="L11" s="21">
        <f>'HU010_PER - Administración clie'!N2</f>
        <v>424</v>
      </c>
    </row>
    <row r="12">
      <c r="A12" s="1" t="s">
        <v>37</v>
      </c>
      <c r="B12" s="1" t="s">
        <v>22</v>
      </c>
      <c r="C12" s="22" t="s">
        <v>33</v>
      </c>
      <c r="E12" s="19">
        <f>'HU011_PER - Esquema de Firmas'!N2</f>
        <v>219</v>
      </c>
      <c r="F12" s="20" t="s">
        <v>24</v>
      </c>
      <c r="G12" s="20" t="s">
        <v>24</v>
      </c>
      <c r="H12" s="20" t="s">
        <v>24</v>
      </c>
      <c r="I12" s="20" t="s">
        <v>24</v>
      </c>
      <c r="J12" s="20" t="s">
        <v>24</v>
      </c>
      <c r="K12" s="20" t="s">
        <v>24</v>
      </c>
      <c r="L12" s="21">
        <f>'HU011_PER - Esquema de Firmas'!N2</f>
        <v>219</v>
      </c>
    </row>
    <row r="13">
      <c r="A13" s="22" t="s">
        <v>38</v>
      </c>
      <c r="B13" s="1" t="s">
        <v>22</v>
      </c>
      <c r="C13" s="1" t="s">
        <v>23</v>
      </c>
      <c r="D13" s="1" t="s">
        <v>34</v>
      </c>
      <c r="E13" s="19">
        <f>'HU012_PER - Destinos Autorizado'!M3</f>
        <v>44</v>
      </c>
      <c r="F13" s="19">
        <f>'HU012_PER - Destinos Autorizado'!M4</f>
        <v>0</v>
      </c>
      <c r="G13" s="19">
        <f>'HU012_PER - Destinos Autorizado'!M5</f>
        <v>14</v>
      </c>
      <c r="H13" s="19">
        <f>'HU012_PER - Destinos Autorizado'!M6</f>
        <v>15</v>
      </c>
      <c r="I13" s="19">
        <f>'HU012_PER - Destinos Autorizado'!M7</f>
        <v>12</v>
      </c>
      <c r="J13" s="19">
        <f>'HU012_PER - Destinos Autorizado'!M8</f>
        <v>6</v>
      </c>
      <c r="K13" s="19">
        <f>'HU012_PER - Destinos Autorizado'!M9</f>
        <v>0</v>
      </c>
      <c r="L13" s="21">
        <f>'HU012_PER - Destinos Autorizado'!M2</f>
        <v>91</v>
      </c>
    </row>
    <row r="14">
      <c r="A14" s="1" t="s">
        <v>39</v>
      </c>
      <c r="B14" s="1" t="s">
        <v>22</v>
      </c>
      <c r="C14" s="1" t="s">
        <v>26</v>
      </c>
      <c r="E14" s="19">
        <f>'HU013_PER - Transferencias Regi'!O6</f>
        <v>45</v>
      </c>
      <c r="F14" s="20" t="s">
        <v>24</v>
      </c>
      <c r="G14" s="19">
        <f>'HU013_PER - Transferencias Regi'!O2</f>
        <v>74</v>
      </c>
      <c r="H14" s="19">
        <f>'HU013_PER - Transferencias Regi'!O3</f>
        <v>76</v>
      </c>
      <c r="I14" s="19">
        <f>'HU013_PER - Transferencias Regi'!O4</f>
        <v>74</v>
      </c>
      <c r="J14" s="19">
        <f>'HU013_PER - Transferencias Regi'!O5</f>
        <v>71</v>
      </c>
      <c r="K14" s="20" t="s">
        <v>24</v>
      </c>
      <c r="L14" s="21">
        <f>'HU013_PER - Transferencias Regi'!O1</f>
        <v>340</v>
      </c>
    </row>
    <row r="15">
      <c r="A15" s="1" t="s">
        <v>40</v>
      </c>
      <c r="B15" s="1" t="s">
        <v>22</v>
      </c>
      <c r="C15" s="1" t="s">
        <v>23</v>
      </c>
      <c r="D15" s="1" t="s">
        <v>34</v>
      </c>
      <c r="E15" s="20">
        <f>'HU014_PER - Transferencias Regi'!L7</f>
        <v>20</v>
      </c>
      <c r="F15" s="20" t="s">
        <v>24</v>
      </c>
      <c r="G15" s="19">
        <f>'HU014_PER - Transferencias Regi'!L3</f>
        <v>63</v>
      </c>
      <c r="H15" s="19">
        <f>'HU014_PER - Transferencias Regi'!L4</f>
        <v>65</v>
      </c>
      <c r="I15" s="19">
        <f>'HU014_PER - Transferencias Regi'!L5</f>
        <v>52</v>
      </c>
      <c r="J15" s="19">
        <f>'HU014_PER - Transferencias Regi'!L6</f>
        <v>45</v>
      </c>
      <c r="K15" s="20" t="s">
        <v>24</v>
      </c>
      <c r="L15" s="21">
        <f>'HU014_PER - Transferencias Regi'!L2</f>
        <v>245</v>
      </c>
    </row>
    <row r="16">
      <c r="A16" s="1" t="s">
        <v>41</v>
      </c>
      <c r="B16" s="1" t="s">
        <v>22</v>
      </c>
      <c r="C16" s="1" t="s">
        <v>42</v>
      </c>
      <c r="E16" s="19">
        <f>'HU015_PER - Transferencias Regi'!M3</f>
        <v>25</v>
      </c>
      <c r="F16" s="20" t="s">
        <v>24</v>
      </c>
      <c r="G16" s="20" t="s">
        <v>24</v>
      </c>
      <c r="H16" s="20" t="s">
        <v>24</v>
      </c>
      <c r="I16" s="20" t="s">
        <v>24</v>
      </c>
      <c r="J16" s="19">
        <f>'HU015_PER - Transferencias Regi'!M4</f>
        <v>1</v>
      </c>
      <c r="K16" s="20" t="s">
        <v>24</v>
      </c>
      <c r="L16" s="21">
        <f>'HU015_PER - Transferencias Regi'!M2</f>
        <v>26</v>
      </c>
    </row>
    <row r="17">
      <c r="A17" s="1" t="s">
        <v>43</v>
      </c>
      <c r="B17" s="1" t="s">
        <v>22</v>
      </c>
      <c r="C17" s="1" t="s">
        <v>42</v>
      </c>
      <c r="D17" s="1" t="s">
        <v>34</v>
      </c>
      <c r="E17" s="19">
        <f>'HU016_PER - Transferencias regi'!M3</f>
        <v>50</v>
      </c>
      <c r="F17" s="20" t="s">
        <v>24</v>
      </c>
      <c r="G17" s="20" t="s">
        <v>24</v>
      </c>
      <c r="H17" s="20" t="s">
        <v>24</v>
      </c>
      <c r="I17" s="20" t="s">
        <v>24</v>
      </c>
      <c r="J17" s="20" t="s">
        <v>24</v>
      </c>
      <c r="K17" s="20" t="s">
        <v>24</v>
      </c>
      <c r="L17" s="21">
        <f>'HU016_PER - Transferencias regi'!M2</f>
        <v>50</v>
      </c>
    </row>
    <row r="18">
      <c r="A18" s="1" t="s">
        <v>44</v>
      </c>
      <c r="B18" s="1" t="s">
        <v>22</v>
      </c>
      <c r="C18" s="1" t="s">
        <v>26</v>
      </c>
      <c r="E18" s="19">
        <f>'HU017_PER - Autorizaciones tran'!M9</f>
        <v>63</v>
      </c>
      <c r="F18" s="20">
        <f>'HU017_PER - Autorizaciones tran'!M3</f>
        <v>16</v>
      </c>
      <c r="G18" s="19">
        <f>'HU017_PER - Autorizaciones tran'!M4</f>
        <v>2</v>
      </c>
      <c r="H18" s="19">
        <f>'HU017_PER - Autorizaciones tran'!M5</f>
        <v>2</v>
      </c>
      <c r="I18" s="19">
        <f>'HU017_PER - Autorizaciones tran'!M6</f>
        <v>2</v>
      </c>
      <c r="J18" s="19">
        <f>'HU017_PER - Autorizaciones tran'!M7</f>
        <v>1</v>
      </c>
      <c r="K18" s="20">
        <f>'HU017_PER - Autorizaciones tran'!M8</f>
        <v>2</v>
      </c>
      <c r="L18" s="21">
        <f>'HU017_PER - Autorizaciones tran'!M2</f>
        <v>88</v>
      </c>
    </row>
    <row r="19">
      <c r="A19" s="1" t="s">
        <v>45</v>
      </c>
      <c r="B19" s="1" t="s">
        <v>46</v>
      </c>
      <c r="C19" s="22" t="s">
        <v>33</v>
      </c>
      <c r="E19" s="19">
        <f>'HU018_PER - Módulo Autorizacion'!M2</f>
        <v>101</v>
      </c>
      <c r="F19" s="20" t="s">
        <v>24</v>
      </c>
      <c r="G19" s="20" t="s">
        <v>24</v>
      </c>
      <c r="H19" s="20" t="s">
        <v>24</v>
      </c>
      <c r="I19" s="20" t="s">
        <v>24</v>
      </c>
      <c r="J19" s="20" t="s">
        <v>24</v>
      </c>
      <c r="K19" s="20" t="s">
        <v>24</v>
      </c>
      <c r="L19" s="21">
        <f>'HU018_PER - Módulo Autorizacion'!M2</f>
        <v>101</v>
      </c>
    </row>
    <row r="20">
      <c r="A20" s="1" t="s">
        <v>47</v>
      </c>
      <c r="B20" s="1" t="s">
        <v>22</v>
      </c>
      <c r="C20" s="1" t="s">
        <v>26</v>
      </c>
      <c r="E20" s="19">
        <f>'HU019_PER - Buzón Notificacione'!M3</f>
        <v>26</v>
      </c>
      <c r="F20" s="20" t="s">
        <v>24</v>
      </c>
      <c r="G20" s="20" t="s">
        <v>24</v>
      </c>
      <c r="H20" s="20" t="s">
        <v>24</v>
      </c>
      <c r="I20" s="20" t="s">
        <v>24</v>
      </c>
      <c r="J20" s="20" t="s">
        <v>24</v>
      </c>
      <c r="K20" s="20" t="s">
        <v>24</v>
      </c>
      <c r="L20" s="21">
        <f>'HU019_PER - Buzón Notificacione'!M2</f>
        <v>27</v>
      </c>
    </row>
    <row r="21">
      <c r="A21" s="23" t="s">
        <v>48</v>
      </c>
      <c r="B21" s="23" t="s">
        <v>22</v>
      </c>
      <c r="C21" s="23" t="s">
        <v>26</v>
      </c>
      <c r="D21" s="24"/>
      <c r="E21" s="25">
        <f>'HU020_PER - Banners'!M3</f>
        <v>47</v>
      </c>
      <c r="F21" s="26" t="s">
        <v>24</v>
      </c>
      <c r="G21" s="20" t="s">
        <v>24</v>
      </c>
      <c r="H21" s="20" t="s">
        <v>24</v>
      </c>
      <c r="I21" s="20" t="s">
        <v>24</v>
      </c>
      <c r="J21" s="20" t="s">
        <v>24</v>
      </c>
      <c r="K21" s="20" t="s">
        <v>24</v>
      </c>
      <c r="L21" s="24">
        <f>'HU020_PER - Banners'!M2</f>
        <v>47</v>
      </c>
      <c r="M21" s="24"/>
      <c r="N21" s="24"/>
      <c r="O21" s="24"/>
      <c r="P21" s="24"/>
      <c r="Q21" s="24"/>
      <c r="R21" s="24"/>
      <c r="S21" s="24"/>
      <c r="T21" s="24"/>
      <c r="U21" s="24"/>
      <c r="V21" s="24"/>
      <c r="W21" s="24"/>
      <c r="X21" s="24"/>
      <c r="Y21" s="24"/>
      <c r="Z21" s="24"/>
      <c r="AA21" s="24"/>
    </row>
    <row r="22">
      <c r="A22" s="22" t="s">
        <v>49</v>
      </c>
      <c r="B22" s="1" t="s">
        <v>46</v>
      </c>
      <c r="C22" s="1" t="s">
        <v>50</v>
      </c>
      <c r="E22" s="19"/>
      <c r="F22" s="20" t="s">
        <v>24</v>
      </c>
      <c r="G22" s="20" t="s">
        <v>24</v>
      </c>
      <c r="H22" s="20" t="s">
        <v>24</v>
      </c>
      <c r="I22" s="20" t="s">
        <v>24</v>
      </c>
      <c r="J22" s="20" t="s">
        <v>24</v>
      </c>
      <c r="K22" s="20" t="s">
        <v>24</v>
      </c>
    </row>
    <row r="23">
      <c r="A23" s="22" t="s">
        <v>51</v>
      </c>
      <c r="B23" s="1" t="s">
        <v>22</v>
      </c>
      <c r="C23" s="22" t="s">
        <v>23</v>
      </c>
      <c r="E23" s="19">
        <f>'HU022_PER - Migración Destinos '!M3</f>
        <v>4</v>
      </c>
      <c r="F23" s="20" t="s">
        <v>24</v>
      </c>
      <c r="G23" s="20" t="s">
        <v>24</v>
      </c>
      <c r="H23" s="20" t="s">
        <v>24</v>
      </c>
      <c r="I23" s="20" t="s">
        <v>24</v>
      </c>
      <c r="J23" s="20" t="s">
        <v>24</v>
      </c>
      <c r="K23" s="20" t="s">
        <v>24</v>
      </c>
    </row>
    <row r="24">
      <c r="A24" s="1" t="s">
        <v>52</v>
      </c>
      <c r="B24" s="1" t="s">
        <v>46</v>
      </c>
      <c r="E24" s="20" t="s">
        <v>53</v>
      </c>
      <c r="F24" s="20" t="s">
        <v>24</v>
      </c>
      <c r="G24" s="20" t="s">
        <v>24</v>
      </c>
      <c r="H24" s="20" t="s">
        <v>24</v>
      </c>
      <c r="I24" s="20" t="s">
        <v>24</v>
      </c>
      <c r="J24" s="20" t="s">
        <v>24</v>
      </c>
      <c r="K24" s="20" t="s">
        <v>24</v>
      </c>
      <c r="L24" s="21">
        <f>'HU022_PER - Migración Destinos '!M3</f>
        <v>4</v>
      </c>
    </row>
    <row r="25">
      <c r="A25" s="1" t="s">
        <v>54</v>
      </c>
      <c r="B25" s="1" t="s">
        <v>46</v>
      </c>
      <c r="E25" s="20" t="s">
        <v>46</v>
      </c>
      <c r="F25" s="19"/>
      <c r="G25" s="19"/>
      <c r="H25" s="19"/>
      <c r="I25" s="19"/>
      <c r="J25" s="19"/>
      <c r="K25" s="19"/>
    </row>
    <row r="26">
      <c r="E26" s="19">
        <f t="shared" ref="E26:L26" si="1">SUM(E2:E25)</f>
        <v>1634</v>
      </c>
      <c r="F26" s="19">
        <f t="shared" si="1"/>
        <v>35</v>
      </c>
      <c r="G26" s="19">
        <f t="shared" si="1"/>
        <v>163</v>
      </c>
      <c r="H26" s="19">
        <f t="shared" si="1"/>
        <v>168</v>
      </c>
      <c r="I26" s="19">
        <f t="shared" si="1"/>
        <v>150</v>
      </c>
      <c r="J26" s="19">
        <f t="shared" si="1"/>
        <v>134</v>
      </c>
      <c r="K26" s="19">
        <f t="shared" si="1"/>
        <v>12</v>
      </c>
      <c r="L26" s="19">
        <f t="shared" si="1"/>
        <v>2288</v>
      </c>
    </row>
    <row r="27">
      <c r="A27" s="27" t="s">
        <v>55</v>
      </c>
      <c r="B27" s="28"/>
      <c r="C27" s="28"/>
      <c r="D27" s="28"/>
      <c r="E27" s="29"/>
      <c r="F27" s="30">
        <f>SUM(E2,E3,E4,E5,E6,E7,E8,E9,E10,E11,E12,F26)</f>
        <v>1244</v>
      </c>
      <c r="G27" s="30">
        <f>SUM($E$26,G26)</f>
        <v>1797</v>
      </c>
      <c r="H27" s="30">
        <f>SUM(E26,H26)</f>
        <v>1802</v>
      </c>
      <c r="I27" s="30">
        <f t="shared" ref="I27:J27" si="2">SUM($E$26,I26)</f>
        <v>1784</v>
      </c>
      <c r="J27" s="30">
        <f t="shared" si="2"/>
        <v>1768</v>
      </c>
      <c r="K27" s="30">
        <f>SUM(E2,E3,E4,E5,E6,E7,E8,E9,E10,E11,E12,K26)</f>
        <v>1221</v>
      </c>
      <c r="L27" s="28"/>
    </row>
    <row r="28">
      <c r="E28" s="19"/>
    </row>
    <row r="31">
      <c r="A31" s="1" t="s">
        <v>56</v>
      </c>
    </row>
    <row r="32">
      <c r="A32" s="1" t="s">
        <v>57</v>
      </c>
    </row>
    <row r="33">
      <c r="A33" s="1" t="s">
        <v>58</v>
      </c>
    </row>
    <row r="34">
      <c r="A34" s="1" t="s">
        <v>59</v>
      </c>
    </row>
    <row r="35">
      <c r="A35" s="1" t="s">
        <v>60</v>
      </c>
    </row>
    <row r="36">
      <c r="A36" s="1" t="s">
        <v>61</v>
      </c>
    </row>
    <row r="37">
      <c r="A37" s="1" t="s">
        <v>62</v>
      </c>
    </row>
    <row r="38">
      <c r="A38" s="1" t="s">
        <v>63</v>
      </c>
    </row>
    <row r="39">
      <c r="A39" s="1" t="s">
        <v>64</v>
      </c>
    </row>
    <row r="40">
      <c r="A40" s="1" t="s">
        <v>65</v>
      </c>
    </row>
    <row r="41">
      <c r="A41" s="1" t="s">
        <v>66</v>
      </c>
    </row>
    <row r="42">
      <c r="A42" s="1" t="s">
        <v>67</v>
      </c>
    </row>
    <row r="43">
      <c r="A43" s="1" t="s">
        <v>68</v>
      </c>
    </row>
    <row r="44">
      <c r="A44" s="1" t="s">
        <v>69</v>
      </c>
    </row>
    <row r="45">
      <c r="A45" s="1" t="s">
        <v>70</v>
      </c>
    </row>
    <row r="46">
      <c r="A46" s="1" t="s">
        <v>71</v>
      </c>
    </row>
    <row r="47">
      <c r="A47" s="1" t="s">
        <v>72</v>
      </c>
    </row>
    <row r="48">
      <c r="A48" s="1" t="s">
        <v>73</v>
      </c>
    </row>
    <row r="49">
      <c r="A49" s="1" t="s">
        <v>74</v>
      </c>
    </row>
    <row r="50">
      <c r="A50" s="1" t="s">
        <v>75</v>
      </c>
    </row>
    <row r="51">
      <c r="A51" s="1" t="s">
        <v>76</v>
      </c>
    </row>
    <row r="52">
      <c r="A52" s="1" t="s">
        <v>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1.25"/>
    <col customWidth="1" min="3" max="3" width="39.88"/>
    <col customWidth="1" min="4" max="4" width="39.38"/>
    <col customWidth="1" min="5" max="5" width="53.25"/>
    <col customWidth="1" min="6" max="6" width="41.63"/>
  </cols>
  <sheetData>
    <row r="1">
      <c r="A1" s="31" t="s">
        <v>78</v>
      </c>
      <c r="B1" s="32" t="s">
        <v>79</v>
      </c>
      <c r="C1" s="33" t="s">
        <v>80</v>
      </c>
      <c r="D1" s="34" t="s">
        <v>81</v>
      </c>
      <c r="E1" s="35" t="s">
        <v>82</v>
      </c>
      <c r="F1" s="36" t="s">
        <v>83</v>
      </c>
      <c r="G1" s="37" t="s">
        <v>2</v>
      </c>
    </row>
    <row r="2">
      <c r="A2" s="38" t="s">
        <v>84</v>
      </c>
      <c r="B2" s="39" t="s">
        <v>85</v>
      </c>
      <c r="C2" s="39" t="s">
        <v>86</v>
      </c>
      <c r="D2" s="39" t="s">
        <v>87</v>
      </c>
      <c r="E2" s="39" t="s">
        <v>88</v>
      </c>
      <c r="F2" s="39" t="s">
        <v>89</v>
      </c>
      <c r="G2" s="40" t="s">
        <v>90</v>
      </c>
      <c r="L2" s="1" t="s">
        <v>91</v>
      </c>
      <c r="M2" s="21">
        <f>COUNTA(G2:G44)</f>
        <v>43</v>
      </c>
    </row>
    <row r="3">
      <c r="A3" s="38" t="s">
        <v>92</v>
      </c>
      <c r="B3" s="39" t="s">
        <v>85</v>
      </c>
      <c r="C3" s="41" t="s">
        <v>93</v>
      </c>
      <c r="D3" s="41" t="s">
        <v>94</v>
      </c>
      <c r="E3" s="39" t="s">
        <v>95</v>
      </c>
      <c r="F3" s="39" t="s">
        <v>89</v>
      </c>
      <c r="G3" s="40" t="s">
        <v>90</v>
      </c>
      <c r="L3" s="1" t="s">
        <v>14</v>
      </c>
      <c r="M3" s="21">
        <f>COUNTIF(G2:G44,"Colombia")</f>
        <v>9</v>
      </c>
    </row>
    <row r="4">
      <c r="A4" s="38" t="s">
        <v>96</v>
      </c>
      <c r="B4" s="39" t="s">
        <v>85</v>
      </c>
      <c r="C4" s="41" t="s">
        <v>97</v>
      </c>
      <c r="D4" s="41" t="s">
        <v>98</v>
      </c>
      <c r="E4" s="39" t="s">
        <v>99</v>
      </c>
      <c r="F4" s="39" t="s">
        <v>100</v>
      </c>
      <c r="G4" s="40" t="s">
        <v>90</v>
      </c>
    </row>
    <row r="5">
      <c r="A5" s="38" t="s">
        <v>101</v>
      </c>
      <c r="B5" s="39" t="s">
        <v>85</v>
      </c>
      <c r="C5" s="41" t="s">
        <v>102</v>
      </c>
      <c r="D5" s="41" t="s">
        <v>103</v>
      </c>
      <c r="E5" s="39" t="s">
        <v>104</v>
      </c>
      <c r="F5" s="39" t="s">
        <v>105</v>
      </c>
      <c r="G5" s="40" t="s">
        <v>90</v>
      </c>
    </row>
    <row r="6">
      <c r="A6" s="38" t="s">
        <v>106</v>
      </c>
      <c r="B6" s="39" t="s">
        <v>85</v>
      </c>
      <c r="C6" s="41" t="s">
        <v>107</v>
      </c>
      <c r="D6" s="41" t="s">
        <v>108</v>
      </c>
      <c r="E6" s="39" t="s">
        <v>109</v>
      </c>
      <c r="F6" s="39" t="s">
        <v>89</v>
      </c>
      <c r="G6" s="40" t="s">
        <v>90</v>
      </c>
    </row>
    <row r="7">
      <c r="A7" s="38" t="s">
        <v>110</v>
      </c>
      <c r="B7" s="42" t="s">
        <v>85</v>
      </c>
      <c r="C7" s="43" t="s">
        <v>111</v>
      </c>
      <c r="D7" s="43" t="s">
        <v>112</v>
      </c>
      <c r="E7" s="43" t="s">
        <v>113</v>
      </c>
      <c r="F7" s="43" t="s">
        <v>114</v>
      </c>
      <c r="G7" s="44" t="s">
        <v>90</v>
      </c>
      <c r="H7" s="10"/>
      <c r="I7" s="10"/>
      <c r="J7" s="10"/>
      <c r="K7" s="10"/>
      <c r="L7" s="10"/>
      <c r="M7" s="10"/>
      <c r="N7" s="10"/>
      <c r="O7" s="10"/>
      <c r="P7" s="10"/>
      <c r="Q7" s="10"/>
      <c r="R7" s="10"/>
      <c r="S7" s="10"/>
      <c r="T7" s="10"/>
      <c r="U7" s="10"/>
      <c r="V7" s="10"/>
      <c r="W7" s="10"/>
      <c r="X7" s="10"/>
      <c r="Y7" s="10"/>
      <c r="Z7" s="10"/>
    </row>
    <row r="8">
      <c r="A8" s="38" t="s">
        <v>115</v>
      </c>
      <c r="B8" s="42" t="s">
        <v>85</v>
      </c>
      <c r="C8" s="43" t="s">
        <v>116</v>
      </c>
      <c r="D8" s="43" t="s">
        <v>117</v>
      </c>
      <c r="E8" s="43" t="s">
        <v>118</v>
      </c>
      <c r="F8" s="43" t="s">
        <v>119</v>
      </c>
      <c r="G8" s="44" t="s">
        <v>90</v>
      </c>
      <c r="H8" s="10"/>
      <c r="I8" s="10"/>
      <c r="J8" s="10"/>
      <c r="K8" s="10"/>
      <c r="L8" s="10"/>
      <c r="M8" s="10"/>
      <c r="N8" s="10"/>
      <c r="O8" s="10"/>
      <c r="P8" s="10"/>
      <c r="Q8" s="10"/>
      <c r="R8" s="10"/>
      <c r="S8" s="10"/>
      <c r="T8" s="10"/>
      <c r="U8" s="10"/>
      <c r="V8" s="10"/>
      <c r="W8" s="10"/>
      <c r="X8" s="10"/>
      <c r="Y8" s="10"/>
      <c r="Z8" s="10"/>
    </row>
    <row r="9">
      <c r="A9" s="38" t="s">
        <v>120</v>
      </c>
      <c r="B9" s="39" t="s">
        <v>85</v>
      </c>
      <c r="C9" s="41" t="s">
        <v>121</v>
      </c>
      <c r="D9" s="41" t="s">
        <v>122</v>
      </c>
      <c r="E9" s="41" t="s">
        <v>123</v>
      </c>
      <c r="F9" s="41" t="s">
        <v>124</v>
      </c>
      <c r="G9" s="40" t="s">
        <v>90</v>
      </c>
    </row>
    <row r="10">
      <c r="A10" s="38" t="s">
        <v>125</v>
      </c>
      <c r="B10" s="39" t="s">
        <v>85</v>
      </c>
      <c r="C10" s="41" t="s">
        <v>126</v>
      </c>
      <c r="D10" s="41" t="s">
        <v>127</v>
      </c>
      <c r="E10" s="41" t="s">
        <v>123</v>
      </c>
      <c r="F10" s="41" t="s">
        <v>128</v>
      </c>
      <c r="G10" s="40" t="s">
        <v>90</v>
      </c>
    </row>
    <row r="11">
      <c r="A11" s="38" t="s">
        <v>129</v>
      </c>
      <c r="B11" s="39" t="s">
        <v>85</v>
      </c>
      <c r="C11" s="41" t="s">
        <v>130</v>
      </c>
      <c r="D11" s="41" t="s">
        <v>131</v>
      </c>
      <c r="E11" s="41" t="s">
        <v>132</v>
      </c>
      <c r="F11" s="41" t="s">
        <v>133</v>
      </c>
      <c r="G11" s="40" t="s">
        <v>90</v>
      </c>
    </row>
    <row r="12">
      <c r="A12" s="38" t="s">
        <v>134</v>
      </c>
      <c r="B12" s="39" t="s">
        <v>85</v>
      </c>
      <c r="C12" s="41" t="s">
        <v>135</v>
      </c>
      <c r="D12" s="41" t="s">
        <v>136</v>
      </c>
      <c r="E12" s="41" t="s">
        <v>137</v>
      </c>
      <c r="F12" s="41" t="s">
        <v>138</v>
      </c>
      <c r="G12" s="40" t="s">
        <v>90</v>
      </c>
    </row>
    <row r="13">
      <c r="A13" s="38" t="s">
        <v>139</v>
      </c>
      <c r="B13" s="39" t="s">
        <v>85</v>
      </c>
      <c r="C13" s="41" t="s">
        <v>140</v>
      </c>
      <c r="D13" s="41" t="s">
        <v>141</v>
      </c>
      <c r="E13" s="41" t="s">
        <v>142</v>
      </c>
      <c r="F13" s="41" t="s">
        <v>143</v>
      </c>
      <c r="G13" s="40" t="s">
        <v>90</v>
      </c>
    </row>
    <row r="14">
      <c r="A14" s="38" t="s">
        <v>144</v>
      </c>
      <c r="B14" s="39" t="s">
        <v>85</v>
      </c>
      <c r="C14" s="41" t="s">
        <v>145</v>
      </c>
      <c r="D14" s="41" t="s">
        <v>146</v>
      </c>
      <c r="E14" s="41" t="s">
        <v>147</v>
      </c>
      <c r="F14" s="41" t="s">
        <v>148</v>
      </c>
      <c r="G14" s="40" t="s">
        <v>90</v>
      </c>
    </row>
    <row r="15">
      <c r="A15" s="45" t="s">
        <v>149</v>
      </c>
      <c r="B15" s="46" t="s">
        <v>85</v>
      </c>
      <c r="C15" s="47" t="s">
        <v>150</v>
      </c>
      <c r="D15" s="47" t="s">
        <v>151</v>
      </c>
      <c r="E15" s="47" t="s">
        <v>127</v>
      </c>
      <c r="F15" s="47" t="s">
        <v>152</v>
      </c>
      <c r="G15" s="48" t="s">
        <v>90</v>
      </c>
      <c r="H15" s="10"/>
      <c r="I15" s="10"/>
      <c r="J15" s="10"/>
      <c r="K15" s="10"/>
      <c r="L15" s="10"/>
      <c r="M15" s="10"/>
      <c r="N15" s="10"/>
      <c r="O15" s="10"/>
      <c r="P15" s="10"/>
      <c r="Q15" s="10"/>
      <c r="R15" s="10"/>
      <c r="S15" s="10"/>
      <c r="T15" s="10"/>
      <c r="U15" s="10"/>
      <c r="V15" s="10"/>
      <c r="W15" s="10"/>
      <c r="X15" s="10"/>
      <c r="Y15" s="10"/>
      <c r="Z15" s="10"/>
    </row>
    <row r="16" ht="57.75" customHeight="1">
      <c r="A16" s="38" t="s">
        <v>153</v>
      </c>
      <c r="B16" s="39" t="s">
        <v>85</v>
      </c>
      <c r="C16" s="41" t="s">
        <v>154</v>
      </c>
      <c r="D16" s="41" t="s">
        <v>155</v>
      </c>
      <c r="E16" s="41" t="s">
        <v>156</v>
      </c>
      <c r="F16" s="41" t="s">
        <v>157</v>
      </c>
      <c r="G16" s="40" t="s">
        <v>90</v>
      </c>
    </row>
    <row r="17">
      <c r="A17" s="38" t="s">
        <v>158</v>
      </c>
      <c r="B17" s="39" t="s">
        <v>85</v>
      </c>
      <c r="C17" s="41" t="s">
        <v>159</v>
      </c>
      <c r="D17" s="41" t="s">
        <v>160</v>
      </c>
      <c r="E17" s="41" t="s">
        <v>156</v>
      </c>
      <c r="F17" s="41" t="s">
        <v>161</v>
      </c>
      <c r="G17" s="40" t="s">
        <v>90</v>
      </c>
    </row>
    <row r="18">
      <c r="A18" s="38" t="s">
        <v>162</v>
      </c>
      <c r="B18" s="39" t="s">
        <v>85</v>
      </c>
      <c r="C18" s="41" t="s">
        <v>159</v>
      </c>
      <c r="D18" s="41" t="s">
        <v>160</v>
      </c>
      <c r="E18" s="41" t="s">
        <v>163</v>
      </c>
      <c r="F18" s="41" t="s">
        <v>164</v>
      </c>
      <c r="G18" s="40" t="s">
        <v>90</v>
      </c>
    </row>
    <row r="19">
      <c r="A19" s="38" t="s">
        <v>165</v>
      </c>
      <c r="B19" s="39" t="s">
        <v>85</v>
      </c>
      <c r="C19" s="41" t="s">
        <v>159</v>
      </c>
      <c r="D19" s="41" t="s">
        <v>160</v>
      </c>
      <c r="E19" s="41" t="s">
        <v>166</v>
      </c>
      <c r="F19" s="41" t="s">
        <v>128</v>
      </c>
      <c r="G19" s="40" t="s">
        <v>90</v>
      </c>
    </row>
    <row r="20">
      <c r="A20" s="38" t="s">
        <v>167</v>
      </c>
      <c r="B20" s="39" t="s">
        <v>85</v>
      </c>
      <c r="C20" s="41" t="s">
        <v>168</v>
      </c>
      <c r="D20" s="41" t="s">
        <v>160</v>
      </c>
      <c r="E20" s="41" t="s">
        <v>147</v>
      </c>
      <c r="F20" s="41" t="s">
        <v>169</v>
      </c>
      <c r="G20" s="40" t="s">
        <v>90</v>
      </c>
    </row>
    <row r="21">
      <c r="A21" s="38" t="s">
        <v>170</v>
      </c>
      <c r="B21" s="39" t="s">
        <v>85</v>
      </c>
      <c r="C21" s="41" t="s">
        <v>171</v>
      </c>
      <c r="D21" s="41" t="s">
        <v>172</v>
      </c>
      <c r="E21" s="41" t="s">
        <v>173</v>
      </c>
      <c r="F21" s="41" t="s">
        <v>174</v>
      </c>
      <c r="G21" s="40" t="s">
        <v>90</v>
      </c>
    </row>
    <row r="22">
      <c r="A22" s="38" t="s">
        <v>175</v>
      </c>
      <c r="B22" s="39" t="s">
        <v>85</v>
      </c>
      <c r="C22" s="41" t="s">
        <v>176</v>
      </c>
      <c r="D22" s="41" t="s">
        <v>177</v>
      </c>
      <c r="E22" s="49" t="s">
        <v>178</v>
      </c>
      <c r="F22" s="41" t="s">
        <v>179</v>
      </c>
      <c r="G22" s="40" t="s">
        <v>90</v>
      </c>
    </row>
    <row r="23">
      <c r="A23" s="50" t="s">
        <v>180</v>
      </c>
      <c r="B23" s="51" t="s">
        <v>85</v>
      </c>
      <c r="C23" s="52" t="s">
        <v>181</v>
      </c>
      <c r="D23" s="52" t="s">
        <v>182</v>
      </c>
      <c r="E23" s="51" t="s">
        <v>183</v>
      </c>
      <c r="F23" s="51" t="s">
        <v>184</v>
      </c>
      <c r="G23" s="53" t="s">
        <v>14</v>
      </c>
    </row>
    <row r="24">
      <c r="A24" s="50" t="s">
        <v>185</v>
      </c>
      <c r="B24" s="51" t="s">
        <v>85</v>
      </c>
      <c r="C24" s="52" t="s">
        <v>186</v>
      </c>
      <c r="D24" s="52" t="s">
        <v>187</v>
      </c>
      <c r="E24" s="51" t="s">
        <v>188</v>
      </c>
      <c r="F24" s="51" t="s">
        <v>189</v>
      </c>
      <c r="G24" s="53" t="s">
        <v>14</v>
      </c>
    </row>
    <row r="25">
      <c r="A25" s="38" t="s">
        <v>190</v>
      </c>
      <c r="B25" s="39" t="s">
        <v>85</v>
      </c>
      <c r="C25" s="41" t="s">
        <v>191</v>
      </c>
      <c r="D25" s="41" t="s">
        <v>192</v>
      </c>
      <c r="E25" s="39" t="s">
        <v>193</v>
      </c>
      <c r="F25" s="39" t="s">
        <v>194</v>
      </c>
      <c r="G25" s="40" t="s">
        <v>90</v>
      </c>
    </row>
    <row r="26">
      <c r="A26" s="38" t="s">
        <v>195</v>
      </c>
      <c r="B26" s="39" t="s">
        <v>85</v>
      </c>
      <c r="C26" s="41" t="s">
        <v>196</v>
      </c>
      <c r="D26" s="41" t="s">
        <v>197</v>
      </c>
      <c r="E26" s="39" t="s">
        <v>198</v>
      </c>
      <c r="F26" s="41" t="s">
        <v>199</v>
      </c>
      <c r="G26" s="40" t="s">
        <v>90</v>
      </c>
    </row>
    <row r="27">
      <c r="A27" s="38" t="s">
        <v>200</v>
      </c>
      <c r="B27" s="39" t="s">
        <v>85</v>
      </c>
      <c r="C27" s="41" t="s">
        <v>201</v>
      </c>
      <c r="D27" s="54" t="s">
        <v>202</v>
      </c>
      <c r="E27" s="39" t="s">
        <v>203</v>
      </c>
      <c r="F27" s="41" t="s">
        <v>204</v>
      </c>
      <c r="G27" s="40" t="s">
        <v>90</v>
      </c>
    </row>
    <row r="28">
      <c r="A28" s="38" t="s">
        <v>205</v>
      </c>
      <c r="B28" s="39" t="s">
        <v>85</v>
      </c>
      <c r="C28" s="41" t="s">
        <v>206</v>
      </c>
      <c r="D28" s="41" t="s">
        <v>207</v>
      </c>
      <c r="E28" s="39" t="s">
        <v>208</v>
      </c>
      <c r="F28" s="41" t="s">
        <v>209</v>
      </c>
      <c r="G28" s="40" t="s">
        <v>90</v>
      </c>
    </row>
    <row r="29">
      <c r="A29" s="50" t="s">
        <v>210</v>
      </c>
      <c r="B29" s="51" t="s">
        <v>85</v>
      </c>
      <c r="C29" s="52" t="s">
        <v>211</v>
      </c>
      <c r="D29" s="52" t="s">
        <v>212</v>
      </c>
      <c r="E29" s="51" t="s">
        <v>213</v>
      </c>
      <c r="F29" s="52" t="s">
        <v>214</v>
      </c>
      <c r="G29" s="53" t="s">
        <v>14</v>
      </c>
    </row>
    <row r="30">
      <c r="A30" s="50" t="s">
        <v>215</v>
      </c>
      <c r="B30" s="51" t="s">
        <v>85</v>
      </c>
      <c r="C30" s="52" t="s">
        <v>216</v>
      </c>
      <c r="D30" s="52" t="s">
        <v>217</v>
      </c>
      <c r="E30" s="51" t="s">
        <v>218</v>
      </c>
      <c r="F30" s="52" t="s">
        <v>219</v>
      </c>
      <c r="G30" s="53" t="s">
        <v>14</v>
      </c>
    </row>
    <row r="31">
      <c r="A31" s="50" t="s">
        <v>220</v>
      </c>
      <c r="B31" s="51" t="s">
        <v>85</v>
      </c>
      <c r="C31" s="52" t="s">
        <v>221</v>
      </c>
      <c r="D31" s="52" t="s">
        <v>222</v>
      </c>
      <c r="E31" s="51" t="s">
        <v>218</v>
      </c>
      <c r="F31" s="52" t="s">
        <v>223</v>
      </c>
      <c r="G31" s="53" t="s">
        <v>14</v>
      </c>
    </row>
    <row r="32">
      <c r="A32" s="38" t="s">
        <v>224</v>
      </c>
      <c r="B32" s="39" t="s">
        <v>85</v>
      </c>
      <c r="C32" s="41" t="s">
        <v>225</v>
      </c>
      <c r="D32" s="41" t="s">
        <v>226</v>
      </c>
      <c r="E32" s="39" t="s">
        <v>218</v>
      </c>
      <c r="F32" s="41" t="s">
        <v>227</v>
      </c>
      <c r="G32" s="40" t="s">
        <v>90</v>
      </c>
    </row>
    <row r="33">
      <c r="A33" s="50" t="s">
        <v>228</v>
      </c>
      <c r="B33" s="51" t="s">
        <v>85</v>
      </c>
      <c r="C33" s="52" t="s">
        <v>229</v>
      </c>
      <c r="D33" s="52" t="s">
        <v>230</v>
      </c>
      <c r="E33" s="51" t="s">
        <v>231</v>
      </c>
      <c r="F33" s="52" t="s">
        <v>232</v>
      </c>
      <c r="G33" s="53" t="s">
        <v>14</v>
      </c>
    </row>
    <row r="34">
      <c r="A34" s="38" t="s">
        <v>233</v>
      </c>
      <c r="B34" s="39" t="s">
        <v>85</v>
      </c>
      <c r="C34" s="41" t="s">
        <v>140</v>
      </c>
      <c r="D34" s="41" t="s">
        <v>234</v>
      </c>
      <c r="E34" s="41" t="s">
        <v>235</v>
      </c>
      <c r="F34" s="41" t="s">
        <v>236</v>
      </c>
      <c r="G34" s="40" t="s">
        <v>90</v>
      </c>
    </row>
    <row r="35">
      <c r="A35" s="38" t="s">
        <v>237</v>
      </c>
      <c r="B35" s="39" t="s">
        <v>85</v>
      </c>
      <c r="C35" s="41" t="s">
        <v>238</v>
      </c>
      <c r="D35" s="41" t="s">
        <v>239</v>
      </c>
      <c r="E35" s="39" t="s">
        <v>231</v>
      </c>
      <c r="F35" s="41" t="s">
        <v>240</v>
      </c>
      <c r="G35" s="40" t="s">
        <v>90</v>
      </c>
    </row>
    <row r="36">
      <c r="A36" s="38" t="s">
        <v>241</v>
      </c>
      <c r="B36" s="39" t="s">
        <v>85</v>
      </c>
      <c r="C36" s="41" t="s">
        <v>242</v>
      </c>
      <c r="D36" s="41" t="s">
        <v>243</v>
      </c>
      <c r="E36" s="39" t="s">
        <v>231</v>
      </c>
      <c r="F36" s="41" t="s">
        <v>244</v>
      </c>
      <c r="G36" s="40" t="s">
        <v>90</v>
      </c>
    </row>
    <row r="37">
      <c r="A37" s="50" t="s">
        <v>245</v>
      </c>
      <c r="B37" s="51" t="s">
        <v>85</v>
      </c>
      <c r="C37" s="52" t="s">
        <v>246</v>
      </c>
      <c r="D37" s="52" t="s">
        <v>247</v>
      </c>
      <c r="E37" s="52" t="s">
        <v>248</v>
      </c>
      <c r="F37" s="52" t="s">
        <v>249</v>
      </c>
      <c r="G37" s="53" t="s">
        <v>14</v>
      </c>
    </row>
    <row r="38">
      <c r="A38" s="50" t="s">
        <v>250</v>
      </c>
      <c r="B38" s="51" t="s">
        <v>85</v>
      </c>
      <c r="C38" s="52" t="s">
        <v>251</v>
      </c>
      <c r="D38" s="52" t="s">
        <v>252</v>
      </c>
      <c r="E38" s="52" t="s">
        <v>253</v>
      </c>
      <c r="F38" s="52" t="s">
        <v>249</v>
      </c>
      <c r="G38" s="53" t="s">
        <v>14</v>
      </c>
    </row>
    <row r="39">
      <c r="A39" s="50" t="s">
        <v>254</v>
      </c>
      <c r="B39" s="51" t="s">
        <v>85</v>
      </c>
      <c r="C39" s="52" t="s">
        <v>255</v>
      </c>
      <c r="D39" s="52" t="s">
        <v>256</v>
      </c>
      <c r="E39" s="52" t="s">
        <v>257</v>
      </c>
      <c r="F39" s="52" t="s">
        <v>249</v>
      </c>
      <c r="G39" s="53" t="s">
        <v>14</v>
      </c>
    </row>
    <row r="40">
      <c r="A40" s="55" t="s">
        <v>258</v>
      </c>
      <c r="B40" s="39" t="s">
        <v>85</v>
      </c>
      <c r="C40" s="41" t="s">
        <v>259</v>
      </c>
      <c r="D40" s="41" t="s">
        <v>260</v>
      </c>
      <c r="E40" s="41" t="s">
        <v>261</v>
      </c>
      <c r="F40" s="41" t="s">
        <v>262</v>
      </c>
      <c r="G40" s="40" t="s">
        <v>90</v>
      </c>
    </row>
    <row r="41">
      <c r="A41" s="38" t="s">
        <v>263</v>
      </c>
      <c r="B41" s="39" t="s">
        <v>85</v>
      </c>
      <c r="C41" s="41" t="s">
        <v>264</v>
      </c>
      <c r="D41" s="41" t="s">
        <v>265</v>
      </c>
      <c r="E41" s="39" t="s">
        <v>266</v>
      </c>
      <c r="F41" s="41" t="s">
        <v>267</v>
      </c>
      <c r="G41" s="40" t="s">
        <v>90</v>
      </c>
    </row>
    <row r="42">
      <c r="A42" s="38" t="s">
        <v>268</v>
      </c>
      <c r="B42" s="39" t="s">
        <v>85</v>
      </c>
      <c r="C42" s="41" t="s">
        <v>269</v>
      </c>
      <c r="D42" s="41" t="s">
        <v>234</v>
      </c>
      <c r="E42" s="41" t="s">
        <v>235</v>
      </c>
      <c r="F42" s="41" t="s">
        <v>270</v>
      </c>
      <c r="G42" s="40" t="s">
        <v>90</v>
      </c>
    </row>
    <row r="43">
      <c r="A43" s="38" t="s">
        <v>271</v>
      </c>
      <c r="B43" s="39" t="s">
        <v>85</v>
      </c>
      <c r="C43" s="41" t="s">
        <v>272</v>
      </c>
      <c r="D43" s="41" t="s">
        <v>265</v>
      </c>
      <c r="E43" s="39" t="s">
        <v>266</v>
      </c>
      <c r="F43" s="41" t="s">
        <v>273</v>
      </c>
      <c r="G43" s="40" t="s">
        <v>90</v>
      </c>
    </row>
    <row r="44">
      <c r="A44" s="38" t="s">
        <v>274</v>
      </c>
      <c r="B44" s="39" t="s">
        <v>85</v>
      </c>
      <c r="C44" s="41" t="s">
        <v>275</v>
      </c>
      <c r="D44" s="41" t="s">
        <v>234</v>
      </c>
      <c r="E44" s="41" t="s">
        <v>235</v>
      </c>
      <c r="F44" s="41" t="s">
        <v>276</v>
      </c>
      <c r="G44" s="40" t="s">
        <v>90</v>
      </c>
    </row>
    <row r="45">
      <c r="C45" s="56" t="s">
        <v>277</v>
      </c>
      <c r="D45" s="57"/>
      <c r="E45" s="57"/>
      <c r="F45" s="57"/>
    </row>
    <row r="46">
      <c r="C46" s="57"/>
      <c r="D46" s="57"/>
      <c r="E46" s="57"/>
      <c r="F46" s="57"/>
    </row>
    <row r="47">
      <c r="C47" s="57"/>
      <c r="D47" s="57"/>
      <c r="E47" s="57"/>
      <c r="F47" s="57"/>
    </row>
    <row r="48">
      <c r="C48" s="57"/>
      <c r="D48" s="57"/>
      <c r="E48" s="57"/>
      <c r="F48" s="57"/>
    </row>
    <row r="49">
      <c r="C49" s="57"/>
      <c r="D49" s="57"/>
      <c r="E49" s="57"/>
      <c r="F49" s="57"/>
    </row>
    <row r="50">
      <c r="C50" s="57"/>
      <c r="D50" s="57"/>
      <c r="E50" s="57"/>
      <c r="F50" s="57"/>
    </row>
    <row r="51">
      <c r="C51" s="57"/>
      <c r="D51" s="57"/>
      <c r="E51" s="57"/>
      <c r="F51" s="57"/>
    </row>
    <row r="52">
      <c r="C52" s="57"/>
      <c r="D52" s="57"/>
      <c r="E52" s="57"/>
      <c r="F52" s="57"/>
    </row>
    <row r="53">
      <c r="C53" s="57"/>
      <c r="D53" s="57"/>
      <c r="E53" s="57"/>
      <c r="F53" s="57"/>
    </row>
    <row r="54">
      <c r="C54" s="57"/>
      <c r="D54" s="57"/>
      <c r="E54" s="57"/>
      <c r="F54" s="57"/>
    </row>
    <row r="55">
      <c r="C55" s="57"/>
      <c r="D55" s="57"/>
      <c r="E55" s="57"/>
      <c r="F55" s="57"/>
    </row>
    <row r="56">
      <c r="C56" s="57"/>
      <c r="D56" s="57"/>
      <c r="E56" s="57"/>
      <c r="F56" s="57"/>
    </row>
    <row r="57">
      <c r="C57" s="57"/>
      <c r="D57" s="57"/>
      <c r="E57" s="57"/>
      <c r="F57" s="57"/>
    </row>
    <row r="58">
      <c r="C58" s="57"/>
      <c r="D58" s="57"/>
      <c r="E58" s="57"/>
      <c r="F58" s="57"/>
    </row>
    <row r="59">
      <c r="C59" s="57"/>
      <c r="D59" s="57"/>
      <c r="E59" s="57"/>
      <c r="F59" s="57"/>
    </row>
    <row r="60">
      <c r="C60" s="57"/>
      <c r="D60" s="57"/>
      <c r="E60" s="57"/>
      <c r="F60" s="57"/>
    </row>
    <row r="61">
      <c r="C61" s="57"/>
      <c r="D61" s="57"/>
      <c r="E61" s="57"/>
      <c r="F61" s="57"/>
    </row>
    <row r="62">
      <c r="C62" s="57"/>
      <c r="D62" s="57"/>
      <c r="E62" s="57"/>
      <c r="F62" s="57"/>
    </row>
    <row r="63">
      <c r="C63" s="57"/>
      <c r="D63" s="57"/>
      <c r="E63" s="57"/>
      <c r="F63" s="57"/>
    </row>
    <row r="64">
      <c r="C64" s="57"/>
      <c r="D64" s="57"/>
      <c r="E64" s="57"/>
      <c r="F64" s="57"/>
    </row>
    <row r="65">
      <c r="C65" s="57"/>
      <c r="D65" s="57"/>
      <c r="E65" s="57"/>
      <c r="F65" s="57"/>
    </row>
    <row r="66">
      <c r="C66" s="57"/>
      <c r="D66" s="57"/>
      <c r="E66" s="57"/>
      <c r="F66" s="57"/>
    </row>
    <row r="67">
      <c r="C67" s="57"/>
      <c r="D67" s="57"/>
      <c r="E67" s="57"/>
      <c r="F67" s="57"/>
    </row>
    <row r="68">
      <c r="C68" s="57"/>
      <c r="D68" s="57"/>
      <c r="E68" s="57"/>
      <c r="F68" s="57"/>
    </row>
    <row r="69">
      <c r="C69" s="57"/>
      <c r="D69" s="57"/>
      <c r="E69" s="57"/>
      <c r="F69" s="57"/>
    </row>
    <row r="70">
      <c r="C70" s="57"/>
      <c r="D70" s="57"/>
      <c r="E70" s="57"/>
      <c r="F70" s="57"/>
    </row>
    <row r="71">
      <c r="C71" s="57"/>
      <c r="D71" s="57"/>
      <c r="E71" s="57"/>
      <c r="F71" s="57"/>
    </row>
    <row r="72">
      <c r="C72" s="57"/>
      <c r="D72" s="57"/>
      <c r="E72" s="57"/>
      <c r="F72" s="57"/>
    </row>
    <row r="73">
      <c r="C73" s="57"/>
      <c r="D73" s="57"/>
      <c r="E73" s="57"/>
      <c r="F73" s="57"/>
    </row>
    <row r="74">
      <c r="C74" s="57"/>
      <c r="D74" s="57"/>
      <c r="E74" s="57"/>
      <c r="F74" s="57"/>
    </row>
    <row r="75">
      <c r="C75" s="57"/>
      <c r="D75" s="57"/>
      <c r="E75" s="57"/>
      <c r="F75" s="57"/>
    </row>
    <row r="76">
      <c r="C76" s="57"/>
      <c r="D76" s="57"/>
      <c r="E76" s="57"/>
      <c r="F76" s="57"/>
    </row>
    <row r="77">
      <c r="C77" s="57"/>
      <c r="D77" s="57"/>
      <c r="E77" s="57"/>
      <c r="F77" s="57"/>
    </row>
    <row r="78">
      <c r="C78" s="57"/>
      <c r="D78" s="57"/>
      <c r="E78" s="57"/>
      <c r="F78" s="57"/>
    </row>
    <row r="79">
      <c r="C79" s="57"/>
      <c r="D79" s="57"/>
      <c r="E79" s="57"/>
      <c r="F79" s="57"/>
    </row>
    <row r="80">
      <c r="C80" s="57"/>
      <c r="D80" s="57"/>
      <c r="E80" s="57"/>
      <c r="F80" s="57"/>
    </row>
    <row r="81">
      <c r="C81" s="57"/>
      <c r="D81" s="57"/>
      <c r="E81" s="57"/>
      <c r="F81" s="57"/>
    </row>
    <row r="82">
      <c r="C82" s="57"/>
      <c r="D82" s="57"/>
      <c r="E82" s="57"/>
      <c r="F82" s="57"/>
    </row>
    <row r="83">
      <c r="C83" s="57"/>
      <c r="D83" s="57"/>
      <c r="E83" s="57"/>
      <c r="F83" s="57"/>
    </row>
    <row r="84">
      <c r="C84" s="57"/>
      <c r="D84" s="57"/>
      <c r="E84" s="57"/>
      <c r="F84" s="57"/>
    </row>
    <row r="85">
      <c r="C85" s="57"/>
      <c r="D85" s="57"/>
      <c r="E85" s="57"/>
      <c r="F85" s="57"/>
    </row>
    <row r="86">
      <c r="C86" s="57"/>
      <c r="D86" s="57"/>
      <c r="E86" s="57"/>
      <c r="F86" s="57"/>
    </row>
    <row r="87">
      <c r="C87" s="57"/>
      <c r="D87" s="57"/>
      <c r="E87" s="57"/>
      <c r="F87" s="57"/>
    </row>
    <row r="88">
      <c r="C88" s="57"/>
      <c r="D88" s="57"/>
      <c r="E88" s="57"/>
      <c r="F88" s="57"/>
    </row>
    <row r="89">
      <c r="C89" s="57"/>
      <c r="D89" s="57"/>
      <c r="E89" s="57"/>
      <c r="F89" s="57"/>
    </row>
    <row r="90">
      <c r="C90" s="57"/>
      <c r="D90" s="57"/>
      <c r="E90" s="57"/>
      <c r="F90" s="57"/>
    </row>
    <row r="91">
      <c r="C91" s="57"/>
      <c r="D91" s="57"/>
      <c r="E91" s="57"/>
      <c r="F91" s="57"/>
    </row>
    <row r="92">
      <c r="C92" s="57"/>
      <c r="D92" s="57"/>
      <c r="E92" s="57"/>
      <c r="F92" s="57"/>
    </row>
    <row r="93">
      <c r="C93" s="57"/>
      <c r="D93" s="57"/>
      <c r="E93" s="57"/>
      <c r="F93" s="57"/>
    </row>
    <row r="94">
      <c r="C94" s="57"/>
      <c r="D94" s="57"/>
      <c r="E94" s="57"/>
      <c r="F94" s="57"/>
    </row>
    <row r="95">
      <c r="C95" s="57"/>
      <c r="D95" s="57"/>
      <c r="E95" s="57"/>
      <c r="F95" s="57"/>
    </row>
    <row r="96">
      <c r="C96" s="57"/>
      <c r="D96" s="57"/>
      <c r="E96" s="57"/>
      <c r="F96" s="57"/>
    </row>
    <row r="97">
      <c r="C97" s="57"/>
      <c r="D97" s="57"/>
      <c r="E97" s="57"/>
      <c r="F97" s="57"/>
    </row>
    <row r="98">
      <c r="C98" s="57"/>
      <c r="D98" s="57"/>
      <c r="E98" s="57"/>
      <c r="F98" s="57"/>
    </row>
    <row r="99">
      <c r="C99" s="57"/>
      <c r="D99" s="57"/>
      <c r="E99" s="57"/>
      <c r="F99" s="57"/>
    </row>
    <row r="100">
      <c r="C100" s="57"/>
      <c r="D100" s="57"/>
      <c r="E100" s="57"/>
      <c r="F100" s="57"/>
    </row>
    <row r="101">
      <c r="C101" s="57"/>
      <c r="D101" s="57"/>
      <c r="E101" s="57"/>
      <c r="F101" s="57"/>
    </row>
    <row r="102">
      <c r="C102" s="57"/>
      <c r="D102" s="57"/>
      <c r="E102" s="57"/>
      <c r="F102" s="57"/>
    </row>
    <row r="103">
      <c r="C103" s="57"/>
      <c r="D103" s="57"/>
      <c r="E103" s="57"/>
      <c r="F103" s="57"/>
    </row>
    <row r="104">
      <c r="C104" s="57"/>
      <c r="D104" s="57"/>
      <c r="E104" s="57"/>
      <c r="F104" s="57"/>
    </row>
    <row r="105">
      <c r="C105" s="57"/>
      <c r="D105" s="57"/>
      <c r="E105" s="57"/>
      <c r="F105" s="57"/>
    </row>
    <row r="106">
      <c r="C106" s="57"/>
      <c r="D106" s="57"/>
      <c r="E106" s="57"/>
      <c r="F106" s="57"/>
    </row>
    <row r="107">
      <c r="C107" s="57"/>
      <c r="D107" s="57"/>
      <c r="E107" s="57"/>
      <c r="F107" s="57"/>
    </row>
    <row r="108">
      <c r="C108" s="57"/>
      <c r="D108" s="57"/>
      <c r="E108" s="57"/>
      <c r="F108" s="57"/>
    </row>
    <row r="109">
      <c r="C109" s="57"/>
      <c r="D109" s="57"/>
      <c r="E109" s="57"/>
      <c r="F109" s="57"/>
    </row>
    <row r="110">
      <c r="C110" s="57"/>
      <c r="D110" s="57"/>
      <c r="E110" s="57"/>
      <c r="F110" s="57"/>
    </row>
    <row r="111">
      <c r="C111" s="57"/>
      <c r="D111" s="57"/>
      <c r="E111" s="57"/>
      <c r="F111" s="57"/>
    </row>
    <row r="112">
      <c r="C112" s="57"/>
      <c r="D112" s="57"/>
      <c r="E112" s="57"/>
      <c r="F112" s="57"/>
    </row>
    <row r="113">
      <c r="C113" s="57"/>
      <c r="D113" s="57"/>
      <c r="E113" s="57"/>
      <c r="F113" s="57"/>
    </row>
    <row r="114">
      <c r="C114" s="57"/>
      <c r="D114" s="57"/>
      <c r="E114" s="57"/>
      <c r="F114" s="57"/>
    </row>
    <row r="115">
      <c r="C115" s="57"/>
      <c r="D115" s="57"/>
      <c r="E115" s="57"/>
      <c r="F115" s="57"/>
    </row>
    <row r="116">
      <c r="C116" s="57"/>
      <c r="D116" s="57"/>
      <c r="E116" s="57"/>
      <c r="F116" s="57"/>
    </row>
    <row r="117">
      <c r="C117" s="57"/>
      <c r="D117" s="57"/>
      <c r="E117" s="57"/>
      <c r="F117" s="57"/>
    </row>
    <row r="118">
      <c r="C118" s="57"/>
      <c r="D118" s="57"/>
      <c r="E118" s="57"/>
      <c r="F118" s="57"/>
    </row>
    <row r="119">
      <c r="C119" s="57"/>
      <c r="D119" s="57"/>
      <c r="E119" s="57"/>
      <c r="F119" s="57"/>
    </row>
    <row r="120">
      <c r="C120" s="57"/>
      <c r="D120" s="57"/>
      <c r="E120" s="57"/>
      <c r="F120" s="57"/>
    </row>
    <row r="121">
      <c r="C121" s="57"/>
      <c r="D121" s="57"/>
      <c r="E121" s="57"/>
      <c r="F121" s="57"/>
    </row>
    <row r="122">
      <c r="C122" s="57"/>
      <c r="D122" s="57"/>
      <c r="E122" s="57"/>
      <c r="F122" s="57"/>
    </row>
    <row r="123">
      <c r="C123" s="57"/>
      <c r="D123" s="57"/>
      <c r="E123" s="57"/>
      <c r="F123" s="57"/>
    </row>
    <row r="124">
      <c r="C124" s="57"/>
      <c r="D124" s="57"/>
      <c r="E124" s="57"/>
      <c r="F124" s="57"/>
    </row>
    <row r="125">
      <c r="C125" s="57"/>
      <c r="D125" s="57"/>
      <c r="E125" s="57"/>
      <c r="F125" s="57"/>
    </row>
    <row r="126">
      <c r="C126" s="57"/>
      <c r="D126" s="57"/>
      <c r="E126" s="57"/>
      <c r="F126" s="57"/>
    </row>
    <row r="127">
      <c r="C127" s="57"/>
      <c r="D127" s="57"/>
      <c r="E127" s="57"/>
      <c r="F127" s="57"/>
    </row>
    <row r="128">
      <c r="C128" s="57"/>
      <c r="D128" s="57"/>
      <c r="E128" s="57"/>
      <c r="F128" s="57"/>
    </row>
    <row r="129">
      <c r="C129" s="57"/>
      <c r="D129" s="57"/>
      <c r="E129" s="57"/>
      <c r="F129" s="57"/>
    </row>
    <row r="130">
      <c r="C130" s="57"/>
      <c r="D130" s="57"/>
      <c r="E130" s="57"/>
      <c r="F130" s="57"/>
    </row>
    <row r="131">
      <c r="C131" s="57"/>
      <c r="D131" s="57"/>
      <c r="E131" s="57"/>
      <c r="F131" s="57"/>
    </row>
    <row r="132">
      <c r="C132" s="57"/>
      <c r="D132" s="57"/>
      <c r="E132" s="57"/>
      <c r="F132" s="57"/>
    </row>
    <row r="133">
      <c r="C133" s="57"/>
      <c r="D133" s="57"/>
      <c r="E133" s="57"/>
      <c r="F133" s="57"/>
    </row>
    <row r="134">
      <c r="C134" s="57"/>
      <c r="D134" s="57"/>
      <c r="E134" s="57"/>
      <c r="F134" s="57"/>
    </row>
    <row r="135">
      <c r="C135" s="57"/>
      <c r="D135" s="57"/>
      <c r="E135" s="57"/>
      <c r="F135" s="57"/>
    </row>
    <row r="136">
      <c r="C136" s="57"/>
      <c r="D136" s="57"/>
      <c r="E136" s="57"/>
      <c r="F136" s="57"/>
    </row>
    <row r="137">
      <c r="C137" s="57"/>
      <c r="D137" s="57"/>
      <c r="E137" s="57"/>
      <c r="F137" s="57"/>
    </row>
    <row r="138">
      <c r="C138" s="57"/>
      <c r="D138" s="57"/>
      <c r="E138" s="57"/>
      <c r="F138" s="57"/>
    </row>
    <row r="139">
      <c r="C139" s="57"/>
      <c r="D139" s="57"/>
      <c r="E139" s="57"/>
      <c r="F139" s="57"/>
    </row>
    <row r="140">
      <c r="C140" s="57"/>
      <c r="D140" s="57"/>
      <c r="E140" s="57"/>
      <c r="F140" s="57"/>
    </row>
    <row r="141">
      <c r="C141" s="57"/>
      <c r="D141" s="57"/>
      <c r="E141" s="57"/>
      <c r="F141" s="57"/>
    </row>
    <row r="142">
      <c r="C142" s="57"/>
      <c r="D142" s="57"/>
      <c r="E142" s="57"/>
      <c r="F142" s="57"/>
    </row>
    <row r="143">
      <c r="C143" s="57"/>
      <c r="D143" s="57"/>
      <c r="E143" s="57"/>
      <c r="F143" s="57"/>
    </row>
    <row r="144">
      <c r="C144" s="57"/>
      <c r="D144" s="57"/>
      <c r="E144" s="57"/>
      <c r="F144" s="57"/>
    </row>
    <row r="145">
      <c r="C145" s="57"/>
      <c r="D145" s="57"/>
      <c r="E145" s="57"/>
      <c r="F145" s="57"/>
    </row>
    <row r="146">
      <c r="C146" s="57"/>
      <c r="D146" s="57"/>
      <c r="E146" s="57"/>
      <c r="F146" s="57"/>
    </row>
    <row r="147">
      <c r="C147" s="57"/>
      <c r="D147" s="57"/>
      <c r="E147" s="57"/>
      <c r="F147" s="57"/>
    </row>
    <row r="148">
      <c r="C148" s="57"/>
      <c r="D148" s="57"/>
      <c r="E148" s="57"/>
      <c r="F148" s="57"/>
    </row>
    <row r="149">
      <c r="C149" s="57"/>
      <c r="D149" s="57"/>
      <c r="E149" s="57"/>
      <c r="F149" s="57"/>
    </row>
    <row r="150">
      <c r="C150" s="57"/>
      <c r="D150" s="57"/>
      <c r="E150" s="57"/>
      <c r="F150" s="57"/>
    </row>
    <row r="151">
      <c r="C151" s="57"/>
      <c r="D151" s="57"/>
      <c r="E151" s="57"/>
      <c r="F151" s="57"/>
    </row>
    <row r="152">
      <c r="C152" s="57"/>
      <c r="D152" s="57"/>
      <c r="E152" s="57"/>
      <c r="F152" s="57"/>
    </row>
    <row r="153">
      <c r="C153" s="57"/>
      <c r="D153" s="57"/>
      <c r="E153" s="57"/>
      <c r="F153" s="57"/>
    </row>
    <row r="154">
      <c r="C154" s="57"/>
      <c r="D154" s="57"/>
      <c r="E154" s="57"/>
      <c r="F154" s="57"/>
    </row>
    <row r="155">
      <c r="C155" s="57"/>
      <c r="D155" s="57"/>
      <c r="E155" s="57"/>
      <c r="F155" s="57"/>
    </row>
    <row r="156">
      <c r="C156" s="57"/>
      <c r="D156" s="57"/>
      <c r="E156" s="57"/>
      <c r="F156" s="57"/>
    </row>
    <row r="157">
      <c r="C157" s="57"/>
      <c r="D157" s="57"/>
      <c r="E157" s="57"/>
      <c r="F157" s="57"/>
    </row>
    <row r="158">
      <c r="C158" s="57"/>
      <c r="D158" s="57"/>
      <c r="E158" s="57"/>
      <c r="F158" s="57"/>
    </row>
    <row r="159">
      <c r="C159" s="57"/>
      <c r="D159" s="57"/>
      <c r="E159" s="57"/>
      <c r="F159" s="57"/>
    </row>
    <row r="160">
      <c r="C160" s="57"/>
      <c r="D160" s="57"/>
      <c r="E160" s="57"/>
      <c r="F160" s="57"/>
    </row>
    <row r="161">
      <c r="C161" s="57"/>
      <c r="D161" s="57"/>
      <c r="E161" s="57"/>
      <c r="F161" s="57"/>
    </row>
    <row r="162">
      <c r="C162" s="57"/>
      <c r="D162" s="57"/>
      <c r="E162" s="57"/>
      <c r="F162" s="57"/>
    </row>
    <row r="163">
      <c r="C163" s="57"/>
      <c r="D163" s="57"/>
      <c r="E163" s="57"/>
      <c r="F163" s="57"/>
    </row>
    <row r="164">
      <c r="C164" s="57"/>
      <c r="D164" s="57"/>
      <c r="E164" s="57"/>
      <c r="F164" s="57"/>
    </row>
    <row r="165">
      <c r="C165" s="57"/>
      <c r="D165" s="57"/>
      <c r="E165" s="57"/>
      <c r="F165" s="57"/>
    </row>
    <row r="166">
      <c r="C166" s="57"/>
      <c r="D166" s="57"/>
      <c r="E166" s="57"/>
      <c r="F166" s="57"/>
    </row>
    <row r="167">
      <c r="C167" s="57"/>
      <c r="D167" s="57"/>
      <c r="E167" s="57"/>
      <c r="F167" s="57"/>
    </row>
    <row r="168">
      <c r="C168" s="57"/>
      <c r="D168" s="57"/>
      <c r="E168" s="57"/>
      <c r="F168" s="57"/>
    </row>
    <row r="169">
      <c r="C169" s="57"/>
      <c r="D169" s="57"/>
      <c r="E169" s="57"/>
      <c r="F169" s="57"/>
    </row>
    <row r="170">
      <c r="C170" s="57"/>
      <c r="D170" s="57"/>
      <c r="E170" s="57"/>
      <c r="F170" s="57"/>
    </row>
    <row r="171">
      <c r="C171" s="57"/>
      <c r="D171" s="57"/>
      <c r="E171" s="57"/>
      <c r="F171" s="57"/>
    </row>
    <row r="172">
      <c r="C172" s="57"/>
      <c r="D172" s="57"/>
      <c r="E172" s="57"/>
      <c r="F172" s="57"/>
    </row>
    <row r="173">
      <c r="C173" s="57"/>
      <c r="D173" s="57"/>
      <c r="E173" s="57"/>
      <c r="F173" s="57"/>
    </row>
    <row r="174">
      <c r="C174" s="57"/>
      <c r="D174" s="57"/>
      <c r="E174" s="57"/>
      <c r="F174" s="57"/>
    </row>
    <row r="175">
      <c r="C175" s="57"/>
      <c r="D175" s="57"/>
      <c r="E175" s="57"/>
      <c r="F175" s="57"/>
    </row>
    <row r="176">
      <c r="C176" s="57"/>
      <c r="D176" s="57"/>
      <c r="E176" s="57"/>
      <c r="F176" s="57"/>
    </row>
    <row r="177">
      <c r="C177" s="57"/>
      <c r="D177" s="57"/>
      <c r="E177" s="57"/>
      <c r="F177" s="57"/>
    </row>
    <row r="178">
      <c r="C178" s="57"/>
      <c r="D178" s="57"/>
      <c r="E178" s="57"/>
      <c r="F178" s="57"/>
    </row>
    <row r="179">
      <c r="C179" s="57"/>
      <c r="D179" s="57"/>
      <c r="E179" s="57"/>
      <c r="F179" s="57"/>
    </row>
    <row r="180">
      <c r="C180" s="57"/>
      <c r="D180" s="57"/>
      <c r="E180" s="57"/>
      <c r="F180" s="57"/>
    </row>
    <row r="181">
      <c r="C181" s="57"/>
      <c r="D181" s="57"/>
      <c r="E181" s="57"/>
      <c r="F181" s="57"/>
    </row>
    <row r="182">
      <c r="C182" s="57"/>
      <c r="D182" s="57"/>
      <c r="E182" s="57"/>
      <c r="F182" s="57"/>
    </row>
    <row r="183">
      <c r="C183" s="57"/>
      <c r="D183" s="57"/>
      <c r="E183" s="57"/>
      <c r="F183" s="57"/>
    </row>
    <row r="184">
      <c r="C184" s="57"/>
      <c r="D184" s="57"/>
      <c r="E184" s="57"/>
      <c r="F184" s="57"/>
    </row>
    <row r="185">
      <c r="C185" s="57"/>
      <c r="D185" s="57"/>
      <c r="E185" s="57"/>
      <c r="F185" s="57"/>
    </row>
    <row r="186">
      <c r="C186" s="57"/>
      <c r="D186" s="57"/>
      <c r="E186" s="57"/>
      <c r="F186" s="57"/>
    </row>
    <row r="187">
      <c r="C187" s="57"/>
      <c r="D187" s="57"/>
      <c r="E187" s="57"/>
      <c r="F187" s="57"/>
    </row>
    <row r="188">
      <c r="C188" s="57"/>
      <c r="D188" s="57"/>
      <c r="E188" s="57"/>
      <c r="F188" s="57"/>
    </row>
    <row r="189">
      <c r="C189" s="57"/>
      <c r="D189" s="57"/>
      <c r="E189" s="57"/>
      <c r="F189" s="57"/>
    </row>
    <row r="190">
      <c r="C190" s="57"/>
      <c r="D190" s="57"/>
      <c r="E190" s="57"/>
      <c r="F190" s="57"/>
    </row>
    <row r="191">
      <c r="C191" s="57"/>
      <c r="D191" s="57"/>
      <c r="E191" s="57"/>
      <c r="F191" s="57"/>
    </row>
    <row r="192">
      <c r="C192" s="57"/>
      <c r="D192" s="57"/>
      <c r="E192" s="57"/>
      <c r="F192" s="57"/>
    </row>
    <row r="193">
      <c r="C193" s="57"/>
      <c r="D193" s="57"/>
      <c r="E193" s="57"/>
      <c r="F193" s="57"/>
    </row>
    <row r="194">
      <c r="C194" s="57"/>
      <c r="D194" s="57"/>
      <c r="E194" s="57"/>
      <c r="F194" s="57"/>
    </row>
    <row r="195">
      <c r="C195" s="57"/>
      <c r="D195" s="57"/>
      <c r="E195" s="57"/>
      <c r="F195" s="57"/>
    </row>
    <row r="196">
      <c r="C196" s="57"/>
      <c r="D196" s="57"/>
      <c r="E196" s="57"/>
      <c r="F196" s="57"/>
    </row>
    <row r="197">
      <c r="C197" s="57"/>
      <c r="D197" s="57"/>
      <c r="E197" s="57"/>
      <c r="F197" s="57"/>
    </row>
    <row r="198">
      <c r="C198" s="57"/>
      <c r="D198" s="57"/>
      <c r="E198" s="57"/>
      <c r="F198" s="57"/>
    </row>
    <row r="199">
      <c r="C199" s="57"/>
      <c r="D199" s="57"/>
      <c r="E199" s="57"/>
      <c r="F199" s="57"/>
    </row>
    <row r="200">
      <c r="C200" s="57"/>
      <c r="D200" s="57"/>
      <c r="E200" s="57"/>
      <c r="F200" s="57"/>
    </row>
    <row r="201">
      <c r="C201" s="57"/>
      <c r="D201" s="57"/>
      <c r="E201" s="57"/>
      <c r="F201" s="57"/>
    </row>
    <row r="202">
      <c r="C202" s="57"/>
      <c r="D202" s="57"/>
      <c r="E202" s="57"/>
      <c r="F202" s="57"/>
    </row>
    <row r="203">
      <c r="C203" s="57"/>
      <c r="D203" s="57"/>
      <c r="E203" s="57"/>
      <c r="F203" s="57"/>
    </row>
    <row r="204">
      <c r="C204" s="57"/>
      <c r="D204" s="57"/>
      <c r="E204" s="57"/>
      <c r="F204" s="57"/>
    </row>
    <row r="205">
      <c r="C205" s="57"/>
      <c r="D205" s="57"/>
      <c r="E205" s="57"/>
      <c r="F205" s="57"/>
    </row>
    <row r="206">
      <c r="C206" s="57"/>
      <c r="D206" s="57"/>
      <c r="E206" s="57"/>
      <c r="F206" s="57"/>
    </row>
    <row r="207">
      <c r="C207" s="57"/>
      <c r="D207" s="57"/>
      <c r="E207" s="57"/>
      <c r="F207" s="57"/>
    </row>
    <row r="208">
      <c r="C208" s="57"/>
      <c r="D208" s="57"/>
      <c r="E208" s="57"/>
      <c r="F208" s="57"/>
    </row>
    <row r="209">
      <c r="C209" s="57"/>
      <c r="D209" s="57"/>
      <c r="E209" s="57"/>
      <c r="F209" s="57"/>
    </row>
    <row r="210">
      <c r="C210" s="57"/>
      <c r="D210" s="57"/>
      <c r="E210" s="57"/>
      <c r="F210" s="57"/>
    </row>
    <row r="211">
      <c r="C211" s="57"/>
      <c r="D211" s="57"/>
      <c r="E211" s="57"/>
      <c r="F211" s="57"/>
    </row>
    <row r="212">
      <c r="C212" s="57"/>
      <c r="D212" s="57"/>
      <c r="E212" s="57"/>
      <c r="F212" s="57"/>
    </row>
    <row r="213">
      <c r="C213" s="57"/>
      <c r="D213" s="57"/>
      <c r="E213" s="57"/>
      <c r="F213" s="57"/>
    </row>
    <row r="214">
      <c r="C214" s="57"/>
      <c r="D214" s="57"/>
      <c r="E214" s="57"/>
      <c r="F214" s="57"/>
    </row>
    <row r="215">
      <c r="C215" s="57"/>
      <c r="D215" s="57"/>
      <c r="E215" s="57"/>
      <c r="F215" s="57"/>
    </row>
    <row r="216">
      <c r="C216" s="57"/>
      <c r="D216" s="57"/>
      <c r="E216" s="57"/>
      <c r="F216" s="57"/>
    </row>
    <row r="217">
      <c r="C217" s="57"/>
      <c r="D217" s="57"/>
      <c r="E217" s="57"/>
      <c r="F217" s="57"/>
    </row>
    <row r="218">
      <c r="C218" s="57"/>
      <c r="D218" s="57"/>
      <c r="E218" s="57"/>
      <c r="F218" s="57"/>
    </row>
    <row r="219">
      <c r="C219" s="57"/>
      <c r="D219" s="57"/>
      <c r="E219" s="57"/>
      <c r="F219" s="57"/>
    </row>
    <row r="220">
      <c r="C220" s="57"/>
      <c r="D220" s="57"/>
      <c r="E220" s="57"/>
      <c r="F220" s="57"/>
    </row>
    <row r="221">
      <c r="C221" s="57"/>
      <c r="D221" s="57"/>
      <c r="E221" s="57"/>
      <c r="F221" s="57"/>
    </row>
    <row r="222">
      <c r="C222" s="57"/>
      <c r="D222" s="57"/>
      <c r="E222" s="57"/>
      <c r="F222" s="57"/>
    </row>
    <row r="223">
      <c r="C223" s="57"/>
      <c r="D223" s="57"/>
      <c r="E223" s="57"/>
      <c r="F223" s="57"/>
    </row>
    <row r="224">
      <c r="C224" s="57"/>
      <c r="D224" s="57"/>
      <c r="E224" s="57"/>
      <c r="F224" s="57"/>
    </row>
    <row r="225">
      <c r="C225" s="57"/>
      <c r="D225" s="57"/>
      <c r="E225" s="57"/>
      <c r="F225" s="57"/>
    </row>
    <row r="226">
      <c r="C226" s="57"/>
      <c r="D226" s="57"/>
      <c r="E226" s="57"/>
      <c r="F226" s="57"/>
    </row>
    <row r="227">
      <c r="C227" s="57"/>
      <c r="D227" s="57"/>
      <c r="E227" s="57"/>
      <c r="F227" s="57"/>
    </row>
    <row r="228">
      <c r="C228" s="57"/>
      <c r="D228" s="57"/>
      <c r="E228" s="57"/>
      <c r="F228" s="57"/>
    </row>
    <row r="229">
      <c r="C229" s="57"/>
      <c r="D229" s="57"/>
      <c r="E229" s="57"/>
      <c r="F229" s="57"/>
    </row>
    <row r="230">
      <c r="C230" s="57"/>
      <c r="D230" s="57"/>
      <c r="E230" s="57"/>
      <c r="F230" s="57"/>
    </row>
    <row r="231">
      <c r="C231" s="57"/>
      <c r="D231" s="57"/>
      <c r="E231" s="57"/>
      <c r="F231" s="57"/>
    </row>
    <row r="232">
      <c r="C232" s="57"/>
      <c r="D232" s="57"/>
      <c r="E232" s="57"/>
      <c r="F232" s="57"/>
    </row>
    <row r="233">
      <c r="C233" s="57"/>
      <c r="D233" s="57"/>
      <c r="E233" s="57"/>
      <c r="F233" s="57"/>
    </row>
    <row r="234">
      <c r="C234" s="57"/>
      <c r="D234" s="57"/>
      <c r="E234" s="57"/>
      <c r="F234" s="57"/>
    </row>
    <row r="235">
      <c r="C235" s="57"/>
      <c r="D235" s="57"/>
      <c r="E235" s="57"/>
      <c r="F235" s="57"/>
    </row>
    <row r="236">
      <c r="C236" s="57"/>
      <c r="D236" s="57"/>
      <c r="E236" s="57"/>
      <c r="F236" s="57"/>
    </row>
    <row r="237">
      <c r="C237" s="57"/>
      <c r="D237" s="57"/>
      <c r="E237" s="57"/>
      <c r="F237" s="57"/>
    </row>
    <row r="238">
      <c r="C238" s="57"/>
      <c r="D238" s="57"/>
      <c r="E238" s="57"/>
      <c r="F238" s="57"/>
    </row>
    <row r="239">
      <c r="C239" s="57"/>
      <c r="D239" s="57"/>
      <c r="E239" s="57"/>
      <c r="F239" s="57"/>
    </row>
    <row r="240">
      <c r="C240" s="57"/>
      <c r="D240" s="57"/>
      <c r="E240" s="57"/>
      <c r="F240" s="57"/>
    </row>
    <row r="241">
      <c r="C241" s="57"/>
      <c r="D241" s="57"/>
      <c r="E241" s="57"/>
      <c r="F241" s="57"/>
    </row>
    <row r="242">
      <c r="C242" s="57"/>
      <c r="D242" s="57"/>
      <c r="E242" s="57"/>
      <c r="F242" s="57"/>
    </row>
    <row r="243">
      <c r="C243" s="57"/>
      <c r="D243" s="57"/>
      <c r="E243" s="57"/>
      <c r="F243" s="57"/>
    </row>
    <row r="244">
      <c r="C244" s="57"/>
      <c r="D244" s="57"/>
      <c r="E244" s="57"/>
      <c r="F244" s="57"/>
    </row>
    <row r="245">
      <c r="C245" s="57"/>
      <c r="D245" s="57"/>
      <c r="E245" s="57"/>
      <c r="F245" s="57"/>
    </row>
    <row r="246">
      <c r="C246" s="57"/>
      <c r="D246" s="57"/>
      <c r="E246" s="57"/>
      <c r="F246" s="57"/>
    </row>
    <row r="247">
      <c r="C247" s="57"/>
      <c r="D247" s="57"/>
      <c r="E247" s="57"/>
      <c r="F247" s="57"/>
    </row>
    <row r="248">
      <c r="C248" s="57"/>
      <c r="D248" s="57"/>
      <c r="E248" s="57"/>
      <c r="F248" s="57"/>
    </row>
    <row r="249">
      <c r="C249" s="57"/>
      <c r="D249" s="57"/>
      <c r="E249" s="57"/>
      <c r="F249" s="57"/>
    </row>
    <row r="250">
      <c r="C250" s="57"/>
      <c r="D250" s="57"/>
      <c r="E250" s="57"/>
      <c r="F250" s="57"/>
    </row>
    <row r="251">
      <c r="C251" s="57"/>
      <c r="D251" s="57"/>
      <c r="E251" s="57"/>
      <c r="F251" s="57"/>
    </row>
    <row r="252">
      <c r="C252" s="57"/>
      <c r="D252" s="57"/>
      <c r="E252" s="57"/>
      <c r="F252" s="57"/>
    </row>
    <row r="253">
      <c r="C253" s="57"/>
      <c r="D253" s="57"/>
      <c r="E253" s="57"/>
      <c r="F253" s="57"/>
    </row>
    <row r="254">
      <c r="C254" s="57"/>
      <c r="D254" s="57"/>
      <c r="E254" s="57"/>
      <c r="F254" s="57"/>
    </row>
    <row r="255">
      <c r="C255" s="57"/>
      <c r="D255" s="57"/>
      <c r="E255" s="57"/>
      <c r="F255" s="57"/>
    </row>
    <row r="256">
      <c r="C256" s="57"/>
      <c r="D256" s="57"/>
      <c r="E256" s="57"/>
      <c r="F256" s="57"/>
    </row>
    <row r="257">
      <c r="C257" s="57"/>
      <c r="D257" s="57"/>
      <c r="E257" s="57"/>
      <c r="F257" s="57"/>
    </row>
    <row r="258">
      <c r="C258" s="57"/>
      <c r="D258" s="57"/>
      <c r="E258" s="57"/>
      <c r="F258" s="57"/>
    </row>
    <row r="259">
      <c r="C259" s="57"/>
      <c r="D259" s="57"/>
      <c r="E259" s="57"/>
      <c r="F259" s="57"/>
    </row>
    <row r="260">
      <c r="C260" s="57"/>
      <c r="D260" s="57"/>
      <c r="E260" s="57"/>
      <c r="F260" s="57"/>
    </row>
    <row r="261">
      <c r="C261" s="57"/>
      <c r="D261" s="57"/>
      <c r="E261" s="57"/>
      <c r="F261" s="57"/>
    </row>
    <row r="262">
      <c r="C262" s="57"/>
      <c r="D262" s="57"/>
      <c r="E262" s="57"/>
      <c r="F262" s="57"/>
    </row>
    <row r="263">
      <c r="C263" s="57"/>
      <c r="D263" s="57"/>
      <c r="E263" s="57"/>
      <c r="F263" s="57"/>
    </row>
    <row r="264">
      <c r="C264" s="57"/>
      <c r="D264" s="57"/>
      <c r="E264" s="57"/>
      <c r="F264" s="57"/>
    </row>
    <row r="265">
      <c r="C265" s="57"/>
      <c r="D265" s="57"/>
      <c r="E265" s="57"/>
      <c r="F265" s="57"/>
    </row>
    <row r="266">
      <c r="C266" s="57"/>
      <c r="D266" s="57"/>
      <c r="E266" s="57"/>
      <c r="F266" s="57"/>
    </row>
    <row r="267">
      <c r="C267" s="57"/>
      <c r="D267" s="57"/>
      <c r="E267" s="57"/>
      <c r="F267" s="57"/>
    </row>
    <row r="268">
      <c r="C268" s="57"/>
      <c r="D268" s="57"/>
      <c r="E268" s="57"/>
      <c r="F268" s="57"/>
    </row>
    <row r="269">
      <c r="C269" s="57"/>
      <c r="D269" s="57"/>
      <c r="E269" s="57"/>
      <c r="F269" s="57"/>
    </row>
    <row r="270">
      <c r="C270" s="57"/>
      <c r="D270" s="57"/>
      <c r="E270" s="57"/>
      <c r="F270" s="57"/>
    </row>
    <row r="271">
      <c r="C271" s="57"/>
      <c r="D271" s="57"/>
      <c r="E271" s="57"/>
      <c r="F271" s="57"/>
    </row>
    <row r="272">
      <c r="C272" s="57"/>
      <c r="D272" s="57"/>
      <c r="E272" s="57"/>
      <c r="F272" s="57"/>
    </row>
    <row r="273">
      <c r="C273" s="57"/>
      <c r="D273" s="57"/>
      <c r="E273" s="57"/>
      <c r="F273" s="57"/>
    </row>
    <row r="274">
      <c r="C274" s="57"/>
      <c r="D274" s="57"/>
      <c r="E274" s="57"/>
      <c r="F274" s="57"/>
    </row>
    <row r="275">
      <c r="C275" s="57"/>
      <c r="D275" s="57"/>
      <c r="E275" s="57"/>
      <c r="F275" s="57"/>
    </row>
    <row r="276">
      <c r="C276" s="57"/>
      <c r="D276" s="57"/>
      <c r="E276" s="57"/>
      <c r="F276" s="57"/>
    </row>
    <row r="277">
      <c r="C277" s="57"/>
      <c r="D277" s="57"/>
      <c r="E277" s="57"/>
      <c r="F277" s="57"/>
    </row>
    <row r="278">
      <c r="C278" s="57"/>
      <c r="D278" s="57"/>
      <c r="E278" s="57"/>
      <c r="F278" s="57"/>
    </row>
    <row r="279">
      <c r="C279" s="57"/>
      <c r="D279" s="57"/>
      <c r="E279" s="57"/>
      <c r="F279" s="57"/>
    </row>
    <row r="280">
      <c r="C280" s="57"/>
      <c r="D280" s="57"/>
      <c r="E280" s="57"/>
      <c r="F280" s="57"/>
    </row>
    <row r="281">
      <c r="C281" s="57"/>
      <c r="D281" s="57"/>
      <c r="E281" s="57"/>
      <c r="F281" s="57"/>
    </row>
    <row r="282">
      <c r="C282" s="57"/>
      <c r="D282" s="57"/>
      <c r="E282" s="57"/>
      <c r="F282" s="57"/>
    </row>
    <row r="283">
      <c r="C283" s="57"/>
      <c r="D283" s="57"/>
      <c r="E283" s="57"/>
      <c r="F283" s="57"/>
    </row>
    <row r="284">
      <c r="C284" s="57"/>
      <c r="D284" s="57"/>
      <c r="E284" s="57"/>
      <c r="F284" s="57"/>
    </row>
    <row r="285">
      <c r="C285" s="57"/>
      <c r="D285" s="57"/>
      <c r="E285" s="57"/>
      <c r="F285" s="57"/>
    </row>
    <row r="286">
      <c r="C286" s="57"/>
      <c r="D286" s="57"/>
      <c r="E286" s="57"/>
      <c r="F286" s="57"/>
    </row>
    <row r="287">
      <c r="C287" s="57"/>
      <c r="D287" s="57"/>
      <c r="E287" s="57"/>
      <c r="F287" s="57"/>
    </row>
    <row r="288">
      <c r="C288" s="57"/>
      <c r="D288" s="57"/>
      <c r="E288" s="57"/>
      <c r="F288" s="57"/>
    </row>
    <row r="289">
      <c r="C289" s="57"/>
      <c r="D289" s="57"/>
      <c r="E289" s="57"/>
      <c r="F289" s="57"/>
    </row>
    <row r="290">
      <c r="C290" s="57"/>
      <c r="D290" s="57"/>
      <c r="E290" s="57"/>
      <c r="F290" s="57"/>
    </row>
    <row r="291">
      <c r="C291" s="57"/>
      <c r="D291" s="57"/>
      <c r="E291" s="57"/>
      <c r="F291" s="57"/>
    </row>
    <row r="292">
      <c r="C292" s="57"/>
      <c r="D292" s="57"/>
      <c r="E292" s="57"/>
      <c r="F292" s="57"/>
    </row>
    <row r="293">
      <c r="C293" s="57"/>
      <c r="D293" s="57"/>
      <c r="E293" s="57"/>
      <c r="F293" s="57"/>
    </row>
    <row r="294">
      <c r="C294" s="57"/>
      <c r="D294" s="57"/>
      <c r="E294" s="57"/>
      <c r="F294" s="57"/>
    </row>
    <row r="295">
      <c r="C295" s="57"/>
      <c r="D295" s="57"/>
      <c r="E295" s="57"/>
      <c r="F295" s="57"/>
    </row>
    <row r="296">
      <c r="C296" s="57"/>
      <c r="D296" s="57"/>
      <c r="E296" s="57"/>
      <c r="F296" s="57"/>
    </row>
    <row r="297">
      <c r="C297" s="57"/>
      <c r="D297" s="57"/>
      <c r="E297" s="57"/>
      <c r="F297" s="57"/>
    </row>
    <row r="298">
      <c r="C298" s="57"/>
      <c r="D298" s="57"/>
      <c r="E298" s="57"/>
      <c r="F298" s="57"/>
    </row>
    <row r="299">
      <c r="C299" s="57"/>
      <c r="D299" s="57"/>
      <c r="E299" s="57"/>
      <c r="F299" s="57"/>
    </row>
    <row r="300">
      <c r="C300" s="57"/>
      <c r="D300" s="57"/>
      <c r="E300" s="57"/>
      <c r="F300" s="57"/>
    </row>
    <row r="301">
      <c r="C301" s="57"/>
      <c r="D301" s="57"/>
      <c r="E301" s="57"/>
      <c r="F301" s="57"/>
    </row>
    <row r="302">
      <c r="C302" s="57"/>
      <c r="D302" s="57"/>
      <c r="E302" s="57"/>
      <c r="F302" s="57"/>
    </row>
    <row r="303">
      <c r="C303" s="57"/>
      <c r="D303" s="57"/>
      <c r="E303" s="57"/>
      <c r="F303" s="57"/>
    </row>
    <row r="304">
      <c r="C304" s="57"/>
      <c r="D304" s="57"/>
      <c r="E304" s="57"/>
      <c r="F304" s="57"/>
    </row>
    <row r="305">
      <c r="C305" s="57"/>
      <c r="D305" s="57"/>
      <c r="E305" s="57"/>
      <c r="F305" s="57"/>
    </row>
    <row r="306">
      <c r="C306" s="57"/>
      <c r="D306" s="57"/>
      <c r="E306" s="57"/>
      <c r="F306" s="57"/>
    </row>
    <row r="307">
      <c r="C307" s="57"/>
      <c r="D307" s="57"/>
      <c r="E307" s="57"/>
      <c r="F307" s="57"/>
    </row>
    <row r="308">
      <c r="C308" s="57"/>
      <c r="D308" s="57"/>
      <c r="E308" s="57"/>
      <c r="F308" s="57"/>
    </row>
    <row r="309">
      <c r="C309" s="57"/>
      <c r="D309" s="57"/>
      <c r="E309" s="57"/>
      <c r="F309" s="57"/>
    </row>
    <row r="310">
      <c r="C310" s="57"/>
      <c r="D310" s="57"/>
      <c r="E310" s="57"/>
      <c r="F310" s="57"/>
    </row>
    <row r="311">
      <c r="C311" s="57"/>
      <c r="D311" s="57"/>
      <c r="E311" s="57"/>
      <c r="F311" s="57"/>
    </row>
    <row r="312">
      <c r="C312" s="57"/>
      <c r="D312" s="57"/>
      <c r="E312" s="57"/>
      <c r="F312" s="57"/>
    </row>
    <row r="313">
      <c r="C313" s="57"/>
      <c r="D313" s="57"/>
      <c r="E313" s="57"/>
      <c r="F313" s="57"/>
    </row>
    <row r="314">
      <c r="C314" s="57"/>
      <c r="D314" s="57"/>
      <c r="E314" s="57"/>
      <c r="F314" s="57"/>
    </row>
    <row r="315">
      <c r="C315" s="57"/>
      <c r="D315" s="57"/>
      <c r="E315" s="57"/>
      <c r="F315" s="57"/>
    </row>
    <row r="316">
      <c r="C316" s="57"/>
      <c r="D316" s="57"/>
      <c r="E316" s="57"/>
      <c r="F316" s="57"/>
    </row>
    <row r="317">
      <c r="C317" s="57"/>
      <c r="D317" s="57"/>
      <c r="E317" s="57"/>
      <c r="F317" s="57"/>
    </row>
    <row r="318">
      <c r="C318" s="57"/>
      <c r="D318" s="57"/>
      <c r="E318" s="57"/>
      <c r="F318" s="57"/>
    </row>
    <row r="319">
      <c r="C319" s="57"/>
      <c r="D319" s="57"/>
      <c r="E319" s="57"/>
      <c r="F319" s="57"/>
    </row>
    <row r="320">
      <c r="C320" s="57"/>
      <c r="D320" s="57"/>
      <c r="E320" s="57"/>
      <c r="F320" s="57"/>
    </row>
    <row r="321">
      <c r="C321" s="57"/>
      <c r="D321" s="57"/>
      <c r="E321" s="57"/>
      <c r="F321" s="57"/>
    </row>
    <row r="322">
      <c r="C322" s="57"/>
      <c r="D322" s="57"/>
      <c r="E322" s="57"/>
      <c r="F322" s="57"/>
    </row>
    <row r="323">
      <c r="C323" s="57"/>
      <c r="D323" s="57"/>
      <c r="E323" s="57"/>
      <c r="F323" s="57"/>
    </row>
    <row r="324">
      <c r="C324" s="57"/>
      <c r="D324" s="57"/>
      <c r="E324" s="57"/>
      <c r="F324" s="57"/>
    </row>
    <row r="325">
      <c r="C325" s="57"/>
      <c r="D325" s="57"/>
      <c r="E325" s="57"/>
      <c r="F325" s="57"/>
    </row>
    <row r="326">
      <c r="C326" s="57"/>
      <c r="D326" s="57"/>
      <c r="E326" s="57"/>
      <c r="F326" s="57"/>
    </row>
    <row r="327">
      <c r="C327" s="57"/>
      <c r="D327" s="57"/>
      <c r="E327" s="57"/>
      <c r="F327" s="57"/>
    </row>
    <row r="328">
      <c r="C328" s="57"/>
      <c r="D328" s="57"/>
      <c r="E328" s="57"/>
      <c r="F328" s="57"/>
    </row>
    <row r="329">
      <c r="C329" s="57"/>
      <c r="D329" s="57"/>
      <c r="E329" s="57"/>
      <c r="F329" s="57"/>
    </row>
    <row r="330">
      <c r="C330" s="57"/>
      <c r="D330" s="57"/>
      <c r="E330" s="57"/>
      <c r="F330" s="57"/>
    </row>
    <row r="331">
      <c r="C331" s="57"/>
      <c r="D331" s="57"/>
      <c r="E331" s="57"/>
      <c r="F331" s="57"/>
    </row>
    <row r="332">
      <c r="C332" s="57"/>
      <c r="D332" s="57"/>
      <c r="E332" s="57"/>
      <c r="F332" s="57"/>
    </row>
    <row r="333">
      <c r="C333" s="57"/>
      <c r="D333" s="57"/>
      <c r="E333" s="57"/>
      <c r="F333" s="57"/>
    </row>
    <row r="334">
      <c r="C334" s="57"/>
      <c r="D334" s="57"/>
      <c r="E334" s="57"/>
      <c r="F334" s="57"/>
    </row>
    <row r="335">
      <c r="C335" s="57"/>
      <c r="D335" s="57"/>
      <c r="E335" s="57"/>
      <c r="F335" s="57"/>
    </row>
    <row r="336">
      <c r="C336" s="57"/>
      <c r="D336" s="57"/>
      <c r="E336" s="57"/>
      <c r="F336" s="57"/>
    </row>
    <row r="337">
      <c r="C337" s="57"/>
      <c r="D337" s="57"/>
      <c r="E337" s="57"/>
      <c r="F337" s="57"/>
    </row>
    <row r="338">
      <c r="C338" s="57"/>
      <c r="D338" s="57"/>
      <c r="E338" s="57"/>
      <c r="F338" s="57"/>
    </row>
    <row r="339">
      <c r="C339" s="57"/>
      <c r="D339" s="57"/>
      <c r="E339" s="57"/>
      <c r="F339" s="57"/>
    </row>
    <row r="340">
      <c r="C340" s="57"/>
      <c r="D340" s="57"/>
      <c r="E340" s="57"/>
      <c r="F340" s="57"/>
    </row>
    <row r="341">
      <c r="C341" s="57"/>
      <c r="D341" s="57"/>
      <c r="E341" s="57"/>
      <c r="F341" s="57"/>
    </row>
    <row r="342">
      <c r="C342" s="57"/>
      <c r="D342" s="57"/>
      <c r="E342" s="57"/>
      <c r="F342" s="57"/>
    </row>
    <row r="343">
      <c r="C343" s="57"/>
      <c r="D343" s="57"/>
      <c r="E343" s="57"/>
      <c r="F343" s="57"/>
    </row>
    <row r="344">
      <c r="C344" s="57"/>
      <c r="D344" s="57"/>
      <c r="E344" s="57"/>
      <c r="F344" s="57"/>
    </row>
    <row r="345">
      <c r="C345" s="57"/>
      <c r="D345" s="57"/>
      <c r="E345" s="57"/>
      <c r="F345" s="57"/>
    </row>
    <row r="346">
      <c r="C346" s="57"/>
      <c r="D346" s="57"/>
      <c r="E346" s="57"/>
      <c r="F346" s="57"/>
    </row>
    <row r="347">
      <c r="C347" s="57"/>
      <c r="D347" s="57"/>
      <c r="E347" s="57"/>
      <c r="F347" s="57"/>
    </row>
    <row r="348">
      <c r="C348" s="57"/>
      <c r="D348" s="57"/>
      <c r="E348" s="57"/>
      <c r="F348" s="57"/>
    </row>
    <row r="349">
      <c r="C349" s="57"/>
      <c r="D349" s="57"/>
      <c r="E349" s="57"/>
      <c r="F349" s="57"/>
    </row>
    <row r="350">
      <c r="C350" s="57"/>
      <c r="D350" s="57"/>
      <c r="E350" s="57"/>
      <c r="F350" s="57"/>
    </row>
    <row r="351">
      <c r="C351" s="57"/>
      <c r="D351" s="57"/>
      <c r="E351" s="57"/>
      <c r="F351" s="57"/>
    </row>
    <row r="352">
      <c r="C352" s="57"/>
      <c r="D352" s="57"/>
      <c r="E352" s="57"/>
      <c r="F352" s="57"/>
    </row>
    <row r="353">
      <c r="C353" s="57"/>
      <c r="D353" s="57"/>
      <c r="E353" s="57"/>
      <c r="F353" s="57"/>
    </row>
    <row r="354">
      <c r="C354" s="57"/>
      <c r="D354" s="57"/>
      <c r="E354" s="57"/>
      <c r="F354" s="57"/>
    </row>
    <row r="355">
      <c r="C355" s="57"/>
      <c r="D355" s="57"/>
      <c r="E355" s="57"/>
      <c r="F355" s="57"/>
    </row>
    <row r="356">
      <c r="C356" s="57"/>
      <c r="D356" s="57"/>
      <c r="E356" s="57"/>
      <c r="F356" s="57"/>
    </row>
    <row r="357">
      <c r="C357" s="57"/>
      <c r="D357" s="57"/>
      <c r="E357" s="57"/>
      <c r="F357" s="57"/>
    </row>
    <row r="358">
      <c r="C358" s="57"/>
      <c r="D358" s="57"/>
      <c r="E358" s="57"/>
      <c r="F358" s="57"/>
    </row>
    <row r="359">
      <c r="C359" s="57"/>
      <c r="D359" s="57"/>
      <c r="E359" s="57"/>
      <c r="F359" s="57"/>
    </row>
    <row r="360">
      <c r="C360" s="57"/>
      <c r="D360" s="57"/>
      <c r="E360" s="57"/>
      <c r="F360" s="57"/>
    </row>
    <row r="361">
      <c r="C361" s="57"/>
      <c r="D361" s="57"/>
      <c r="E361" s="57"/>
      <c r="F361" s="57"/>
    </row>
    <row r="362">
      <c r="C362" s="57"/>
      <c r="D362" s="57"/>
      <c r="E362" s="57"/>
      <c r="F362" s="57"/>
    </row>
    <row r="363">
      <c r="C363" s="57"/>
      <c r="D363" s="57"/>
      <c r="E363" s="57"/>
      <c r="F363" s="57"/>
    </row>
    <row r="364">
      <c r="C364" s="57"/>
      <c r="D364" s="57"/>
      <c r="E364" s="57"/>
      <c r="F364" s="57"/>
    </row>
    <row r="365">
      <c r="C365" s="57"/>
      <c r="D365" s="57"/>
      <c r="E365" s="57"/>
      <c r="F365" s="57"/>
    </row>
    <row r="366">
      <c r="C366" s="57"/>
      <c r="D366" s="57"/>
      <c r="E366" s="57"/>
      <c r="F366" s="57"/>
    </row>
    <row r="367">
      <c r="C367" s="57"/>
      <c r="D367" s="57"/>
      <c r="E367" s="57"/>
      <c r="F367" s="57"/>
    </row>
    <row r="368">
      <c r="C368" s="57"/>
      <c r="D368" s="57"/>
      <c r="E368" s="57"/>
      <c r="F368" s="57"/>
    </row>
    <row r="369">
      <c r="C369" s="57"/>
      <c r="D369" s="57"/>
      <c r="E369" s="57"/>
      <c r="F369" s="57"/>
    </row>
    <row r="370">
      <c r="C370" s="57"/>
      <c r="D370" s="57"/>
      <c r="E370" s="57"/>
      <c r="F370" s="57"/>
    </row>
    <row r="371">
      <c r="C371" s="57"/>
      <c r="D371" s="57"/>
      <c r="E371" s="57"/>
      <c r="F371" s="57"/>
    </row>
    <row r="372">
      <c r="C372" s="57"/>
      <c r="D372" s="57"/>
      <c r="E372" s="57"/>
      <c r="F372" s="57"/>
    </row>
    <row r="373">
      <c r="C373" s="57"/>
      <c r="D373" s="57"/>
      <c r="E373" s="57"/>
      <c r="F373" s="57"/>
    </row>
    <row r="374">
      <c r="C374" s="57"/>
      <c r="D374" s="57"/>
      <c r="E374" s="57"/>
      <c r="F374" s="57"/>
    </row>
    <row r="375">
      <c r="C375" s="57"/>
      <c r="D375" s="57"/>
      <c r="E375" s="57"/>
      <c r="F375" s="57"/>
    </row>
    <row r="376">
      <c r="C376" s="57"/>
      <c r="D376" s="57"/>
      <c r="E376" s="57"/>
      <c r="F376" s="57"/>
    </row>
    <row r="377">
      <c r="C377" s="57"/>
      <c r="D377" s="57"/>
      <c r="E377" s="57"/>
      <c r="F377" s="57"/>
    </row>
    <row r="378">
      <c r="C378" s="57"/>
      <c r="D378" s="57"/>
      <c r="E378" s="57"/>
      <c r="F378" s="57"/>
    </row>
    <row r="379">
      <c r="C379" s="57"/>
      <c r="D379" s="57"/>
      <c r="E379" s="57"/>
      <c r="F379" s="57"/>
    </row>
    <row r="380">
      <c r="C380" s="57"/>
      <c r="D380" s="57"/>
      <c r="E380" s="57"/>
      <c r="F380" s="57"/>
    </row>
    <row r="381">
      <c r="C381" s="57"/>
      <c r="D381" s="57"/>
      <c r="E381" s="57"/>
      <c r="F381" s="57"/>
    </row>
    <row r="382">
      <c r="C382" s="57"/>
      <c r="D382" s="57"/>
      <c r="E382" s="57"/>
      <c r="F382" s="57"/>
    </row>
    <row r="383">
      <c r="C383" s="57"/>
      <c r="D383" s="57"/>
      <c r="E383" s="57"/>
      <c r="F383" s="57"/>
    </row>
    <row r="384">
      <c r="C384" s="57"/>
      <c r="D384" s="57"/>
      <c r="E384" s="57"/>
      <c r="F384" s="57"/>
    </row>
    <row r="385">
      <c r="C385" s="57"/>
      <c r="D385" s="57"/>
      <c r="E385" s="57"/>
      <c r="F385" s="57"/>
    </row>
    <row r="386">
      <c r="C386" s="57"/>
      <c r="D386" s="57"/>
      <c r="E386" s="57"/>
      <c r="F386" s="57"/>
    </row>
    <row r="387">
      <c r="C387" s="57"/>
      <c r="D387" s="57"/>
      <c r="E387" s="57"/>
      <c r="F387" s="57"/>
    </row>
    <row r="388">
      <c r="C388" s="57"/>
      <c r="D388" s="57"/>
      <c r="E388" s="57"/>
      <c r="F388" s="57"/>
    </row>
    <row r="389">
      <c r="C389" s="57"/>
      <c r="D389" s="57"/>
      <c r="E389" s="57"/>
      <c r="F389" s="57"/>
    </row>
    <row r="390">
      <c r="C390" s="57"/>
      <c r="D390" s="57"/>
      <c r="E390" s="57"/>
      <c r="F390" s="57"/>
    </row>
    <row r="391">
      <c r="C391" s="57"/>
      <c r="D391" s="57"/>
      <c r="E391" s="57"/>
      <c r="F391" s="57"/>
    </row>
    <row r="392">
      <c r="C392" s="57"/>
      <c r="D392" s="57"/>
      <c r="E392" s="57"/>
      <c r="F392" s="57"/>
    </row>
    <row r="393">
      <c r="C393" s="57"/>
      <c r="D393" s="57"/>
      <c r="E393" s="57"/>
      <c r="F393" s="57"/>
    </row>
    <row r="394">
      <c r="C394" s="57"/>
      <c r="D394" s="57"/>
      <c r="E394" s="57"/>
      <c r="F394" s="57"/>
    </row>
    <row r="395">
      <c r="C395" s="57"/>
      <c r="D395" s="57"/>
      <c r="E395" s="57"/>
      <c r="F395" s="57"/>
    </row>
    <row r="396">
      <c r="C396" s="57"/>
      <c r="D396" s="57"/>
      <c r="E396" s="57"/>
      <c r="F396" s="57"/>
    </row>
    <row r="397">
      <c r="C397" s="57"/>
      <c r="D397" s="57"/>
      <c r="E397" s="57"/>
      <c r="F397" s="57"/>
    </row>
    <row r="398">
      <c r="C398" s="57"/>
      <c r="D398" s="57"/>
      <c r="E398" s="57"/>
      <c r="F398" s="57"/>
    </row>
    <row r="399">
      <c r="C399" s="57"/>
      <c r="D399" s="57"/>
      <c r="E399" s="57"/>
      <c r="F399" s="57"/>
    </row>
    <row r="400">
      <c r="C400" s="57"/>
      <c r="D400" s="57"/>
      <c r="E400" s="57"/>
      <c r="F400" s="57"/>
    </row>
    <row r="401">
      <c r="C401" s="57"/>
      <c r="D401" s="57"/>
      <c r="E401" s="57"/>
      <c r="F401" s="57"/>
    </row>
    <row r="402">
      <c r="C402" s="57"/>
      <c r="D402" s="57"/>
      <c r="E402" s="57"/>
      <c r="F402" s="57"/>
    </row>
    <row r="403">
      <c r="C403" s="57"/>
      <c r="D403" s="57"/>
      <c r="E403" s="57"/>
      <c r="F403" s="57"/>
    </row>
    <row r="404">
      <c r="C404" s="57"/>
      <c r="D404" s="57"/>
      <c r="E404" s="57"/>
      <c r="F404" s="57"/>
    </row>
    <row r="405">
      <c r="C405" s="57"/>
      <c r="D405" s="57"/>
      <c r="E405" s="57"/>
      <c r="F405" s="57"/>
    </row>
    <row r="406">
      <c r="C406" s="57"/>
      <c r="D406" s="57"/>
      <c r="E406" s="57"/>
      <c r="F406" s="57"/>
    </row>
    <row r="407">
      <c r="C407" s="57"/>
      <c r="D407" s="57"/>
      <c r="E407" s="57"/>
      <c r="F407" s="57"/>
    </row>
    <row r="408">
      <c r="C408" s="57"/>
      <c r="D408" s="57"/>
      <c r="E408" s="57"/>
      <c r="F408" s="57"/>
    </row>
    <row r="409">
      <c r="C409" s="57"/>
      <c r="D409" s="57"/>
      <c r="E409" s="57"/>
      <c r="F409" s="57"/>
    </row>
    <row r="410">
      <c r="C410" s="57"/>
      <c r="D410" s="57"/>
      <c r="E410" s="57"/>
      <c r="F410" s="57"/>
    </row>
    <row r="411">
      <c r="C411" s="57"/>
      <c r="D411" s="57"/>
      <c r="E411" s="57"/>
      <c r="F411" s="57"/>
    </row>
    <row r="412">
      <c r="C412" s="57"/>
      <c r="D412" s="57"/>
      <c r="E412" s="57"/>
      <c r="F412" s="57"/>
    </row>
    <row r="413">
      <c r="C413" s="57"/>
      <c r="D413" s="57"/>
      <c r="E413" s="57"/>
      <c r="F413" s="57"/>
    </row>
    <row r="414">
      <c r="C414" s="57"/>
      <c r="D414" s="57"/>
      <c r="E414" s="57"/>
      <c r="F414" s="57"/>
    </row>
    <row r="415">
      <c r="C415" s="57"/>
      <c r="D415" s="57"/>
      <c r="E415" s="57"/>
      <c r="F415" s="57"/>
    </row>
    <row r="416">
      <c r="C416" s="57"/>
      <c r="D416" s="57"/>
      <c r="E416" s="57"/>
      <c r="F416" s="57"/>
    </row>
    <row r="417">
      <c r="C417" s="57"/>
      <c r="D417" s="57"/>
      <c r="E417" s="57"/>
      <c r="F417" s="57"/>
    </row>
    <row r="418">
      <c r="C418" s="57"/>
      <c r="D418" s="57"/>
      <c r="E418" s="57"/>
      <c r="F418" s="57"/>
    </row>
    <row r="419">
      <c r="C419" s="57"/>
      <c r="D419" s="57"/>
      <c r="E419" s="57"/>
      <c r="F419" s="57"/>
    </row>
    <row r="420">
      <c r="C420" s="57"/>
      <c r="D420" s="57"/>
      <c r="E420" s="57"/>
      <c r="F420" s="57"/>
    </row>
    <row r="421">
      <c r="C421" s="57"/>
      <c r="D421" s="57"/>
      <c r="E421" s="57"/>
      <c r="F421" s="57"/>
    </row>
    <row r="422">
      <c r="C422" s="57"/>
      <c r="D422" s="57"/>
      <c r="E422" s="57"/>
      <c r="F422" s="57"/>
    </row>
    <row r="423">
      <c r="C423" s="57"/>
      <c r="D423" s="57"/>
      <c r="E423" s="57"/>
      <c r="F423" s="57"/>
    </row>
    <row r="424">
      <c r="C424" s="57"/>
      <c r="D424" s="57"/>
      <c r="E424" s="57"/>
      <c r="F424" s="57"/>
    </row>
    <row r="425">
      <c r="C425" s="57"/>
      <c r="D425" s="57"/>
      <c r="E425" s="57"/>
      <c r="F425" s="57"/>
    </row>
    <row r="426">
      <c r="C426" s="57"/>
      <c r="D426" s="57"/>
      <c r="E426" s="57"/>
      <c r="F426" s="57"/>
    </row>
    <row r="427">
      <c r="C427" s="57"/>
      <c r="D427" s="57"/>
      <c r="E427" s="57"/>
      <c r="F427" s="57"/>
    </row>
    <row r="428">
      <c r="C428" s="57"/>
      <c r="D428" s="57"/>
      <c r="E428" s="57"/>
      <c r="F428" s="57"/>
    </row>
    <row r="429">
      <c r="C429" s="57"/>
      <c r="D429" s="57"/>
      <c r="E429" s="57"/>
      <c r="F429" s="57"/>
    </row>
    <row r="430">
      <c r="C430" s="57"/>
      <c r="D430" s="57"/>
      <c r="E430" s="57"/>
      <c r="F430" s="57"/>
    </row>
    <row r="431">
      <c r="C431" s="57"/>
      <c r="D431" s="57"/>
      <c r="E431" s="57"/>
      <c r="F431" s="57"/>
    </row>
    <row r="432">
      <c r="C432" s="57"/>
      <c r="D432" s="57"/>
      <c r="E432" s="57"/>
      <c r="F432" s="57"/>
    </row>
    <row r="433">
      <c r="C433" s="57"/>
      <c r="D433" s="57"/>
      <c r="E433" s="57"/>
      <c r="F433" s="57"/>
    </row>
    <row r="434">
      <c r="C434" s="57"/>
      <c r="D434" s="57"/>
      <c r="E434" s="57"/>
      <c r="F434" s="57"/>
    </row>
    <row r="435">
      <c r="C435" s="57"/>
      <c r="D435" s="57"/>
      <c r="E435" s="57"/>
      <c r="F435" s="57"/>
    </row>
    <row r="436">
      <c r="C436" s="57"/>
      <c r="D436" s="57"/>
      <c r="E436" s="57"/>
      <c r="F436" s="57"/>
    </row>
    <row r="437">
      <c r="C437" s="57"/>
      <c r="D437" s="57"/>
      <c r="E437" s="57"/>
      <c r="F437" s="57"/>
    </row>
    <row r="438">
      <c r="C438" s="57"/>
      <c r="D438" s="57"/>
      <c r="E438" s="57"/>
      <c r="F438" s="57"/>
    </row>
    <row r="439">
      <c r="C439" s="57"/>
      <c r="D439" s="57"/>
      <c r="E439" s="57"/>
      <c r="F439" s="57"/>
    </row>
    <row r="440">
      <c r="C440" s="57"/>
      <c r="D440" s="57"/>
      <c r="E440" s="57"/>
      <c r="F440" s="57"/>
    </row>
    <row r="441">
      <c r="C441" s="57"/>
      <c r="D441" s="57"/>
      <c r="E441" s="57"/>
      <c r="F441" s="57"/>
    </row>
    <row r="442">
      <c r="C442" s="57"/>
      <c r="D442" s="57"/>
      <c r="E442" s="57"/>
      <c r="F442" s="57"/>
    </row>
    <row r="443">
      <c r="C443" s="57"/>
      <c r="D443" s="57"/>
      <c r="E443" s="57"/>
      <c r="F443" s="57"/>
    </row>
    <row r="444">
      <c r="C444" s="57"/>
      <c r="D444" s="57"/>
      <c r="E444" s="57"/>
      <c r="F444" s="57"/>
    </row>
    <row r="445">
      <c r="C445" s="57"/>
      <c r="D445" s="57"/>
      <c r="E445" s="57"/>
      <c r="F445" s="57"/>
    </row>
    <row r="446">
      <c r="C446" s="57"/>
      <c r="D446" s="57"/>
      <c r="E446" s="57"/>
      <c r="F446" s="57"/>
    </row>
    <row r="447">
      <c r="C447" s="57"/>
      <c r="D447" s="57"/>
      <c r="E447" s="57"/>
      <c r="F447" s="57"/>
    </row>
    <row r="448">
      <c r="C448" s="57"/>
      <c r="D448" s="57"/>
      <c r="E448" s="57"/>
      <c r="F448" s="57"/>
    </row>
    <row r="449">
      <c r="C449" s="57"/>
      <c r="D449" s="57"/>
      <c r="E449" s="57"/>
      <c r="F449" s="57"/>
    </row>
    <row r="450">
      <c r="C450" s="57"/>
      <c r="D450" s="57"/>
      <c r="E450" s="57"/>
      <c r="F450" s="57"/>
    </row>
    <row r="451">
      <c r="C451" s="57"/>
      <c r="D451" s="57"/>
      <c r="E451" s="57"/>
      <c r="F451" s="57"/>
    </row>
    <row r="452">
      <c r="C452" s="57"/>
      <c r="D452" s="57"/>
      <c r="E452" s="57"/>
      <c r="F452" s="57"/>
    </row>
    <row r="453">
      <c r="C453" s="57"/>
      <c r="D453" s="57"/>
      <c r="E453" s="57"/>
      <c r="F453" s="57"/>
    </row>
    <row r="454">
      <c r="C454" s="57"/>
      <c r="D454" s="57"/>
      <c r="E454" s="57"/>
      <c r="F454" s="57"/>
    </row>
    <row r="455">
      <c r="C455" s="57"/>
      <c r="D455" s="57"/>
      <c r="E455" s="57"/>
      <c r="F455" s="57"/>
    </row>
    <row r="456">
      <c r="C456" s="57"/>
      <c r="D456" s="57"/>
      <c r="E456" s="57"/>
      <c r="F456" s="57"/>
    </row>
    <row r="457">
      <c r="C457" s="57"/>
      <c r="D457" s="57"/>
      <c r="E457" s="57"/>
      <c r="F457" s="57"/>
    </row>
    <row r="458">
      <c r="C458" s="57"/>
      <c r="D458" s="57"/>
      <c r="E458" s="57"/>
      <c r="F458" s="57"/>
    </row>
    <row r="459">
      <c r="C459" s="57"/>
      <c r="D459" s="57"/>
      <c r="E459" s="57"/>
      <c r="F459" s="57"/>
    </row>
    <row r="460">
      <c r="C460" s="57"/>
      <c r="D460" s="57"/>
      <c r="E460" s="57"/>
      <c r="F460" s="57"/>
    </row>
    <row r="461">
      <c r="C461" s="57"/>
      <c r="D461" s="57"/>
      <c r="E461" s="57"/>
      <c r="F461" s="57"/>
    </row>
    <row r="462">
      <c r="C462" s="57"/>
      <c r="D462" s="57"/>
      <c r="E462" s="57"/>
      <c r="F462" s="57"/>
    </row>
    <row r="463">
      <c r="C463" s="57"/>
      <c r="D463" s="57"/>
      <c r="E463" s="57"/>
      <c r="F463" s="57"/>
    </row>
    <row r="464">
      <c r="C464" s="57"/>
      <c r="D464" s="57"/>
      <c r="E464" s="57"/>
      <c r="F464" s="57"/>
    </row>
    <row r="465">
      <c r="C465" s="57"/>
      <c r="D465" s="57"/>
      <c r="E465" s="57"/>
      <c r="F465" s="57"/>
    </row>
    <row r="466">
      <c r="C466" s="57"/>
      <c r="D466" s="57"/>
      <c r="E466" s="57"/>
      <c r="F466" s="57"/>
    </row>
    <row r="467">
      <c r="C467" s="57"/>
      <c r="D467" s="57"/>
      <c r="E467" s="57"/>
      <c r="F467" s="57"/>
    </row>
    <row r="468">
      <c r="C468" s="57"/>
      <c r="D468" s="57"/>
      <c r="E468" s="57"/>
      <c r="F468" s="57"/>
    </row>
    <row r="469">
      <c r="C469" s="57"/>
      <c r="D469" s="57"/>
      <c r="E469" s="57"/>
      <c r="F469" s="57"/>
    </row>
    <row r="470">
      <c r="C470" s="57"/>
      <c r="D470" s="57"/>
      <c r="E470" s="57"/>
      <c r="F470" s="57"/>
    </row>
    <row r="471">
      <c r="C471" s="57"/>
      <c r="D471" s="57"/>
      <c r="E471" s="57"/>
      <c r="F471" s="57"/>
    </row>
    <row r="472">
      <c r="C472" s="57"/>
      <c r="D472" s="57"/>
      <c r="E472" s="57"/>
      <c r="F472" s="57"/>
    </row>
    <row r="473">
      <c r="C473" s="57"/>
      <c r="D473" s="57"/>
      <c r="E473" s="57"/>
      <c r="F473" s="57"/>
    </row>
    <row r="474">
      <c r="C474" s="57"/>
      <c r="D474" s="57"/>
      <c r="E474" s="57"/>
      <c r="F474" s="57"/>
    </row>
    <row r="475">
      <c r="C475" s="57"/>
      <c r="D475" s="57"/>
      <c r="E475" s="57"/>
      <c r="F475" s="57"/>
    </row>
    <row r="476">
      <c r="C476" s="57"/>
      <c r="D476" s="57"/>
      <c r="E476" s="57"/>
      <c r="F476" s="57"/>
    </row>
    <row r="477">
      <c r="C477" s="57"/>
      <c r="D477" s="57"/>
      <c r="E477" s="57"/>
      <c r="F477" s="57"/>
    </row>
    <row r="478">
      <c r="C478" s="57"/>
      <c r="D478" s="57"/>
      <c r="E478" s="57"/>
      <c r="F478" s="57"/>
    </row>
    <row r="479">
      <c r="C479" s="57"/>
      <c r="D479" s="57"/>
      <c r="E479" s="57"/>
      <c r="F479" s="57"/>
    </row>
    <row r="480">
      <c r="C480" s="57"/>
      <c r="D480" s="57"/>
      <c r="E480" s="57"/>
      <c r="F480" s="57"/>
    </row>
    <row r="481">
      <c r="C481" s="57"/>
      <c r="D481" s="57"/>
      <c r="E481" s="57"/>
      <c r="F481" s="57"/>
    </row>
    <row r="482">
      <c r="C482" s="57"/>
      <c r="D482" s="57"/>
      <c r="E482" s="57"/>
      <c r="F482" s="57"/>
    </row>
    <row r="483">
      <c r="C483" s="57"/>
      <c r="D483" s="57"/>
      <c r="E483" s="57"/>
      <c r="F483" s="57"/>
    </row>
    <row r="484">
      <c r="C484" s="57"/>
      <c r="D484" s="57"/>
      <c r="E484" s="57"/>
      <c r="F484" s="57"/>
    </row>
    <row r="485">
      <c r="C485" s="57"/>
      <c r="D485" s="57"/>
      <c r="E485" s="57"/>
      <c r="F485" s="57"/>
    </row>
    <row r="486">
      <c r="C486" s="57"/>
      <c r="D486" s="57"/>
      <c r="E486" s="57"/>
      <c r="F486" s="57"/>
    </row>
    <row r="487">
      <c r="C487" s="57"/>
      <c r="D487" s="57"/>
      <c r="E487" s="57"/>
      <c r="F487" s="57"/>
    </row>
    <row r="488">
      <c r="C488" s="57"/>
      <c r="D488" s="57"/>
      <c r="E488" s="57"/>
      <c r="F488" s="57"/>
    </row>
    <row r="489">
      <c r="C489" s="57"/>
      <c r="D489" s="57"/>
      <c r="E489" s="57"/>
      <c r="F489" s="57"/>
    </row>
    <row r="490">
      <c r="C490" s="57"/>
      <c r="D490" s="57"/>
      <c r="E490" s="57"/>
      <c r="F490" s="57"/>
    </row>
    <row r="491">
      <c r="C491" s="57"/>
      <c r="D491" s="57"/>
      <c r="E491" s="57"/>
      <c r="F491" s="57"/>
    </row>
    <row r="492">
      <c r="C492" s="57"/>
      <c r="D492" s="57"/>
      <c r="E492" s="57"/>
      <c r="F492" s="57"/>
    </row>
    <row r="493">
      <c r="C493" s="57"/>
      <c r="D493" s="57"/>
      <c r="E493" s="57"/>
      <c r="F493" s="57"/>
    </row>
    <row r="494">
      <c r="C494" s="57"/>
      <c r="D494" s="57"/>
      <c r="E494" s="57"/>
      <c r="F494" s="57"/>
    </row>
    <row r="495">
      <c r="C495" s="57"/>
      <c r="D495" s="57"/>
      <c r="E495" s="57"/>
      <c r="F495" s="57"/>
    </row>
    <row r="496">
      <c r="C496" s="57"/>
      <c r="D496" s="57"/>
      <c r="E496" s="57"/>
      <c r="F496" s="57"/>
    </row>
    <row r="497">
      <c r="C497" s="57"/>
      <c r="D497" s="57"/>
      <c r="E497" s="57"/>
      <c r="F497" s="57"/>
    </row>
    <row r="498">
      <c r="C498" s="57"/>
      <c r="D498" s="57"/>
      <c r="E498" s="57"/>
      <c r="F498" s="57"/>
    </row>
    <row r="499">
      <c r="C499" s="57"/>
      <c r="D499" s="57"/>
      <c r="E499" s="57"/>
      <c r="F499" s="57"/>
    </row>
    <row r="500">
      <c r="C500" s="57"/>
      <c r="D500" s="57"/>
      <c r="E500" s="57"/>
      <c r="F500" s="57"/>
    </row>
    <row r="501">
      <c r="C501" s="57"/>
      <c r="D501" s="57"/>
      <c r="E501" s="57"/>
      <c r="F501" s="57"/>
    </row>
    <row r="502">
      <c r="C502" s="57"/>
      <c r="D502" s="57"/>
      <c r="E502" s="57"/>
      <c r="F502" s="57"/>
    </row>
    <row r="503">
      <c r="C503" s="57"/>
      <c r="D503" s="57"/>
      <c r="E503" s="57"/>
      <c r="F503" s="57"/>
    </row>
    <row r="504">
      <c r="C504" s="57"/>
      <c r="D504" s="57"/>
      <c r="E504" s="57"/>
      <c r="F504" s="57"/>
    </row>
    <row r="505">
      <c r="C505" s="57"/>
      <c r="D505" s="57"/>
      <c r="E505" s="57"/>
      <c r="F505" s="57"/>
    </row>
    <row r="506">
      <c r="C506" s="57"/>
      <c r="D506" s="57"/>
      <c r="E506" s="57"/>
      <c r="F506" s="57"/>
    </row>
    <row r="507">
      <c r="C507" s="57"/>
      <c r="D507" s="57"/>
      <c r="E507" s="57"/>
      <c r="F507" s="57"/>
    </row>
    <row r="508">
      <c r="C508" s="57"/>
      <c r="D508" s="57"/>
      <c r="E508" s="57"/>
      <c r="F508" s="57"/>
    </row>
    <row r="509">
      <c r="C509" s="57"/>
      <c r="D509" s="57"/>
      <c r="E509" s="57"/>
      <c r="F509" s="57"/>
    </row>
    <row r="510">
      <c r="C510" s="57"/>
      <c r="D510" s="57"/>
      <c r="E510" s="57"/>
      <c r="F510" s="57"/>
    </row>
    <row r="511">
      <c r="C511" s="57"/>
      <c r="D511" s="57"/>
      <c r="E511" s="57"/>
      <c r="F511" s="57"/>
    </row>
    <row r="512">
      <c r="C512" s="57"/>
      <c r="D512" s="57"/>
      <c r="E512" s="57"/>
      <c r="F512" s="57"/>
    </row>
    <row r="513">
      <c r="C513" s="57"/>
      <c r="D513" s="57"/>
      <c r="E513" s="57"/>
      <c r="F513" s="57"/>
    </row>
    <row r="514">
      <c r="C514" s="57"/>
      <c r="D514" s="57"/>
      <c r="E514" s="57"/>
      <c r="F514" s="57"/>
    </row>
    <row r="515">
      <c r="C515" s="57"/>
      <c r="D515" s="57"/>
      <c r="E515" s="57"/>
      <c r="F515" s="57"/>
    </row>
    <row r="516">
      <c r="C516" s="57"/>
      <c r="D516" s="57"/>
      <c r="E516" s="57"/>
      <c r="F516" s="57"/>
    </row>
    <row r="517">
      <c r="C517" s="57"/>
      <c r="D517" s="57"/>
      <c r="E517" s="57"/>
      <c r="F517" s="57"/>
    </row>
    <row r="518">
      <c r="C518" s="57"/>
      <c r="D518" s="57"/>
      <c r="E518" s="57"/>
      <c r="F518" s="57"/>
    </row>
    <row r="519">
      <c r="C519" s="57"/>
      <c r="D519" s="57"/>
      <c r="E519" s="57"/>
      <c r="F519" s="57"/>
    </row>
    <row r="520">
      <c r="C520" s="57"/>
      <c r="D520" s="57"/>
      <c r="E520" s="57"/>
      <c r="F520" s="57"/>
    </row>
    <row r="521">
      <c r="C521" s="57"/>
      <c r="D521" s="57"/>
      <c r="E521" s="57"/>
      <c r="F521" s="57"/>
    </row>
    <row r="522">
      <c r="C522" s="57"/>
      <c r="D522" s="57"/>
      <c r="E522" s="57"/>
      <c r="F522" s="57"/>
    </row>
    <row r="523">
      <c r="C523" s="57"/>
      <c r="D523" s="57"/>
      <c r="E523" s="57"/>
      <c r="F523" s="57"/>
    </row>
    <row r="524">
      <c r="C524" s="57"/>
      <c r="D524" s="57"/>
      <c r="E524" s="57"/>
      <c r="F524" s="57"/>
    </row>
    <row r="525">
      <c r="C525" s="57"/>
      <c r="D525" s="57"/>
      <c r="E525" s="57"/>
      <c r="F525" s="57"/>
    </row>
    <row r="526">
      <c r="C526" s="57"/>
      <c r="D526" s="57"/>
      <c r="E526" s="57"/>
      <c r="F526" s="57"/>
    </row>
    <row r="527">
      <c r="C527" s="57"/>
      <c r="D527" s="57"/>
      <c r="E527" s="57"/>
      <c r="F527" s="57"/>
    </row>
    <row r="528">
      <c r="C528" s="57"/>
      <c r="D528" s="57"/>
      <c r="E528" s="57"/>
      <c r="F528" s="57"/>
    </row>
    <row r="529">
      <c r="C529" s="57"/>
      <c r="D529" s="57"/>
      <c r="E529" s="57"/>
      <c r="F529" s="57"/>
    </row>
    <row r="530">
      <c r="C530" s="57"/>
      <c r="D530" s="57"/>
      <c r="E530" s="57"/>
      <c r="F530" s="57"/>
    </row>
    <row r="531">
      <c r="C531" s="57"/>
      <c r="D531" s="57"/>
      <c r="E531" s="57"/>
      <c r="F531" s="57"/>
    </row>
    <row r="532">
      <c r="C532" s="57"/>
      <c r="D532" s="57"/>
      <c r="E532" s="57"/>
      <c r="F532" s="57"/>
    </row>
    <row r="533">
      <c r="C533" s="57"/>
      <c r="D533" s="57"/>
      <c r="E533" s="57"/>
      <c r="F533" s="57"/>
    </row>
    <row r="534">
      <c r="C534" s="57"/>
      <c r="D534" s="57"/>
      <c r="E534" s="57"/>
      <c r="F534" s="57"/>
    </row>
    <row r="535">
      <c r="C535" s="57"/>
      <c r="D535" s="57"/>
      <c r="E535" s="57"/>
      <c r="F535" s="57"/>
    </row>
    <row r="536">
      <c r="C536" s="57"/>
      <c r="D536" s="57"/>
      <c r="E536" s="57"/>
      <c r="F536" s="57"/>
    </row>
    <row r="537">
      <c r="C537" s="57"/>
      <c r="D537" s="57"/>
      <c r="E537" s="57"/>
      <c r="F537" s="57"/>
    </row>
    <row r="538">
      <c r="C538" s="57"/>
      <c r="D538" s="57"/>
      <c r="E538" s="57"/>
      <c r="F538" s="57"/>
    </row>
    <row r="539">
      <c r="C539" s="57"/>
      <c r="D539" s="57"/>
      <c r="E539" s="57"/>
      <c r="F539" s="57"/>
    </row>
    <row r="540">
      <c r="C540" s="57"/>
      <c r="D540" s="57"/>
      <c r="E540" s="57"/>
      <c r="F540" s="57"/>
    </row>
    <row r="541">
      <c r="C541" s="57"/>
      <c r="D541" s="57"/>
      <c r="E541" s="57"/>
      <c r="F541" s="57"/>
    </row>
    <row r="542">
      <c r="C542" s="57"/>
      <c r="D542" s="57"/>
      <c r="E542" s="57"/>
      <c r="F542" s="57"/>
    </row>
    <row r="543">
      <c r="C543" s="57"/>
      <c r="D543" s="57"/>
      <c r="E543" s="57"/>
      <c r="F543" s="57"/>
    </row>
    <row r="544">
      <c r="C544" s="57"/>
      <c r="D544" s="57"/>
      <c r="E544" s="57"/>
      <c r="F544" s="57"/>
    </row>
    <row r="545">
      <c r="C545" s="57"/>
      <c r="D545" s="57"/>
      <c r="E545" s="57"/>
      <c r="F545" s="57"/>
    </row>
    <row r="546">
      <c r="C546" s="57"/>
      <c r="D546" s="57"/>
      <c r="E546" s="57"/>
      <c r="F546" s="57"/>
    </row>
    <row r="547">
      <c r="C547" s="57"/>
      <c r="D547" s="57"/>
      <c r="E547" s="57"/>
      <c r="F547" s="57"/>
    </row>
    <row r="548">
      <c r="C548" s="57"/>
      <c r="D548" s="57"/>
      <c r="E548" s="57"/>
      <c r="F548" s="57"/>
    </row>
    <row r="549">
      <c r="C549" s="57"/>
      <c r="D549" s="57"/>
      <c r="E549" s="57"/>
      <c r="F549" s="57"/>
    </row>
    <row r="550">
      <c r="C550" s="57"/>
      <c r="D550" s="57"/>
      <c r="E550" s="57"/>
      <c r="F550" s="57"/>
    </row>
    <row r="551">
      <c r="C551" s="57"/>
      <c r="D551" s="57"/>
      <c r="E551" s="57"/>
      <c r="F551" s="57"/>
    </row>
    <row r="552">
      <c r="C552" s="57"/>
      <c r="D552" s="57"/>
      <c r="E552" s="57"/>
      <c r="F552" s="57"/>
    </row>
    <row r="553">
      <c r="C553" s="57"/>
      <c r="D553" s="57"/>
      <c r="E553" s="57"/>
      <c r="F553" s="57"/>
    </row>
    <row r="554">
      <c r="C554" s="57"/>
      <c r="D554" s="57"/>
      <c r="E554" s="57"/>
      <c r="F554" s="57"/>
    </row>
    <row r="555">
      <c r="C555" s="57"/>
      <c r="D555" s="57"/>
      <c r="E555" s="57"/>
      <c r="F555" s="57"/>
    </row>
    <row r="556">
      <c r="C556" s="57"/>
      <c r="D556" s="57"/>
      <c r="E556" s="57"/>
      <c r="F556" s="57"/>
    </row>
    <row r="557">
      <c r="C557" s="57"/>
      <c r="D557" s="57"/>
      <c r="E557" s="57"/>
      <c r="F557" s="57"/>
    </row>
    <row r="558">
      <c r="C558" s="57"/>
      <c r="D558" s="57"/>
      <c r="E558" s="57"/>
      <c r="F558" s="57"/>
    </row>
    <row r="559">
      <c r="C559" s="57"/>
      <c r="D559" s="57"/>
      <c r="E559" s="57"/>
      <c r="F559" s="57"/>
    </row>
    <row r="560">
      <c r="C560" s="57"/>
      <c r="D560" s="57"/>
      <c r="E560" s="57"/>
      <c r="F560" s="57"/>
    </row>
    <row r="561">
      <c r="C561" s="57"/>
      <c r="D561" s="57"/>
      <c r="E561" s="57"/>
      <c r="F561" s="57"/>
    </row>
    <row r="562">
      <c r="C562" s="57"/>
      <c r="D562" s="57"/>
      <c r="E562" s="57"/>
      <c r="F562" s="57"/>
    </row>
    <row r="563">
      <c r="C563" s="57"/>
      <c r="D563" s="57"/>
      <c r="E563" s="57"/>
      <c r="F563" s="57"/>
    </row>
    <row r="564">
      <c r="C564" s="57"/>
      <c r="D564" s="57"/>
      <c r="E564" s="57"/>
      <c r="F564" s="57"/>
    </row>
    <row r="565">
      <c r="C565" s="57"/>
      <c r="D565" s="57"/>
      <c r="E565" s="57"/>
      <c r="F565" s="57"/>
    </row>
    <row r="566">
      <c r="C566" s="57"/>
      <c r="D566" s="57"/>
      <c r="E566" s="57"/>
      <c r="F566" s="57"/>
    </row>
    <row r="567">
      <c r="C567" s="57"/>
      <c r="D567" s="57"/>
      <c r="E567" s="57"/>
      <c r="F567" s="57"/>
    </row>
    <row r="568">
      <c r="C568" s="57"/>
      <c r="D568" s="57"/>
      <c r="E568" s="57"/>
      <c r="F568" s="57"/>
    </row>
    <row r="569">
      <c r="C569" s="57"/>
      <c r="D569" s="57"/>
      <c r="E569" s="57"/>
      <c r="F569" s="57"/>
    </row>
    <row r="570">
      <c r="C570" s="57"/>
      <c r="D570" s="57"/>
      <c r="E570" s="57"/>
      <c r="F570" s="57"/>
    </row>
    <row r="571">
      <c r="C571" s="57"/>
      <c r="D571" s="57"/>
      <c r="E571" s="57"/>
      <c r="F571" s="57"/>
    </row>
    <row r="572">
      <c r="C572" s="57"/>
      <c r="D572" s="57"/>
      <c r="E572" s="57"/>
      <c r="F572" s="57"/>
    </row>
    <row r="573">
      <c r="C573" s="57"/>
      <c r="D573" s="57"/>
      <c r="E573" s="57"/>
      <c r="F573" s="57"/>
    </row>
    <row r="574">
      <c r="C574" s="57"/>
      <c r="D574" s="57"/>
      <c r="E574" s="57"/>
      <c r="F574" s="57"/>
    </row>
    <row r="575">
      <c r="C575" s="57"/>
      <c r="D575" s="57"/>
      <c r="E575" s="57"/>
      <c r="F575" s="57"/>
    </row>
    <row r="576">
      <c r="C576" s="57"/>
      <c r="D576" s="57"/>
      <c r="E576" s="57"/>
      <c r="F576" s="57"/>
    </row>
    <row r="577">
      <c r="C577" s="57"/>
      <c r="D577" s="57"/>
      <c r="E577" s="57"/>
      <c r="F577" s="57"/>
    </row>
    <row r="578">
      <c r="C578" s="57"/>
      <c r="D578" s="57"/>
      <c r="E578" s="57"/>
      <c r="F578" s="57"/>
    </row>
    <row r="579">
      <c r="C579" s="57"/>
      <c r="D579" s="57"/>
      <c r="E579" s="57"/>
      <c r="F579" s="57"/>
    </row>
    <row r="580">
      <c r="C580" s="57"/>
      <c r="D580" s="57"/>
      <c r="E580" s="57"/>
      <c r="F580" s="57"/>
    </row>
    <row r="581">
      <c r="C581" s="57"/>
      <c r="D581" s="57"/>
      <c r="E581" s="57"/>
      <c r="F581" s="57"/>
    </row>
    <row r="582">
      <c r="C582" s="57"/>
      <c r="D582" s="57"/>
      <c r="E582" s="57"/>
      <c r="F582" s="57"/>
    </row>
    <row r="583">
      <c r="C583" s="57"/>
      <c r="D583" s="57"/>
      <c r="E583" s="57"/>
      <c r="F583" s="57"/>
    </row>
    <row r="584">
      <c r="C584" s="57"/>
      <c r="D584" s="57"/>
      <c r="E584" s="57"/>
      <c r="F584" s="57"/>
    </row>
    <row r="585">
      <c r="C585" s="57"/>
      <c r="D585" s="57"/>
      <c r="E585" s="57"/>
      <c r="F585" s="57"/>
    </row>
    <row r="586">
      <c r="C586" s="57"/>
      <c r="D586" s="57"/>
      <c r="E586" s="57"/>
      <c r="F586" s="57"/>
    </row>
    <row r="587">
      <c r="C587" s="57"/>
      <c r="D587" s="57"/>
      <c r="E587" s="57"/>
      <c r="F587" s="57"/>
    </row>
    <row r="588">
      <c r="C588" s="57"/>
      <c r="D588" s="57"/>
      <c r="E588" s="57"/>
      <c r="F588" s="57"/>
    </row>
    <row r="589">
      <c r="C589" s="57"/>
      <c r="D589" s="57"/>
      <c r="E589" s="57"/>
      <c r="F589" s="57"/>
    </row>
    <row r="590">
      <c r="C590" s="57"/>
      <c r="D590" s="57"/>
      <c r="E590" s="57"/>
      <c r="F590" s="57"/>
    </row>
    <row r="591">
      <c r="C591" s="57"/>
      <c r="D591" s="57"/>
      <c r="E591" s="57"/>
      <c r="F591" s="57"/>
    </row>
    <row r="592">
      <c r="C592" s="57"/>
      <c r="D592" s="57"/>
      <c r="E592" s="57"/>
      <c r="F592" s="57"/>
    </row>
    <row r="593">
      <c r="C593" s="57"/>
      <c r="D593" s="57"/>
      <c r="E593" s="57"/>
      <c r="F593" s="57"/>
    </row>
    <row r="594">
      <c r="C594" s="57"/>
      <c r="D594" s="57"/>
      <c r="E594" s="57"/>
      <c r="F594" s="57"/>
    </row>
    <row r="595">
      <c r="C595" s="57"/>
      <c r="D595" s="57"/>
      <c r="E595" s="57"/>
      <c r="F595" s="57"/>
    </row>
    <row r="596">
      <c r="C596" s="57"/>
      <c r="D596" s="57"/>
      <c r="E596" s="57"/>
      <c r="F596" s="57"/>
    </row>
    <row r="597">
      <c r="C597" s="57"/>
      <c r="D597" s="57"/>
      <c r="E597" s="57"/>
      <c r="F597" s="57"/>
    </row>
    <row r="598">
      <c r="C598" s="57"/>
      <c r="D598" s="57"/>
      <c r="E598" s="57"/>
      <c r="F598" s="57"/>
    </row>
    <row r="599">
      <c r="C599" s="57"/>
      <c r="D599" s="57"/>
      <c r="E599" s="57"/>
      <c r="F599" s="57"/>
    </row>
    <row r="600">
      <c r="C600" s="57"/>
      <c r="D600" s="57"/>
      <c r="E600" s="57"/>
      <c r="F600" s="57"/>
    </row>
    <row r="601">
      <c r="C601" s="57"/>
      <c r="D601" s="57"/>
      <c r="E601" s="57"/>
      <c r="F601" s="57"/>
    </row>
    <row r="602">
      <c r="C602" s="57"/>
      <c r="D602" s="57"/>
      <c r="E602" s="57"/>
      <c r="F602" s="57"/>
    </row>
    <row r="603">
      <c r="C603" s="57"/>
      <c r="D603" s="57"/>
      <c r="E603" s="57"/>
      <c r="F603" s="57"/>
    </row>
    <row r="604">
      <c r="C604" s="57"/>
      <c r="D604" s="57"/>
      <c r="E604" s="57"/>
      <c r="F604" s="57"/>
    </row>
    <row r="605">
      <c r="C605" s="57"/>
      <c r="D605" s="57"/>
      <c r="E605" s="57"/>
      <c r="F605" s="57"/>
    </row>
    <row r="606">
      <c r="C606" s="57"/>
      <c r="D606" s="57"/>
      <c r="E606" s="57"/>
      <c r="F606" s="57"/>
    </row>
    <row r="607">
      <c r="C607" s="57"/>
      <c r="D607" s="57"/>
      <c r="E607" s="57"/>
      <c r="F607" s="57"/>
    </row>
    <row r="608">
      <c r="C608" s="57"/>
      <c r="D608" s="57"/>
      <c r="E608" s="57"/>
      <c r="F608" s="57"/>
    </row>
    <row r="609">
      <c r="C609" s="57"/>
      <c r="D609" s="57"/>
      <c r="E609" s="57"/>
      <c r="F609" s="57"/>
    </row>
    <row r="610">
      <c r="C610" s="57"/>
      <c r="D610" s="57"/>
      <c r="E610" s="57"/>
      <c r="F610" s="57"/>
    </row>
    <row r="611">
      <c r="C611" s="57"/>
      <c r="D611" s="57"/>
      <c r="E611" s="57"/>
      <c r="F611" s="57"/>
    </row>
    <row r="612">
      <c r="C612" s="57"/>
      <c r="D612" s="57"/>
      <c r="E612" s="57"/>
      <c r="F612" s="57"/>
    </row>
    <row r="613">
      <c r="C613" s="57"/>
      <c r="D613" s="57"/>
      <c r="E613" s="57"/>
      <c r="F613" s="57"/>
    </row>
    <row r="614">
      <c r="C614" s="57"/>
      <c r="D614" s="57"/>
      <c r="E614" s="57"/>
      <c r="F614" s="57"/>
    </row>
    <row r="615">
      <c r="C615" s="57"/>
      <c r="D615" s="57"/>
      <c r="E615" s="57"/>
      <c r="F615" s="57"/>
    </row>
    <row r="616">
      <c r="C616" s="57"/>
      <c r="D616" s="57"/>
      <c r="E616" s="57"/>
      <c r="F616" s="57"/>
    </row>
    <row r="617">
      <c r="C617" s="57"/>
      <c r="D617" s="57"/>
      <c r="E617" s="57"/>
      <c r="F617" s="57"/>
    </row>
    <row r="618">
      <c r="C618" s="57"/>
      <c r="D618" s="57"/>
      <c r="E618" s="57"/>
      <c r="F618" s="57"/>
    </row>
    <row r="619">
      <c r="C619" s="57"/>
      <c r="D619" s="57"/>
      <c r="E619" s="57"/>
      <c r="F619" s="57"/>
    </row>
    <row r="620">
      <c r="C620" s="57"/>
      <c r="D620" s="57"/>
      <c r="E620" s="57"/>
      <c r="F620" s="57"/>
    </row>
    <row r="621">
      <c r="C621" s="57"/>
      <c r="D621" s="57"/>
      <c r="E621" s="57"/>
      <c r="F621" s="57"/>
    </row>
    <row r="622">
      <c r="C622" s="57"/>
      <c r="D622" s="57"/>
      <c r="E622" s="57"/>
      <c r="F622" s="57"/>
    </row>
    <row r="623">
      <c r="C623" s="57"/>
      <c r="D623" s="57"/>
      <c r="E623" s="57"/>
      <c r="F623" s="57"/>
    </row>
    <row r="624">
      <c r="C624" s="57"/>
      <c r="D624" s="57"/>
      <c r="E624" s="57"/>
      <c r="F624" s="57"/>
    </row>
    <row r="625">
      <c r="C625" s="57"/>
      <c r="D625" s="57"/>
      <c r="E625" s="57"/>
      <c r="F625" s="57"/>
    </row>
    <row r="626">
      <c r="C626" s="57"/>
      <c r="D626" s="57"/>
      <c r="E626" s="57"/>
      <c r="F626" s="57"/>
    </row>
    <row r="627">
      <c r="C627" s="57"/>
      <c r="D627" s="57"/>
      <c r="E627" s="57"/>
      <c r="F627" s="57"/>
    </row>
    <row r="628">
      <c r="C628" s="57"/>
      <c r="D628" s="57"/>
      <c r="E628" s="57"/>
      <c r="F628" s="57"/>
    </row>
    <row r="629">
      <c r="C629" s="57"/>
      <c r="D629" s="57"/>
      <c r="E629" s="57"/>
      <c r="F629" s="57"/>
    </row>
    <row r="630">
      <c r="C630" s="57"/>
      <c r="D630" s="57"/>
      <c r="E630" s="57"/>
      <c r="F630" s="57"/>
    </row>
    <row r="631">
      <c r="C631" s="57"/>
      <c r="D631" s="57"/>
      <c r="E631" s="57"/>
      <c r="F631" s="57"/>
    </row>
    <row r="632">
      <c r="C632" s="57"/>
      <c r="D632" s="57"/>
      <c r="E632" s="57"/>
      <c r="F632" s="57"/>
    </row>
    <row r="633">
      <c r="C633" s="57"/>
      <c r="D633" s="57"/>
      <c r="E633" s="57"/>
      <c r="F633" s="57"/>
    </row>
    <row r="634">
      <c r="C634" s="57"/>
      <c r="D634" s="57"/>
      <c r="E634" s="57"/>
      <c r="F634" s="57"/>
    </row>
    <row r="635">
      <c r="C635" s="57"/>
      <c r="D635" s="57"/>
      <c r="E635" s="57"/>
      <c r="F635" s="57"/>
    </row>
    <row r="636">
      <c r="C636" s="57"/>
      <c r="D636" s="57"/>
      <c r="E636" s="57"/>
      <c r="F636" s="57"/>
    </row>
    <row r="637">
      <c r="C637" s="57"/>
      <c r="D637" s="57"/>
      <c r="E637" s="57"/>
      <c r="F637" s="57"/>
    </row>
    <row r="638">
      <c r="C638" s="57"/>
      <c r="D638" s="57"/>
      <c r="E638" s="57"/>
      <c r="F638" s="57"/>
    </row>
    <row r="639">
      <c r="C639" s="57"/>
      <c r="D639" s="57"/>
      <c r="E639" s="57"/>
      <c r="F639" s="57"/>
    </row>
    <row r="640">
      <c r="C640" s="57"/>
      <c r="D640" s="57"/>
      <c r="E640" s="57"/>
      <c r="F640" s="57"/>
    </row>
    <row r="641">
      <c r="C641" s="57"/>
      <c r="D641" s="57"/>
      <c r="E641" s="57"/>
      <c r="F641" s="57"/>
    </row>
    <row r="642">
      <c r="C642" s="57"/>
      <c r="D642" s="57"/>
      <c r="E642" s="57"/>
      <c r="F642" s="57"/>
    </row>
    <row r="643">
      <c r="C643" s="57"/>
      <c r="D643" s="57"/>
      <c r="E643" s="57"/>
      <c r="F643" s="57"/>
    </row>
    <row r="644">
      <c r="C644" s="57"/>
      <c r="D644" s="57"/>
      <c r="E644" s="57"/>
      <c r="F644" s="57"/>
    </row>
    <row r="645">
      <c r="C645" s="57"/>
      <c r="D645" s="57"/>
      <c r="E645" s="57"/>
      <c r="F645" s="57"/>
    </row>
    <row r="646">
      <c r="C646" s="57"/>
      <c r="D646" s="57"/>
      <c r="E646" s="57"/>
      <c r="F646" s="57"/>
    </row>
    <row r="647">
      <c r="C647" s="57"/>
      <c r="D647" s="57"/>
      <c r="E647" s="57"/>
      <c r="F647" s="57"/>
    </row>
    <row r="648">
      <c r="C648" s="57"/>
      <c r="D648" s="57"/>
      <c r="E648" s="57"/>
      <c r="F648" s="57"/>
    </row>
    <row r="649">
      <c r="C649" s="57"/>
      <c r="D649" s="57"/>
      <c r="E649" s="57"/>
      <c r="F649" s="57"/>
    </row>
    <row r="650">
      <c r="C650" s="57"/>
      <c r="D650" s="57"/>
      <c r="E650" s="57"/>
      <c r="F650" s="57"/>
    </row>
    <row r="651">
      <c r="C651" s="57"/>
      <c r="D651" s="57"/>
      <c r="E651" s="57"/>
      <c r="F651" s="57"/>
    </row>
    <row r="652">
      <c r="C652" s="57"/>
      <c r="D652" s="57"/>
      <c r="E652" s="57"/>
      <c r="F652" s="57"/>
    </row>
    <row r="653">
      <c r="C653" s="57"/>
      <c r="D653" s="57"/>
      <c r="E653" s="57"/>
      <c r="F653" s="57"/>
    </row>
    <row r="654">
      <c r="C654" s="57"/>
      <c r="D654" s="57"/>
      <c r="E654" s="57"/>
      <c r="F654" s="57"/>
    </row>
    <row r="655">
      <c r="C655" s="57"/>
      <c r="D655" s="57"/>
      <c r="E655" s="57"/>
      <c r="F655" s="57"/>
    </row>
    <row r="656">
      <c r="C656" s="57"/>
      <c r="D656" s="57"/>
      <c r="E656" s="57"/>
      <c r="F656" s="57"/>
    </row>
    <row r="657">
      <c r="C657" s="57"/>
      <c r="D657" s="57"/>
      <c r="E657" s="57"/>
      <c r="F657" s="57"/>
    </row>
    <row r="658">
      <c r="C658" s="57"/>
      <c r="D658" s="57"/>
      <c r="E658" s="57"/>
      <c r="F658" s="57"/>
    </row>
    <row r="659">
      <c r="C659" s="57"/>
      <c r="D659" s="57"/>
      <c r="E659" s="57"/>
      <c r="F659" s="57"/>
    </row>
    <row r="660">
      <c r="C660" s="57"/>
      <c r="D660" s="57"/>
      <c r="E660" s="57"/>
      <c r="F660" s="57"/>
    </row>
    <row r="661">
      <c r="C661" s="57"/>
      <c r="D661" s="57"/>
      <c r="E661" s="57"/>
      <c r="F661" s="57"/>
    </row>
    <row r="662">
      <c r="C662" s="57"/>
      <c r="D662" s="57"/>
      <c r="E662" s="57"/>
      <c r="F662" s="57"/>
    </row>
    <row r="663">
      <c r="C663" s="57"/>
      <c r="D663" s="57"/>
      <c r="E663" s="57"/>
      <c r="F663" s="57"/>
    </row>
    <row r="664">
      <c r="C664" s="57"/>
      <c r="D664" s="57"/>
      <c r="E664" s="57"/>
      <c r="F664" s="57"/>
    </row>
    <row r="665">
      <c r="C665" s="57"/>
      <c r="D665" s="57"/>
      <c r="E665" s="57"/>
      <c r="F665" s="57"/>
    </row>
    <row r="666">
      <c r="C666" s="57"/>
      <c r="D666" s="57"/>
      <c r="E666" s="57"/>
      <c r="F666" s="57"/>
    </row>
    <row r="667">
      <c r="C667" s="57"/>
      <c r="D667" s="57"/>
      <c r="E667" s="57"/>
      <c r="F667" s="57"/>
    </row>
    <row r="668">
      <c r="C668" s="57"/>
      <c r="D668" s="57"/>
      <c r="E668" s="57"/>
      <c r="F668" s="57"/>
    </row>
    <row r="669">
      <c r="C669" s="57"/>
      <c r="D669" s="57"/>
      <c r="E669" s="57"/>
      <c r="F669" s="57"/>
    </row>
    <row r="670">
      <c r="C670" s="57"/>
      <c r="D670" s="57"/>
      <c r="E670" s="57"/>
      <c r="F670" s="57"/>
    </row>
    <row r="671">
      <c r="C671" s="57"/>
      <c r="D671" s="57"/>
      <c r="E671" s="57"/>
      <c r="F671" s="57"/>
    </row>
    <row r="672">
      <c r="C672" s="57"/>
      <c r="D672" s="57"/>
      <c r="E672" s="57"/>
      <c r="F672" s="57"/>
    </row>
    <row r="673">
      <c r="C673" s="57"/>
      <c r="D673" s="57"/>
      <c r="E673" s="57"/>
      <c r="F673" s="57"/>
    </row>
    <row r="674">
      <c r="C674" s="57"/>
      <c r="D674" s="57"/>
      <c r="E674" s="57"/>
      <c r="F674" s="57"/>
    </row>
    <row r="675">
      <c r="C675" s="57"/>
      <c r="D675" s="57"/>
      <c r="E675" s="57"/>
      <c r="F675" s="57"/>
    </row>
    <row r="676">
      <c r="C676" s="57"/>
      <c r="D676" s="57"/>
      <c r="E676" s="57"/>
      <c r="F676" s="57"/>
    </row>
    <row r="677">
      <c r="C677" s="57"/>
      <c r="D677" s="57"/>
      <c r="E677" s="57"/>
      <c r="F677" s="57"/>
    </row>
    <row r="678">
      <c r="C678" s="57"/>
      <c r="D678" s="57"/>
      <c r="E678" s="57"/>
      <c r="F678" s="57"/>
    </row>
    <row r="679">
      <c r="C679" s="57"/>
      <c r="D679" s="57"/>
      <c r="E679" s="57"/>
      <c r="F679" s="57"/>
    </row>
    <row r="680">
      <c r="C680" s="57"/>
      <c r="D680" s="57"/>
      <c r="E680" s="57"/>
      <c r="F680" s="57"/>
    </row>
    <row r="681">
      <c r="C681" s="57"/>
      <c r="D681" s="57"/>
      <c r="E681" s="57"/>
      <c r="F681" s="57"/>
    </row>
    <row r="682">
      <c r="C682" s="57"/>
      <c r="D682" s="57"/>
      <c r="E682" s="57"/>
      <c r="F682" s="57"/>
    </row>
    <row r="683">
      <c r="C683" s="57"/>
      <c r="D683" s="57"/>
      <c r="E683" s="57"/>
      <c r="F683" s="57"/>
    </row>
    <row r="684">
      <c r="C684" s="57"/>
      <c r="D684" s="57"/>
      <c r="E684" s="57"/>
      <c r="F684" s="57"/>
    </row>
    <row r="685">
      <c r="C685" s="57"/>
      <c r="D685" s="57"/>
      <c r="E685" s="57"/>
      <c r="F685" s="57"/>
    </row>
    <row r="686">
      <c r="C686" s="57"/>
      <c r="D686" s="57"/>
      <c r="E686" s="57"/>
      <c r="F686" s="57"/>
    </row>
    <row r="687">
      <c r="C687" s="57"/>
      <c r="D687" s="57"/>
      <c r="E687" s="57"/>
      <c r="F687" s="57"/>
    </row>
    <row r="688">
      <c r="C688" s="57"/>
      <c r="D688" s="57"/>
      <c r="E688" s="57"/>
      <c r="F688" s="57"/>
    </row>
    <row r="689">
      <c r="C689" s="57"/>
      <c r="D689" s="57"/>
      <c r="E689" s="57"/>
      <c r="F689" s="57"/>
    </row>
    <row r="690">
      <c r="C690" s="57"/>
      <c r="D690" s="57"/>
      <c r="E690" s="57"/>
      <c r="F690" s="57"/>
    </row>
    <row r="691">
      <c r="C691" s="57"/>
      <c r="D691" s="57"/>
      <c r="E691" s="57"/>
      <c r="F691" s="57"/>
    </row>
    <row r="692">
      <c r="C692" s="57"/>
      <c r="D692" s="57"/>
      <c r="E692" s="57"/>
      <c r="F692" s="57"/>
    </row>
    <row r="693">
      <c r="C693" s="57"/>
      <c r="D693" s="57"/>
      <c r="E693" s="57"/>
      <c r="F693" s="57"/>
    </row>
    <row r="694">
      <c r="C694" s="57"/>
      <c r="D694" s="57"/>
      <c r="E694" s="57"/>
      <c r="F694" s="57"/>
    </row>
    <row r="695">
      <c r="C695" s="57"/>
      <c r="D695" s="57"/>
      <c r="E695" s="57"/>
      <c r="F695" s="57"/>
    </row>
    <row r="696">
      <c r="C696" s="57"/>
      <c r="D696" s="57"/>
      <c r="E696" s="57"/>
      <c r="F696" s="57"/>
    </row>
    <row r="697">
      <c r="C697" s="57"/>
      <c r="D697" s="57"/>
      <c r="E697" s="57"/>
      <c r="F697" s="57"/>
    </row>
    <row r="698">
      <c r="C698" s="57"/>
      <c r="D698" s="57"/>
      <c r="E698" s="57"/>
      <c r="F698" s="57"/>
    </row>
    <row r="699">
      <c r="C699" s="57"/>
      <c r="D699" s="57"/>
      <c r="E699" s="57"/>
      <c r="F699" s="57"/>
    </row>
    <row r="700">
      <c r="C700" s="57"/>
      <c r="D700" s="57"/>
      <c r="E700" s="57"/>
      <c r="F700" s="57"/>
    </row>
    <row r="701">
      <c r="C701" s="57"/>
      <c r="D701" s="57"/>
      <c r="E701" s="57"/>
      <c r="F701" s="57"/>
    </row>
    <row r="702">
      <c r="C702" s="57"/>
      <c r="D702" s="57"/>
      <c r="E702" s="57"/>
      <c r="F702" s="57"/>
    </row>
    <row r="703">
      <c r="C703" s="57"/>
      <c r="D703" s="57"/>
      <c r="E703" s="57"/>
      <c r="F703" s="57"/>
    </row>
    <row r="704">
      <c r="C704" s="57"/>
      <c r="D704" s="57"/>
      <c r="E704" s="57"/>
      <c r="F704" s="57"/>
    </row>
    <row r="705">
      <c r="C705" s="57"/>
      <c r="D705" s="57"/>
      <c r="E705" s="57"/>
      <c r="F705" s="57"/>
    </row>
    <row r="706">
      <c r="C706" s="57"/>
      <c r="D706" s="57"/>
      <c r="E706" s="57"/>
      <c r="F706" s="57"/>
    </row>
    <row r="707">
      <c r="C707" s="57"/>
      <c r="D707" s="57"/>
      <c r="E707" s="57"/>
      <c r="F707" s="57"/>
    </row>
    <row r="708">
      <c r="C708" s="57"/>
      <c r="D708" s="57"/>
      <c r="E708" s="57"/>
      <c r="F708" s="57"/>
    </row>
    <row r="709">
      <c r="C709" s="57"/>
      <c r="D709" s="57"/>
      <c r="E709" s="57"/>
      <c r="F709" s="57"/>
    </row>
    <row r="710">
      <c r="C710" s="57"/>
      <c r="D710" s="57"/>
      <c r="E710" s="57"/>
      <c r="F710" s="57"/>
    </row>
    <row r="711">
      <c r="C711" s="57"/>
      <c r="D711" s="57"/>
      <c r="E711" s="57"/>
      <c r="F711" s="57"/>
    </row>
    <row r="712">
      <c r="C712" s="57"/>
      <c r="D712" s="57"/>
      <c r="E712" s="57"/>
      <c r="F712" s="57"/>
    </row>
    <row r="713">
      <c r="C713" s="57"/>
      <c r="D713" s="57"/>
      <c r="E713" s="57"/>
      <c r="F713" s="57"/>
    </row>
    <row r="714">
      <c r="C714" s="57"/>
      <c r="D714" s="57"/>
      <c r="E714" s="57"/>
      <c r="F714" s="57"/>
    </row>
    <row r="715">
      <c r="C715" s="57"/>
      <c r="D715" s="57"/>
      <c r="E715" s="57"/>
      <c r="F715" s="57"/>
    </row>
    <row r="716">
      <c r="C716" s="57"/>
      <c r="D716" s="57"/>
      <c r="E716" s="57"/>
      <c r="F716" s="57"/>
    </row>
    <row r="717">
      <c r="C717" s="57"/>
      <c r="D717" s="57"/>
      <c r="E717" s="57"/>
      <c r="F717" s="57"/>
    </row>
    <row r="718">
      <c r="C718" s="57"/>
      <c r="D718" s="57"/>
      <c r="E718" s="57"/>
      <c r="F718" s="57"/>
    </row>
    <row r="719">
      <c r="C719" s="57"/>
      <c r="D719" s="57"/>
      <c r="E719" s="57"/>
      <c r="F719" s="57"/>
    </row>
    <row r="720">
      <c r="C720" s="57"/>
      <c r="D720" s="57"/>
      <c r="E720" s="57"/>
      <c r="F720" s="57"/>
    </row>
    <row r="721">
      <c r="C721" s="57"/>
      <c r="D721" s="57"/>
      <c r="E721" s="57"/>
      <c r="F721" s="57"/>
    </row>
    <row r="722">
      <c r="C722" s="57"/>
      <c r="D722" s="57"/>
      <c r="E722" s="57"/>
      <c r="F722" s="57"/>
    </row>
    <row r="723">
      <c r="C723" s="57"/>
      <c r="D723" s="57"/>
      <c r="E723" s="57"/>
      <c r="F723" s="57"/>
    </row>
    <row r="724">
      <c r="C724" s="57"/>
      <c r="D724" s="57"/>
      <c r="E724" s="57"/>
      <c r="F724" s="57"/>
    </row>
    <row r="725">
      <c r="C725" s="57"/>
      <c r="D725" s="57"/>
      <c r="E725" s="57"/>
      <c r="F725" s="57"/>
    </row>
    <row r="726">
      <c r="C726" s="57"/>
      <c r="D726" s="57"/>
      <c r="E726" s="57"/>
      <c r="F726" s="57"/>
    </row>
    <row r="727">
      <c r="C727" s="57"/>
      <c r="D727" s="57"/>
      <c r="E727" s="57"/>
      <c r="F727" s="57"/>
    </row>
    <row r="728">
      <c r="C728" s="57"/>
      <c r="D728" s="57"/>
      <c r="E728" s="57"/>
      <c r="F728" s="57"/>
    </row>
    <row r="729">
      <c r="C729" s="57"/>
      <c r="D729" s="57"/>
      <c r="E729" s="57"/>
      <c r="F729" s="57"/>
    </row>
    <row r="730">
      <c r="C730" s="57"/>
      <c r="D730" s="57"/>
      <c r="E730" s="57"/>
      <c r="F730" s="57"/>
    </row>
    <row r="731">
      <c r="C731" s="57"/>
      <c r="D731" s="57"/>
      <c r="E731" s="57"/>
      <c r="F731" s="57"/>
    </row>
    <row r="732">
      <c r="C732" s="57"/>
      <c r="D732" s="57"/>
      <c r="E732" s="57"/>
      <c r="F732" s="57"/>
    </row>
    <row r="733">
      <c r="C733" s="57"/>
      <c r="D733" s="57"/>
      <c r="E733" s="57"/>
      <c r="F733" s="57"/>
    </row>
    <row r="734">
      <c r="C734" s="57"/>
      <c r="D734" s="57"/>
      <c r="E734" s="57"/>
      <c r="F734" s="57"/>
    </row>
    <row r="735">
      <c r="C735" s="57"/>
      <c r="D735" s="57"/>
      <c r="E735" s="57"/>
      <c r="F735" s="57"/>
    </row>
    <row r="736">
      <c r="C736" s="57"/>
      <c r="D736" s="57"/>
      <c r="E736" s="57"/>
      <c r="F736" s="57"/>
    </row>
    <row r="737">
      <c r="C737" s="57"/>
      <c r="D737" s="57"/>
      <c r="E737" s="57"/>
      <c r="F737" s="57"/>
    </row>
    <row r="738">
      <c r="C738" s="57"/>
      <c r="D738" s="57"/>
      <c r="E738" s="57"/>
      <c r="F738" s="57"/>
    </row>
    <row r="739">
      <c r="C739" s="57"/>
      <c r="D739" s="57"/>
      <c r="E739" s="57"/>
      <c r="F739" s="57"/>
    </row>
    <row r="740">
      <c r="C740" s="57"/>
      <c r="D740" s="57"/>
      <c r="E740" s="57"/>
      <c r="F740" s="57"/>
    </row>
    <row r="741">
      <c r="C741" s="57"/>
      <c r="D741" s="57"/>
      <c r="E741" s="57"/>
      <c r="F741" s="57"/>
    </row>
    <row r="742">
      <c r="C742" s="57"/>
      <c r="D742" s="57"/>
      <c r="E742" s="57"/>
      <c r="F742" s="57"/>
    </row>
    <row r="743">
      <c r="C743" s="57"/>
      <c r="D743" s="57"/>
      <c r="E743" s="57"/>
      <c r="F743" s="57"/>
    </row>
    <row r="744">
      <c r="C744" s="57"/>
      <c r="D744" s="57"/>
      <c r="E744" s="57"/>
      <c r="F744" s="57"/>
    </row>
    <row r="745">
      <c r="C745" s="57"/>
      <c r="D745" s="57"/>
      <c r="E745" s="57"/>
      <c r="F745" s="57"/>
    </row>
    <row r="746">
      <c r="C746" s="57"/>
      <c r="D746" s="57"/>
      <c r="E746" s="57"/>
      <c r="F746" s="57"/>
    </row>
    <row r="747">
      <c r="C747" s="57"/>
      <c r="D747" s="57"/>
      <c r="E747" s="57"/>
      <c r="F747" s="57"/>
    </row>
    <row r="748">
      <c r="C748" s="57"/>
      <c r="D748" s="57"/>
      <c r="E748" s="57"/>
      <c r="F748" s="57"/>
    </row>
    <row r="749">
      <c r="C749" s="57"/>
      <c r="D749" s="57"/>
      <c r="E749" s="57"/>
      <c r="F749" s="57"/>
    </row>
    <row r="750">
      <c r="C750" s="57"/>
      <c r="D750" s="57"/>
      <c r="E750" s="57"/>
      <c r="F750" s="57"/>
    </row>
    <row r="751">
      <c r="C751" s="57"/>
      <c r="D751" s="57"/>
      <c r="E751" s="57"/>
      <c r="F751" s="57"/>
    </row>
    <row r="752">
      <c r="C752" s="57"/>
      <c r="D752" s="57"/>
      <c r="E752" s="57"/>
      <c r="F752" s="57"/>
    </row>
    <row r="753">
      <c r="C753" s="57"/>
      <c r="D753" s="57"/>
      <c r="E753" s="57"/>
      <c r="F753" s="57"/>
    </row>
    <row r="754">
      <c r="C754" s="57"/>
      <c r="D754" s="57"/>
      <c r="E754" s="57"/>
      <c r="F754" s="57"/>
    </row>
    <row r="755">
      <c r="C755" s="57"/>
      <c r="D755" s="57"/>
      <c r="E755" s="57"/>
      <c r="F755" s="57"/>
    </row>
    <row r="756">
      <c r="C756" s="57"/>
      <c r="D756" s="57"/>
      <c r="E756" s="57"/>
      <c r="F756" s="57"/>
    </row>
    <row r="757">
      <c r="C757" s="57"/>
      <c r="D757" s="57"/>
      <c r="E757" s="57"/>
      <c r="F757" s="57"/>
    </row>
    <row r="758">
      <c r="C758" s="57"/>
      <c r="D758" s="57"/>
      <c r="E758" s="57"/>
      <c r="F758" s="57"/>
    </row>
    <row r="759">
      <c r="C759" s="57"/>
      <c r="D759" s="57"/>
      <c r="E759" s="57"/>
      <c r="F759" s="57"/>
    </row>
    <row r="760">
      <c r="C760" s="57"/>
      <c r="D760" s="57"/>
      <c r="E760" s="57"/>
      <c r="F760" s="57"/>
    </row>
    <row r="761">
      <c r="C761" s="57"/>
      <c r="D761" s="57"/>
      <c r="E761" s="57"/>
      <c r="F761" s="57"/>
    </row>
    <row r="762">
      <c r="C762" s="57"/>
      <c r="D762" s="57"/>
      <c r="E762" s="57"/>
      <c r="F762" s="57"/>
    </row>
    <row r="763">
      <c r="C763" s="57"/>
      <c r="D763" s="57"/>
      <c r="E763" s="57"/>
      <c r="F763" s="57"/>
    </row>
    <row r="764">
      <c r="C764" s="57"/>
      <c r="D764" s="57"/>
      <c r="E764" s="57"/>
      <c r="F764" s="57"/>
    </row>
    <row r="765">
      <c r="C765" s="57"/>
      <c r="D765" s="57"/>
      <c r="E765" s="57"/>
      <c r="F765" s="57"/>
    </row>
    <row r="766">
      <c r="C766" s="57"/>
      <c r="D766" s="57"/>
      <c r="E766" s="57"/>
      <c r="F766" s="57"/>
    </row>
    <row r="767">
      <c r="C767" s="57"/>
      <c r="D767" s="57"/>
      <c r="E767" s="57"/>
      <c r="F767" s="57"/>
    </row>
    <row r="768">
      <c r="C768" s="57"/>
      <c r="D768" s="57"/>
      <c r="E768" s="57"/>
      <c r="F768" s="57"/>
    </row>
    <row r="769">
      <c r="C769" s="57"/>
      <c r="D769" s="57"/>
      <c r="E769" s="57"/>
      <c r="F769" s="57"/>
    </row>
    <row r="770">
      <c r="C770" s="57"/>
      <c r="D770" s="57"/>
      <c r="E770" s="57"/>
      <c r="F770" s="57"/>
    </row>
    <row r="771">
      <c r="C771" s="57"/>
      <c r="D771" s="57"/>
      <c r="E771" s="57"/>
      <c r="F771" s="57"/>
    </row>
    <row r="772">
      <c r="C772" s="57"/>
      <c r="D772" s="57"/>
      <c r="E772" s="57"/>
      <c r="F772" s="57"/>
    </row>
    <row r="773">
      <c r="C773" s="57"/>
      <c r="D773" s="57"/>
      <c r="E773" s="57"/>
      <c r="F773" s="57"/>
    </row>
    <row r="774">
      <c r="C774" s="57"/>
      <c r="D774" s="57"/>
      <c r="E774" s="57"/>
      <c r="F774" s="57"/>
    </row>
    <row r="775">
      <c r="C775" s="57"/>
      <c r="D775" s="57"/>
      <c r="E775" s="57"/>
      <c r="F775" s="57"/>
    </row>
    <row r="776">
      <c r="C776" s="57"/>
      <c r="D776" s="57"/>
      <c r="E776" s="57"/>
      <c r="F776" s="57"/>
    </row>
    <row r="777">
      <c r="C777" s="57"/>
      <c r="D777" s="57"/>
      <c r="E777" s="57"/>
      <c r="F777" s="57"/>
    </row>
    <row r="778">
      <c r="C778" s="57"/>
      <c r="D778" s="57"/>
      <c r="E778" s="57"/>
      <c r="F778" s="57"/>
    </row>
    <row r="779">
      <c r="C779" s="57"/>
      <c r="D779" s="57"/>
      <c r="E779" s="57"/>
      <c r="F779" s="57"/>
    </row>
    <row r="780">
      <c r="C780" s="57"/>
      <c r="D780" s="57"/>
      <c r="E780" s="57"/>
      <c r="F780" s="57"/>
    </row>
    <row r="781">
      <c r="C781" s="57"/>
      <c r="D781" s="57"/>
      <c r="E781" s="57"/>
      <c r="F781" s="57"/>
    </row>
    <row r="782">
      <c r="C782" s="57"/>
      <c r="D782" s="57"/>
      <c r="E782" s="57"/>
      <c r="F782" s="57"/>
    </row>
    <row r="783">
      <c r="C783" s="57"/>
      <c r="D783" s="57"/>
      <c r="E783" s="57"/>
      <c r="F783" s="57"/>
    </row>
    <row r="784">
      <c r="C784" s="57"/>
      <c r="D784" s="57"/>
      <c r="E784" s="57"/>
      <c r="F784" s="57"/>
    </row>
    <row r="785">
      <c r="C785" s="57"/>
      <c r="D785" s="57"/>
      <c r="E785" s="57"/>
      <c r="F785" s="57"/>
    </row>
    <row r="786">
      <c r="C786" s="57"/>
      <c r="D786" s="57"/>
      <c r="E786" s="57"/>
      <c r="F786" s="57"/>
    </row>
    <row r="787">
      <c r="C787" s="57"/>
      <c r="D787" s="57"/>
      <c r="E787" s="57"/>
      <c r="F787" s="57"/>
    </row>
    <row r="788">
      <c r="C788" s="57"/>
      <c r="D788" s="57"/>
      <c r="E788" s="57"/>
      <c r="F788" s="57"/>
    </row>
    <row r="789">
      <c r="C789" s="57"/>
      <c r="D789" s="57"/>
      <c r="E789" s="57"/>
      <c r="F789" s="57"/>
    </row>
    <row r="790">
      <c r="C790" s="57"/>
      <c r="D790" s="57"/>
      <c r="E790" s="57"/>
      <c r="F790" s="57"/>
    </row>
    <row r="791">
      <c r="C791" s="57"/>
      <c r="D791" s="57"/>
      <c r="E791" s="57"/>
      <c r="F791" s="57"/>
    </row>
    <row r="792">
      <c r="C792" s="57"/>
      <c r="D792" s="57"/>
      <c r="E792" s="57"/>
      <c r="F792" s="57"/>
    </row>
    <row r="793">
      <c r="C793" s="57"/>
      <c r="D793" s="57"/>
      <c r="E793" s="57"/>
      <c r="F793" s="57"/>
    </row>
    <row r="794">
      <c r="C794" s="57"/>
      <c r="D794" s="57"/>
      <c r="E794" s="57"/>
      <c r="F794" s="57"/>
    </row>
    <row r="795">
      <c r="C795" s="57"/>
      <c r="D795" s="57"/>
      <c r="E795" s="57"/>
      <c r="F795" s="57"/>
    </row>
    <row r="796">
      <c r="C796" s="57"/>
      <c r="D796" s="57"/>
      <c r="E796" s="57"/>
      <c r="F796" s="57"/>
    </row>
    <row r="797">
      <c r="C797" s="57"/>
      <c r="D797" s="57"/>
      <c r="E797" s="57"/>
      <c r="F797" s="57"/>
    </row>
    <row r="798">
      <c r="C798" s="57"/>
      <c r="D798" s="57"/>
      <c r="E798" s="57"/>
      <c r="F798" s="57"/>
    </row>
    <row r="799">
      <c r="C799" s="57"/>
      <c r="D799" s="57"/>
      <c r="E799" s="57"/>
      <c r="F799" s="57"/>
    </row>
    <row r="800">
      <c r="C800" s="57"/>
      <c r="D800" s="57"/>
      <c r="E800" s="57"/>
      <c r="F800" s="57"/>
    </row>
    <row r="801">
      <c r="C801" s="57"/>
      <c r="D801" s="57"/>
      <c r="E801" s="57"/>
      <c r="F801" s="57"/>
    </row>
    <row r="802">
      <c r="C802" s="57"/>
      <c r="D802" s="57"/>
      <c r="E802" s="57"/>
      <c r="F802" s="57"/>
    </row>
    <row r="803">
      <c r="C803" s="57"/>
      <c r="D803" s="57"/>
      <c r="E803" s="57"/>
      <c r="F803" s="57"/>
    </row>
    <row r="804">
      <c r="C804" s="57"/>
      <c r="D804" s="57"/>
      <c r="E804" s="57"/>
      <c r="F804" s="57"/>
    </row>
    <row r="805">
      <c r="C805" s="57"/>
      <c r="D805" s="57"/>
      <c r="E805" s="57"/>
      <c r="F805" s="57"/>
    </row>
    <row r="806">
      <c r="C806" s="57"/>
      <c r="D806" s="57"/>
      <c r="E806" s="57"/>
      <c r="F806" s="57"/>
    </row>
    <row r="807">
      <c r="C807" s="57"/>
      <c r="D807" s="57"/>
      <c r="E807" s="57"/>
      <c r="F807" s="57"/>
    </row>
    <row r="808">
      <c r="C808" s="57"/>
      <c r="D808" s="57"/>
      <c r="E808" s="57"/>
      <c r="F808" s="57"/>
    </row>
    <row r="809">
      <c r="C809" s="57"/>
      <c r="D809" s="57"/>
      <c r="E809" s="57"/>
      <c r="F809" s="57"/>
    </row>
    <row r="810">
      <c r="C810" s="57"/>
      <c r="D810" s="57"/>
      <c r="E810" s="57"/>
      <c r="F810" s="57"/>
    </row>
    <row r="811">
      <c r="C811" s="57"/>
      <c r="D811" s="57"/>
      <c r="E811" s="57"/>
      <c r="F811" s="57"/>
    </row>
    <row r="812">
      <c r="C812" s="57"/>
      <c r="D812" s="57"/>
      <c r="E812" s="57"/>
      <c r="F812" s="57"/>
    </row>
    <row r="813">
      <c r="C813" s="57"/>
      <c r="D813" s="57"/>
      <c r="E813" s="57"/>
      <c r="F813" s="57"/>
    </row>
    <row r="814">
      <c r="C814" s="57"/>
      <c r="D814" s="57"/>
      <c r="E814" s="57"/>
      <c r="F814" s="57"/>
    </row>
    <row r="815">
      <c r="C815" s="57"/>
      <c r="D815" s="57"/>
      <c r="E815" s="57"/>
      <c r="F815" s="57"/>
    </row>
    <row r="816">
      <c r="C816" s="57"/>
      <c r="D816" s="57"/>
      <c r="E816" s="57"/>
      <c r="F816" s="57"/>
    </row>
    <row r="817">
      <c r="C817" s="57"/>
      <c r="D817" s="57"/>
      <c r="E817" s="57"/>
      <c r="F817" s="57"/>
    </row>
    <row r="818">
      <c r="C818" s="57"/>
      <c r="D818" s="57"/>
      <c r="E818" s="57"/>
      <c r="F818" s="57"/>
    </row>
    <row r="819">
      <c r="C819" s="57"/>
      <c r="D819" s="57"/>
      <c r="E819" s="57"/>
      <c r="F819" s="57"/>
    </row>
    <row r="820">
      <c r="C820" s="57"/>
      <c r="D820" s="57"/>
      <c r="E820" s="57"/>
      <c r="F820" s="57"/>
    </row>
    <row r="821">
      <c r="C821" s="57"/>
      <c r="D821" s="57"/>
      <c r="E821" s="57"/>
      <c r="F821" s="57"/>
    </row>
    <row r="822">
      <c r="C822" s="57"/>
      <c r="D822" s="57"/>
      <c r="E822" s="57"/>
      <c r="F822" s="57"/>
    </row>
    <row r="823">
      <c r="C823" s="57"/>
      <c r="D823" s="57"/>
      <c r="E823" s="57"/>
      <c r="F823" s="57"/>
    </row>
    <row r="824">
      <c r="C824" s="57"/>
      <c r="D824" s="57"/>
      <c r="E824" s="57"/>
      <c r="F824" s="57"/>
    </row>
    <row r="825">
      <c r="C825" s="57"/>
      <c r="D825" s="57"/>
      <c r="E825" s="57"/>
      <c r="F825" s="57"/>
    </row>
    <row r="826">
      <c r="C826" s="57"/>
      <c r="D826" s="57"/>
      <c r="E826" s="57"/>
      <c r="F826" s="57"/>
    </row>
    <row r="827">
      <c r="C827" s="57"/>
      <c r="D827" s="57"/>
      <c r="E827" s="57"/>
      <c r="F827" s="57"/>
    </row>
    <row r="828">
      <c r="C828" s="57"/>
      <c r="D828" s="57"/>
      <c r="E828" s="57"/>
      <c r="F828" s="57"/>
    </row>
    <row r="829">
      <c r="C829" s="57"/>
      <c r="D829" s="57"/>
      <c r="E829" s="57"/>
      <c r="F829" s="57"/>
    </row>
    <row r="830">
      <c r="C830" s="57"/>
      <c r="D830" s="57"/>
      <c r="E830" s="57"/>
      <c r="F830" s="57"/>
    </row>
    <row r="831">
      <c r="C831" s="57"/>
      <c r="D831" s="57"/>
      <c r="E831" s="57"/>
      <c r="F831" s="57"/>
    </row>
    <row r="832">
      <c r="C832" s="57"/>
      <c r="D832" s="57"/>
      <c r="E832" s="57"/>
      <c r="F832" s="57"/>
    </row>
    <row r="833">
      <c r="C833" s="57"/>
      <c r="D833" s="57"/>
      <c r="E833" s="57"/>
      <c r="F833" s="57"/>
    </row>
    <row r="834">
      <c r="C834" s="57"/>
      <c r="D834" s="57"/>
      <c r="E834" s="57"/>
      <c r="F834" s="57"/>
    </row>
    <row r="835">
      <c r="C835" s="57"/>
      <c r="D835" s="57"/>
      <c r="E835" s="57"/>
      <c r="F835" s="57"/>
    </row>
    <row r="836">
      <c r="C836" s="57"/>
      <c r="D836" s="57"/>
      <c r="E836" s="57"/>
      <c r="F836" s="57"/>
    </row>
    <row r="837">
      <c r="C837" s="57"/>
      <c r="D837" s="57"/>
      <c r="E837" s="57"/>
      <c r="F837" s="57"/>
    </row>
    <row r="838">
      <c r="C838" s="57"/>
      <c r="D838" s="57"/>
      <c r="E838" s="57"/>
      <c r="F838" s="57"/>
    </row>
    <row r="839">
      <c r="C839" s="57"/>
      <c r="D839" s="57"/>
      <c r="E839" s="57"/>
      <c r="F839" s="57"/>
    </row>
    <row r="840">
      <c r="C840" s="57"/>
      <c r="D840" s="57"/>
      <c r="E840" s="57"/>
      <c r="F840" s="57"/>
    </row>
    <row r="841">
      <c r="C841" s="57"/>
      <c r="D841" s="57"/>
      <c r="E841" s="57"/>
      <c r="F841" s="57"/>
    </row>
    <row r="842">
      <c r="C842" s="57"/>
      <c r="D842" s="57"/>
      <c r="E842" s="57"/>
      <c r="F842" s="57"/>
    </row>
    <row r="843">
      <c r="C843" s="57"/>
      <c r="D843" s="57"/>
      <c r="E843" s="57"/>
      <c r="F843" s="57"/>
    </row>
    <row r="844">
      <c r="C844" s="57"/>
      <c r="D844" s="57"/>
      <c r="E844" s="57"/>
      <c r="F844" s="57"/>
    </row>
    <row r="845">
      <c r="C845" s="57"/>
      <c r="D845" s="57"/>
      <c r="E845" s="57"/>
      <c r="F845" s="57"/>
    </row>
    <row r="846">
      <c r="C846" s="57"/>
      <c r="D846" s="57"/>
      <c r="E846" s="57"/>
      <c r="F846" s="57"/>
    </row>
    <row r="847">
      <c r="C847" s="57"/>
      <c r="D847" s="57"/>
      <c r="E847" s="57"/>
      <c r="F847" s="57"/>
    </row>
    <row r="848">
      <c r="C848" s="57"/>
      <c r="D848" s="57"/>
      <c r="E848" s="57"/>
      <c r="F848" s="57"/>
    </row>
    <row r="849">
      <c r="C849" s="57"/>
      <c r="D849" s="57"/>
      <c r="E849" s="57"/>
      <c r="F849" s="57"/>
    </row>
    <row r="850">
      <c r="C850" s="57"/>
      <c r="D850" s="57"/>
      <c r="E850" s="57"/>
      <c r="F850" s="57"/>
    </row>
    <row r="851">
      <c r="C851" s="57"/>
      <c r="D851" s="57"/>
      <c r="E851" s="57"/>
      <c r="F851" s="57"/>
    </row>
    <row r="852">
      <c r="C852" s="57"/>
      <c r="D852" s="57"/>
      <c r="E852" s="57"/>
      <c r="F852" s="57"/>
    </row>
    <row r="853">
      <c r="C853" s="57"/>
      <c r="D853" s="57"/>
      <c r="E853" s="57"/>
      <c r="F853" s="57"/>
    </row>
    <row r="854">
      <c r="C854" s="57"/>
      <c r="D854" s="57"/>
      <c r="E854" s="57"/>
      <c r="F854" s="57"/>
    </row>
    <row r="855">
      <c r="C855" s="57"/>
      <c r="D855" s="57"/>
      <c r="E855" s="57"/>
      <c r="F855" s="57"/>
    </row>
    <row r="856">
      <c r="C856" s="57"/>
      <c r="D856" s="57"/>
      <c r="E856" s="57"/>
      <c r="F856" s="57"/>
    </row>
    <row r="857">
      <c r="C857" s="57"/>
      <c r="D857" s="57"/>
      <c r="E857" s="57"/>
      <c r="F857" s="57"/>
    </row>
    <row r="858">
      <c r="C858" s="57"/>
      <c r="D858" s="57"/>
      <c r="E858" s="57"/>
      <c r="F858" s="57"/>
    </row>
    <row r="859">
      <c r="C859" s="57"/>
      <c r="D859" s="57"/>
      <c r="E859" s="57"/>
      <c r="F859" s="57"/>
    </row>
    <row r="860">
      <c r="C860" s="57"/>
      <c r="D860" s="57"/>
      <c r="E860" s="57"/>
      <c r="F860" s="57"/>
    </row>
    <row r="861">
      <c r="C861" s="57"/>
      <c r="D861" s="57"/>
      <c r="E861" s="57"/>
      <c r="F861" s="57"/>
    </row>
    <row r="862">
      <c r="C862" s="57"/>
      <c r="D862" s="57"/>
      <c r="E862" s="57"/>
      <c r="F862" s="57"/>
    </row>
    <row r="863">
      <c r="C863" s="57"/>
      <c r="D863" s="57"/>
      <c r="E863" s="57"/>
      <c r="F863" s="57"/>
    </row>
    <row r="864">
      <c r="C864" s="57"/>
      <c r="D864" s="57"/>
      <c r="E864" s="57"/>
      <c r="F864" s="57"/>
    </row>
    <row r="865">
      <c r="C865" s="57"/>
      <c r="D865" s="57"/>
      <c r="E865" s="57"/>
      <c r="F865" s="57"/>
    </row>
    <row r="866">
      <c r="C866" s="57"/>
      <c r="D866" s="57"/>
      <c r="E866" s="57"/>
      <c r="F866" s="57"/>
    </row>
    <row r="867">
      <c r="C867" s="57"/>
      <c r="D867" s="57"/>
      <c r="E867" s="57"/>
      <c r="F867" s="57"/>
    </row>
    <row r="868">
      <c r="C868" s="57"/>
      <c r="D868" s="57"/>
      <c r="E868" s="57"/>
      <c r="F868" s="57"/>
    </row>
    <row r="869">
      <c r="C869" s="57"/>
      <c r="D869" s="57"/>
      <c r="E869" s="57"/>
      <c r="F869" s="57"/>
    </row>
    <row r="870">
      <c r="C870" s="57"/>
      <c r="D870" s="57"/>
      <c r="E870" s="57"/>
      <c r="F870" s="57"/>
    </row>
    <row r="871">
      <c r="C871" s="57"/>
      <c r="D871" s="57"/>
      <c r="E871" s="57"/>
      <c r="F871" s="57"/>
    </row>
    <row r="872">
      <c r="C872" s="57"/>
      <c r="D872" s="57"/>
      <c r="E872" s="57"/>
      <c r="F872" s="57"/>
    </row>
    <row r="873">
      <c r="C873" s="57"/>
      <c r="D873" s="57"/>
      <c r="E873" s="57"/>
      <c r="F873" s="57"/>
    </row>
    <row r="874">
      <c r="C874" s="57"/>
      <c r="D874" s="57"/>
      <c r="E874" s="57"/>
      <c r="F874" s="57"/>
    </row>
    <row r="875">
      <c r="C875" s="57"/>
      <c r="D875" s="57"/>
      <c r="E875" s="57"/>
      <c r="F875" s="57"/>
    </row>
    <row r="876">
      <c r="C876" s="57"/>
      <c r="D876" s="57"/>
      <c r="E876" s="57"/>
      <c r="F876" s="57"/>
    </row>
    <row r="877">
      <c r="C877" s="57"/>
      <c r="D877" s="57"/>
      <c r="E877" s="57"/>
      <c r="F877" s="57"/>
    </row>
    <row r="878">
      <c r="C878" s="57"/>
      <c r="D878" s="57"/>
      <c r="E878" s="57"/>
      <c r="F878" s="57"/>
    </row>
    <row r="879">
      <c r="C879" s="57"/>
      <c r="D879" s="57"/>
      <c r="E879" s="57"/>
      <c r="F879" s="57"/>
    </row>
    <row r="880">
      <c r="C880" s="57"/>
      <c r="D880" s="57"/>
      <c r="E880" s="57"/>
      <c r="F880" s="57"/>
    </row>
    <row r="881">
      <c r="C881" s="57"/>
      <c r="D881" s="57"/>
      <c r="E881" s="57"/>
      <c r="F881" s="57"/>
    </row>
    <row r="882">
      <c r="C882" s="57"/>
      <c r="D882" s="57"/>
      <c r="E882" s="57"/>
      <c r="F882" s="57"/>
    </row>
    <row r="883">
      <c r="C883" s="57"/>
      <c r="D883" s="57"/>
      <c r="E883" s="57"/>
      <c r="F883" s="57"/>
    </row>
    <row r="884">
      <c r="C884" s="57"/>
      <c r="D884" s="57"/>
      <c r="E884" s="57"/>
      <c r="F884" s="57"/>
    </row>
    <row r="885">
      <c r="C885" s="57"/>
      <c r="D885" s="57"/>
      <c r="E885" s="57"/>
      <c r="F885" s="57"/>
    </row>
    <row r="886">
      <c r="C886" s="57"/>
      <c r="D886" s="57"/>
      <c r="E886" s="57"/>
      <c r="F886" s="57"/>
    </row>
    <row r="887">
      <c r="C887" s="57"/>
      <c r="D887" s="57"/>
      <c r="E887" s="57"/>
      <c r="F887" s="57"/>
    </row>
    <row r="888">
      <c r="C888" s="57"/>
      <c r="D888" s="57"/>
      <c r="E888" s="57"/>
      <c r="F888" s="57"/>
    </row>
    <row r="889">
      <c r="C889" s="57"/>
      <c r="D889" s="57"/>
      <c r="E889" s="57"/>
      <c r="F889" s="57"/>
    </row>
    <row r="890">
      <c r="C890" s="57"/>
      <c r="D890" s="57"/>
      <c r="E890" s="57"/>
      <c r="F890" s="57"/>
    </row>
    <row r="891">
      <c r="C891" s="57"/>
      <c r="D891" s="57"/>
      <c r="E891" s="57"/>
      <c r="F891" s="57"/>
    </row>
    <row r="892">
      <c r="C892" s="57"/>
      <c r="D892" s="57"/>
      <c r="E892" s="57"/>
      <c r="F892" s="57"/>
    </row>
    <row r="893">
      <c r="C893" s="57"/>
      <c r="D893" s="57"/>
      <c r="E893" s="57"/>
      <c r="F893" s="57"/>
    </row>
    <row r="894">
      <c r="C894" s="57"/>
      <c r="D894" s="57"/>
      <c r="E894" s="57"/>
      <c r="F894" s="57"/>
    </row>
    <row r="895">
      <c r="C895" s="57"/>
      <c r="D895" s="57"/>
      <c r="E895" s="57"/>
      <c r="F895" s="57"/>
    </row>
    <row r="896">
      <c r="C896" s="57"/>
      <c r="D896" s="57"/>
      <c r="E896" s="57"/>
      <c r="F896" s="57"/>
    </row>
    <row r="897">
      <c r="C897" s="57"/>
      <c r="D897" s="57"/>
      <c r="E897" s="57"/>
      <c r="F897" s="57"/>
    </row>
    <row r="898">
      <c r="C898" s="57"/>
      <c r="D898" s="57"/>
      <c r="E898" s="57"/>
      <c r="F898" s="57"/>
    </row>
    <row r="899">
      <c r="C899" s="57"/>
      <c r="D899" s="57"/>
      <c r="E899" s="57"/>
      <c r="F899" s="57"/>
    </row>
    <row r="900">
      <c r="C900" s="57"/>
      <c r="D900" s="57"/>
      <c r="E900" s="57"/>
      <c r="F900" s="57"/>
    </row>
    <row r="901">
      <c r="C901" s="57"/>
      <c r="D901" s="57"/>
      <c r="E901" s="57"/>
      <c r="F901" s="57"/>
    </row>
    <row r="902">
      <c r="C902" s="57"/>
      <c r="D902" s="57"/>
      <c r="E902" s="57"/>
      <c r="F902" s="57"/>
    </row>
    <row r="903">
      <c r="C903" s="57"/>
      <c r="D903" s="57"/>
      <c r="E903" s="57"/>
      <c r="F903" s="57"/>
    </row>
    <row r="904">
      <c r="C904" s="57"/>
      <c r="D904" s="57"/>
      <c r="E904" s="57"/>
      <c r="F904" s="57"/>
    </row>
    <row r="905">
      <c r="C905" s="57"/>
      <c r="D905" s="57"/>
      <c r="E905" s="57"/>
      <c r="F905" s="57"/>
    </row>
    <row r="906">
      <c r="C906" s="57"/>
      <c r="D906" s="57"/>
      <c r="E906" s="57"/>
      <c r="F906" s="57"/>
    </row>
    <row r="907">
      <c r="C907" s="57"/>
      <c r="D907" s="57"/>
      <c r="E907" s="57"/>
      <c r="F907" s="57"/>
    </row>
    <row r="908">
      <c r="C908" s="57"/>
      <c r="D908" s="57"/>
      <c r="E908" s="57"/>
      <c r="F908" s="57"/>
    </row>
    <row r="909">
      <c r="C909" s="57"/>
      <c r="D909" s="57"/>
      <c r="E909" s="57"/>
      <c r="F909" s="57"/>
    </row>
    <row r="910">
      <c r="C910" s="57"/>
      <c r="D910" s="57"/>
      <c r="E910" s="57"/>
      <c r="F910" s="57"/>
    </row>
    <row r="911">
      <c r="C911" s="57"/>
      <c r="D911" s="57"/>
      <c r="E911" s="57"/>
      <c r="F911" s="57"/>
    </row>
    <row r="912">
      <c r="C912" s="57"/>
      <c r="D912" s="57"/>
      <c r="E912" s="57"/>
      <c r="F912" s="57"/>
    </row>
    <row r="913">
      <c r="C913" s="57"/>
      <c r="D913" s="57"/>
      <c r="E913" s="57"/>
      <c r="F913" s="57"/>
    </row>
    <row r="914">
      <c r="C914" s="57"/>
      <c r="D914" s="57"/>
      <c r="E914" s="57"/>
      <c r="F914" s="57"/>
    </row>
    <row r="915">
      <c r="C915" s="57"/>
      <c r="D915" s="57"/>
      <c r="E915" s="57"/>
      <c r="F915" s="57"/>
    </row>
    <row r="916">
      <c r="C916" s="57"/>
      <c r="D916" s="57"/>
      <c r="E916" s="57"/>
      <c r="F916" s="57"/>
    </row>
    <row r="917">
      <c r="C917" s="57"/>
      <c r="D917" s="57"/>
      <c r="E917" s="57"/>
      <c r="F917" s="57"/>
    </row>
    <row r="918">
      <c r="C918" s="57"/>
      <c r="D918" s="57"/>
      <c r="E918" s="57"/>
      <c r="F918" s="57"/>
    </row>
    <row r="919">
      <c r="C919" s="57"/>
      <c r="D919" s="57"/>
      <c r="E919" s="57"/>
      <c r="F919" s="57"/>
    </row>
    <row r="920">
      <c r="C920" s="57"/>
      <c r="D920" s="57"/>
      <c r="E920" s="57"/>
      <c r="F920" s="57"/>
    </row>
    <row r="921">
      <c r="C921" s="57"/>
      <c r="D921" s="57"/>
      <c r="E921" s="57"/>
      <c r="F921" s="57"/>
    </row>
    <row r="922">
      <c r="C922" s="57"/>
      <c r="D922" s="57"/>
      <c r="E922" s="57"/>
      <c r="F922" s="57"/>
    </row>
    <row r="923">
      <c r="C923" s="57"/>
      <c r="D923" s="57"/>
      <c r="E923" s="57"/>
      <c r="F923" s="57"/>
    </row>
    <row r="924">
      <c r="C924" s="57"/>
      <c r="D924" s="57"/>
      <c r="E924" s="57"/>
      <c r="F924" s="57"/>
    </row>
    <row r="925">
      <c r="C925" s="57"/>
      <c r="D925" s="57"/>
      <c r="E925" s="57"/>
      <c r="F925" s="57"/>
    </row>
    <row r="926">
      <c r="C926" s="57"/>
      <c r="D926" s="57"/>
      <c r="E926" s="57"/>
      <c r="F926" s="57"/>
    </row>
    <row r="927">
      <c r="C927" s="57"/>
      <c r="D927" s="57"/>
      <c r="E927" s="57"/>
      <c r="F927" s="57"/>
    </row>
    <row r="928">
      <c r="C928" s="57"/>
      <c r="D928" s="57"/>
      <c r="E928" s="57"/>
      <c r="F928" s="57"/>
    </row>
    <row r="929">
      <c r="C929" s="57"/>
      <c r="D929" s="57"/>
      <c r="E929" s="57"/>
      <c r="F929" s="57"/>
    </row>
    <row r="930">
      <c r="C930" s="57"/>
      <c r="D930" s="57"/>
      <c r="E930" s="57"/>
      <c r="F930" s="57"/>
    </row>
    <row r="931">
      <c r="C931" s="57"/>
      <c r="D931" s="57"/>
      <c r="E931" s="57"/>
      <c r="F931" s="57"/>
    </row>
    <row r="932">
      <c r="C932" s="57"/>
      <c r="D932" s="57"/>
      <c r="E932" s="57"/>
      <c r="F932" s="57"/>
    </row>
    <row r="933">
      <c r="C933" s="57"/>
      <c r="D933" s="57"/>
      <c r="E933" s="57"/>
      <c r="F933" s="57"/>
    </row>
    <row r="934">
      <c r="C934" s="57"/>
      <c r="D934" s="57"/>
      <c r="E934" s="57"/>
      <c r="F934" s="57"/>
    </row>
    <row r="935">
      <c r="C935" s="57"/>
      <c r="D935" s="57"/>
      <c r="E935" s="57"/>
      <c r="F935" s="57"/>
    </row>
    <row r="936">
      <c r="C936" s="57"/>
      <c r="D936" s="57"/>
      <c r="E936" s="57"/>
      <c r="F936" s="57"/>
    </row>
    <row r="937">
      <c r="C937" s="57"/>
      <c r="D937" s="57"/>
      <c r="E937" s="57"/>
      <c r="F937" s="57"/>
    </row>
    <row r="938">
      <c r="C938" s="57"/>
      <c r="D938" s="57"/>
      <c r="E938" s="57"/>
      <c r="F938" s="57"/>
    </row>
    <row r="939">
      <c r="C939" s="57"/>
      <c r="D939" s="57"/>
      <c r="E939" s="57"/>
      <c r="F939" s="57"/>
    </row>
    <row r="940">
      <c r="C940" s="57"/>
      <c r="D940" s="57"/>
      <c r="E940" s="57"/>
      <c r="F940" s="57"/>
    </row>
    <row r="941">
      <c r="C941" s="57"/>
      <c r="D941" s="57"/>
      <c r="E941" s="57"/>
      <c r="F941" s="57"/>
    </row>
    <row r="942">
      <c r="C942" s="57"/>
      <c r="D942" s="57"/>
      <c r="E942" s="57"/>
      <c r="F942" s="57"/>
    </row>
    <row r="943">
      <c r="C943" s="57"/>
      <c r="D943" s="57"/>
      <c r="E943" s="57"/>
      <c r="F943" s="57"/>
    </row>
    <row r="944">
      <c r="C944" s="57"/>
      <c r="D944" s="57"/>
      <c r="E944" s="57"/>
      <c r="F944" s="57"/>
    </row>
    <row r="945">
      <c r="C945" s="57"/>
      <c r="D945" s="57"/>
      <c r="E945" s="57"/>
      <c r="F945" s="57"/>
    </row>
    <row r="946">
      <c r="C946" s="57"/>
      <c r="D946" s="57"/>
      <c r="E946" s="57"/>
      <c r="F946" s="57"/>
    </row>
    <row r="947">
      <c r="C947" s="57"/>
      <c r="D947" s="57"/>
      <c r="E947" s="57"/>
      <c r="F947" s="57"/>
    </row>
    <row r="948">
      <c r="C948" s="57"/>
      <c r="D948" s="57"/>
      <c r="E948" s="57"/>
      <c r="F948" s="57"/>
    </row>
    <row r="949">
      <c r="C949" s="57"/>
      <c r="D949" s="57"/>
      <c r="E949" s="57"/>
      <c r="F949" s="57"/>
    </row>
    <row r="950">
      <c r="C950" s="57"/>
      <c r="D950" s="57"/>
      <c r="E950" s="57"/>
      <c r="F950" s="57"/>
    </row>
    <row r="951">
      <c r="C951" s="57"/>
      <c r="D951" s="57"/>
      <c r="E951" s="57"/>
      <c r="F951" s="57"/>
    </row>
    <row r="952">
      <c r="C952" s="57"/>
      <c r="D952" s="57"/>
      <c r="E952" s="57"/>
      <c r="F952" s="57"/>
    </row>
    <row r="953">
      <c r="C953" s="57"/>
      <c r="D953" s="57"/>
      <c r="E953" s="57"/>
      <c r="F953" s="57"/>
    </row>
    <row r="954">
      <c r="C954" s="57"/>
      <c r="D954" s="57"/>
      <c r="E954" s="57"/>
      <c r="F954" s="57"/>
    </row>
    <row r="955">
      <c r="C955" s="57"/>
      <c r="D955" s="57"/>
      <c r="E955" s="57"/>
      <c r="F955" s="57"/>
    </row>
    <row r="956">
      <c r="C956" s="57"/>
      <c r="D956" s="57"/>
      <c r="E956" s="57"/>
      <c r="F956" s="57"/>
    </row>
    <row r="957">
      <c r="C957" s="57"/>
      <c r="D957" s="57"/>
      <c r="E957" s="57"/>
      <c r="F957" s="57"/>
    </row>
    <row r="958">
      <c r="C958" s="57"/>
      <c r="D958" s="57"/>
      <c r="E958" s="57"/>
      <c r="F958" s="57"/>
    </row>
    <row r="959">
      <c r="C959" s="57"/>
      <c r="D959" s="57"/>
      <c r="E959" s="57"/>
      <c r="F959" s="57"/>
    </row>
    <row r="960">
      <c r="C960" s="57"/>
      <c r="D960" s="57"/>
      <c r="E960" s="57"/>
      <c r="F960" s="57"/>
    </row>
    <row r="961">
      <c r="C961" s="57"/>
      <c r="D961" s="57"/>
      <c r="E961" s="57"/>
      <c r="F961" s="57"/>
    </row>
    <row r="962">
      <c r="C962" s="57"/>
      <c r="D962" s="57"/>
      <c r="E962" s="57"/>
      <c r="F962" s="57"/>
    </row>
    <row r="963">
      <c r="C963" s="57"/>
      <c r="D963" s="57"/>
      <c r="E963" s="57"/>
      <c r="F963" s="57"/>
    </row>
    <row r="964">
      <c r="C964" s="57"/>
      <c r="D964" s="57"/>
      <c r="E964" s="57"/>
      <c r="F964" s="57"/>
    </row>
    <row r="965">
      <c r="C965" s="57"/>
      <c r="D965" s="57"/>
      <c r="E965" s="57"/>
      <c r="F965" s="57"/>
    </row>
    <row r="966">
      <c r="C966" s="57"/>
      <c r="D966" s="57"/>
      <c r="E966" s="57"/>
      <c r="F966" s="57"/>
    </row>
    <row r="967">
      <c r="C967" s="57"/>
      <c r="D967" s="57"/>
      <c r="E967" s="57"/>
      <c r="F967" s="57"/>
    </row>
    <row r="968">
      <c r="C968" s="57"/>
      <c r="D968" s="57"/>
      <c r="E968" s="57"/>
      <c r="F968" s="57"/>
    </row>
    <row r="969">
      <c r="C969" s="57"/>
      <c r="D969" s="57"/>
      <c r="E969" s="57"/>
      <c r="F969" s="57"/>
    </row>
    <row r="970">
      <c r="C970" s="57"/>
      <c r="D970" s="57"/>
      <c r="E970" s="57"/>
      <c r="F970" s="57"/>
    </row>
    <row r="971">
      <c r="C971" s="57"/>
      <c r="D971" s="57"/>
      <c r="E971" s="57"/>
      <c r="F971" s="57"/>
    </row>
    <row r="972">
      <c r="C972" s="57"/>
      <c r="D972" s="57"/>
      <c r="E972" s="57"/>
      <c r="F972" s="57"/>
    </row>
    <row r="973">
      <c r="C973" s="57"/>
      <c r="D973" s="57"/>
      <c r="E973" s="57"/>
      <c r="F973" s="57"/>
    </row>
    <row r="974">
      <c r="C974" s="57"/>
      <c r="D974" s="57"/>
      <c r="E974" s="57"/>
      <c r="F974" s="57"/>
    </row>
    <row r="975">
      <c r="C975" s="57"/>
      <c r="D975" s="57"/>
      <c r="E975" s="57"/>
      <c r="F975" s="57"/>
    </row>
    <row r="976">
      <c r="C976" s="57"/>
      <c r="D976" s="57"/>
      <c r="E976" s="57"/>
      <c r="F976" s="57"/>
    </row>
    <row r="977">
      <c r="C977" s="57"/>
      <c r="D977" s="57"/>
      <c r="E977" s="57"/>
      <c r="F977" s="57"/>
    </row>
    <row r="978">
      <c r="C978" s="57"/>
      <c r="D978" s="57"/>
      <c r="E978" s="57"/>
      <c r="F978" s="57"/>
    </row>
    <row r="979">
      <c r="C979" s="57"/>
      <c r="D979" s="57"/>
      <c r="E979" s="57"/>
      <c r="F979" s="57"/>
    </row>
    <row r="980">
      <c r="C980" s="57"/>
      <c r="D980" s="57"/>
      <c r="E980" s="57"/>
      <c r="F980" s="57"/>
    </row>
    <row r="981">
      <c r="C981" s="57"/>
      <c r="D981" s="57"/>
      <c r="E981" s="57"/>
      <c r="F981" s="57"/>
    </row>
    <row r="982">
      <c r="C982" s="57"/>
      <c r="D982" s="57"/>
      <c r="E982" s="57"/>
      <c r="F982" s="57"/>
    </row>
    <row r="983">
      <c r="C983" s="57"/>
      <c r="D983" s="57"/>
      <c r="E983" s="57"/>
      <c r="F983" s="57"/>
    </row>
    <row r="984">
      <c r="C984" s="57"/>
      <c r="D984" s="57"/>
      <c r="E984" s="57"/>
      <c r="F984" s="57"/>
    </row>
    <row r="985">
      <c r="C985" s="57"/>
      <c r="D985" s="57"/>
      <c r="E985" s="57"/>
      <c r="F985" s="57"/>
    </row>
    <row r="986">
      <c r="C986" s="57"/>
      <c r="D986" s="57"/>
      <c r="E986" s="57"/>
      <c r="F986" s="57"/>
    </row>
    <row r="987">
      <c r="C987" s="57"/>
      <c r="D987" s="57"/>
      <c r="E987" s="57"/>
      <c r="F987" s="57"/>
    </row>
    <row r="988">
      <c r="C988" s="57"/>
      <c r="D988" s="57"/>
      <c r="E988" s="57"/>
      <c r="F988" s="57"/>
    </row>
    <row r="989">
      <c r="C989" s="57"/>
      <c r="D989" s="57"/>
      <c r="E989" s="57"/>
      <c r="F989" s="57"/>
    </row>
    <row r="990">
      <c r="C990" s="57"/>
      <c r="D990" s="57"/>
      <c r="E990" s="57"/>
      <c r="F990" s="57"/>
    </row>
    <row r="991">
      <c r="C991" s="57"/>
      <c r="D991" s="57"/>
      <c r="E991" s="57"/>
      <c r="F991" s="57"/>
    </row>
    <row r="992">
      <c r="C992" s="57"/>
      <c r="D992" s="57"/>
      <c r="E992" s="57"/>
      <c r="F992" s="57"/>
    </row>
    <row r="993">
      <c r="C993" s="57"/>
      <c r="D993" s="57"/>
      <c r="E993" s="57"/>
      <c r="F993" s="57"/>
    </row>
    <row r="994">
      <c r="C994" s="57"/>
      <c r="D994" s="57"/>
      <c r="E994" s="57"/>
      <c r="F994" s="57"/>
    </row>
    <row r="995">
      <c r="C995" s="57"/>
      <c r="D995" s="57"/>
      <c r="E995" s="57"/>
      <c r="F995" s="57"/>
    </row>
    <row r="996">
      <c r="C996" s="57"/>
      <c r="D996" s="57"/>
      <c r="E996" s="57"/>
      <c r="F996" s="57"/>
    </row>
    <row r="997">
      <c r="C997" s="57"/>
      <c r="D997" s="57"/>
      <c r="E997" s="57"/>
      <c r="F997" s="57"/>
    </row>
    <row r="998">
      <c r="C998" s="57"/>
      <c r="D998" s="57"/>
      <c r="E998" s="57"/>
      <c r="F998" s="57"/>
    </row>
    <row r="999">
      <c r="C999" s="57"/>
      <c r="D999" s="57"/>
      <c r="E999" s="57"/>
      <c r="F999" s="57"/>
    </row>
    <row r="1000">
      <c r="C1000" s="57"/>
      <c r="D1000" s="57"/>
      <c r="E1000" s="57"/>
      <c r="F1000" s="57"/>
    </row>
    <row r="1001">
      <c r="C1001" s="57"/>
      <c r="D1001" s="57"/>
      <c r="E1001" s="57"/>
      <c r="F1001" s="57"/>
    </row>
    <row r="1002">
      <c r="C1002" s="57"/>
      <c r="D1002" s="57"/>
      <c r="E1002" s="57"/>
      <c r="F1002" s="57"/>
    </row>
    <row r="1003">
      <c r="C1003" s="57"/>
      <c r="D1003" s="57"/>
      <c r="E1003" s="57"/>
      <c r="F1003" s="57"/>
    </row>
    <row r="1004">
      <c r="C1004" s="57"/>
      <c r="D1004" s="57"/>
      <c r="E1004" s="57"/>
      <c r="F1004" s="57"/>
    </row>
    <row r="1005">
      <c r="C1005" s="57"/>
      <c r="D1005" s="57"/>
      <c r="E1005" s="57"/>
      <c r="F1005" s="57"/>
    </row>
    <row r="1006">
      <c r="C1006" s="57"/>
      <c r="D1006" s="57"/>
      <c r="E1006" s="57"/>
      <c r="F1006" s="57"/>
    </row>
    <row r="1007">
      <c r="C1007" s="57"/>
      <c r="D1007" s="57"/>
      <c r="E1007" s="57"/>
      <c r="F1007" s="57"/>
    </row>
    <row r="1008">
      <c r="C1008" s="57"/>
      <c r="D1008" s="57"/>
      <c r="E1008" s="57"/>
      <c r="F1008" s="57"/>
    </row>
    <row r="1009">
      <c r="C1009" s="57"/>
      <c r="D1009" s="57"/>
      <c r="E1009" s="57"/>
      <c r="F1009" s="57"/>
    </row>
    <row r="1010">
      <c r="C1010" s="57"/>
      <c r="D1010" s="57"/>
      <c r="E1010" s="57"/>
      <c r="F1010" s="57"/>
    </row>
    <row r="1011">
      <c r="C1011" s="57"/>
      <c r="D1011" s="57"/>
      <c r="E1011" s="57"/>
      <c r="F1011" s="57"/>
    </row>
    <row r="1012">
      <c r="C1012" s="57"/>
      <c r="D1012" s="57"/>
      <c r="E1012" s="57"/>
      <c r="F1012" s="57"/>
    </row>
  </sheetData>
  <hyperlinks>
    <hyperlink r:id="rId1" ref="D2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4.13"/>
    <col customWidth="1" min="3" max="3" width="29.38"/>
    <col customWidth="1" min="4" max="4" width="29.5"/>
    <col customWidth="1" min="5" max="5" width="42.0"/>
    <col customWidth="1" min="6" max="6" width="28.0"/>
    <col customWidth="1" min="7" max="7" width="23.88"/>
  </cols>
  <sheetData>
    <row r="1">
      <c r="A1" s="31" t="s">
        <v>78</v>
      </c>
      <c r="B1" s="32" t="s">
        <v>79</v>
      </c>
      <c r="C1" s="32" t="s">
        <v>80</v>
      </c>
      <c r="D1" s="32" t="s">
        <v>81</v>
      </c>
      <c r="E1" s="32" t="s">
        <v>82</v>
      </c>
      <c r="F1" s="32" t="s">
        <v>83</v>
      </c>
      <c r="G1" s="31" t="s">
        <v>278</v>
      </c>
      <c r="H1" s="58"/>
      <c r="I1" s="58"/>
      <c r="J1" s="58"/>
      <c r="K1" s="58"/>
      <c r="L1" s="58"/>
      <c r="M1" s="58"/>
      <c r="N1" s="58"/>
      <c r="O1" s="58"/>
      <c r="P1" s="58"/>
      <c r="Q1" s="58"/>
      <c r="R1" s="58"/>
      <c r="S1" s="58"/>
      <c r="T1" s="58"/>
      <c r="U1" s="58"/>
      <c r="V1" s="58"/>
      <c r="W1" s="58"/>
      <c r="X1" s="58"/>
    </row>
    <row r="2">
      <c r="A2" s="38" t="s">
        <v>84</v>
      </c>
      <c r="B2" s="59" t="s">
        <v>279</v>
      </c>
      <c r="C2" s="59" t="s">
        <v>280</v>
      </c>
      <c r="D2" s="59" t="s">
        <v>281</v>
      </c>
      <c r="E2" s="59" t="s">
        <v>282</v>
      </c>
      <c r="F2" s="59" t="s">
        <v>283</v>
      </c>
      <c r="G2" s="60" t="s">
        <v>13</v>
      </c>
      <c r="K2" s="1" t="s">
        <v>284</v>
      </c>
      <c r="L2" s="21">
        <f>COUNTA(G2:G46)</f>
        <v>45</v>
      </c>
    </row>
    <row r="3">
      <c r="A3" s="61" t="s">
        <v>92</v>
      </c>
      <c r="B3" s="62" t="s">
        <v>279</v>
      </c>
      <c r="C3" s="62" t="s">
        <v>285</v>
      </c>
      <c r="D3" s="62" t="s">
        <v>286</v>
      </c>
      <c r="E3" s="62" t="s">
        <v>287</v>
      </c>
      <c r="F3" s="62" t="s">
        <v>288</v>
      </c>
      <c r="G3" s="63" t="s">
        <v>13</v>
      </c>
      <c r="H3" s="64"/>
      <c r="I3" s="64"/>
      <c r="J3" s="64"/>
      <c r="K3" s="64"/>
      <c r="L3" s="64"/>
      <c r="M3" s="64"/>
      <c r="N3" s="64"/>
      <c r="O3" s="64"/>
      <c r="P3" s="64"/>
      <c r="Q3" s="64"/>
      <c r="R3" s="64"/>
      <c r="S3" s="64"/>
      <c r="T3" s="64"/>
      <c r="U3" s="64"/>
      <c r="V3" s="64"/>
      <c r="W3" s="64"/>
      <c r="X3" s="64"/>
    </row>
    <row r="4">
      <c r="A4" s="61" t="s">
        <v>96</v>
      </c>
      <c r="B4" s="62" t="s">
        <v>279</v>
      </c>
      <c r="C4" s="62" t="s">
        <v>285</v>
      </c>
      <c r="D4" s="62" t="s">
        <v>289</v>
      </c>
      <c r="E4" s="62" t="s">
        <v>290</v>
      </c>
      <c r="F4" s="62" t="s">
        <v>288</v>
      </c>
      <c r="G4" s="63" t="s">
        <v>13</v>
      </c>
      <c r="H4" s="64"/>
      <c r="I4" s="64"/>
      <c r="J4" s="64"/>
      <c r="K4" s="64"/>
      <c r="L4" s="64"/>
      <c r="M4" s="64"/>
      <c r="N4" s="64"/>
      <c r="O4" s="64"/>
      <c r="P4" s="64"/>
      <c r="Q4" s="64"/>
      <c r="R4" s="64"/>
      <c r="S4" s="64"/>
      <c r="T4" s="64"/>
      <c r="U4" s="64"/>
      <c r="V4" s="64"/>
      <c r="W4" s="64"/>
      <c r="X4" s="64"/>
    </row>
    <row r="5">
      <c r="A5" s="61" t="s">
        <v>101</v>
      </c>
      <c r="B5" s="62" t="s">
        <v>279</v>
      </c>
      <c r="C5" s="62" t="s">
        <v>285</v>
      </c>
      <c r="D5" s="62" t="s">
        <v>291</v>
      </c>
      <c r="E5" s="62" t="s">
        <v>292</v>
      </c>
      <c r="F5" s="62" t="s">
        <v>288</v>
      </c>
      <c r="G5" s="63" t="s">
        <v>13</v>
      </c>
      <c r="H5" s="64"/>
      <c r="I5" s="64"/>
      <c r="J5" s="64"/>
      <c r="K5" s="64"/>
      <c r="L5" s="64"/>
      <c r="M5" s="64"/>
      <c r="N5" s="64"/>
      <c r="O5" s="64"/>
      <c r="P5" s="64"/>
      <c r="Q5" s="64"/>
      <c r="R5" s="64"/>
      <c r="S5" s="64"/>
      <c r="T5" s="64"/>
      <c r="U5" s="64"/>
      <c r="V5" s="64"/>
      <c r="W5" s="64"/>
      <c r="X5" s="64"/>
    </row>
    <row r="6">
      <c r="A6" s="61" t="s">
        <v>106</v>
      </c>
      <c r="B6" s="62" t="s">
        <v>279</v>
      </c>
      <c r="C6" s="62" t="s">
        <v>285</v>
      </c>
      <c r="D6" s="62" t="s">
        <v>293</v>
      </c>
      <c r="E6" s="62" t="s">
        <v>294</v>
      </c>
      <c r="F6" s="62" t="s">
        <v>288</v>
      </c>
      <c r="G6" s="63" t="s">
        <v>13</v>
      </c>
      <c r="H6" s="64"/>
      <c r="I6" s="64"/>
      <c r="J6" s="64"/>
      <c r="K6" s="64"/>
      <c r="L6" s="64"/>
      <c r="M6" s="64"/>
      <c r="N6" s="64"/>
      <c r="O6" s="64"/>
      <c r="P6" s="64"/>
      <c r="Q6" s="64"/>
      <c r="R6" s="64"/>
      <c r="S6" s="64"/>
      <c r="T6" s="64"/>
      <c r="U6" s="64"/>
      <c r="V6" s="64"/>
      <c r="W6" s="64"/>
      <c r="X6" s="64"/>
    </row>
    <row r="7">
      <c r="A7" s="61" t="s">
        <v>110</v>
      </c>
      <c r="B7" s="62" t="s">
        <v>279</v>
      </c>
      <c r="C7" s="62" t="s">
        <v>285</v>
      </c>
      <c r="D7" s="62" t="s">
        <v>293</v>
      </c>
      <c r="E7" s="62" t="s">
        <v>295</v>
      </c>
      <c r="F7" s="62" t="s">
        <v>288</v>
      </c>
      <c r="G7" s="63" t="s">
        <v>13</v>
      </c>
      <c r="H7" s="64"/>
      <c r="I7" s="64"/>
      <c r="J7" s="64"/>
      <c r="K7" s="64"/>
      <c r="L7" s="64"/>
      <c r="M7" s="64"/>
      <c r="N7" s="64"/>
      <c r="O7" s="64"/>
      <c r="P7" s="64"/>
      <c r="Q7" s="64"/>
      <c r="R7" s="64"/>
      <c r="S7" s="64"/>
      <c r="T7" s="64"/>
      <c r="U7" s="64"/>
      <c r="V7" s="64"/>
      <c r="W7" s="64"/>
      <c r="X7" s="64"/>
    </row>
    <row r="8">
      <c r="A8" s="61" t="s">
        <v>115</v>
      </c>
      <c r="B8" s="62" t="s">
        <v>279</v>
      </c>
      <c r="C8" s="62" t="s">
        <v>285</v>
      </c>
      <c r="D8" s="62" t="s">
        <v>293</v>
      </c>
      <c r="E8" s="62" t="s">
        <v>296</v>
      </c>
      <c r="F8" s="62" t="s">
        <v>288</v>
      </c>
      <c r="G8" s="63" t="s">
        <v>13</v>
      </c>
      <c r="H8" s="64"/>
      <c r="I8" s="64"/>
      <c r="J8" s="64"/>
      <c r="K8" s="64"/>
      <c r="L8" s="64"/>
      <c r="M8" s="64"/>
      <c r="N8" s="64"/>
      <c r="O8" s="64"/>
      <c r="P8" s="64"/>
      <c r="Q8" s="64"/>
      <c r="R8" s="64"/>
      <c r="S8" s="64"/>
      <c r="T8" s="64"/>
      <c r="U8" s="64"/>
      <c r="V8" s="64"/>
      <c r="W8" s="64"/>
      <c r="X8" s="64"/>
    </row>
    <row r="9">
      <c r="A9" s="38" t="s">
        <v>120</v>
      </c>
      <c r="B9" s="59" t="s">
        <v>279</v>
      </c>
      <c r="C9" s="59" t="s">
        <v>285</v>
      </c>
      <c r="D9" s="59" t="s">
        <v>297</v>
      </c>
      <c r="E9" s="59" t="s">
        <v>298</v>
      </c>
      <c r="F9" s="59" t="s">
        <v>288</v>
      </c>
      <c r="G9" s="60" t="s">
        <v>13</v>
      </c>
    </row>
    <row r="10">
      <c r="A10" s="38" t="s">
        <v>125</v>
      </c>
      <c r="B10" s="59" t="s">
        <v>279</v>
      </c>
      <c r="C10" s="59" t="s">
        <v>285</v>
      </c>
      <c r="D10" s="59" t="s">
        <v>297</v>
      </c>
      <c r="E10" s="59" t="s">
        <v>299</v>
      </c>
      <c r="F10" s="59" t="s">
        <v>288</v>
      </c>
      <c r="G10" s="60" t="s">
        <v>13</v>
      </c>
    </row>
    <row r="11">
      <c r="A11" s="38" t="s">
        <v>129</v>
      </c>
      <c r="B11" s="59" t="s">
        <v>279</v>
      </c>
      <c r="C11" s="59" t="s">
        <v>285</v>
      </c>
      <c r="D11" s="59" t="s">
        <v>297</v>
      </c>
      <c r="E11" s="59" t="s">
        <v>300</v>
      </c>
      <c r="F11" s="59" t="s">
        <v>288</v>
      </c>
      <c r="G11" s="60" t="s">
        <v>13</v>
      </c>
    </row>
    <row r="12">
      <c r="A12" s="38" t="s">
        <v>134</v>
      </c>
      <c r="B12" s="59" t="s">
        <v>279</v>
      </c>
      <c r="C12" s="59" t="s">
        <v>285</v>
      </c>
      <c r="D12" s="59" t="s">
        <v>297</v>
      </c>
      <c r="E12" s="59" t="s">
        <v>301</v>
      </c>
      <c r="F12" s="59" t="s">
        <v>288</v>
      </c>
      <c r="G12" s="60" t="s">
        <v>13</v>
      </c>
    </row>
    <row r="13">
      <c r="A13" s="38" t="s">
        <v>139</v>
      </c>
      <c r="B13" s="59" t="s">
        <v>279</v>
      </c>
      <c r="C13" s="59" t="s">
        <v>285</v>
      </c>
      <c r="D13" s="59" t="s">
        <v>302</v>
      </c>
      <c r="E13" s="59" t="s">
        <v>303</v>
      </c>
      <c r="F13" s="59" t="s">
        <v>288</v>
      </c>
      <c r="G13" s="60" t="s">
        <v>13</v>
      </c>
    </row>
    <row r="14">
      <c r="A14" s="38" t="s">
        <v>144</v>
      </c>
      <c r="B14" s="59" t="s">
        <v>279</v>
      </c>
      <c r="C14" s="59" t="s">
        <v>285</v>
      </c>
      <c r="D14" s="59" t="s">
        <v>302</v>
      </c>
      <c r="E14" s="59" t="s">
        <v>304</v>
      </c>
      <c r="F14" s="59" t="s">
        <v>288</v>
      </c>
      <c r="G14" s="60" t="s">
        <v>13</v>
      </c>
    </row>
    <row r="15">
      <c r="A15" s="38" t="s">
        <v>149</v>
      </c>
      <c r="B15" s="59" t="s">
        <v>279</v>
      </c>
      <c r="C15" s="59" t="s">
        <v>285</v>
      </c>
      <c r="D15" s="59" t="s">
        <v>302</v>
      </c>
      <c r="E15" s="59" t="s">
        <v>305</v>
      </c>
      <c r="F15" s="59" t="s">
        <v>288</v>
      </c>
      <c r="G15" s="60" t="s">
        <v>13</v>
      </c>
    </row>
    <row r="16">
      <c r="A16" s="38" t="s">
        <v>153</v>
      </c>
      <c r="B16" s="59" t="s">
        <v>279</v>
      </c>
      <c r="C16" s="59" t="s">
        <v>285</v>
      </c>
      <c r="D16" s="59" t="s">
        <v>302</v>
      </c>
      <c r="E16" s="59" t="s">
        <v>306</v>
      </c>
      <c r="F16" s="59" t="s">
        <v>288</v>
      </c>
      <c r="G16" s="60" t="s">
        <v>13</v>
      </c>
    </row>
    <row r="17">
      <c r="A17" s="38" t="s">
        <v>158</v>
      </c>
      <c r="B17" s="59" t="s">
        <v>279</v>
      </c>
      <c r="C17" s="59" t="s">
        <v>307</v>
      </c>
      <c r="D17" s="59" t="s">
        <v>308</v>
      </c>
      <c r="E17" s="59" t="s">
        <v>309</v>
      </c>
      <c r="F17" s="59" t="s">
        <v>310</v>
      </c>
      <c r="G17" s="60" t="s">
        <v>13</v>
      </c>
    </row>
    <row r="18">
      <c r="A18" s="38" t="s">
        <v>162</v>
      </c>
      <c r="B18" s="59" t="s">
        <v>279</v>
      </c>
      <c r="C18" s="59" t="s">
        <v>311</v>
      </c>
      <c r="D18" s="59" t="s">
        <v>312</v>
      </c>
      <c r="E18" s="59" t="s">
        <v>313</v>
      </c>
      <c r="F18" s="59" t="s">
        <v>314</v>
      </c>
      <c r="G18" s="60" t="s">
        <v>13</v>
      </c>
    </row>
    <row r="19">
      <c r="A19" s="38" t="s">
        <v>165</v>
      </c>
      <c r="B19" s="59" t="s">
        <v>279</v>
      </c>
      <c r="C19" s="59" t="s">
        <v>315</v>
      </c>
      <c r="D19" s="59" t="s">
        <v>316</v>
      </c>
      <c r="E19" s="59" t="s">
        <v>317</v>
      </c>
      <c r="F19" s="59" t="s">
        <v>318</v>
      </c>
      <c r="G19" s="60" t="s">
        <v>13</v>
      </c>
    </row>
    <row r="20">
      <c r="A20" s="38" t="s">
        <v>167</v>
      </c>
      <c r="B20" s="59" t="s">
        <v>279</v>
      </c>
      <c r="C20" s="59" t="s">
        <v>319</v>
      </c>
      <c r="D20" s="59" t="s">
        <v>320</v>
      </c>
      <c r="E20" s="59" t="s">
        <v>321</v>
      </c>
      <c r="F20" s="59" t="s">
        <v>322</v>
      </c>
      <c r="G20" s="60" t="s">
        <v>13</v>
      </c>
    </row>
    <row r="21">
      <c r="A21" s="55" t="s">
        <v>170</v>
      </c>
      <c r="B21" s="59" t="s">
        <v>279</v>
      </c>
      <c r="C21" s="59" t="s">
        <v>323</v>
      </c>
      <c r="D21" s="59" t="s">
        <v>324</v>
      </c>
      <c r="E21" s="59" t="s">
        <v>325</v>
      </c>
      <c r="F21" s="65"/>
      <c r="G21" s="60" t="s">
        <v>13</v>
      </c>
    </row>
    <row r="22">
      <c r="A22" s="38" t="s">
        <v>175</v>
      </c>
      <c r="B22" s="59" t="s">
        <v>279</v>
      </c>
      <c r="C22" s="59" t="s">
        <v>326</v>
      </c>
      <c r="D22" s="59" t="s">
        <v>327</v>
      </c>
      <c r="E22" s="59" t="s">
        <v>328</v>
      </c>
      <c r="F22" s="59" t="s">
        <v>329</v>
      </c>
      <c r="G22" s="60" t="s">
        <v>13</v>
      </c>
    </row>
    <row r="23">
      <c r="A23" s="38" t="s">
        <v>180</v>
      </c>
      <c r="B23" s="59" t="s">
        <v>279</v>
      </c>
      <c r="C23" s="59" t="s">
        <v>330</v>
      </c>
      <c r="D23" s="59" t="s">
        <v>331</v>
      </c>
      <c r="E23" s="59" t="s">
        <v>332</v>
      </c>
      <c r="F23" s="59" t="s">
        <v>333</v>
      </c>
      <c r="G23" s="60" t="s">
        <v>13</v>
      </c>
    </row>
    <row r="24">
      <c r="A24" s="38" t="s">
        <v>185</v>
      </c>
      <c r="B24" s="59" t="s">
        <v>279</v>
      </c>
      <c r="C24" s="59" t="s">
        <v>334</v>
      </c>
      <c r="D24" s="59" t="s">
        <v>335</v>
      </c>
      <c r="E24" s="59" t="s">
        <v>336</v>
      </c>
      <c r="F24" s="59" t="s">
        <v>337</v>
      </c>
      <c r="G24" s="60" t="s">
        <v>13</v>
      </c>
    </row>
    <row r="25">
      <c r="A25" s="38" t="s">
        <v>190</v>
      </c>
      <c r="B25" s="59" t="s">
        <v>279</v>
      </c>
      <c r="C25" s="59" t="s">
        <v>338</v>
      </c>
      <c r="D25" s="59" t="s">
        <v>339</v>
      </c>
      <c r="E25" s="59" t="s">
        <v>340</v>
      </c>
      <c r="F25" s="59" t="s">
        <v>341</v>
      </c>
      <c r="G25" s="60" t="s">
        <v>13</v>
      </c>
    </row>
    <row r="26">
      <c r="A26" s="38" t="s">
        <v>195</v>
      </c>
      <c r="B26" s="59" t="s">
        <v>279</v>
      </c>
      <c r="C26" s="59" t="s">
        <v>338</v>
      </c>
      <c r="D26" s="59" t="s">
        <v>342</v>
      </c>
      <c r="E26" s="59" t="s">
        <v>343</v>
      </c>
      <c r="F26" s="59" t="s">
        <v>344</v>
      </c>
      <c r="G26" s="60" t="s">
        <v>13</v>
      </c>
    </row>
    <row r="27">
      <c r="A27" s="38" t="s">
        <v>200</v>
      </c>
      <c r="B27" s="59" t="s">
        <v>279</v>
      </c>
      <c r="C27" s="59" t="s">
        <v>345</v>
      </c>
      <c r="D27" s="59" t="s">
        <v>346</v>
      </c>
      <c r="E27" s="59" t="s">
        <v>347</v>
      </c>
      <c r="F27" s="59" t="s">
        <v>348</v>
      </c>
      <c r="G27" s="60" t="s">
        <v>13</v>
      </c>
    </row>
    <row r="28">
      <c r="A28" s="38" t="s">
        <v>205</v>
      </c>
      <c r="B28" s="59" t="s">
        <v>279</v>
      </c>
      <c r="C28" s="59" t="s">
        <v>345</v>
      </c>
      <c r="D28" s="59" t="s">
        <v>349</v>
      </c>
      <c r="E28" s="59" t="s">
        <v>350</v>
      </c>
      <c r="F28" s="59" t="s">
        <v>351</v>
      </c>
      <c r="G28" s="60" t="s">
        <v>13</v>
      </c>
    </row>
    <row r="29">
      <c r="A29" s="38" t="s">
        <v>210</v>
      </c>
      <c r="B29" s="59" t="s">
        <v>279</v>
      </c>
      <c r="C29" s="59" t="s">
        <v>352</v>
      </c>
      <c r="D29" s="59" t="s">
        <v>353</v>
      </c>
      <c r="E29" s="59" t="s">
        <v>354</v>
      </c>
      <c r="F29" s="59" t="s">
        <v>355</v>
      </c>
      <c r="G29" s="60" t="s">
        <v>13</v>
      </c>
    </row>
    <row r="30">
      <c r="A30" s="38" t="s">
        <v>215</v>
      </c>
      <c r="B30" s="59" t="s">
        <v>279</v>
      </c>
      <c r="C30" s="59" t="s">
        <v>356</v>
      </c>
      <c r="D30" s="59" t="s">
        <v>357</v>
      </c>
      <c r="E30" s="59" t="s">
        <v>358</v>
      </c>
      <c r="F30" s="59" t="s">
        <v>359</v>
      </c>
      <c r="G30" s="60" t="s">
        <v>13</v>
      </c>
    </row>
    <row r="31">
      <c r="A31" s="38" t="s">
        <v>220</v>
      </c>
      <c r="B31" s="59" t="s">
        <v>279</v>
      </c>
      <c r="C31" s="59" t="s">
        <v>360</v>
      </c>
      <c r="D31" s="59" t="s">
        <v>361</v>
      </c>
      <c r="E31" s="59" t="s">
        <v>362</v>
      </c>
      <c r="F31" s="59" t="s">
        <v>363</v>
      </c>
      <c r="G31" s="60" t="s">
        <v>13</v>
      </c>
    </row>
    <row r="32">
      <c r="A32" s="38" t="s">
        <v>224</v>
      </c>
      <c r="B32" s="59" t="s">
        <v>279</v>
      </c>
      <c r="C32" s="59" t="s">
        <v>364</v>
      </c>
      <c r="D32" s="59" t="s">
        <v>365</v>
      </c>
      <c r="E32" s="59" t="s">
        <v>366</v>
      </c>
      <c r="F32" s="59" t="s">
        <v>367</v>
      </c>
      <c r="G32" s="60" t="s">
        <v>13</v>
      </c>
    </row>
    <row r="33">
      <c r="A33" s="38" t="s">
        <v>228</v>
      </c>
      <c r="B33" s="59" t="s">
        <v>279</v>
      </c>
      <c r="C33" s="59" t="s">
        <v>364</v>
      </c>
      <c r="D33" s="59" t="s">
        <v>368</v>
      </c>
      <c r="E33" s="59" t="s">
        <v>369</v>
      </c>
      <c r="F33" s="59" t="s">
        <v>370</v>
      </c>
      <c r="G33" s="60" t="s">
        <v>13</v>
      </c>
    </row>
    <row r="34">
      <c r="A34" s="38" t="s">
        <v>233</v>
      </c>
      <c r="B34" s="59" t="s">
        <v>279</v>
      </c>
      <c r="C34" s="59" t="s">
        <v>371</v>
      </c>
      <c r="D34" s="59" t="s">
        <v>372</v>
      </c>
      <c r="E34" s="59" t="s">
        <v>373</v>
      </c>
      <c r="F34" s="59" t="s">
        <v>374</v>
      </c>
      <c r="G34" s="60" t="s">
        <v>13</v>
      </c>
    </row>
    <row r="35">
      <c r="A35" s="38" t="s">
        <v>237</v>
      </c>
      <c r="B35" s="59" t="s">
        <v>279</v>
      </c>
      <c r="C35" s="59" t="s">
        <v>371</v>
      </c>
      <c r="D35" s="59" t="s">
        <v>372</v>
      </c>
      <c r="E35" s="59" t="s">
        <v>375</v>
      </c>
      <c r="F35" s="59" t="s">
        <v>374</v>
      </c>
      <c r="G35" s="60" t="s">
        <v>13</v>
      </c>
    </row>
    <row r="36">
      <c r="A36" s="38" t="s">
        <v>241</v>
      </c>
      <c r="B36" s="59" t="s">
        <v>279</v>
      </c>
      <c r="C36" s="59" t="s">
        <v>371</v>
      </c>
      <c r="D36" s="59" t="s">
        <v>372</v>
      </c>
      <c r="E36" s="59" t="s">
        <v>376</v>
      </c>
      <c r="F36" s="59" t="s">
        <v>374</v>
      </c>
      <c r="G36" s="60" t="s">
        <v>13</v>
      </c>
    </row>
    <row r="37">
      <c r="A37" s="38" t="s">
        <v>245</v>
      </c>
      <c r="B37" s="59" t="s">
        <v>279</v>
      </c>
      <c r="C37" s="59" t="s">
        <v>371</v>
      </c>
      <c r="D37" s="59" t="s">
        <v>372</v>
      </c>
      <c r="E37" s="59" t="s">
        <v>377</v>
      </c>
      <c r="F37" s="59" t="s">
        <v>374</v>
      </c>
      <c r="G37" s="60" t="s">
        <v>13</v>
      </c>
    </row>
    <row r="38">
      <c r="A38" s="38" t="s">
        <v>250</v>
      </c>
      <c r="B38" s="59" t="s">
        <v>279</v>
      </c>
      <c r="C38" s="59" t="s">
        <v>378</v>
      </c>
      <c r="D38" s="59" t="s">
        <v>379</v>
      </c>
      <c r="E38" s="59" t="s">
        <v>380</v>
      </c>
      <c r="F38" s="59" t="s">
        <v>381</v>
      </c>
      <c r="G38" s="60" t="s">
        <v>13</v>
      </c>
    </row>
    <row r="39">
      <c r="A39" s="38" t="s">
        <v>254</v>
      </c>
      <c r="B39" s="59" t="s">
        <v>279</v>
      </c>
      <c r="C39" s="59" t="s">
        <v>382</v>
      </c>
      <c r="D39" s="59" t="s">
        <v>383</v>
      </c>
      <c r="E39" s="59" t="s">
        <v>384</v>
      </c>
      <c r="F39" s="59" t="s">
        <v>385</v>
      </c>
      <c r="G39" s="60" t="s">
        <v>13</v>
      </c>
    </row>
    <row r="40">
      <c r="A40" s="38" t="s">
        <v>258</v>
      </c>
      <c r="B40" s="59" t="s">
        <v>279</v>
      </c>
      <c r="C40" s="59" t="s">
        <v>386</v>
      </c>
      <c r="D40" s="59" t="s">
        <v>387</v>
      </c>
      <c r="E40" s="59" t="s">
        <v>388</v>
      </c>
      <c r="F40" s="59" t="s">
        <v>389</v>
      </c>
      <c r="G40" s="60" t="s">
        <v>13</v>
      </c>
    </row>
    <row r="41">
      <c r="A41" s="38" t="s">
        <v>263</v>
      </c>
      <c r="B41" s="59" t="s">
        <v>279</v>
      </c>
      <c r="C41" s="59" t="s">
        <v>386</v>
      </c>
      <c r="D41" s="59" t="s">
        <v>390</v>
      </c>
      <c r="E41" s="59" t="s">
        <v>391</v>
      </c>
      <c r="F41" s="59" t="s">
        <v>392</v>
      </c>
      <c r="G41" s="60" t="s">
        <v>13</v>
      </c>
    </row>
    <row r="42">
      <c r="A42" s="38" t="s">
        <v>268</v>
      </c>
      <c r="B42" s="59" t="s">
        <v>279</v>
      </c>
      <c r="C42" s="59" t="s">
        <v>393</v>
      </c>
      <c r="D42" s="59" t="s">
        <v>394</v>
      </c>
      <c r="E42" s="59" t="s">
        <v>395</v>
      </c>
      <c r="F42" s="59" t="s">
        <v>396</v>
      </c>
      <c r="G42" s="60" t="s">
        <v>13</v>
      </c>
    </row>
    <row r="43">
      <c r="A43" s="38" t="s">
        <v>271</v>
      </c>
      <c r="B43" s="59" t="s">
        <v>279</v>
      </c>
      <c r="C43" s="59" t="s">
        <v>397</v>
      </c>
      <c r="D43" s="59" t="s">
        <v>398</v>
      </c>
      <c r="E43" s="59" t="s">
        <v>399</v>
      </c>
      <c r="F43" s="59" t="s">
        <v>400</v>
      </c>
      <c r="G43" s="60" t="s">
        <v>13</v>
      </c>
    </row>
    <row r="44">
      <c r="A44" s="38" t="s">
        <v>274</v>
      </c>
      <c r="B44" s="59" t="s">
        <v>279</v>
      </c>
      <c r="C44" s="59" t="s">
        <v>401</v>
      </c>
      <c r="D44" s="59" t="s">
        <v>402</v>
      </c>
      <c r="E44" s="59" t="s">
        <v>403</v>
      </c>
      <c r="F44" s="59" t="s">
        <v>404</v>
      </c>
      <c r="G44" s="60" t="s">
        <v>13</v>
      </c>
    </row>
    <row r="45">
      <c r="A45" s="38" t="s">
        <v>405</v>
      </c>
      <c r="B45" s="59" t="s">
        <v>279</v>
      </c>
      <c r="C45" s="59" t="s">
        <v>401</v>
      </c>
      <c r="D45" s="59" t="s">
        <v>406</v>
      </c>
      <c r="E45" s="59" t="s">
        <v>407</v>
      </c>
      <c r="F45" s="59" t="s">
        <v>404</v>
      </c>
      <c r="G45" s="60" t="s">
        <v>13</v>
      </c>
    </row>
    <row r="46">
      <c r="A46" s="38" t="s">
        <v>408</v>
      </c>
      <c r="B46" s="59" t="s">
        <v>279</v>
      </c>
      <c r="C46" s="59" t="s">
        <v>409</v>
      </c>
      <c r="D46" s="59" t="s">
        <v>410</v>
      </c>
      <c r="E46" s="59" t="s">
        <v>411</v>
      </c>
      <c r="F46" s="59" t="s">
        <v>412</v>
      </c>
      <c r="G46" s="60" t="s">
        <v>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20.13"/>
    <col customWidth="1" min="4" max="4" width="28.0"/>
    <col customWidth="1" min="5" max="5" width="41.75"/>
    <col customWidth="1" min="6" max="6" width="35.63"/>
    <col customWidth="1" min="7" max="7" width="26.88"/>
    <col customWidth="1" min="8" max="8" width="17.88"/>
  </cols>
  <sheetData>
    <row r="1">
      <c r="A1" s="31" t="s">
        <v>78</v>
      </c>
      <c r="B1" s="32" t="s">
        <v>79</v>
      </c>
      <c r="C1" s="66" t="s">
        <v>80</v>
      </c>
      <c r="D1" s="66" t="s">
        <v>81</v>
      </c>
      <c r="E1" s="67" t="s">
        <v>82</v>
      </c>
      <c r="F1" s="68" t="s">
        <v>413</v>
      </c>
      <c r="G1" s="68" t="s">
        <v>414</v>
      </c>
      <c r="H1" s="31" t="s">
        <v>83</v>
      </c>
      <c r="I1" s="31" t="s">
        <v>278</v>
      </c>
    </row>
    <row r="2">
      <c r="A2" s="38" t="s">
        <v>84</v>
      </c>
      <c r="B2" s="59" t="s">
        <v>415</v>
      </c>
      <c r="C2" s="59" t="s">
        <v>416</v>
      </c>
      <c r="D2" s="59" t="s">
        <v>417</v>
      </c>
      <c r="E2" s="59" t="s">
        <v>418</v>
      </c>
      <c r="F2" s="59" t="s">
        <v>419</v>
      </c>
      <c r="G2" s="59" t="s">
        <v>420</v>
      </c>
      <c r="H2" s="59" t="s">
        <v>421</v>
      </c>
      <c r="I2" s="59" t="s">
        <v>13</v>
      </c>
      <c r="M2" s="1" t="s">
        <v>422</v>
      </c>
      <c r="N2" s="21">
        <f>SUM(N3:N9)</f>
        <v>19</v>
      </c>
    </row>
    <row r="3">
      <c r="A3" s="38" t="s">
        <v>92</v>
      </c>
      <c r="B3" s="59" t="s">
        <v>415</v>
      </c>
      <c r="C3" s="59" t="s">
        <v>423</v>
      </c>
      <c r="D3" s="59" t="s">
        <v>424</v>
      </c>
      <c r="E3" s="59" t="s">
        <v>425</v>
      </c>
      <c r="F3" s="59" t="s">
        <v>426</v>
      </c>
      <c r="G3" s="59" t="s">
        <v>427</v>
      </c>
      <c r="H3" s="59" t="s">
        <v>428</v>
      </c>
      <c r="I3" s="59" t="s">
        <v>13</v>
      </c>
      <c r="M3" s="1" t="s">
        <v>13</v>
      </c>
      <c r="N3" s="21">
        <f>COUNTIF(I2:I20,"Todos")</f>
        <v>7</v>
      </c>
    </row>
    <row r="4">
      <c r="A4" s="38" t="s">
        <v>96</v>
      </c>
      <c r="B4" s="59" t="s">
        <v>415</v>
      </c>
      <c r="C4" s="59" t="s">
        <v>429</v>
      </c>
      <c r="D4" s="59" t="s">
        <v>430</v>
      </c>
      <c r="E4" s="59" t="s">
        <v>431</v>
      </c>
      <c r="F4" s="59" t="s">
        <v>432</v>
      </c>
      <c r="G4" s="59" t="s">
        <v>433</v>
      </c>
      <c r="H4" s="59" t="s">
        <v>421</v>
      </c>
      <c r="I4" s="59" t="s">
        <v>18</v>
      </c>
      <c r="M4" s="1" t="s">
        <v>18</v>
      </c>
      <c r="N4" s="21">
        <f>COUNTIF(I2:I20,"El Salvador")</f>
        <v>2</v>
      </c>
    </row>
    <row r="5">
      <c r="A5" s="50" t="s">
        <v>101</v>
      </c>
      <c r="B5" s="69" t="s">
        <v>415</v>
      </c>
      <c r="C5" s="69" t="s">
        <v>434</v>
      </c>
      <c r="D5" s="69" t="s">
        <v>435</v>
      </c>
      <c r="E5" s="69" t="s">
        <v>436</v>
      </c>
      <c r="F5" s="69" t="s">
        <v>437</v>
      </c>
      <c r="G5" s="69" t="s">
        <v>438</v>
      </c>
      <c r="H5" s="69" t="s">
        <v>421</v>
      </c>
      <c r="I5" s="69" t="s">
        <v>17</v>
      </c>
      <c r="M5" s="1" t="s">
        <v>17</v>
      </c>
      <c r="N5" s="21">
        <f>COUNTIF(I2:I21,"Honduras")</f>
        <v>2</v>
      </c>
    </row>
    <row r="6">
      <c r="A6" s="50" t="s">
        <v>106</v>
      </c>
      <c r="B6" s="69" t="s">
        <v>415</v>
      </c>
      <c r="C6" s="69" t="s">
        <v>439</v>
      </c>
      <c r="D6" s="69" t="s">
        <v>440</v>
      </c>
      <c r="E6" s="69" t="s">
        <v>441</v>
      </c>
      <c r="F6" s="69" t="s">
        <v>442</v>
      </c>
      <c r="G6" s="69" t="s">
        <v>443</v>
      </c>
      <c r="H6" s="69" t="s">
        <v>421</v>
      </c>
      <c r="I6" s="69" t="s">
        <v>15</v>
      </c>
      <c r="M6" s="1" t="s">
        <v>16</v>
      </c>
      <c r="N6" s="21">
        <f>COUNTIF(I$2:I22,"Costa Rica")</f>
        <v>2</v>
      </c>
    </row>
    <row r="7">
      <c r="A7" s="50" t="s">
        <v>110</v>
      </c>
      <c r="B7" s="69" t="s">
        <v>415</v>
      </c>
      <c r="C7" s="69" t="s">
        <v>444</v>
      </c>
      <c r="D7" s="69" t="s">
        <v>445</v>
      </c>
      <c r="E7" s="69" t="s">
        <v>446</v>
      </c>
      <c r="F7" s="69" t="s">
        <v>442</v>
      </c>
      <c r="G7" s="69" t="s">
        <v>447</v>
      </c>
      <c r="H7" s="69" t="s">
        <v>421</v>
      </c>
      <c r="I7" s="69" t="s">
        <v>16</v>
      </c>
      <c r="M7" s="1" t="s">
        <v>15</v>
      </c>
      <c r="N7" s="21">
        <f>COUNTIF(I$2:I23,"Panama")</f>
        <v>2</v>
      </c>
    </row>
    <row r="8">
      <c r="A8" s="50" t="s">
        <v>115</v>
      </c>
      <c r="B8" s="69" t="s">
        <v>415</v>
      </c>
      <c r="C8" s="69" t="s">
        <v>448</v>
      </c>
      <c r="D8" s="69" t="s">
        <v>449</v>
      </c>
      <c r="E8" s="69" t="s">
        <v>450</v>
      </c>
      <c r="F8" s="69" t="s">
        <v>442</v>
      </c>
      <c r="G8" s="69" t="s">
        <v>451</v>
      </c>
      <c r="H8" s="69" t="s">
        <v>421</v>
      </c>
      <c r="I8" s="69" t="s">
        <v>14</v>
      </c>
      <c r="M8" s="1" t="s">
        <v>19</v>
      </c>
      <c r="N8" s="21">
        <f>COUNTIF(I$2:I24,"Miami")</f>
        <v>2</v>
      </c>
    </row>
    <row r="9">
      <c r="A9" s="50" t="s">
        <v>120</v>
      </c>
      <c r="B9" s="69" t="s">
        <v>415</v>
      </c>
      <c r="C9" s="69" t="s">
        <v>452</v>
      </c>
      <c r="D9" s="69" t="s">
        <v>453</v>
      </c>
      <c r="E9" s="69" t="s">
        <v>454</v>
      </c>
      <c r="F9" s="69" t="s">
        <v>442</v>
      </c>
      <c r="G9" s="69" t="s">
        <v>455</v>
      </c>
      <c r="H9" s="69" t="s">
        <v>421</v>
      </c>
      <c r="I9" s="69" t="s">
        <v>19</v>
      </c>
      <c r="M9" s="1" t="s">
        <v>14</v>
      </c>
      <c r="N9" s="21">
        <f>COUNTIF(I$2:I25,"Colombia")</f>
        <v>2</v>
      </c>
    </row>
    <row r="10">
      <c r="A10" s="38" t="s">
        <v>125</v>
      </c>
      <c r="B10" s="59" t="s">
        <v>415</v>
      </c>
      <c r="C10" s="59" t="s">
        <v>456</v>
      </c>
      <c r="D10" s="59" t="s">
        <v>424</v>
      </c>
      <c r="E10" s="59" t="s">
        <v>457</v>
      </c>
      <c r="F10" s="59" t="s">
        <v>458</v>
      </c>
      <c r="G10" s="59" t="s">
        <v>46</v>
      </c>
      <c r="H10" s="59" t="s">
        <v>421</v>
      </c>
      <c r="I10" s="59" t="s">
        <v>13</v>
      </c>
    </row>
    <row r="11">
      <c r="A11" s="38" t="s">
        <v>129</v>
      </c>
      <c r="B11" s="59" t="s">
        <v>415</v>
      </c>
      <c r="C11" s="59" t="s">
        <v>459</v>
      </c>
      <c r="D11" s="59" t="s">
        <v>460</v>
      </c>
      <c r="E11" s="59" t="s">
        <v>457</v>
      </c>
      <c r="F11" s="59" t="s">
        <v>461</v>
      </c>
      <c r="G11" s="59" t="s">
        <v>46</v>
      </c>
      <c r="H11" s="59" t="s">
        <v>421</v>
      </c>
      <c r="I11" s="59" t="s">
        <v>13</v>
      </c>
    </row>
    <row r="12">
      <c r="A12" s="38" t="s">
        <v>134</v>
      </c>
      <c r="B12" s="59" t="s">
        <v>415</v>
      </c>
      <c r="C12" s="59" t="s">
        <v>462</v>
      </c>
      <c r="D12" s="59" t="s">
        <v>463</v>
      </c>
      <c r="E12" s="59" t="s">
        <v>464</v>
      </c>
      <c r="F12" s="59" t="s">
        <v>465</v>
      </c>
      <c r="G12" s="59" t="s">
        <v>46</v>
      </c>
      <c r="H12" s="59" t="s">
        <v>421</v>
      </c>
      <c r="I12" s="59" t="s">
        <v>18</v>
      </c>
    </row>
    <row r="13">
      <c r="A13" s="50" t="s">
        <v>139</v>
      </c>
      <c r="B13" s="69" t="s">
        <v>415</v>
      </c>
      <c r="C13" s="69" t="s">
        <v>466</v>
      </c>
      <c r="D13" s="69" t="s">
        <v>467</v>
      </c>
      <c r="E13" s="69" t="s">
        <v>464</v>
      </c>
      <c r="F13" s="69" t="s">
        <v>465</v>
      </c>
      <c r="G13" s="69" t="s">
        <v>46</v>
      </c>
      <c r="H13" s="69" t="s">
        <v>421</v>
      </c>
      <c r="I13" s="69" t="s">
        <v>15</v>
      </c>
    </row>
    <row r="14">
      <c r="A14" s="50" t="s">
        <v>144</v>
      </c>
      <c r="B14" s="69" t="s">
        <v>415</v>
      </c>
      <c r="C14" s="69" t="s">
        <v>468</v>
      </c>
      <c r="D14" s="69" t="s">
        <v>469</v>
      </c>
      <c r="E14" s="69" t="s">
        <v>464</v>
      </c>
      <c r="F14" s="69" t="s">
        <v>465</v>
      </c>
      <c r="G14" s="69" t="s">
        <v>46</v>
      </c>
      <c r="H14" s="69" t="s">
        <v>421</v>
      </c>
      <c r="I14" s="69" t="s">
        <v>16</v>
      </c>
    </row>
    <row r="15">
      <c r="A15" s="50" t="s">
        <v>149</v>
      </c>
      <c r="B15" s="69" t="s">
        <v>415</v>
      </c>
      <c r="C15" s="69" t="s">
        <v>470</v>
      </c>
      <c r="D15" s="69" t="s">
        <v>471</v>
      </c>
      <c r="E15" s="69" t="s">
        <v>464</v>
      </c>
      <c r="F15" s="69" t="s">
        <v>465</v>
      </c>
      <c r="G15" s="69" t="s">
        <v>46</v>
      </c>
      <c r="H15" s="69" t="s">
        <v>421</v>
      </c>
      <c r="I15" s="69" t="s">
        <v>17</v>
      </c>
    </row>
    <row r="16">
      <c r="A16" s="50" t="s">
        <v>153</v>
      </c>
      <c r="B16" s="69" t="s">
        <v>415</v>
      </c>
      <c r="C16" s="69" t="s">
        <v>472</v>
      </c>
      <c r="D16" s="69" t="s">
        <v>473</v>
      </c>
      <c r="E16" s="69" t="s">
        <v>464</v>
      </c>
      <c r="F16" s="69" t="s">
        <v>465</v>
      </c>
      <c r="G16" s="69" t="s">
        <v>46</v>
      </c>
      <c r="H16" s="69" t="s">
        <v>421</v>
      </c>
      <c r="I16" s="69" t="s">
        <v>14</v>
      </c>
    </row>
    <row r="17">
      <c r="A17" s="50" t="s">
        <v>158</v>
      </c>
      <c r="B17" s="69" t="s">
        <v>415</v>
      </c>
      <c r="C17" s="69" t="s">
        <v>474</v>
      </c>
      <c r="D17" s="69" t="s">
        <v>475</v>
      </c>
      <c r="E17" s="69" t="s">
        <v>464</v>
      </c>
      <c r="F17" s="69" t="s">
        <v>465</v>
      </c>
      <c r="G17" s="69" t="s">
        <v>46</v>
      </c>
      <c r="H17" s="69" t="s">
        <v>421</v>
      </c>
      <c r="I17" s="69" t="s">
        <v>19</v>
      </c>
    </row>
    <row r="18">
      <c r="A18" s="38" t="s">
        <v>162</v>
      </c>
      <c r="B18" s="59" t="s">
        <v>415</v>
      </c>
      <c r="C18" s="59" t="s">
        <v>476</v>
      </c>
      <c r="D18" s="59" t="s">
        <v>402</v>
      </c>
      <c r="E18" s="59" t="s">
        <v>477</v>
      </c>
      <c r="F18" s="59" t="s">
        <v>478</v>
      </c>
      <c r="G18" s="59" t="s">
        <v>46</v>
      </c>
      <c r="H18" s="59" t="s">
        <v>479</v>
      </c>
      <c r="I18" s="59" t="s">
        <v>13</v>
      </c>
    </row>
    <row r="19">
      <c r="A19" s="38" t="s">
        <v>165</v>
      </c>
      <c r="B19" s="59" t="s">
        <v>415</v>
      </c>
      <c r="C19" s="59" t="s">
        <v>480</v>
      </c>
      <c r="D19" s="59" t="s">
        <v>406</v>
      </c>
      <c r="E19" s="59" t="s">
        <v>477</v>
      </c>
      <c r="F19" s="59" t="s">
        <v>481</v>
      </c>
      <c r="G19" s="59" t="s">
        <v>46</v>
      </c>
      <c r="H19" s="59" t="s">
        <v>479</v>
      </c>
      <c r="I19" s="59" t="s">
        <v>13</v>
      </c>
    </row>
    <row r="20">
      <c r="A20" s="38" t="s">
        <v>167</v>
      </c>
      <c r="B20" s="59" t="s">
        <v>415</v>
      </c>
      <c r="C20" s="59" t="s">
        <v>409</v>
      </c>
      <c r="D20" s="59" t="s">
        <v>410</v>
      </c>
      <c r="E20" s="59" t="s">
        <v>411</v>
      </c>
      <c r="F20" s="59" t="s">
        <v>46</v>
      </c>
      <c r="G20" s="59" t="s">
        <v>46</v>
      </c>
      <c r="H20" s="59" t="s">
        <v>412</v>
      </c>
      <c r="I20" s="59" t="s">
        <v>13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20.63"/>
    <col customWidth="1" min="3" max="3" width="21.13"/>
    <col customWidth="1" min="4" max="4" width="22.88"/>
    <col customWidth="1" min="5" max="5" width="75.25"/>
    <col customWidth="1" min="6" max="6" width="19.75"/>
    <col customWidth="1" min="7" max="7" width="33.13"/>
    <col customWidth="1" min="8" max="8" width="23.13"/>
    <col customWidth="1" min="9" max="9" width="17.75"/>
  </cols>
  <sheetData>
    <row r="1">
      <c r="A1" s="31" t="s">
        <v>482</v>
      </c>
      <c r="B1" s="32" t="s">
        <v>79</v>
      </c>
      <c r="C1" s="32" t="s">
        <v>80</v>
      </c>
      <c r="D1" s="32" t="s">
        <v>81</v>
      </c>
      <c r="E1" s="32" t="s">
        <v>82</v>
      </c>
      <c r="F1" s="31" t="s">
        <v>414</v>
      </c>
      <c r="G1" s="32" t="s">
        <v>83</v>
      </c>
      <c r="H1" s="32" t="s">
        <v>83</v>
      </c>
      <c r="I1" s="70" t="s">
        <v>483</v>
      </c>
      <c r="J1" s="58"/>
      <c r="K1" s="58"/>
      <c r="L1" s="58"/>
      <c r="M1" s="58"/>
      <c r="N1" s="58"/>
      <c r="O1" s="58"/>
      <c r="P1" s="58"/>
      <c r="Q1" s="58"/>
      <c r="R1" s="58"/>
      <c r="S1" s="58"/>
      <c r="T1" s="58"/>
      <c r="U1" s="58"/>
      <c r="V1" s="58"/>
      <c r="W1" s="58"/>
      <c r="X1" s="58"/>
      <c r="Y1" s="58"/>
      <c r="Z1" s="58"/>
    </row>
    <row r="2">
      <c r="A2" s="71" t="s">
        <v>84</v>
      </c>
      <c r="B2" s="72" t="s">
        <v>484</v>
      </c>
      <c r="C2" s="73" t="s">
        <v>485</v>
      </c>
      <c r="D2" s="72" t="s">
        <v>486</v>
      </c>
      <c r="E2" s="72" t="s">
        <v>487</v>
      </c>
      <c r="F2" s="72" t="s">
        <v>488</v>
      </c>
      <c r="G2" s="72" t="s">
        <v>489</v>
      </c>
      <c r="H2" s="74" t="s">
        <v>13</v>
      </c>
      <c r="I2" s="75"/>
      <c r="J2" s="58"/>
      <c r="K2" s="58"/>
      <c r="L2" s="76" t="s">
        <v>284</v>
      </c>
      <c r="M2" s="58">
        <f>COUNTA(H2:H136)</f>
        <v>135</v>
      </c>
      <c r="N2" s="58"/>
      <c r="O2" s="58"/>
      <c r="P2" s="58"/>
      <c r="Q2" s="58"/>
      <c r="R2" s="58"/>
      <c r="S2" s="58"/>
      <c r="T2" s="58"/>
      <c r="U2" s="58"/>
      <c r="V2" s="58"/>
      <c r="W2" s="58"/>
      <c r="X2" s="58"/>
      <c r="Y2" s="58"/>
      <c r="Z2" s="58"/>
    </row>
    <row r="3">
      <c r="A3" s="77" t="s">
        <v>92</v>
      </c>
      <c r="B3" s="72" t="s">
        <v>490</v>
      </c>
      <c r="C3" s="73" t="s">
        <v>491</v>
      </c>
      <c r="D3" s="72" t="s">
        <v>492</v>
      </c>
      <c r="E3" s="72" t="s">
        <v>493</v>
      </c>
      <c r="F3" s="78"/>
      <c r="G3" s="72" t="s">
        <v>494</v>
      </c>
      <c r="H3" s="74" t="s">
        <v>13</v>
      </c>
      <c r="I3" s="75"/>
      <c r="J3" s="79" t="s">
        <v>495</v>
      </c>
      <c r="K3" s="58"/>
      <c r="L3" s="58"/>
      <c r="M3" s="58"/>
      <c r="N3" s="58"/>
      <c r="O3" s="58"/>
      <c r="P3" s="58"/>
      <c r="Q3" s="58"/>
      <c r="R3" s="58"/>
      <c r="S3" s="58"/>
      <c r="T3" s="58"/>
      <c r="U3" s="58"/>
      <c r="V3" s="58"/>
      <c r="W3" s="58"/>
      <c r="X3" s="58"/>
      <c r="Y3" s="58"/>
      <c r="Z3" s="58"/>
    </row>
    <row r="4">
      <c r="A4" s="80" t="s">
        <v>96</v>
      </c>
      <c r="B4" s="72" t="s">
        <v>496</v>
      </c>
      <c r="C4" s="73" t="s">
        <v>497</v>
      </c>
      <c r="D4" s="72" t="s">
        <v>498</v>
      </c>
      <c r="E4" s="72" t="s">
        <v>499</v>
      </c>
      <c r="F4" s="72"/>
      <c r="G4" s="72" t="s">
        <v>500</v>
      </c>
      <c r="H4" s="74" t="s">
        <v>13</v>
      </c>
      <c r="I4" s="75"/>
      <c r="J4" s="58"/>
      <c r="K4" s="58"/>
      <c r="L4" s="58"/>
      <c r="M4" s="58"/>
      <c r="N4" s="58"/>
      <c r="O4" s="58"/>
      <c r="P4" s="58"/>
      <c r="Q4" s="58"/>
      <c r="R4" s="58"/>
      <c r="S4" s="58"/>
      <c r="T4" s="58"/>
      <c r="U4" s="58"/>
      <c r="V4" s="58"/>
      <c r="W4" s="58"/>
      <c r="X4" s="58"/>
      <c r="Y4" s="58"/>
      <c r="Z4" s="58"/>
    </row>
    <row r="5">
      <c r="A5" s="77" t="s">
        <v>101</v>
      </c>
      <c r="B5" s="73" t="s">
        <v>501</v>
      </c>
      <c r="C5" s="73" t="s">
        <v>502</v>
      </c>
      <c r="D5" s="73" t="s">
        <v>503</v>
      </c>
      <c r="E5" s="73" t="s">
        <v>504</v>
      </c>
      <c r="F5" s="75"/>
      <c r="G5" s="73" t="s">
        <v>505</v>
      </c>
      <c r="H5" s="74" t="s">
        <v>13</v>
      </c>
      <c r="I5" s="75"/>
      <c r="J5" s="79" t="s">
        <v>506</v>
      </c>
      <c r="K5" s="58"/>
      <c r="L5" s="58"/>
      <c r="M5" s="58"/>
      <c r="N5" s="58"/>
      <c r="O5" s="58"/>
      <c r="P5" s="58"/>
      <c r="Q5" s="58"/>
      <c r="R5" s="58"/>
      <c r="S5" s="58"/>
      <c r="T5" s="58"/>
      <c r="U5" s="58"/>
      <c r="V5" s="58"/>
      <c r="W5" s="58"/>
      <c r="X5" s="58"/>
      <c r="Y5" s="58"/>
      <c r="Z5" s="58"/>
    </row>
    <row r="6">
      <c r="A6" s="71" t="s">
        <v>106</v>
      </c>
      <c r="B6" s="81" t="s">
        <v>507</v>
      </c>
      <c r="C6" s="73" t="s">
        <v>497</v>
      </c>
      <c r="D6" s="72" t="s">
        <v>498</v>
      </c>
      <c r="E6" s="72" t="s">
        <v>508</v>
      </c>
      <c r="F6" s="82"/>
      <c r="G6" s="72" t="s">
        <v>509</v>
      </c>
      <c r="H6" s="74" t="s">
        <v>413</v>
      </c>
      <c r="I6" s="75"/>
      <c r="J6" s="76" t="s">
        <v>24</v>
      </c>
      <c r="K6" s="58"/>
      <c r="L6" s="58"/>
      <c r="M6" s="58"/>
      <c r="N6" s="58"/>
      <c r="O6" s="58"/>
      <c r="P6" s="58"/>
      <c r="Q6" s="58"/>
      <c r="R6" s="58"/>
      <c r="S6" s="58"/>
      <c r="T6" s="58"/>
      <c r="U6" s="58"/>
      <c r="V6" s="58"/>
      <c r="W6" s="58"/>
      <c r="X6" s="58"/>
      <c r="Y6" s="58"/>
      <c r="Z6" s="58"/>
    </row>
    <row r="7">
      <c r="A7" s="80" t="s">
        <v>110</v>
      </c>
      <c r="B7" s="83" t="s">
        <v>510</v>
      </c>
      <c r="C7" s="73" t="s">
        <v>511</v>
      </c>
      <c r="D7" s="72" t="s">
        <v>503</v>
      </c>
      <c r="E7" s="72" t="s">
        <v>512</v>
      </c>
      <c r="F7" s="78"/>
      <c r="G7" s="72" t="s">
        <v>505</v>
      </c>
      <c r="H7" s="74" t="s">
        <v>13</v>
      </c>
      <c r="I7" s="75"/>
      <c r="J7" s="58"/>
      <c r="K7" s="58"/>
      <c r="L7" s="58"/>
      <c r="M7" s="58"/>
      <c r="N7" s="58"/>
      <c r="O7" s="58"/>
      <c r="P7" s="58"/>
      <c r="Q7" s="58"/>
      <c r="R7" s="58"/>
      <c r="S7" s="58"/>
      <c r="T7" s="58"/>
      <c r="U7" s="58"/>
      <c r="V7" s="58"/>
      <c r="W7" s="58"/>
      <c r="X7" s="58"/>
      <c r="Y7" s="58"/>
      <c r="Z7" s="58"/>
    </row>
    <row r="8">
      <c r="A8" s="71" t="s">
        <v>115</v>
      </c>
      <c r="B8" s="81" t="s">
        <v>496</v>
      </c>
      <c r="C8" s="73" t="s">
        <v>497</v>
      </c>
      <c r="D8" s="72" t="s">
        <v>498</v>
      </c>
      <c r="E8" s="72" t="s">
        <v>513</v>
      </c>
      <c r="F8" s="78"/>
      <c r="G8" s="72" t="s">
        <v>509</v>
      </c>
      <c r="H8" s="74" t="s">
        <v>13</v>
      </c>
      <c r="I8" s="75"/>
      <c r="J8" s="58"/>
      <c r="K8" s="58"/>
      <c r="L8" s="58"/>
      <c r="M8" s="58"/>
      <c r="N8" s="58"/>
      <c r="O8" s="58"/>
      <c r="P8" s="58"/>
      <c r="Q8" s="58"/>
      <c r="R8" s="58"/>
      <c r="S8" s="58"/>
      <c r="T8" s="58"/>
      <c r="U8" s="58"/>
      <c r="V8" s="58"/>
      <c r="W8" s="58"/>
      <c r="X8" s="58"/>
      <c r="Y8" s="58"/>
      <c r="Z8" s="58"/>
    </row>
    <row r="9">
      <c r="A9" s="80" t="s">
        <v>120</v>
      </c>
      <c r="B9" s="81" t="s">
        <v>501</v>
      </c>
      <c r="C9" s="73" t="s">
        <v>514</v>
      </c>
      <c r="D9" s="72" t="s">
        <v>503</v>
      </c>
      <c r="E9" s="72" t="s">
        <v>515</v>
      </c>
      <c r="F9" s="78"/>
      <c r="G9" s="72" t="s">
        <v>516</v>
      </c>
      <c r="H9" s="74" t="s">
        <v>13</v>
      </c>
      <c r="I9" s="75"/>
      <c r="J9" s="58"/>
      <c r="K9" s="58"/>
      <c r="L9" s="58"/>
      <c r="M9" s="58"/>
      <c r="N9" s="58"/>
      <c r="O9" s="58"/>
      <c r="P9" s="58"/>
      <c r="Q9" s="58"/>
      <c r="R9" s="58"/>
      <c r="S9" s="58"/>
      <c r="T9" s="58"/>
      <c r="U9" s="58"/>
      <c r="V9" s="58"/>
      <c r="W9" s="58"/>
      <c r="X9" s="58"/>
      <c r="Y9" s="58"/>
      <c r="Z9" s="58"/>
    </row>
    <row r="10">
      <c r="A10" s="77" t="s">
        <v>125</v>
      </c>
      <c r="B10" s="72" t="s">
        <v>496</v>
      </c>
      <c r="C10" s="73" t="s">
        <v>517</v>
      </c>
      <c r="D10" s="73" t="s">
        <v>518</v>
      </c>
      <c r="E10" s="73" t="s">
        <v>519</v>
      </c>
      <c r="F10" s="78"/>
      <c r="G10" s="72" t="s">
        <v>520</v>
      </c>
      <c r="H10" s="74" t="s">
        <v>13</v>
      </c>
      <c r="I10" s="75"/>
      <c r="J10" s="79" t="s">
        <v>506</v>
      </c>
      <c r="K10" s="58"/>
      <c r="L10" s="58"/>
      <c r="M10" s="58"/>
      <c r="N10" s="58"/>
      <c r="O10" s="58"/>
      <c r="P10" s="58"/>
      <c r="Q10" s="58"/>
      <c r="R10" s="58"/>
      <c r="S10" s="58"/>
      <c r="T10" s="58"/>
      <c r="U10" s="58"/>
      <c r="V10" s="58"/>
      <c r="W10" s="58"/>
      <c r="X10" s="58"/>
      <c r="Y10" s="58"/>
      <c r="Z10" s="58"/>
    </row>
    <row r="11">
      <c r="A11" s="84" t="s">
        <v>129</v>
      </c>
      <c r="B11" s="72" t="s">
        <v>496</v>
      </c>
      <c r="C11" s="73" t="s">
        <v>521</v>
      </c>
      <c r="D11" s="72" t="s">
        <v>522</v>
      </c>
      <c r="E11" s="72" t="s">
        <v>523</v>
      </c>
      <c r="F11" s="72" t="s">
        <v>524</v>
      </c>
      <c r="G11" s="72" t="s">
        <v>509</v>
      </c>
      <c r="H11" s="74" t="s">
        <v>13</v>
      </c>
      <c r="I11" s="75"/>
      <c r="J11" s="79" t="s">
        <v>506</v>
      </c>
      <c r="K11" s="58"/>
      <c r="L11" s="58"/>
      <c r="M11" s="58"/>
      <c r="N11" s="58"/>
      <c r="O11" s="58"/>
      <c r="P11" s="58"/>
      <c r="Q11" s="58"/>
      <c r="R11" s="58"/>
      <c r="S11" s="58"/>
      <c r="T11" s="58"/>
      <c r="U11" s="58"/>
      <c r="V11" s="58"/>
      <c r="W11" s="58"/>
      <c r="X11" s="58"/>
      <c r="Y11" s="58"/>
      <c r="Z11" s="58"/>
    </row>
    <row r="12">
      <c r="A12" s="77" t="s">
        <v>134</v>
      </c>
      <c r="B12" s="72" t="s">
        <v>496</v>
      </c>
      <c r="C12" s="73" t="s">
        <v>521</v>
      </c>
      <c r="D12" s="72" t="s">
        <v>525</v>
      </c>
      <c r="E12" s="72" t="s">
        <v>526</v>
      </c>
      <c r="F12" s="72" t="s">
        <v>527</v>
      </c>
      <c r="G12" s="72" t="s">
        <v>509</v>
      </c>
      <c r="H12" s="74" t="s">
        <v>13</v>
      </c>
      <c r="I12" s="75"/>
      <c r="J12" s="79" t="s">
        <v>528</v>
      </c>
      <c r="K12" s="58"/>
      <c r="L12" s="58"/>
      <c r="M12" s="58"/>
      <c r="N12" s="58"/>
      <c r="O12" s="58"/>
      <c r="P12" s="58"/>
      <c r="Q12" s="58"/>
      <c r="R12" s="58"/>
      <c r="S12" s="58"/>
      <c r="T12" s="58"/>
      <c r="U12" s="58"/>
      <c r="V12" s="58"/>
      <c r="W12" s="58"/>
      <c r="X12" s="58"/>
      <c r="Y12" s="58"/>
      <c r="Z12" s="58"/>
    </row>
    <row r="13">
      <c r="A13" s="85" t="s">
        <v>139</v>
      </c>
      <c r="B13" s="72" t="s">
        <v>496</v>
      </c>
      <c r="C13" s="73" t="s">
        <v>521</v>
      </c>
      <c r="D13" s="72" t="s">
        <v>529</v>
      </c>
      <c r="E13" s="72" t="s">
        <v>530</v>
      </c>
      <c r="F13" s="72" t="s">
        <v>531</v>
      </c>
      <c r="G13" s="72" t="s">
        <v>509</v>
      </c>
      <c r="H13" s="74" t="s">
        <v>13</v>
      </c>
      <c r="I13" s="75"/>
      <c r="J13" s="79" t="s">
        <v>506</v>
      </c>
      <c r="K13" s="58"/>
      <c r="L13" s="58"/>
      <c r="M13" s="58"/>
      <c r="N13" s="58"/>
      <c r="O13" s="58"/>
      <c r="P13" s="58"/>
      <c r="Q13" s="58"/>
      <c r="R13" s="58"/>
      <c r="S13" s="58"/>
      <c r="T13" s="58"/>
      <c r="U13" s="58"/>
      <c r="V13" s="58"/>
      <c r="W13" s="58"/>
      <c r="X13" s="58"/>
      <c r="Y13" s="58"/>
      <c r="Z13" s="58"/>
    </row>
    <row r="14">
      <c r="A14" s="85" t="s">
        <v>144</v>
      </c>
      <c r="B14" s="72" t="s">
        <v>496</v>
      </c>
      <c r="C14" s="73" t="s">
        <v>521</v>
      </c>
      <c r="D14" s="72" t="s">
        <v>532</v>
      </c>
      <c r="E14" s="72" t="s">
        <v>533</v>
      </c>
      <c r="F14" s="72" t="s">
        <v>534</v>
      </c>
      <c r="G14" s="72" t="s">
        <v>509</v>
      </c>
      <c r="H14" s="74" t="s">
        <v>13</v>
      </c>
      <c r="I14" s="75"/>
      <c r="J14" s="79" t="s">
        <v>506</v>
      </c>
      <c r="K14" s="58"/>
      <c r="L14" s="58"/>
      <c r="M14" s="58"/>
      <c r="N14" s="58"/>
      <c r="O14" s="58"/>
      <c r="P14" s="58"/>
      <c r="Q14" s="58"/>
      <c r="R14" s="58"/>
      <c r="S14" s="58"/>
      <c r="T14" s="58"/>
      <c r="U14" s="58"/>
      <c r="V14" s="58"/>
      <c r="W14" s="58"/>
      <c r="X14" s="58"/>
      <c r="Y14" s="58"/>
      <c r="Z14" s="58"/>
    </row>
    <row r="15">
      <c r="A15" s="85" t="s">
        <v>149</v>
      </c>
      <c r="B15" s="72" t="s">
        <v>501</v>
      </c>
      <c r="C15" s="73" t="s">
        <v>535</v>
      </c>
      <c r="D15" s="72" t="s">
        <v>503</v>
      </c>
      <c r="E15" s="72" t="s">
        <v>536</v>
      </c>
      <c r="F15" s="78"/>
      <c r="G15" s="72" t="s">
        <v>537</v>
      </c>
      <c r="H15" s="74" t="s">
        <v>13</v>
      </c>
      <c r="I15" s="75"/>
      <c r="J15" s="79" t="s">
        <v>506</v>
      </c>
      <c r="K15" s="58"/>
      <c r="L15" s="58"/>
      <c r="M15" s="58"/>
      <c r="N15" s="58"/>
      <c r="O15" s="58"/>
      <c r="P15" s="58"/>
      <c r="Q15" s="58"/>
      <c r="R15" s="58"/>
      <c r="S15" s="58"/>
      <c r="T15" s="58"/>
      <c r="U15" s="58"/>
      <c r="V15" s="58"/>
      <c r="W15" s="58"/>
      <c r="X15" s="58"/>
      <c r="Y15" s="58"/>
      <c r="Z15" s="58"/>
    </row>
    <row r="16">
      <c r="A16" s="85" t="s">
        <v>153</v>
      </c>
      <c r="B16" s="72" t="s">
        <v>496</v>
      </c>
      <c r="C16" s="73" t="s">
        <v>538</v>
      </c>
      <c r="D16" s="72" t="s">
        <v>539</v>
      </c>
      <c r="E16" s="72" t="s">
        <v>540</v>
      </c>
      <c r="F16" s="72" t="s">
        <v>541</v>
      </c>
      <c r="G16" s="72" t="s">
        <v>509</v>
      </c>
      <c r="H16" s="74" t="s">
        <v>13</v>
      </c>
      <c r="I16" s="75"/>
      <c r="J16" s="79" t="s">
        <v>528</v>
      </c>
      <c r="K16" s="58"/>
      <c r="L16" s="58"/>
      <c r="M16" s="58"/>
      <c r="N16" s="58"/>
      <c r="O16" s="58"/>
      <c r="P16" s="58"/>
      <c r="Q16" s="58"/>
      <c r="R16" s="58"/>
      <c r="S16" s="58"/>
      <c r="T16" s="58"/>
      <c r="U16" s="58"/>
      <c r="V16" s="58"/>
      <c r="W16" s="58"/>
      <c r="X16" s="58"/>
      <c r="Y16" s="58"/>
      <c r="Z16" s="58"/>
    </row>
    <row r="17">
      <c r="A17" s="85" t="s">
        <v>158</v>
      </c>
      <c r="B17" s="72" t="s">
        <v>496</v>
      </c>
      <c r="C17" s="73" t="s">
        <v>538</v>
      </c>
      <c r="D17" s="72" t="s">
        <v>539</v>
      </c>
      <c r="E17" s="72" t="s">
        <v>542</v>
      </c>
      <c r="F17" s="72" t="s">
        <v>543</v>
      </c>
      <c r="G17" s="72" t="s">
        <v>509</v>
      </c>
      <c r="H17" s="74" t="s">
        <v>13</v>
      </c>
      <c r="I17" s="75"/>
      <c r="J17" s="79" t="s">
        <v>506</v>
      </c>
      <c r="K17" s="58"/>
      <c r="L17" s="58"/>
      <c r="M17" s="58"/>
      <c r="N17" s="58"/>
      <c r="O17" s="58"/>
      <c r="P17" s="58"/>
      <c r="Q17" s="58"/>
      <c r="R17" s="58"/>
      <c r="S17" s="58"/>
      <c r="T17" s="58"/>
      <c r="U17" s="58"/>
      <c r="V17" s="58"/>
      <c r="W17" s="58"/>
      <c r="X17" s="58"/>
      <c r="Y17" s="58"/>
      <c r="Z17" s="58"/>
    </row>
    <row r="18">
      <c r="A18" s="85" t="s">
        <v>162</v>
      </c>
      <c r="B18" s="72" t="s">
        <v>496</v>
      </c>
      <c r="C18" s="72" t="s">
        <v>538</v>
      </c>
      <c r="D18" s="72" t="s">
        <v>544</v>
      </c>
      <c r="E18" s="72" t="s">
        <v>545</v>
      </c>
      <c r="F18" s="72" t="s">
        <v>546</v>
      </c>
      <c r="G18" s="72" t="s">
        <v>509</v>
      </c>
      <c r="H18" s="74" t="s">
        <v>13</v>
      </c>
      <c r="I18" s="78"/>
      <c r="J18" s="79" t="s">
        <v>506</v>
      </c>
      <c r="K18" s="86"/>
      <c r="L18" s="86"/>
      <c r="M18" s="86"/>
      <c r="N18" s="86"/>
      <c r="O18" s="86"/>
      <c r="P18" s="86"/>
      <c r="Q18" s="86"/>
      <c r="R18" s="86"/>
      <c r="S18" s="86"/>
      <c r="T18" s="86"/>
      <c r="U18" s="86"/>
      <c r="V18" s="86"/>
      <c r="W18" s="86"/>
      <c r="X18" s="86"/>
      <c r="Y18" s="86"/>
      <c r="Z18" s="86"/>
    </row>
    <row r="19">
      <c r="A19" s="80" t="s">
        <v>165</v>
      </c>
      <c r="B19" s="81" t="s">
        <v>501</v>
      </c>
      <c r="C19" s="73" t="s">
        <v>514</v>
      </c>
      <c r="D19" s="72" t="s">
        <v>503</v>
      </c>
      <c r="E19" s="72" t="s">
        <v>547</v>
      </c>
      <c r="F19" s="72" t="s">
        <v>543</v>
      </c>
      <c r="G19" s="72" t="s">
        <v>516</v>
      </c>
      <c r="H19" s="74" t="s">
        <v>13</v>
      </c>
      <c r="I19" s="75"/>
      <c r="J19" s="58"/>
      <c r="K19" s="58"/>
      <c r="L19" s="58"/>
      <c r="M19" s="58"/>
      <c r="N19" s="58"/>
      <c r="O19" s="58"/>
      <c r="P19" s="58"/>
      <c r="Q19" s="58"/>
      <c r="R19" s="58"/>
      <c r="S19" s="58"/>
      <c r="T19" s="58"/>
      <c r="U19" s="58"/>
      <c r="V19" s="58"/>
      <c r="W19" s="58"/>
      <c r="X19" s="58"/>
      <c r="Y19" s="58"/>
      <c r="Z19" s="58"/>
    </row>
    <row r="20">
      <c r="A20" s="80" t="s">
        <v>167</v>
      </c>
      <c r="B20" s="81" t="s">
        <v>496</v>
      </c>
      <c r="C20" s="73" t="s">
        <v>497</v>
      </c>
      <c r="D20" s="72" t="s">
        <v>548</v>
      </c>
      <c r="E20" s="72" t="s">
        <v>549</v>
      </c>
      <c r="F20" s="72" t="s">
        <v>550</v>
      </c>
      <c r="G20" s="72" t="s">
        <v>509</v>
      </c>
      <c r="H20" s="74" t="s">
        <v>13</v>
      </c>
      <c r="I20" s="75"/>
      <c r="J20" s="58"/>
      <c r="K20" s="58"/>
      <c r="L20" s="58"/>
      <c r="M20" s="58"/>
      <c r="N20" s="58"/>
      <c r="O20" s="58"/>
      <c r="P20" s="58"/>
      <c r="Q20" s="58"/>
      <c r="R20" s="58"/>
      <c r="S20" s="58"/>
      <c r="T20" s="58"/>
      <c r="U20" s="58"/>
      <c r="V20" s="58"/>
      <c r="W20" s="58"/>
      <c r="X20" s="58"/>
      <c r="Y20" s="58"/>
      <c r="Z20" s="58"/>
    </row>
    <row r="21">
      <c r="A21" s="87" t="s">
        <v>170</v>
      </c>
      <c r="B21" s="81" t="s">
        <v>551</v>
      </c>
      <c r="C21" s="81" t="s">
        <v>552</v>
      </c>
      <c r="D21" s="81" t="s">
        <v>553</v>
      </c>
      <c r="E21" s="81" t="s">
        <v>554</v>
      </c>
      <c r="F21" s="81" t="s">
        <v>555</v>
      </c>
      <c r="G21" s="81" t="s">
        <v>556</v>
      </c>
      <c r="H21" s="88" t="s">
        <v>13</v>
      </c>
      <c r="I21" s="78"/>
      <c r="J21" s="86"/>
      <c r="K21" s="86"/>
      <c r="L21" s="86"/>
      <c r="M21" s="86"/>
      <c r="N21" s="86"/>
      <c r="O21" s="86"/>
      <c r="P21" s="86"/>
      <c r="Q21" s="86"/>
      <c r="R21" s="86"/>
      <c r="S21" s="86"/>
      <c r="T21" s="86"/>
      <c r="U21" s="86"/>
      <c r="V21" s="86"/>
      <c r="W21" s="86"/>
      <c r="X21" s="86"/>
      <c r="Y21" s="86"/>
      <c r="Z21" s="86"/>
    </row>
    <row r="22">
      <c r="A22" s="87" t="s">
        <v>175</v>
      </c>
      <c r="B22" s="89" t="s">
        <v>551</v>
      </c>
      <c r="C22" s="89" t="s">
        <v>552</v>
      </c>
      <c r="D22" s="90" t="s">
        <v>557</v>
      </c>
      <c r="E22" s="90" t="s">
        <v>558</v>
      </c>
      <c r="F22" s="81"/>
      <c r="G22" s="90" t="s">
        <v>559</v>
      </c>
      <c r="H22" s="88" t="s">
        <v>13</v>
      </c>
      <c r="I22" s="75"/>
      <c r="J22" s="58"/>
      <c r="K22" s="58"/>
      <c r="L22" s="58"/>
      <c r="M22" s="58"/>
      <c r="N22" s="58"/>
      <c r="O22" s="58"/>
      <c r="P22" s="58"/>
      <c r="Q22" s="58"/>
      <c r="R22" s="58"/>
      <c r="S22" s="58"/>
      <c r="T22" s="58"/>
      <c r="U22" s="58"/>
      <c r="V22" s="58"/>
      <c r="W22" s="58"/>
      <c r="X22" s="58"/>
      <c r="Y22" s="58"/>
      <c r="Z22" s="58"/>
    </row>
    <row r="23">
      <c r="A23" s="87" t="s">
        <v>180</v>
      </c>
      <c r="B23" s="89" t="s">
        <v>551</v>
      </c>
      <c r="C23" s="89" t="s">
        <v>552</v>
      </c>
      <c r="D23" s="90" t="s">
        <v>557</v>
      </c>
      <c r="E23" s="90" t="s">
        <v>560</v>
      </c>
      <c r="F23" s="81"/>
      <c r="G23" s="90" t="s">
        <v>561</v>
      </c>
      <c r="H23" s="88" t="s">
        <v>13</v>
      </c>
      <c r="I23" s="75"/>
      <c r="J23" s="58"/>
      <c r="K23" s="58"/>
      <c r="L23" s="58"/>
      <c r="M23" s="58"/>
      <c r="N23" s="58"/>
      <c r="O23" s="58"/>
      <c r="P23" s="58"/>
      <c r="Q23" s="58"/>
      <c r="R23" s="58"/>
      <c r="S23" s="58"/>
      <c r="T23" s="58"/>
      <c r="U23" s="58"/>
      <c r="V23" s="58"/>
      <c r="W23" s="58"/>
      <c r="X23" s="58"/>
      <c r="Y23" s="58"/>
      <c r="Z23" s="58"/>
    </row>
    <row r="24">
      <c r="A24" s="91" t="s">
        <v>185</v>
      </c>
      <c r="B24" s="72" t="s">
        <v>562</v>
      </c>
      <c r="C24" s="73" t="s">
        <v>563</v>
      </c>
      <c r="D24" s="72"/>
      <c r="E24" s="73" t="s">
        <v>564</v>
      </c>
      <c r="F24" s="72"/>
      <c r="G24" s="72" t="s">
        <v>565</v>
      </c>
      <c r="H24" s="74" t="s">
        <v>13</v>
      </c>
      <c r="I24" s="75"/>
      <c r="J24" s="76" t="s">
        <v>566</v>
      </c>
      <c r="K24" s="58"/>
      <c r="L24" s="58"/>
      <c r="M24" s="58"/>
      <c r="N24" s="58"/>
      <c r="O24" s="58"/>
      <c r="P24" s="58"/>
      <c r="Q24" s="58"/>
      <c r="R24" s="58"/>
      <c r="S24" s="58"/>
      <c r="T24" s="58"/>
      <c r="U24" s="58"/>
      <c r="V24" s="58"/>
      <c r="W24" s="58"/>
      <c r="X24" s="58"/>
      <c r="Y24" s="58"/>
      <c r="Z24" s="58"/>
    </row>
    <row r="25">
      <c r="A25" s="91" t="s">
        <v>190</v>
      </c>
      <c r="B25" s="72" t="s">
        <v>567</v>
      </c>
      <c r="C25" s="73" t="s">
        <v>568</v>
      </c>
      <c r="D25" s="72"/>
      <c r="E25" s="73" t="s">
        <v>569</v>
      </c>
      <c r="F25" s="72"/>
      <c r="G25" s="72" t="s">
        <v>570</v>
      </c>
      <c r="H25" s="74" t="s">
        <v>13</v>
      </c>
      <c r="I25" s="75"/>
      <c r="J25" s="76" t="s">
        <v>566</v>
      </c>
      <c r="K25" s="58"/>
      <c r="L25" s="58"/>
      <c r="M25" s="58"/>
      <c r="N25" s="58"/>
      <c r="O25" s="58"/>
      <c r="P25" s="58"/>
      <c r="Q25" s="58"/>
      <c r="R25" s="58"/>
      <c r="S25" s="58"/>
      <c r="T25" s="58"/>
      <c r="U25" s="58"/>
      <c r="V25" s="58"/>
      <c r="W25" s="58"/>
      <c r="X25" s="58"/>
      <c r="Y25" s="58"/>
      <c r="Z25" s="58"/>
    </row>
    <row r="26">
      <c r="A26" s="91" t="s">
        <v>195</v>
      </c>
      <c r="B26" s="72" t="s">
        <v>562</v>
      </c>
      <c r="C26" s="73" t="s">
        <v>571</v>
      </c>
      <c r="D26" s="72"/>
      <c r="E26" s="72" t="s">
        <v>572</v>
      </c>
      <c r="F26" s="72"/>
      <c r="G26" s="72" t="s">
        <v>573</v>
      </c>
      <c r="H26" s="74" t="s">
        <v>13</v>
      </c>
      <c r="I26" s="75"/>
      <c r="J26" s="76" t="s">
        <v>566</v>
      </c>
      <c r="K26" s="58"/>
      <c r="L26" s="58"/>
      <c r="M26" s="58"/>
      <c r="N26" s="58"/>
      <c r="O26" s="58"/>
      <c r="P26" s="58"/>
      <c r="Q26" s="58"/>
      <c r="R26" s="58"/>
      <c r="S26" s="58"/>
      <c r="T26" s="58"/>
      <c r="U26" s="58"/>
      <c r="V26" s="58"/>
      <c r="W26" s="58"/>
      <c r="X26" s="58"/>
      <c r="Y26" s="58"/>
      <c r="Z26" s="58"/>
    </row>
    <row r="27">
      <c r="A27" s="85" t="s">
        <v>200</v>
      </c>
      <c r="B27" s="72" t="s">
        <v>574</v>
      </c>
      <c r="C27" s="73" t="s">
        <v>575</v>
      </c>
      <c r="D27" s="78"/>
      <c r="E27" s="72" t="s">
        <v>576</v>
      </c>
      <c r="F27" s="78"/>
      <c r="G27" s="72" t="s">
        <v>577</v>
      </c>
      <c r="H27" s="74" t="s">
        <v>13</v>
      </c>
      <c r="I27" s="75"/>
      <c r="J27" s="92" t="s">
        <v>578</v>
      </c>
      <c r="K27" s="58"/>
      <c r="L27" s="58"/>
      <c r="M27" s="58"/>
      <c r="N27" s="58"/>
      <c r="O27" s="58"/>
      <c r="P27" s="58"/>
      <c r="Q27" s="58"/>
      <c r="R27" s="58"/>
      <c r="S27" s="58"/>
      <c r="T27" s="58"/>
      <c r="U27" s="58"/>
      <c r="V27" s="58"/>
      <c r="W27" s="58"/>
      <c r="X27" s="58"/>
      <c r="Y27" s="58"/>
      <c r="Z27" s="58"/>
    </row>
    <row r="28">
      <c r="A28" s="85" t="s">
        <v>205</v>
      </c>
      <c r="B28" s="72" t="s">
        <v>551</v>
      </c>
      <c r="C28" s="73" t="s">
        <v>579</v>
      </c>
      <c r="D28" s="72" t="s">
        <v>580</v>
      </c>
      <c r="E28" s="72" t="s">
        <v>581</v>
      </c>
      <c r="F28" s="72"/>
      <c r="G28" s="72" t="s">
        <v>582</v>
      </c>
      <c r="H28" s="74" t="s">
        <v>13</v>
      </c>
      <c r="I28" s="75"/>
      <c r="J28" s="93"/>
      <c r="K28" s="58"/>
      <c r="L28" s="58"/>
      <c r="M28" s="58"/>
      <c r="N28" s="58"/>
      <c r="O28" s="58"/>
      <c r="P28" s="58"/>
      <c r="Q28" s="58"/>
      <c r="R28" s="58"/>
      <c r="S28" s="58"/>
      <c r="T28" s="58"/>
      <c r="U28" s="58"/>
      <c r="V28" s="58"/>
      <c r="W28" s="58"/>
      <c r="X28" s="58"/>
      <c r="Y28" s="58"/>
      <c r="Z28" s="58"/>
    </row>
    <row r="29">
      <c r="A29" s="85" t="s">
        <v>210</v>
      </c>
      <c r="B29" s="72" t="s">
        <v>551</v>
      </c>
      <c r="C29" s="73" t="s">
        <v>583</v>
      </c>
      <c r="D29" s="72" t="s">
        <v>584</v>
      </c>
      <c r="E29" s="72" t="s">
        <v>585</v>
      </c>
      <c r="F29" s="72"/>
      <c r="G29" s="72" t="s">
        <v>586</v>
      </c>
      <c r="H29" s="74" t="s">
        <v>13</v>
      </c>
      <c r="I29" s="75"/>
      <c r="J29" s="93"/>
      <c r="K29" s="58"/>
      <c r="L29" s="58"/>
      <c r="M29" s="58"/>
      <c r="N29" s="58"/>
      <c r="O29" s="58"/>
      <c r="P29" s="58"/>
      <c r="Q29" s="58"/>
      <c r="R29" s="58"/>
      <c r="S29" s="58"/>
      <c r="T29" s="58"/>
      <c r="U29" s="58"/>
      <c r="V29" s="58"/>
      <c r="W29" s="58"/>
      <c r="X29" s="58"/>
      <c r="Y29" s="58"/>
      <c r="Z29" s="58"/>
    </row>
    <row r="30">
      <c r="A30" s="85" t="s">
        <v>215</v>
      </c>
      <c r="B30" s="72" t="s">
        <v>551</v>
      </c>
      <c r="C30" s="73" t="s">
        <v>583</v>
      </c>
      <c r="D30" s="72" t="s">
        <v>587</v>
      </c>
      <c r="E30" s="72" t="s">
        <v>588</v>
      </c>
      <c r="F30" s="72"/>
      <c r="G30" s="72" t="s">
        <v>589</v>
      </c>
      <c r="H30" s="74" t="s">
        <v>13</v>
      </c>
      <c r="I30" s="75"/>
      <c r="J30" s="93"/>
      <c r="K30" s="58"/>
      <c r="L30" s="58"/>
      <c r="M30" s="58"/>
      <c r="N30" s="58"/>
      <c r="O30" s="58"/>
      <c r="P30" s="58"/>
      <c r="Q30" s="58"/>
      <c r="R30" s="58"/>
      <c r="S30" s="58"/>
      <c r="T30" s="58"/>
      <c r="U30" s="58"/>
      <c r="V30" s="58"/>
      <c r="W30" s="58"/>
      <c r="X30" s="58"/>
      <c r="Y30" s="58"/>
      <c r="Z30" s="58"/>
    </row>
    <row r="31">
      <c r="A31" s="85" t="s">
        <v>220</v>
      </c>
      <c r="B31" s="72" t="s">
        <v>551</v>
      </c>
      <c r="C31" s="73" t="s">
        <v>583</v>
      </c>
      <c r="D31" s="72" t="s">
        <v>587</v>
      </c>
      <c r="E31" s="72" t="s">
        <v>590</v>
      </c>
      <c r="F31" s="72"/>
      <c r="G31" s="72" t="s">
        <v>591</v>
      </c>
      <c r="H31" s="74" t="s">
        <v>13</v>
      </c>
      <c r="I31" s="75"/>
      <c r="J31" s="93"/>
      <c r="K31" s="58"/>
      <c r="L31" s="58"/>
      <c r="M31" s="58"/>
      <c r="N31" s="58"/>
      <c r="O31" s="58"/>
      <c r="P31" s="58"/>
      <c r="Q31" s="58"/>
      <c r="R31" s="58"/>
      <c r="S31" s="58"/>
      <c r="T31" s="58"/>
      <c r="U31" s="58"/>
      <c r="V31" s="58"/>
      <c r="W31" s="58"/>
      <c r="X31" s="58"/>
      <c r="Y31" s="58"/>
      <c r="Z31" s="58"/>
    </row>
    <row r="32">
      <c r="A32" s="85" t="s">
        <v>224</v>
      </c>
      <c r="B32" s="72" t="s">
        <v>551</v>
      </c>
      <c r="C32" s="73" t="s">
        <v>583</v>
      </c>
      <c r="D32" s="72" t="s">
        <v>587</v>
      </c>
      <c r="E32" s="72" t="s">
        <v>592</v>
      </c>
      <c r="F32" s="72"/>
      <c r="G32" s="72" t="s">
        <v>593</v>
      </c>
      <c r="H32" s="74" t="s">
        <v>13</v>
      </c>
      <c r="I32" s="75"/>
      <c r="J32" s="93"/>
      <c r="K32" s="58"/>
      <c r="L32" s="58"/>
      <c r="M32" s="58"/>
      <c r="N32" s="58"/>
      <c r="O32" s="58"/>
      <c r="P32" s="58"/>
      <c r="Q32" s="58"/>
      <c r="R32" s="58"/>
      <c r="S32" s="58"/>
      <c r="T32" s="58"/>
      <c r="U32" s="58"/>
      <c r="V32" s="58"/>
      <c r="W32" s="58"/>
      <c r="X32" s="58"/>
      <c r="Y32" s="58"/>
      <c r="Z32" s="58"/>
    </row>
    <row r="33">
      <c r="A33" s="85" t="s">
        <v>228</v>
      </c>
      <c r="B33" s="72" t="s">
        <v>551</v>
      </c>
      <c r="C33" s="73" t="s">
        <v>583</v>
      </c>
      <c r="D33" s="72" t="s">
        <v>594</v>
      </c>
      <c r="E33" s="72" t="s">
        <v>595</v>
      </c>
      <c r="F33" s="72"/>
      <c r="G33" s="72" t="s">
        <v>593</v>
      </c>
      <c r="H33" s="74" t="s">
        <v>13</v>
      </c>
      <c r="I33" s="75"/>
      <c r="J33" s="93"/>
      <c r="K33" s="58"/>
      <c r="L33" s="58"/>
      <c r="M33" s="58"/>
      <c r="N33" s="58"/>
      <c r="O33" s="58"/>
      <c r="P33" s="58"/>
      <c r="Q33" s="58"/>
      <c r="R33" s="58"/>
      <c r="S33" s="58"/>
      <c r="T33" s="58"/>
      <c r="U33" s="58"/>
      <c r="V33" s="58"/>
      <c r="W33" s="58"/>
      <c r="X33" s="58"/>
      <c r="Y33" s="58"/>
      <c r="Z33" s="58"/>
    </row>
    <row r="34">
      <c r="A34" s="85" t="s">
        <v>233</v>
      </c>
      <c r="B34" s="72" t="s">
        <v>551</v>
      </c>
      <c r="C34" s="73" t="s">
        <v>583</v>
      </c>
      <c r="D34" s="72" t="s">
        <v>596</v>
      </c>
      <c r="E34" s="72" t="s">
        <v>597</v>
      </c>
      <c r="F34" s="72"/>
      <c r="G34" s="72" t="s">
        <v>593</v>
      </c>
      <c r="H34" s="74" t="s">
        <v>13</v>
      </c>
      <c r="I34" s="75"/>
      <c r="J34" s="93"/>
      <c r="K34" s="58"/>
      <c r="L34" s="58"/>
      <c r="M34" s="58"/>
      <c r="N34" s="58"/>
      <c r="O34" s="58"/>
      <c r="P34" s="58"/>
      <c r="Q34" s="58"/>
      <c r="R34" s="58"/>
      <c r="S34" s="58"/>
      <c r="T34" s="58"/>
      <c r="U34" s="58"/>
      <c r="V34" s="58"/>
      <c r="W34" s="58"/>
      <c r="X34" s="58"/>
      <c r="Y34" s="58"/>
      <c r="Z34" s="58"/>
    </row>
    <row r="35">
      <c r="A35" s="85" t="s">
        <v>237</v>
      </c>
      <c r="B35" s="72" t="s">
        <v>551</v>
      </c>
      <c r="C35" s="73" t="s">
        <v>583</v>
      </c>
      <c r="D35" s="72" t="s">
        <v>598</v>
      </c>
      <c r="E35" s="72" t="s">
        <v>599</v>
      </c>
      <c r="F35" s="72"/>
      <c r="G35" s="72" t="s">
        <v>600</v>
      </c>
      <c r="H35" s="74" t="s">
        <v>13</v>
      </c>
      <c r="I35" s="75"/>
      <c r="J35" s="93"/>
      <c r="K35" s="58"/>
      <c r="L35" s="58"/>
      <c r="M35" s="58"/>
      <c r="N35" s="58"/>
      <c r="O35" s="58"/>
      <c r="P35" s="58"/>
      <c r="Q35" s="58"/>
      <c r="R35" s="58"/>
      <c r="S35" s="58"/>
      <c r="T35" s="58"/>
      <c r="U35" s="58"/>
      <c r="V35" s="58"/>
      <c r="W35" s="58"/>
      <c r="X35" s="58"/>
      <c r="Y35" s="58"/>
      <c r="Z35" s="58"/>
    </row>
    <row r="36">
      <c r="A36" s="85" t="s">
        <v>241</v>
      </c>
      <c r="B36" s="72" t="s">
        <v>551</v>
      </c>
      <c r="C36" s="73" t="s">
        <v>601</v>
      </c>
      <c r="D36" s="72" t="s">
        <v>602</v>
      </c>
      <c r="E36" s="72" t="s">
        <v>603</v>
      </c>
      <c r="F36" s="72"/>
      <c r="G36" s="72" t="s">
        <v>604</v>
      </c>
      <c r="H36" s="74" t="s">
        <v>13</v>
      </c>
      <c r="I36" s="75"/>
      <c r="J36" s="93"/>
      <c r="K36" s="58"/>
      <c r="L36" s="58"/>
      <c r="M36" s="58"/>
      <c r="N36" s="58"/>
      <c r="O36" s="58"/>
      <c r="P36" s="58"/>
      <c r="Q36" s="58"/>
      <c r="R36" s="58"/>
      <c r="S36" s="58"/>
      <c r="T36" s="58"/>
      <c r="U36" s="58"/>
      <c r="V36" s="58"/>
      <c r="W36" s="58"/>
      <c r="X36" s="58"/>
      <c r="Y36" s="58"/>
      <c r="Z36" s="58"/>
    </row>
    <row r="37">
      <c r="A37" s="85" t="s">
        <v>245</v>
      </c>
      <c r="B37" s="72" t="s">
        <v>551</v>
      </c>
      <c r="C37" s="73" t="s">
        <v>601</v>
      </c>
      <c r="D37" s="72" t="s">
        <v>602</v>
      </c>
      <c r="E37" s="72" t="s">
        <v>605</v>
      </c>
      <c r="F37" s="72"/>
      <c r="G37" s="72" t="s">
        <v>604</v>
      </c>
      <c r="H37" s="74" t="s">
        <v>13</v>
      </c>
      <c r="I37" s="75"/>
      <c r="J37" s="93"/>
      <c r="K37" s="58"/>
      <c r="L37" s="58"/>
      <c r="M37" s="58"/>
      <c r="N37" s="58"/>
      <c r="O37" s="58"/>
      <c r="P37" s="58"/>
      <c r="Q37" s="58"/>
      <c r="R37" s="58"/>
      <c r="S37" s="58"/>
      <c r="T37" s="58"/>
      <c r="U37" s="58"/>
      <c r="V37" s="58"/>
      <c r="W37" s="58"/>
      <c r="X37" s="58"/>
      <c r="Y37" s="58"/>
      <c r="Z37" s="58"/>
    </row>
    <row r="38">
      <c r="A38" s="85" t="s">
        <v>250</v>
      </c>
      <c r="B38" s="72" t="s">
        <v>551</v>
      </c>
      <c r="C38" s="73" t="s">
        <v>601</v>
      </c>
      <c r="D38" s="72" t="s">
        <v>602</v>
      </c>
      <c r="E38" s="72" t="s">
        <v>606</v>
      </c>
      <c r="F38" s="72"/>
      <c r="G38" s="72" t="s">
        <v>604</v>
      </c>
      <c r="H38" s="74" t="s">
        <v>13</v>
      </c>
      <c r="I38" s="75"/>
      <c r="J38" s="93"/>
      <c r="K38" s="58"/>
      <c r="L38" s="58"/>
      <c r="M38" s="58"/>
      <c r="N38" s="58"/>
      <c r="O38" s="58"/>
      <c r="P38" s="58"/>
      <c r="Q38" s="58"/>
      <c r="R38" s="58"/>
      <c r="S38" s="58"/>
      <c r="T38" s="58"/>
      <c r="U38" s="58"/>
      <c r="V38" s="58"/>
      <c r="W38" s="58"/>
      <c r="X38" s="58"/>
      <c r="Y38" s="58"/>
      <c r="Z38" s="58"/>
    </row>
    <row r="39">
      <c r="A39" s="85" t="s">
        <v>254</v>
      </c>
      <c r="B39" s="72" t="s">
        <v>551</v>
      </c>
      <c r="C39" s="73" t="s">
        <v>607</v>
      </c>
      <c r="D39" s="72" t="s">
        <v>608</v>
      </c>
      <c r="E39" s="72" t="s">
        <v>609</v>
      </c>
      <c r="F39" s="72"/>
      <c r="G39" s="72" t="s">
        <v>610</v>
      </c>
      <c r="H39" s="74" t="s">
        <v>13</v>
      </c>
      <c r="I39" s="75"/>
      <c r="J39" s="93"/>
      <c r="K39" s="58"/>
      <c r="L39" s="58"/>
      <c r="M39" s="58"/>
      <c r="N39" s="58"/>
      <c r="O39" s="58"/>
      <c r="P39" s="58"/>
      <c r="Q39" s="58"/>
      <c r="R39" s="58"/>
      <c r="S39" s="58"/>
      <c r="T39" s="58"/>
      <c r="U39" s="58"/>
      <c r="V39" s="58"/>
      <c r="W39" s="58"/>
      <c r="X39" s="58"/>
      <c r="Y39" s="58"/>
      <c r="Z39" s="58"/>
    </row>
    <row r="40">
      <c r="A40" s="85" t="s">
        <v>258</v>
      </c>
      <c r="B40" s="72" t="s">
        <v>551</v>
      </c>
      <c r="C40" s="73" t="s">
        <v>607</v>
      </c>
      <c r="D40" s="72" t="s">
        <v>608</v>
      </c>
      <c r="E40" s="72" t="s">
        <v>611</v>
      </c>
      <c r="F40" s="72"/>
      <c r="G40" s="72" t="s">
        <v>612</v>
      </c>
      <c r="H40" s="74" t="s">
        <v>13</v>
      </c>
      <c r="I40" s="75"/>
      <c r="J40" s="93"/>
      <c r="K40" s="58"/>
      <c r="L40" s="58"/>
      <c r="M40" s="58"/>
      <c r="N40" s="58"/>
      <c r="O40" s="58"/>
      <c r="P40" s="58"/>
      <c r="Q40" s="58"/>
      <c r="R40" s="58"/>
      <c r="S40" s="58"/>
      <c r="T40" s="58"/>
      <c r="U40" s="58"/>
      <c r="V40" s="58"/>
      <c r="W40" s="58"/>
      <c r="X40" s="58"/>
      <c r="Y40" s="58"/>
      <c r="Z40" s="58"/>
    </row>
    <row r="41">
      <c r="A41" s="85" t="s">
        <v>263</v>
      </c>
      <c r="B41" s="72" t="s">
        <v>551</v>
      </c>
      <c r="C41" s="73" t="s">
        <v>607</v>
      </c>
      <c r="D41" s="72" t="s">
        <v>608</v>
      </c>
      <c r="E41" s="72" t="s">
        <v>613</v>
      </c>
      <c r="F41" s="72" t="s">
        <v>614</v>
      </c>
      <c r="G41" s="72" t="s">
        <v>615</v>
      </c>
      <c r="H41" s="74" t="s">
        <v>13</v>
      </c>
      <c r="I41" s="75"/>
      <c r="J41" s="93"/>
      <c r="K41" s="58"/>
      <c r="L41" s="58"/>
      <c r="M41" s="58"/>
      <c r="N41" s="58"/>
      <c r="O41" s="58"/>
      <c r="P41" s="58"/>
      <c r="Q41" s="58"/>
      <c r="R41" s="58"/>
      <c r="S41" s="58"/>
      <c r="T41" s="58"/>
      <c r="U41" s="58"/>
      <c r="V41" s="58"/>
      <c r="W41" s="58"/>
      <c r="X41" s="58"/>
      <c r="Y41" s="58"/>
      <c r="Z41" s="58"/>
    </row>
    <row r="42">
      <c r="A42" s="85" t="s">
        <v>268</v>
      </c>
      <c r="B42" s="72" t="s">
        <v>551</v>
      </c>
      <c r="C42" s="73" t="s">
        <v>607</v>
      </c>
      <c r="D42" s="72" t="s">
        <v>608</v>
      </c>
      <c r="E42" s="72" t="s">
        <v>616</v>
      </c>
      <c r="F42" s="72"/>
      <c r="G42" s="72" t="s">
        <v>617</v>
      </c>
      <c r="H42" s="74" t="s">
        <v>13</v>
      </c>
      <c r="I42" s="75"/>
      <c r="J42" s="93"/>
      <c r="K42" s="58"/>
      <c r="L42" s="58"/>
      <c r="M42" s="58"/>
      <c r="N42" s="58"/>
      <c r="O42" s="58"/>
      <c r="P42" s="58"/>
      <c r="Q42" s="58"/>
      <c r="R42" s="58"/>
      <c r="S42" s="58"/>
      <c r="T42" s="58"/>
      <c r="U42" s="58"/>
      <c r="V42" s="58"/>
      <c r="W42" s="58"/>
      <c r="X42" s="58"/>
      <c r="Y42" s="58"/>
      <c r="Z42" s="58"/>
    </row>
    <row r="43">
      <c r="A43" s="85" t="s">
        <v>271</v>
      </c>
      <c r="B43" s="72" t="s">
        <v>551</v>
      </c>
      <c r="C43" s="73" t="s">
        <v>618</v>
      </c>
      <c r="D43" s="72" t="s">
        <v>619</v>
      </c>
      <c r="E43" s="94" t="s">
        <v>620</v>
      </c>
      <c r="F43" s="72"/>
      <c r="G43" s="72" t="s">
        <v>621</v>
      </c>
      <c r="H43" s="74" t="s">
        <v>13</v>
      </c>
      <c r="I43" s="75"/>
      <c r="J43" s="93"/>
      <c r="K43" s="58"/>
      <c r="L43" s="58"/>
      <c r="M43" s="58"/>
      <c r="N43" s="58"/>
      <c r="O43" s="58"/>
      <c r="P43" s="58"/>
      <c r="Q43" s="58"/>
      <c r="R43" s="58"/>
      <c r="S43" s="58"/>
      <c r="T43" s="58"/>
      <c r="U43" s="58"/>
      <c r="V43" s="58"/>
      <c r="W43" s="58"/>
      <c r="X43" s="58"/>
      <c r="Y43" s="58"/>
      <c r="Z43" s="58"/>
    </row>
    <row r="44">
      <c r="A44" s="85" t="s">
        <v>274</v>
      </c>
      <c r="B44" s="72" t="s">
        <v>551</v>
      </c>
      <c r="C44" s="73" t="s">
        <v>622</v>
      </c>
      <c r="D44" s="72" t="s">
        <v>619</v>
      </c>
      <c r="E44" s="72" t="s">
        <v>623</v>
      </c>
      <c r="F44" s="72"/>
      <c r="G44" s="72" t="s">
        <v>624</v>
      </c>
      <c r="H44" s="74" t="s">
        <v>13</v>
      </c>
      <c r="I44" s="75"/>
      <c r="J44" s="93"/>
      <c r="K44" s="58"/>
      <c r="L44" s="58"/>
      <c r="M44" s="58"/>
      <c r="N44" s="58"/>
      <c r="O44" s="58"/>
      <c r="P44" s="58"/>
      <c r="Q44" s="58"/>
      <c r="R44" s="58"/>
      <c r="S44" s="58"/>
      <c r="T44" s="58"/>
      <c r="U44" s="58"/>
      <c r="V44" s="58"/>
      <c r="W44" s="58"/>
      <c r="X44" s="58"/>
      <c r="Y44" s="58"/>
      <c r="Z44" s="58"/>
    </row>
    <row r="45">
      <c r="A45" s="85" t="s">
        <v>405</v>
      </c>
      <c r="B45" s="72" t="s">
        <v>551</v>
      </c>
      <c r="C45" s="73" t="s">
        <v>583</v>
      </c>
      <c r="D45" s="72" t="s">
        <v>625</v>
      </c>
      <c r="E45" s="72" t="s">
        <v>626</v>
      </c>
      <c r="F45" s="72"/>
      <c r="G45" s="72" t="s">
        <v>627</v>
      </c>
      <c r="H45" s="74" t="s">
        <v>13</v>
      </c>
      <c r="I45" s="75"/>
      <c r="J45" s="93"/>
      <c r="K45" s="58"/>
      <c r="L45" s="58"/>
      <c r="M45" s="58"/>
      <c r="N45" s="58"/>
      <c r="O45" s="58"/>
      <c r="P45" s="58"/>
      <c r="Q45" s="58"/>
      <c r="R45" s="58"/>
      <c r="S45" s="58"/>
      <c r="T45" s="58"/>
      <c r="U45" s="58"/>
      <c r="V45" s="58"/>
      <c r="W45" s="58"/>
      <c r="X45" s="58"/>
      <c r="Y45" s="58"/>
      <c r="Z45" s="58"/>
    </row>
    <row r="46">
      <c r="A46" s="85" t="s">
        <v>408</v>
      </c>
      <c r="B46" s="72" t="s">
        <v>551</v>
      </c>
      <c r="C46" s="73" t="s">
        <v>583</v>
      </c>
      <c r="D46" s="72" t="s">
        <v>625</v>
      </c>
      <c r="E46" s="72" t="s">
        <v>628</v>
      </c>
      <c r="F46" s="72"/>
      <c r="G46" s="72" t="s">
        <v>627</v>
      </c>
      <c r="H46" s="74" t="s">
        <v>13</v>
      </c>
      <c r="I46" s="75"/>
      <c r="J46" s="93"/>
      <c r="K46" s="58"/>
      <c r="L46" s="58"/>
      <c r="M46" s="58"/>
      <c r="N46" s="58"/>
      <c r="O46" s="58"/>
      <c r="P46" s="58"/>
      <c r="Q46" s="58"/>
      <c r="R46" s="58"/>
      <c r="S46" s="58"/>
      <c r="T46" s="58"/>
      <c r="U46" s="58"/>
      <c r="V46" s="58"/>
      <c r="W46" s="58"/>
      <c r="X46" s="58"/>
      <c r="Y46" s="58"/>
      <c r="Z46" s="58"/>
    </row>
    <row r="47">
      <c r="A47" s="85" t="s">
        <v>629</v>
      </c>
      <c r="B47" s="72" t="s">
        <v>551</v>
      </c>
      <c r="C47" s="73" t="s">
        <v>630</v>
      </c>
      <c r="D47" s="72" t="s">
        <v>625</v>
      </c>
      <c r="E47" s="72" t="s">
        <v>631</v>
      </c>
      <c r="F47" s="72"/>
      <c r="G47" s="72" t="s">
        <v>632</v>
      </c>
      <c r="H47" s="74" t="s">
        <v>13</v>
      </c>
      <c r="I47" s="75"/>
      <c r="J47" s="93"/>
      <c r="K47" s="58"/>
      <c r="L47" s="58"/>
      <c r="M47" s="58"/>
      <c r="N47" s="58"/>
      <c r="O47" s="58"/>
      <c r="P47" s="58"/>
      <c r="Q47" s="58"/>
      <c r="R47" s="58"/>
      <c r="S47" s="58"/>
      <c r="T47" s="58"/>
      <c r="U47" s="58"/>
      <c r="V47" s="58"/>
      <c r="W47" s="58"/>
      <c r="X47" s="58"/>
      <c r="Y47" s="58"/>
      <c r="Z47" s="58"/>
    </row>
    <row r="48">
      <c r="A48" s="85" t="s">
        <v>633</v>
      </c>
      <c r="B48" s="72" t="s">
        <v>551</v>
      </c>
      <c r="C48" s="73" t="s">
        <v>583</v>
      </c>
      <c r="D48" s="72" t="s">
        <v>634</v>
      </c>
      <c r="E48" s="72" t="s">
        <v>635</v>
      </c>
      <c r="F48" s="72"/>
      <c r="G48" s="72" t="s">
        <v>636</v>
      </c>
      <c r="H48" s="74" t="s">
        <v>13</v>
      </c>
      <c r="I48" s="75"/>
      <c r="J48" s="93"/>
      <c r="K48" s="58"/>
      <c r="L48" s="58"/>
      <c r="M48" s="58"/>
      <c r="N48" s="58"/>
      <c r="O48" s="58"/>
      <c r="P48" s="58"/>
      <c r="Q48" s="58"/>
      <c r="R48" s="58"/>
      <c r="S48" s="58"/>
      <c r="T48" s="58"/>
      <c r="U48" s="58"/>
      <c r="V48" s="58"/>
      <c r="W48" s="58"/>
      <c r="X48" s="58"/>
      <c r="Y48" s="58"/>
      <c r="Z48" s="58"/>
    </row>
    <row r="49">
      <c r="A49" s="85" t="s">
        <v>637</v>
      </c>
      <c r="B49" s="72" t="s">
        <v>551</v>
      </c>
      <c r="C49" s="73" t="s">
        <v>583</v>
      </c>
      <c r="D49" s="72" t="s">
        <v>638</v>
      </c>
      <c r="E49" s="72" t="s">
        <v>639</v>
      </c>
      <c r="F49" s="72"/>
      <c r="G49" s="72" t="s">
        <v>640</v>
      </c>
      <c r="H49" s="74" t="s">
        <v>13</v>
      </c>
      <c r="I49" s="75"/>
      <c r="J49" s="93"/>
      <c r="K49" s="58"/>
      <c r="L49" s="58"/>
      <c r="M49" s="58"/>
      <c r="N49" s="58"/>
      <c r="O49" s="58"/>
      <c r="P49" s="58"/>
      <c r="Q49" s="58"/>
      <c r="R49" s="58"/>
      <c r="S49" s="58"/>
      <c r="T49" s="58"/>
      <c r="U49" s="58"/>
      <c r="V49" s="58"/>
      <c r="W49" s="58"/>
      <c r="X49" s="58"/>
      <c r="Y49" s="58"/>
      <c r="Z49" s="58"/>
    </row>
    <row r="50">
      <c r="A50" s="85" t="s">
        <v>641</v>
      </c>
      <c r="B50" s="72" t="s">
        <v>551</v>
      </c>
      <c r="C50" s="73" t="s">
        <v>583</v>
      </c>
      <c r="D50" s="72" t="s">
        <v>638</v>
      </c>
      <c r="E50" s="72" t="s">
        <v>642</v>
      </c>
      <c r="F50" s="72"/>
      <c r="G50" s="72" t="s">
        <v>643</v>
      </c>
      <c r="H50" s="74" t="s">
        <v>13</v>
      </c>
      <c r="I50" s="75"/>
      <c r="J50" s="93"/>
      <c r="K50" s="58"/>
      <c r="L50" s="58"/>
      <c r="M50" s="58"/>
      <c r="N50" s="58"/>
      <c r="O50" s="58"/>
      <c r="P50" s="58"/>
      <c r="Q50" s="58"/>
      <c r="R50" s="58"/>
      <c r="S50" s="58"/>
      <c r="T50" s="58"/>
      <c r="U50" s="58"/>
      <c r="V50" s="58"/>
      <c r="W50" s="58"/>
      <c r="X50" s="58"/>
      <c r="Y50" s="58"/>
      <c r="Z50" s="58"/>
    </row>
    <row r="51">
      <c r="A51" s="85" t="s">
        <v>644</v>
      </c>
      <c r="B51" s="72" t="s">
        <v>551</v>
      </c>
      <c r="C51" s="73" t="s">
        <v>583</v>
      </c>
      <c r="D51" s="72" t="s">
        <v>638</v>
      </c>
      <c r="E51" s="72" t="s">
        <v>645</v>
      </c>
      <c r="F51" s="72"/>
      <c r="G51" s="72" t="s">
        <v>646</v>
      </c>
      <c r="H51" s="74" t="s">
        <v>13</v>
      </c>
      <c r="I51" s="75"/>
      <c r="J51" s="93"/>
      <c r="K51" s="58"/>
      <c r="L51" s="58"/>
      <c r="M51" s="58"/>
      <c r="N51" s="58"/>
      <c r="O51" s="58"/>
      <c r="P51" s="58"/>
      <c r="Q51" s="58"/>
      <c r="R51" s="58"/>
      <c r="S51" s="58"/>
      <c r="T51" s="58"/>
      <c r="U51" s="58"/>
      <c r="V51" s="58"/>
      <c r="W51" s="58"/>
      <c r="X51" s="58"/>
      <c r="Y51" s="58"/>
      <c r="Z51" s="58"/>
    </row>
    <row r="52">
      <c r="A52" s="85" t="s">
        <v>647</v>
      </c>
      <c r="B52" s="72" t="s">
        <v>551</v>
      </c>
      <c r="C52" s="73" t="s">
        <v>583</v>
      </c>
      <c r="D52" s="72" t="s">
        <v>638</v>
      </c>
      <c r="E52" s="72" t="s">
        <v>648</v>
      </c>
      <c r="F52" s="72"/>
      <c r="G52" s="72" t="s">
        <v>649</v>
      </c>
      <c r="H52" s="74" t="s">
        <v>13</v>
      </c>
      <c r="I52" s="75"/>
      <c r="J52" s="93"/>
      <c r="K52" s="58"/>
      <c r="L52" s="58"/>
      <c r="M52" s="58"/>
      <c r="N52" s="58"/>
      <c r="O52" s="58"/>
      <c r="P52" s="58"/>
      <c r="Q52" s="58"/>
      <c r="R52" s="58"/>
      <c r="S52" s="58"/>
      <c r="T52" s="58"/>
      <c r="U52" s="58"/>
      <c r="V52" s="58"/>
      <c r="W52" s="58"/>
      <c r="X52" s="58"/>
      <c r="Y52" s="58"/>
      <c r="Z52" s="58"/>
    </row>
    <row r="53">
      <c r="A53" s="85" t="s">
        <v>650</v>
      </c>
      <c r="B53" s="72" t="s">
        <v>551</v>
      </c>
      <c r="C53" s="73" t="s">
        <v>583</v>
      </c>
      <c r="D53" s="72" t="s">
        <v>651</v>
      </c>
      <c r="E53" s="72" t="s">
        <v>652</v>
      </c>
      <c r="F53" s="72"/>
      <c r="G53" s="72" t="s">
        <v>653</v>
      </c>
      <c r="H53" s="74" t="s">
        <v>13</v>
      </c>
      <c r="I53" s="75"/>
      <c r="J53" s="93"/>
      <c r="K53" s="58"/>
      <c r="L53" s="58"/>
      <c r="M53" s="58"/>
      <c r="N53" s="58"/>
      <c r="O53" s="58"/>
      <c r="P53" s="58"/>
      <c r="Q53" s="58"/>
      <c r="R53" s="58"/>
      <c r="S53" s="58"/>
      <c r="T53" s="58"/>
      <c r="U53" s="58"/>
      <c r="V53" s="58"/>
      <c r="W53" s="58"/>
      <c r="X53" s="58"/>
      <c r="Y53" s="58"/>
      <c r="Z53" s="58"/>
    </row>
    <row r="54">
      <c r="A54" s="85" t="s">
        <v>654</v>
      </c>
      <c r="B54" s="72" t="s">
        <v>551</v>
      </c>
      <c r="C54" s="73" t="s">
        <v>583</v>
      </c>
      <c r="D54" s="72" t="s">
        <v>651</v>
      </c>
      <c r="E54" s="72" t="s">
        <v>655</v>
      </c>
      <c r="F54" s="72"/>
      <c r="G54" s="72" t="s">
        <v>656</v>
      </c>
      <c r="H54" s="74" t="s">
        <v>13</v>
      </c>
      <c r="I54" s="75"/>
      <c r="J54" s="93"/>
      <c r="K54" s="58"/>
      <c r="L54" s="58"/>
      <c r="M54" s="58"/>
      <c r="N54" s="58"/>
      <c r="O54" s="58"/>
      <c r="P54" s="58"/>
      <c r="Q54" s="58"/>
      <c r="R54" s="58"/>
      <c r="S54" s="58"/>
      <c r="T54" s="58"/>
      <c r="U54" s="58"/>
      <c r="V54" s="58"/>
      <c r="W54" s="58"/>
      <c r="X54" s="58"/>
      <c r="Y54" s="58"/>
      <c r="Z54" s="58"/>
    </row>
    <row r="55">
      <c r="A55" s="85" t="s">
        <v>657</v>
      </c>
      <c r="B55" s="72" t="s">
        <v>551</v>
      </c>
      <c r="C55" s="73" t="s">
        <v>583</v>
      </c>
      <c r="D55" s="72" t="s">
        <v>651</v>
      </c>
      <c r="E55" s="72" t="s">
        <v>658</v>
      </c>
      <c r="F55" s="72"/>
      <c r="G55" s="72" t="s">
        <v>659</v>
      </c>
      <c r="H55" s="74" t="s">
        <v>13</v>
      </c>
      <c r="I55" s="75"/>
      <c r="J55" s="93"/>
      <c r="K55" s="58"/>
      <c r="L55" s="58"/>
      <c r="M55" s="58"/>
      <c r="N55" s="58"/>
      <c r="O55" s="58"/>
      <c r="P55" s="58"/>
      <c r="Q55" s="58"/>
      <c r="R55" s="58"/>
      <c r="S55" s="58"/>
      <c r="T55" s="58"/>
      <c r="U55" s="58"/>
      <c r="V55" s="58"/>
      <c r="W55" s="58"/>
      <c r="X55" s="58"/>
      <c r="Y55" s="58"/>
      <c r="Z55" s="58"/>
    </row>
    <row r="56">
      <c r="A56" s="85" t="s">
        <v>660</v>
      </c>
      <c r="B56" s="72" t="s">
        <v>551</v>
      </c>
      <c r="C56" s="73" t="s">
        <v>583</v>
      </c>
      <c r="D56" s="72" t="s">
        <v>661</v>
      </c>
      <c r="E56" s="72" t="s">
        <v>662</v>
      </c>
      <c r="F56" s="72"/>
      <c r="G56" s="72" t="s">
        <v>663</v>
      </c>
      <c r="H56" s="74" t="s">
        <v>13</v>
      </c>
      <c r="I56" s="75"/>
      <c r="J56" s="93"/>
      <c r="K56" s="58"/>
      <c r="L56" s="58"/>
      <c r="M56" s="58"/>
      <c r="N56" s="58"/>
      <c r="O56" s="58"/>
      <c r="P56" s="58"/>
      <c r="Q56" s="58"/>
      <c r="R56" s="58"/>
      <c r="S56" s="58"/>
      <c r="T56" s="58"/>
      <c r="U56" s="58"/>
      <c r="V56" s="58"/>
      <c r="W56" s="58"/>
      <c r="X56" s="58"/>
      <c r="Y56" s="58"/>
      <c r="Z56" s="58"/>
    </row>
    <row r="57">
      <c r="A57" s="85" t="s">
        <v>664</v>
      </c>
      <c r="B57" s="72" t="s">
        <v>551</v>
      </c>
      <c r="C57" s="73" t="s">
        <v>583</v>
      </c>
      <c r="D57" s="72" t="s">
        <v>665</v>
      </c>
      <c r="E57" s="72" t="s">
        <v>666</v>
      </c>
      <c r="F57" s="72"/>
      <c r="G57" s="72" t="s">
        <v>667</v>
      </c>
      <c r="H57" s="74" t="s">
        <v>13</v>
      </c>
      <c r="I57" s="75"/>
      <c r="J57" s="93"/>
      <c r="K57" s="58"/>
      <c r="L57" s="58"/>
      <c r="M57" s="58"/>
      <c r="N57" s="58"/>
      <c r="O57" s="58"/>
      <c r="P57" s="58"/>
      <c r="Q57" s="58"/>
      <c r="R57" s="58"/>
      <c r="S57" s="58"/>
      <c r="T57" s="58"/>
      <c r="U57" s="58"/>
      <c r="V57" s="58"/>
      <c r="W57" s="58"/>
      <c r="X57" s="58"/>
      <c r="Y57" s="58"/>
      <c r="Z57" s="58"/>
    </row>
    <row r="58">
      <c r="A58" s="85" t="s">
        <v>668</v>
      </c>
      <c r="B58" s="72" t="s">
        <v>551</v>
      </c>
      <c r="C58" s="73" t="s">
        <v>583</v>
      </c>
      <c r="D58" s="72" t="s">
        <v>669</v>
      </c>
      <c r="E58" s="72" t="s">
        <v>670</v>
      </c>
      <c r="F58" s="72"/>
      <c r="G58" s="72" t="s">
        <v>671</v>
      </c>
      <c r="H58" s="74" t="s">
        <v>13</v>
      </c>
      <c r="I58" s="75"/>
      <c r="J58" s="93"/>
      <c r="K58" s="58"/>
      <c r="L58" s="58"/>
      <c r="M58" s="58"/>
      <c r="N58" s="58"/>
      <c r="O58" s="58"/>
      <c r="P58" s="58"/>
      <c r="Q58" s="58"/>
      <c r="R58" s="58"/>
      <c r="S58" s="58"/>
      <c r="T58" s="58"/>
      <c r="U58" s="58"/>
      <c r="V58" s="58"/>
      <c r="W58" s="58"/>
      <c r="X58" s="58"/>
      <c r="Y58" s="58"/>
      <c r="Z58" s="58"/>
    </row>
    <row r="59">
      <c r="A59" s="85" t="s">
        <v>672</v>
      </c>
      <c r="B59" s="72" t="s">
        <v>551</v>
      </c>
      <c r="C59" s="73" t="s">
        <v>583</v>
      </c>
      <c r="D59" s="72" t="s">
        <v>673</v>
      </c>
      <c r="E59" s="72" t="s">
        <v>674</v>
      </c>
      <c r="F59" s="72"/>
      <c r="G59" s="72" t="s">
        <v>675</v>
      </c>
      <c r="H59" s="74" t="s">
        <v>13</v>
      </c>
      <c r="I59" s="75"/>
      <c r="J59" s="93"/>
      <c r="K59" s="58"/>
      <c r="L59" s="58"/>
      <c r="M59" s="58"/>
      <c r="N59" s="58"/>
      <c r="O59" s="58"/>
      <c r="P59" s="58"/>
      <c r="Q59" s="58"/>
      <c r="R59" s="58"/>
      <c r="S59" s="58"/>
      <c r="T59" s="58"/>
      <c r="U59" s="58"/>
      <c r="V59" s="58"/>
      <c r="W59" s="58"/>
      <c r="X59" s="58"/>
      <c r="Y59" s="58"/>
      <c r="Z59" s="58"/>
    </row>
    <row r="60">
      <c r="A60" s="85" t="s">
        <v>676</v>
      </c>
      <c r="B60" s="72" t="s">
        <v>551</v>
      </c>
      <c r="C60" s="72" t="s">
        <v>677</v>
      </c>
      <c r="D60" s="72" t="s">
        <v>678</v>
      </c>
      <c r="E60" s="72" t="s">
        <v>679</v>
      </c>
      <c r="F60" s="78"/>
      <c r="G60" s="72" t="s">
        <v>680</v>
      </c>
      <c r="H60" s="74" t="s">
        <v>13</v>
      </c>
      <c r="I60" s="78"/>
      <c r="J60" s="93"/>
      <c r="K60" s="86"/>
      <c r="L60" s="86"/>
      <c r="M60" s="86"/>
      <c r="N60" s="86"/>
      <c r="O60" s="86"/>
      <c r="P60" s="86"/>
      <c r="Q60" s="86"/>
      <c r="R60" s="86"/>
      <c r="S60" s="86"/>
      <c r="T60" s="86"/>
      <c r="U60" s="86"/>
      <c r="V60" s="86"/>
      <c r="W60" s="86"/>
      <c r="X60" s="86"/>
      <c r="Y60" s="86"/>
      <c r="Z60" s="86"/>
    </row>
    <row r="61">
      <c r="A61" s="85" t="s">
        <v>681</v>
      </c>
      <c r="B61" s="72" t="s">
        <v>551</v>
      </c>
      <c r="C61" s="72" t="s">
        <v>677</v>
      </c>
      <c r="D61" s="72" t="s">
        <v>682</v>
      </c>
      <c r="E61" s="72" t="s">
        <v>683</v>
      </c>
      <c r="F61" s="78"/>
      <c r="G61" s="72" t="s">
        <v>684</v>
      </c>
      <c r="H61" s="74" t="s">
        <v>13</v>
      </c>
      <c r="I61" s="78"/>
      <c r="J61" s="93"/>
      <c r="K61" s="86"/>
      <c r="L61" s="86"/>
      <c r="M61" s="86"/>
      <c r="N61" s="86"/>
      <c r="O61" s="86"/>
      <c r="P61" s="86"/>
      <c r="Q61" s="86"/>
      <c r="R61" s="86"/>
      <c r="S61" s="86"/>
      <c r="T61" s="86"/>
      <c r="U61" s="86"/>
      <c r="V61" s="86"/>
      <c r="W61" s="86"/>
      <c r="X61" s="86"/>
      <c r="Y61" s="86"/>
      <c r="Z61" s="95" t="s">
        <v>685</v>
      </c>
    </row>
    <row r="62">
      <c r="A62" s="85" t="s">
        <v>686</v>
      </c>
      <c r="B62" s="72" t="s">
        <v>551</v>
      </c>
      <c r="C62" s="72" t="s">
        <v>677</v>
      </c>
      <c r="D62" s="72" t="s">
        <v>687</v>
      </c>
      <c r="E62" s="72" t="s">
        <v>688</v>
      </c>
      <c r="F62" s="78"/>
      <c r="G62" s="72" t="s">
        <v>689</v>
      </c>
      <c r="H62" s="74" t="s">
        <v>13</v>
      </c>
      <c r="I62" s="78"/>
      <c r="J62" s="93"/>
      <c r="K62" s="86"/>
      <c r="L62" s="86"/>
      <c r="M62" s="86"/>
      <c r="N62" s="86"/>
      <c r="O62" s="86"/>
      <c r="P62" s="86"/>
      <c r="Q62" s="86"/>
      <c r="R62" s="86"/>
      <c r="S62" s="86"/>
      <c r="T62" s="86"/>
      <c r="U62" s="86"/>
      <c r="V62" s="86"/>
      <c r="W62" s="86"/>
      <c r="X62" s="86"/>
      <c r="Y62" s="86"/>
      <c r="Z62" s="86"/>
    </row>
    <row r="63">
      <c r="A63" s="85" t="s">
        <v>690</v>
      </c>
      <c r="B63" s="72" t="s">
        <v>551</v>
      </c>
      <c r="C63" s="72" t="s">
        <v>677</v>
      </c>
      <c r="D63" s="72" t="s">
        <v>687</v>
      </c>
      <c r="E63" s="72" t="s">
        <v>691</v>
      </c>
      <c r="F63" s="78"/>
      <c r="G63" s="72" t="s">
        <v>692</v>
      </c>
      <c r="H63" s="74" t="s">
        <v>13</v>
      </c>
      <c r="I63" s="78"/>
      <c r="J63" s="93"/>
      <c r="K63" s="86"/>
      <c r="L63" s="86"/>
      <c r="M63" s="86"/>
      <c r="N63" s="86"/>
      <c r="O63" s="86"/>
      <c r="P63" s="86"/>
      <c r="Q63" s="86"/>
      <c r="R63" s="86"/>
      <c r="S63" s="86"/>
      <c r="T63" s="86"/>
      <c r="U63" s="86"/>
      <c r="V63" s="86"/>
      <c r="W63" s="86"/>
      <c r="X63" s="86"/>
      <c r="Y63" s="86"/>
      <c r="Z63" s="86"/>
    </row>
    <row r="64">
      <c r="A64" s="85" t="s">
        <v>693</v>
      </c>
      <c r="B64" s="72" t="s">
        <v>551</v>
      </c>
      <c r="C64" s="72" t="s">
        <v>677</v>
      </c>
      <c r="D64" s="72" t="s">
        <v>687</v>
      </c>
      <c r="E64" s="72" t="s">
        <v>694</v>
      </c>
      <c r="F64" s="78"/>
      <c r="G64" s="72" t="s">
        <v>695</v>
      </c>
      <c r="H64" s="74" t="s">
        <v>13</v>
      </c>
      <c r="I64" s="78"/>
      <c r="J64" s="93"/>
      <c r="K64" s="86"/>
      <c r="L64" s="86"/>
      <c r="M64" s="86"/>
      <c r="N64" s="86"/>
      <c r="O64" s="86"/>
      <c r="P64" s="86"/>
      <c r="Q64" s="86"/>
      <c r="R64" s="86"/>
      <c r="S64" s="86"/>
      <c r="T64" s="86"/>
      <c r="U64" s="86"/>
      <c r="V64" s="86"/>
      <c r="W64" s="86"/>
      <c r="X64" s="86"/>
      <c r="Y64" s="86"/>
      <c r="Z64" s="86"/>
    </row>
    <row r="65">
      <c r="A65" s="85" t="s">
        <v>696</v>
      </c>
      <c r="B65" s="72" t="s">
        <v>551</v>
      </c>
      <c r="C65" s="72" t="s">
        <v>677</v>
      </c>
      <c r="D65" s="72" t="s">
        <v>697</v>
      </c>
      <c r="E65" s="72" t="s">
        <v>698</v>
      </c>
      <c r="F65" s="78"/>
      <c r="G65" s="72" t="s">
        <v>699</v>
      </c>
      <c r="H65" s="74" t="s">
        <v>13</v>
      </c>
      <c r="I65" s="78"/>
      <c r="J65" s="93"/>
      <c r="K65" s="86"/>
      <c r="L65" s="86"/>
      <c r="M65" s="86"/>
      <c r="N65" s="86"/>
      <c r="O65" s="86"/>
      <c r="P65" s="86"/>
      <c r="Q65" s="86"/>
      <c r="R65" s="86"/>
      <c r="S65" s="86"/>
      <c r="T65" s="86"/>
      <c r="U65" s="86"/>
      <c r="V65" s="86"/>
      <c r="W65" s="86"/>
      <c r="X65" s="86"/>
      <c r="Y65" s="86"/>
      <c r="Z65" s="86"/>
    </row>
    <row r="66">
      <c r="A66" s="85" t="s">
        <v>700</v>
      </c>
      <c r="B66" s="72" t="s">
        <v>551</v>
      </c>
      <c r="C66" s="72" t="s">
        <v>677</v>
      </c>
      <c r="D66" s="72" t="s">
        <v>701</v>
      </c>
      <c r="E66" s="72" t="s">
        <v>702</v>
      </c>
      <c r="F66" s="78"/>
      <c r="G66" s="72" t="s">
        <v>703</v>
      </c>
      <c r="H66" s="74" t="s">
        <v>13</v>
      </c>
      <c r="I66" s="78"/>
      <c r="J66" s="93"/>
      <c r="K66" s="86"/>
      <c r="L66" s="86"/>
      <c r="M66" s="86"/>
      <c r="N66" s="86"/>
      <c r="O66" s="86"/>
      <c r="P66" s="86"/>
      <c r="Q66" s="86"/>
      <c r="R66" s="86"/>
      <c r="S66" s="86"/>
      <c r="T66" s="86"/>
      <c r="U66" s="86"/>
      <c r="V66" s="86"/>
      <c r="W66" s="86"/>
      <c r="X66" s="86"/>
      <c r="Y66" s="86"/>
      <c r="Z66" s="86"/>
    </row>
    <row r="67">
      <c r="A67" s="85" t="s">
        <v>704</v>
      </c>
      <c r="B67" s="72" t="s">
        <v>551</v>
      </c>
      <c r="C67" s="72" t="s">
        <v>677</v>
      </c>
      <c r="D67" s="72" t="s">
        <v>705</v>
      </c>
      <c r="E67" s="72" t="s">
        <v>706</v>
      </c>
      <c r="F67" s="78"/>
      <c r="G67" s="72" t="s">
        <v>707</v>
      </c>
      <c r="H67" s="74" t="s">
        <v>13</v>
      </c>
      <c r="I67" s="78"/>
      <c r="J67" s="93"/>
      <c r="K67" s="86"/>
      <c r="L67" s="86"/>
      <c r="M67" s="86"/>
      <c r="N67" s="86"/>
      <c r="O67" s="86"/>
      <c r="P67" s="86"/>
      <c r="Q67" s="86"/>
      <c r="R67" s="86"/>
      <c r="S67" s="86"/>
      <c r="T67" s="86"/>
      <c r="U67" s="86"/>
      <c r="V67" s="86"/>
      <c r="W67" s="86"/>
      <c r="X67" s="86"/>
      <c r="Y67" s="86"/>
      <c r="Z67" s="86"/>
    </row>
    <row r="68">
      <c r="A68" s="85" t="s">
        <v>708</v>
      </c>
      <c r="B68" s="72" t="s">
        <v>551</v>
      </c>
      <c r="C68" s="72" t="s">
        <v>677</v>
      </c>
      <c r="D68" s="72" t="s">
        <v>709</v>
      </c>
      <c r="E68" s="72" t="s">
        <v>710</v>
      </c>
      <c r="F68" s="78"/>
      <c r="G68" s="72" t="s">
        <v>711</v>
      </c>
      <c r="H68" s="74" t="s">
        <v>13</v>
      </c>
      <c r="I68" s="78"/>
      <c r="J68" s="93"/>
      <c r="K68" s="86"/>
      <c r="L68" s="86"/>
      <c r="M68" s="86"/>
      <c r="N68" s="86"/>
      <c r="O68" s="86"/>
      <c r="P68" s="86"/>
      <c r="Q68" s="86"/>
      <c r="R68" s="86"/>
      <c r="S68" s="86"/>
      <c r="T68" s="86"/>
      <c r="U68" s="86"/>
      <c r="V68" s="86"/>
      <c r="W68" s="86"/>
      <c r="X68" s="86"/>
      <c r="Y68" s="86"/>
      <c r="Z68" s="86"/>
    </row>
    <row r="69">
      <c r="A69" s="85" t="s">
        <v>712</v>
      </c>
      <c r="B69" s="72" t="s">
        <v>551</v>
      </c>
      <c r="C69" s="72" t="s">
        <v>677</v>
      </c>
      <c r="D69" s="72" t="s">
        <v>687</v>
      </c>
      <c r="E69" s="72" t="s">
        <v>713</v>
      </c>
      <c r="F69" s="78"/>
      <c r="G69" s="72" t="s">
        <v>714</v>
      </c>
      <c r="H69" s="74" t="s">
        <v>13</v>
      </c>
      <c r="I69" s="78"/>
      <c r="J69" s="93"/>
      <c r="K69" s="86"/>
      <c r="L69" s="86"/>
      <c r="M69" s="86"/>
      <c r="N69" s="86"/>
      <c r="O69" s="86"/>
      <c r="P69" s="86"/>
      <c r="Q69" s="86"/>
      <c r="R69" s="86"/>
      <c r="S69" s="86"/>
      <c r="T69" s="86"/>
      <c r="U69" s="86"/>
      <c r="V69" s="86"/>
      <c r="W69" s="86"/>
      <c r="X69" s="86"/>
      <c r="Y69" s="86"/>
      <c r="Z69" s="86"/>
    </row>
    <row r="70">
      <c r="A70" s="85" t="s">
        <v>715</v>
      </c>
      <c r="B70" s="72" t="s">
        <v>551</v>
      </c>
      <c r="C70" s="72" t="s">
        <v>677</v>
      </c>
      <c r="D70" s="72" t="s">
        <v>687</v>
      </c>
      <c r="E70" s="72" t="s">
        <v>716</v>
      </c>
      <c r="F70" s="78"/>
      <c r="G70" s="72" t="s">
        <v>717</v>
      </c>
      <c r="H70" s="74" t="s">
        <v>13</v>
      </c>
      <c r="I70" s="78"/>
      <c r="J70" s="93"/>
      <c r="K70" s="86"/>
      <c r="L70" s="86"/>
      <c r="M70" s="86"/>
      <c r="N70" s="86"/>
      <c r="O70" s="86"/>
      <c r="P70" s="86"/>
      <c r="Q70" s="86"/>
      <c r="R70" s="86"/>
      <c r="S70" s="86"/>
      <c r="T70" s="86"/>
      <c r="U70" s="86"/>
      <c r="V70" s="86"/>
      <c r="W70" s="86"/>
      <c r="X70" s="86"/>
      <c r="Y70" s="86"/>
      <c r="Z70" s="86"/>
    </row>
    <row r="71">
      <c r="A71" s="85" t="s">
        <v>718</v>
      </c>
      <c r="B71" s="72" t="s">
        <v>551</v>
      </c>
      <c r="C71" s="72" t="s">
        <v>719</v>
      </c>
      <c r="D71" s="72"/>
      <c r="E71" s="72" t="s">
        <v>720</v>
      </c>
      <c r="F71" s="78"/>
      <c r="G71" s="72" t="s">
        <v>721</v>
      </c>
      <c r="H71" s="74" t="s">
        <v>13</v>
      </c>
      <c r="I71" s="78"/>
      <c r="J71" s="93"/>
      <c r="K71" s="86"/>
      <c r="L71" s="86"/>
      <c r="M71" s="86"/>
      <c r="N71" s="86"/>
      <c r="O71" s="86"/>
      <c r="P71" s="86"/>
      <c r="Q71" s="86"/>
      <c r="R71" s="86"/>
      <c r="S71" s="86"/>
      <c r="T71" s="86"/>
      <c r="U71" s="86"/>
      <c r="V71" s="86"/>
      <c r="W71" s="86"/>
      <c r="X71" s="86"/>
      <c r="Y71" s="86"/>
      <c r="Z71" s="86"/>
    </row>
    <row r="72">
      <c r="A72" s="85" t="s">
        <v>722</v>
      </c>
      <c r="B72" s="72" t="s">
        <v>723</v>
      </c>
      <c r="C72" s="73" t="s">
        <v>724</v>
      </c>
      <c r="D72" s="72" t="s">
        <v>725</v>
      </c>
      <c r="E72" s="72" t="s">
        <v>726</v>
      </c>
      <c r="F72" s="78"/>
      <c r="G72" s="72" t="s">
        <v>727</v>
      </c>
      <c r="H72" s="74" t="s">
        <v>13</v>
      </c>
      <c r="I72" s="75"/>
      <c r="J72" s="93"/>
      <c r="K72" s="58"/>
      <c r="L72" s="58"/>
      <c r="M72" s="58"/>
      <c r="N72" s="58"/>
      <c r="O72" s="58"/>
      <c r="P72" s="58"/>
      <c r="Q72" s="58"/>
      <c r="R72" s="58"/>
      <c r="S72" s="58"/>
      <c r="T72" s="58"/>
      <c r="U72" s="58"/>
      <c r="V72" s="58"/>
      <c r="W72" s="58"/>
      <c r="X72" s="58"/>
      <c r="Y72" s="58"/>
      <c r="Z72" s="58"/>
    </row>
    <row r="73">
      <c r="A73" s="85" t="s">
        <v>728</v>
      </c>
      <c r="B73" s="72" t="s">
        <v>574</v>
      </c>
      <c r="C73" s="73" t="s">
        <v>729</v>
      </c>
      <c r="D73" s="72" t="s">
        <v>730</v>
      </c>
      <c r="E73" s="72" t="s">
        <v>731</v>
      </c>
      <c r="F73" s="78"/>
      <c r="G73" s="72" t="s">
        <v>732</v>
      </c>
      <c r="H73" s="74" t="s">
        <v>13</v>
      </c>
      <c r="I73" s="75"/>
      <c r="J73" s="93"/>
      <c r="K73" s="58"/>
      <c r="L73" s="58"/>
      <c r="M73" s="58"/>
      <c r="N73" s="58"/>
      <c r="O73" s="58"/>
      <c r="P73" s="58"/>
      <c r="Q73" s="58"/>
      <c r="R73" s="58"/>
      <c r="S73" s="58"/>
      <c r="T73" s="58"/>
      <c r="U73" s="58"/>
      <c r="V73" s="58"/>
      <c r="W73" s="58"/>
      <c r="X73" s="58"/>
      <c r="Y73" s="58"/>
      <c r="Z73" s="58"/>
    </row>
    <row r="74">
      <c r="A74" s="85" t="s">
        <v>733</v>
      </c>
      <c r="B74" s="72" t="s">
        <v>574</v>
      </c>
      <c r="C74" s="73" t="s">
        <v>729</v>
      </c>
      <c r="D74" s="72" t="s">
        <v>730</v>
      </c>
      <c r="E74" s="72" t="s">
        <v>734</v>
      </c>
      <c r="F74" s="72"/>
      <c r="G74" s="72" t="s">
        <v>735</v>
      </c>
      <c r="H74" s="74" t="s">
        <v>13</v>
      </c>
      <c r="I74" s="75"/>
      <c r="J74" s="93"/>
      <c r="K74" s="58"/>
      <c r="L74" s="58"/>
      <c r="M74" s="58"/>
      <c r="N74" s="58"/>
      <c r="O74" s="58"/>
      <c r="P74" s="58"/>
      <c r="Q74" s="58"/>
      <c r="R74" s="58"/>
      <c r="S74" s="58"/>
      <c r="T74" s="58"/>
      <c r="U74" s="58"/>
      <c r="V74" s="58"/>
      <c r="W74" s="58"/>
      <c r="X74" s="58"/>
      <c r="Y74" s="58"/>
      <c r="Z74" s="58"/>
    </row>
    <row r="75">
      <c r="A75" s="85" t="s">
        <v>736</v>
      </c>
      <c r="B75" s="72" t="s">
        <v>574</v>
      </c>
      <c r="C75" s="73" t="s">
        <v>737</v>
      </c>
      <c r="D75" s="72" t="s">
        <v>738</v>
      </c>
      <c r="E75" s="72" t="s">
        <v>739</v>
      </c>
      <c r="F75" s="72"/>
      <c r="G75" s="72" t="s">
        <v>740</v>
      </c>
      <c r="H75" s="74" t="s">
        <v>13</v>
      </c>
      <c r="I75" s="75"/>
      <c r="J75" s="93"/>
      <c r="K75" s="58"/>
      <c r="L75" s="58"/>
      <c r="M75" s="58"/>
      <c r="N75" s="58"/>
      <c r="O75" s="58"/>
      <c r="P75" s="58"/>
      <c r="Q75" s="58"/>
      <c r="R75" s="58"/>
      <c r="S75" s="58"/>
      <c r="T75" s="58"/>
      <c r="U75" s="58"/>
      <c r="V75" s="58"/>
      <c r="W75" s="58"/>
      <c r="X75" s="58"/>
      <c r="Y75" s="58"/>
      <c r="Z75" s="58"/>
    </row>
    <row r="76">
      <c r="A76" s="85" t="s">
        <v>741</v>
      </c>
      <c r="B76" s="72" t="s">
        <v>574</v>
      </c>
      <c r="C76" s="73" t="s">
        <v>742</v>
      </c>
      <c r="D76" s="72" t="s">
        <v>738</v>
      </c>
      <c r="E76" s="72" t="s">
        <v>743</v>
      </c>
      <c r="F76" s="72"/>
      <c r="G76" s="72" t="s">
        <v>744</v>
      </c>
      <c r="H76" s="74" t="s">
        <v>13</v>
      </c>
      <c r="I76" s="75"/>
      <c r="J76" s="93"/>
      <c r="K76" s="58"/>
      <c r="L76" s="58"/>
      <c r="M76" s="58"/>
      <c r="N76" s="58"/>
      <c r="O76" s="58"/>
      <c r="P76" s="58"/>
      <c r="Q76" s="58"/>
      <c r="R76" s="58"/>
      <c r="S76" s="58"/>
      <c r="T76" s="58"/>
      <c r="U76" s="58"/>
      <c r="V76" s="58"/>
      <c r="W76" s="58"/>
      <c r="X76" s="58"/>
      <c r="Y76" s="58"/>
      <c r="Z76" s="58"/>
    </row>
    <row r="77">
      <c r="A77" s="85" t="s">
        <v>745</v>
      </c>
      <c r="B77" s="72" t="s">
        <v>574</v>
      </c>
      <c r="C77" s="73" t="s">
        <v>746</v>
      </c>
      <c r="D77" s="72" t="s">
        <v>747</v>
      </c>
      <c r="E77" s="73" t="s">
        <v>748</v>
      </c>
      <c r="F77" s="78"/>
      <c r="G77" s="72" t="s">
        <v>749</v>
      </c>
      <c r="H77" s="74" t="s">
        <v>13</v>
      </c>
      <c r="I77" s="75"/>
      <c r="J77" s="96"/>
      <c r="K77" s="58"/>
      <c r="L77" s="58"/>
      <c r="M77" s="58"/>
      <c r="N77" s="58"/>
      <c r="O77" s="58"/>
      <c r="P77" s="58"/>
      <c r="Q77" s="58"/>
      <c r="R77" s="58"/>
      <c r="S77" s="58"/>
      <c r="T77" s="58"/>
      <c r="U77" s="58"/>
      <c r="V77" s="58"/>
      <c r="W77" s="58"/>
      <c r="X77" s="58"/>
      <c r="Y77" s="58"/>
      <c r="Z77" s="58"/>
    </row>
    <row r="78">
      <c r="A78" s="85" t="s">
        <v>750</v>
      </c>
      <c r="B78" s="72" t="s">
        <v>574</v>
      </c>
      <c r="C78" s="73" t="s">
        <v>751</v>
      </c>
      <c r="D78" s="72" t="s">
        <v>752</v>
      </c>
      <c r="E78" s="78" t="s">
        <v>753</v>
      </c>
      <c r="F78" s="78" t="s">
        <v>754</v>
      </c>
      <c r="G78" s="78" t="s">
        <v>755</v>
      </c>
      <c r="H78" s="74" t="s">
        <v>13</v>
      </c>
      <c r="I78" s="75"/>
      <c r="J78" s="96"/>
      <c r="K78" s="58"/>
      <c r="L78" s="58"/>
      <c r="M78" s="58"/>
      <c r="N78" s="58"/>
      <c r="O78" s="58"/>
      <c r="P78" s="58"/>
      <c r="Q78" s="58"/>
      <c r="R78" s="58"/>
      <c r="S78" s="58"/>
      <c r="T78" s="58"/>
      <c r="U78" s="58"/>
      <c r="V78" s="58"/>
      <c r="W78" s="58"/>
      <c r="X78" s="58"/>
      <c r="Y78" s="58"/>
      <c r="Z78" s="58"/>
    </row>
    <row r="79">
      <c r="A79" s="85" t="s">
        <v>756</v>
      </c>
      <c r="B79" s="72" t="s">
        <v>574</v>
      </c>
      <c r="C79" s="73" t="s">
        <v>757</v>
      </c>
      <c r="D79" s="78" t="s">
        <v>758</v>
      </c>
      <c r="E79" s="78" t="s">
        <v>759</v>
      </c>
      <c r="F79" s="78"/>
      <c r="G79" s="72" t="s">
        <v>760</v>
      </c>
      <c r="H79" s="74" t="s">
        <v>13</v>
      </c>
      <c r="I79" s="75"/>
      <c r="J79" s="96"/>
      <c r="K79" s="58"/>
      <c r="L79" s="58"/>
      <c r="M79" s="58"/>
      <c r="N79" s="58"/>
      <c r="O79" s="58"/>
      <c r="P79" s="58"/>
      <c r="Q79" s="58"/>
      <c r="R79" s="58"/>
      <c r="S79" s="58"/>
      <c r="T79" s="58"/>
      <c r="U79" s="58"/>
      <c r="V79" s="58"/>
      <c r="W79" s="58"/>
      <c r="X79" s="58"/>
      <c r="Y79" s="58"/>
      <c r="Z79" s="58"/>
    </row>
    <row r="80">
      <c r="A80" s="85" t="s">
        <v>761</v>
      </c>
      <c r="B80" s="72" t="s">
        <v>574</v>
      </c>
      <c r="C80" s="73" t="s">
        <v>762</v>
      </c>
      <c r="D80" s="78" t="s">
        <v>763</v>
      </c>
      <c r="E80" s="72" t="s">
        <v>764</v>
      </c>
      <c r="F80" s="78" t="s">
        <v>765</v>
      </c>
      <c r="G80" s="78" t="s">
        <v>766</v>
      </c>
      <c r="H80" s="74" t="s">
        <v>13</v>
      </c>
      <c r="I80" s="75"/>
      <c r="J80" s="96"/>
      <c r="K80" s="58"/>
      <c r="L80" s="58"/>
      <c r="M80" s="58"/>
      <c r="N80" s="58"/>
      <c r="O80" s="58"/>
      <c r="P80" s="58"/>
      <c r="Q80" s="58"/>
      <c r="R80" s="58"/>
      <c r="S80" s="58"/>
      <c r="T80" s="58"/>
      <c r="U80" s="58"/>
      <c r="V80" s="58"/>
      <c r="W80" s="58"/>
      <c r="X80" s="58"/>
      <c r="Y80" s="58"/>
      <c r="Z80" s="58"/>
    </row>
    <row r="81">
      <c r="A81" s="85" t="s">
        <v>767</v>
      </c>
      <c r="B81" s="72" t="s">
        <v>574</v>
      </c>
      <c r="C81" s="73" t="s">
        <v>762</v>
      </c>
      <c r="D81" s="78" t="s">
        <v>768</v>
      </c>
      <c r="E81" s="78" t="s">
        <v>769</v>
      </c>
      <c r="F81" s="78" t="s">
        <v>770</v>
      </c>
      <c r="G81" s="78" t="s">
        <v>771</v>
      </c>
      <c r="H81" s="74" t="s">
        <v>13</v>
      </c>
      <c r="I81" s="75"/>
      <c r="J81" s="96"/>
      <c r="K81" s="58"/>
      <c r="L81" s="58"/>
      <c r="M81" s="58"/>
      <c r="N81" s="58"/>
      <c r="O81" s="58"/>
      <c r="P81" s="58"/>
      <c r="Q81" s="58"/>
      <c r="R81" s="58"/>
      <c r="S81" s="58"/>
      <c r="T81" s="58"/>
      <c r="U81" s="58"/>
      <c r="V81" s="58"/>
      <c r="W81" s="58"/>
      <c r="X81" s="58"/>
      <c r="Y81" s="58"/>
      <c r="Z81" s="58"/>
    </row>
    <row r="82">
      <c r="A82" s="85" t="s">
        <v>772</v>
      </c>
      <c r="B82" s="72" t="s">
        <v>574</v>
      </c>
      <c r="C82" s="73" t="s">
        <v>773</v>
      </c>
      <c r="D82" s="78" t="s">
        <v>774</v>
      </c>
      <c r="E82" s="78" t="s">
        <v>775</v>
      </c>
      <c r="F82" s="97" t="s">
        <v>776</v>
      </c>
      <c r="G82" s="78" t="s">
        <v>777</v>
      </c>
      <c r="H82" s="74" t="s">
        <v>13</v>
      </c>
      <c r="I82" s="75"/>
      <c r="J82" s="96"/>
      <c r="K82" s="58"/>
      <c r="L82" s="58"/>
      <c r="M82" s="58"/>
      <c r="N82" s="58"/>
      <c r="O82" s="58"/>
      <c r="P82" s="58"/>
      <c r="Q82" s="58"/>
      <c r="R82" s="58"/>
      <c r="S82" s="58"/>
      <c r="T82" s="58"/>
      <c r="U82" s="58"/>
      <c r="V82" s="58"/>
      <c r="W82" s="58"/>
      <c r="X82" s="58"/>
      <c r="Y82" s="58"/>
      <c r="Z82" s="58"/>
    </row>
    <row r="83">
      <c r="A83" s="85" t="s">
        <v>778</v>
      </c>
      <c r="B83" s="72" t="s">
        <v>574</v>
      </c>
      <c r="C83" s="73" t="s">
        <v>773</v>
      </c>
      <c r="D83" s="78" t="s">
        <v>779</v>
      </c>
      <c r="E83" s="78" t="s">
        <v>775</v>
      </c>
      <c r="F83" s="98"/>
      <c r="G83" s="78" t="s">
        <v>777</v>
      </c>
      <c r="H83" s="74" t="s">
        <v>13</v>
      </c>
      <c r="I83" s="75"/>
      <c r="J83" s="96"/>
      <c r="K83" s="58"/>
      <c r="L83" s="58"/>
      <c r="M83" s="58"/>
      <c r="N83" s="58"/>
      <c r="O83" s="58"/>
      <c r="P83" s="58"/>
      <c r="Q83" s="58"/>
      <c r="R83" s="58"/>
      <c r="S83" s="58"/>
      <c r="T83" s="58"/>
      <c r="U83" s="58"/>
      <c r="V83" s="58"/>
      <c r="W83" s="58"/>
      <c r="X83" s="58"/>
      <c r="Y83" s="58"/>
      <c r="Z83" s="58"/>
    </row>
    <row r="84">
      <c r="A84" s="85" t="s">
        <v>780</v>
      </c>
      <c r="B84" s="72" t="s">
        <v>574</v>
      </c>
      <c r="C84" s="73" t="s">
        <v>773</v>
      </c>
      <c r="D84" s="78" t="s">
        <v>781</v>
      </c>
      <c r="E84" s="78" t="s">
        <v>775</v>
      </c>
      <c r="F84" s="98"/>
      <c r="G84" s="78" t="s">
        <v>777</v>
      </c>
      <c r="H84" s="74" t="s">
        <v>13</v>
      </c>
      <c r="I84" s="75"/>
      <c r="J84" s="96"/>
      <c r="K84" s="58"/>
      <c r="L84" s="58"/>
      <c r="M84" s="58"/>
      <c r="N84" s="58"/>
      <c r="O84" s="58"/>
      <c r="P84" s="58"/>
      <c r="Q84" s="58"/>
      <c r="R84" s="58"/>
      <c r="S84" s="58"/>
      <c r="T84" s="58"/>
      <c r="U84" s="58"/>
      <c r="V84" s="58"/>
      <c r="W84" s="58"/>
      <c r="X84" s="58"/>
      <c r="Y84" s="58"/>
      <c r="Z84" s="58"/>
    </row>
    <row r="85">
      <c r="A85" s="85" t="s">
        <v>782</v>
      </c>
      <c r="B85" s="72" t="s">
        <v>574</v>
      </c>
      <c r="C85" s="73" t="s">
        <v>773</v>
      </c>
      <c r="D85" s="78" t="s">
        <v>783</v>
      </c>
      <c r="E85" s="78" t="s">
        <v>775</v>
      </c>
      <c r="F85" s="99"/>
      <c r="G85" s="78" t="s">
        <v>777</v>
      </c>
      <c r="H85" s="74" t="s">
        <v>13</v>
      </c>
      <c r="I85" s="75"/>
      <c r="J85" s="96"/>
      <c r="K85" s="58"/>
      <c r="L85" s="58"/>
      <c r="M85" s="58"/>
      <c r="N85" s="58"/>
      <c r="O85" s="58"/>
      <c r="P85" s="58"/>
      <c r="Q85" s="58"/>
      <c r="R85" s="58"/>
      <c r="S85" s="58"/>
      <c r="T85" s="58"/>
      <c r="U85" s="58"/>
      <c r="V85" s="58"/>
      <c r="W85" s="58"/>
      <c r="X85" s="58"/>
      <c r="Y85" s="58"/>
      <c r="Z85" s="58"/>
    </row>
    <row r="86">
      <c r="A86" s="85" t="s">
        <v>784</v>
      </c>
      <c r="B86" s="72" t="s">
        <v>574</v>
      </c>
      <c r="C86" s="73" t="s">
        <v>773</v>
      </c>
      <c r="D86" s="72" t="s">
        <v>785</v>
      </c>
      <c r="E86" s="72" t="s">
        <v>786</v>
      </c>
      <c r="F86" s="78" t="s">
        <v>787</v>
      </c>
      <c r="G86" s="78" t="s">
        <v>788</v>
      </c>
      <c r="H86" s="74" t="s">
        <v>13</v>
      </c>
      <c r="I86" s="75"/>
      <c r="J86" s="96"/>
      <c r="K86" s="58"/>
      <c r="L86" s="58"/>
      <c r="M86" s="58"/>
      <c r="N86" s="58"/>
      <c r="O86" s="58"/>
      <c r="P86" s="58"/>
      <c r="Q86" s="58"/>
      <c r="R86" s="58"/>
      <c r="S86" s="58"/>
      <c r="T86" s="58"/>
      <c r="U86" s="58"/>
      <c r="V86" s="58"/>
      <c r="W86" s="58"/>
      <c r="X86" s="58"/>
      <c r="Y86" s="58"/>
      <c r="Z86" s="58"/>
    </row>
    <row r="87">
      <c r="A87" s="85" t="s">
        <v>789</v>
      </c>
      <c r="B87" s="72" t="s">
        <v>574</v>
      </c>
      <c r="C87" s="73" t="s">
        <v>773</v>
      </c>
      <c r="D87" s="78" t="s">
        <v>790</v>
      </c>
      <c r="E87" s="72" t="s">
        <v>791</v>
      </c>
      <c r="F87" s="78"/>
      <c r="G87" s="72" t="s">
        <v>792</v>
      </c>
      <c r="H87" s="74" t="s">
        <v>13</v>
      </c>
      <c r="I87" s="75"/>
      <c r="J87" s="96"/>
      <c r="K87" s="58"/>
      <c r="L87" s="58"/>
      <c r="M87" s="58"/>
      <c r="N87" s="58"/>
      <c r="O87" s="58"/>
      <c r="P87" s="58"/>
      <c r="Q87" s="58"/>
      <c r="R87" s="58"/>
      <c r="S87" s="58"/>
      <c r="T87" s="58"/>
      <c r="U87" s="58"/>
      <c r="V87" s="58"/>
      <c r="W87" s="58"/>
      <c r="X87" s="58"/>
      <c r="Y87" s="58"/>
      <c r="Z87" s="58"/>
    </row>
    <row r="88">
      <c r="A88" s="85" t="s">
        <v>793</v>
      </c>
      <c r="B88" s="72" t="s">
        <v>574</v>
      </c>
      <c r="C88" s="73" t="s">
        <v>794</v>
      </c>
      <c r="D88" s="72" t="s">
        <v>795</v>
      </c>
      <c r="E88" s="100" t="s">
        <v>796</v>
      </c>
      <c r="F88" s="78"/>
      <c r="G88" s="72" t="s">
        <v>797</v>
      </c>
      <c r="H88" s="74" t="s">
        <v>13</v>
      </c>
      <c r="I88" s="75"/>
      <c r="J88" s="96"/>
      <c r="K88" s="58"/>
      <c r="L88" s="58"/>
      <c r="M88" s="58"/>
      <c r="N88" s="58"/>
      <c r="O88" s="58"/>
      <c r="P88" s="58"/>
      <c r="Q88" s="58"/>
      <c r="R88" s="58"/>
      <c r="S88" s="58"/>
      <c r="T88" s="58"/>
      <c r="U88" s="58"/>
      <c r="V88" s="58"/>
      <c r="W88" s="58"/>
      <c r="X88" s="58"/>
      <c r="Y88" s="58"/>
      <c r="Z88" s="58"/>
    </row>
    <row r="89">
      <c r="A89" s="85" t="s">
        <v>798</v>
      </c>
      <c r="B89" s="72" t="s">
        <v>799</v>
      </c>
      <c r="C89" s="73" t="s">
        <v>800</v>
      </c>
      <c r="D89" s="72" t="s">
        <v>801</v>
      </c>
      <c r="E89" s="72" t="s">
        <v>802</v>
      </c>
      <c r="F89" s="78"/>
      <c r="G89" s="72" t="s">
        <v>803</v>
      </c>
      <c r="H89" s="74" t="s">
        <v>13</v>
      </c>
      <c r="I89" s="75"/>
      <c r="J89" s="96"/>
      <c r="K89" s="58"/>
      <c r="L89" s="58"/>
      <c r="M89" s="58"/>
      <c r="N89" s="58"/>
      <c r="O89" s="58"/>
      <c r="P89" s="58"/>
      <c r="Q89" s="58"/>
      <c r="R89" s="58"/>
      <c r="S89" s="58"/>
      <c r="T89" s="58"/>
      <c r="U89" s="58"/>
      <c r="V89" s="58"/>
      <c r="W89" s="58"/>
      <c r="X89" s="58"/>
      <c r="Y89" s="58"/>
      <c r="Z89" s="58"/>
    </row>
    <row r="90">
      <c r="A90" s="85" t="s">
        <v>804</v>
      </c>
      <c r="B90" s="72" t="s">
        <v>799</v>
      </c>
      <c r="C90" s="73" t="s">
        <v>805</v>
      </c>
      <c r="D90" s="72" t="s">
        <v>801</v>
      </c>
      <c r="E90" s="72" t="s">
        <v>806</v>
      </c>
      <c r="F90" s="78"/>
      <c r="G90" s="72" t="s">
        <v>803</v>
      </c>
      <c r="H90" s="74" t="s">
        <v>13</v>
      </c>
      <c r="I90" s="75"/>
      <c r="J90" s="96"/>
      <c r="K90" s="58"/>
      <c r="L90" s="58"/>
      <c r="M90" s="58"/>
      <c r="N90" s="58"/>
      <c r="O90" s="58"/>
      <c r="P90" s="58"/>
      <c r="Q90" s="58"/>
      <c r="R90" s="58"/>
      <c r="S90" s="58"/>
      <c r="T90" s="58"/>
      <c r="U90" s="58"/>
      <c r="V90" s="58"/>
      <c r="W90" s="58"/>
      <c r="X90" s="58"/>
      <c r="Y90" s="58"/>
      <c r="Z90" s="58"/>
    </row>
    <row r="91">
      <c r="A91" s="85" t="s">
        <v>807</v>
      </c>
      <c r="B91" s="72" t="s">
        <v>799</v>
      </c>
      <c r="C91" s="73" t="s">
        <v>808</v>
      </c>
      <c r="D91" s="72" t="s">
        <v>809</v>
      </c>
      <c r="E91" s="72" t="s">
        <v>810</v>
      </c>
      <c r="F91" s="78"/>
      <c r="G91" s="72" t="s">
        <v>811</v>
      </c>
      <c r="H91" s="74" t="s">
        <v>13</v>
      </c>
      <c r="I91" s="75"/>
      <c r="J91" s="96"/>
      <c r="K91" s="58"/>
      <c r="L91" s="58"/>
      <c r="M91" s="58"/>
      <c r="N91" s="58"/>
      <c r="O91" s="58"/>
      <c r="P91" s="58"/>
      <c r="Q91" s="58"/>
      <c r="R91" s="58"/>
      <c r="S91" s="58"/>
      <c r="T91" s="58"/>
      <c r="U91" s="58"/>
      <c r="V91" s="58"/>
      <c r="W91" s="58"/>
      <c r="X91" s="58"/>
      <c r="Y91" s="58"/>
      <c r="Z91" s="58"/>
    </row>
    <row r="92">
      <c r="A92" s="85" t="s">
        <v>812</v>
      </c>
      <c r="B92" s="72" t="s">
        <v>799</v>
      </c>
      <c r="C92" s="73" t="s">
        <v>808</v>
      </c>
      <c r="D92" s="72" t="s">
        <v>813</v>
      </c>
      <c r="E92" s="72" t="s">
        <v>814</v>
      </c>
      <c r="F92" s="78"/>
      <c r="G92" s="72" t="s">
        <v>815</v>
      </c>
      <c r="H92" s="74" t="s">
        <v>13</v>
      </c>
      <c r="I92" s="75"/>
      <c r="J92" s="96"/>
      <c r="K92" s="58"/>
      <c r="L92" s="58"/>
      <c r="M92" s="58"/>
      <c r="N92" s="58"/>
      <c r="O92" s="58"/>
      <c r="P92" s="58"/>
      <c r="Q92" s="58"/>
      <c r="R92" s="58"/>
      <c r="S92" s="58"/>
      <c r="T92" s="58"/>
      <c r="U92" s="58"/>
      <c r="V92" s="58"/>
      <c r="W92" s="58"/>
      <c r="X92" s="58"/>
      <c r="Y92" s="58"/>
      <c r="Z92" s="58"/>
    </row>
    <row r="93">
      <c r="A93" s="85" t="s">
        <v>816</v>
      </c>
      <c r="B93" s="72" t="s">
        <v>799</v>
      </c>
      <c r="C93" s="73" t="s">
        <v>808</v>
      </c>
      <c r="D93" s="72" t="s">
        <v>817</v>
      </c>
      <c r="E93" s="72" t="s">
        <v>818</v>
      </c>
      <c r="F93" s="78"/>
      <c r="G93" s="72" t="s">
        <v>819</v>
      </c>
      <c r="H93" s="74" t="s">
        <v>13</v>
      </c>
      <c r="I93" s="75"/>
      <c r="J93" s="96"/>
      <c r="K93" s="58"/>
      <c r="L93" s="58"/>
      <c r="M93" s="58"/>
      <c r="N93" s="58"/>
      <c r="O93" s="58"/>
      <c r="P93" s="58"/>
      <c r="Q93" s="58"/>
      <c r="R93" s="58"/>
      <c r="S93" s="58"/>
      <c r="T93" s="58"/>
      <c r="U93" s="58"/>
      <c r="V93" s="58"/>
      <c r="W93" s="58"/>
      <c r="X93" s="58"/>
      <c r="Y93" s="58"/>
      <c r="Z93" s="58"/>
    </row>
    <row r="94">
      <c r="A94" s="85" t="s">
        <v>820</v>
      </c>
      <c r="B94" s="72" t="s">
        <v>799</v>
      </c>
      <c r="C94" s="73" t="s">
        <v>808</v>
      </c>
      <c r="D94" s="72" t="s">
        <v>821</v>
      </c>
      <c r="E94" s="72" t="s">
        <v>822</v>
      </c>
      <c r="F94" s="78"/>
      <c r="G94" s="72" t="s">
        <v>823</v>
      </c>
      <c r="H94" s="74" t="s">
        <v>13</v>
      </c>
      <c r="I94" s="75"/>
      <c r="J94" s="96"/>
      <c r="K94" s="58"/>
      <c r="L94" s="58"/>
      <c r="M94" s="58"/>
      <c r="N94" s="58"/>
      <c r="O94" s="58"/>
      <c r="P94" s="58"/>
      <c r="Q94" s="58"/>
      <c r="R94" s="58"/>
      <c r="S94" s="58"/>
      <c r="T94" s="58"/>
      <c r="U94" s="58"/>
      <c r="V94" s="58"/>
      <c r="W94" s="58"/>
      <c r="X94" s="58"/>
      <c r="Y94" s="58"/>
      <c r="Z94" s="58"/>
    </row>
    <row r="95">
      <c r="A95" s="85" t="s">
        <v>824</v>
      </c>
      <c r="B95" s="72" t="s">
        <v>799</v>
      </c>
      <c r="C95" s="73" t="s">
        <v>808</v>
      </c>
      <c r="D95" s="72" t="s">
        <v>821</v>
      </c>
      <c r="E95" s="72" t="s">
        <v>825</v>
      </c>
      <c r="F95" s="78"/>
      <c r="G95" s="72" t="s">
        <v>826</v>
      </c>
      <c r="H95" s="74" t="s">
        <v>13</v>
      </c>
      <c r="I95" s="75"/>
      <c r="J95" s="96"/>
      <c r="K95" s="58"/>
      <c r="L95" s="58"/>
      <c r="M95" s="58"/>
      <c r="N95" s="58"/>
      <c r="O95" s="58"/>
      <c r="P95" s="58"/>
      <c r="Q95" s="58"/>
      <c r="R95" s="58"/>
      <c r="S95" s="58"/>
      <c r="T95" s="58"/>
      <c r="U95" s="58"/>
      <c r="V95" s="58"/>
      <c r="W95" s="58"/>
      <c r="X95" s="58"/>
      <c r="Y95" s="58"/>
      <c r="Z95" s="58"/>
    </row>
    <row r="96">
      <c r="A96" s="85" t="s">
        <v>827</v>
      </c>
      <c r="B96" s="72" t="s">
        <v>799</v>
      </c>
      <c r="C96" s="73" t="s">
        <v>808</v>
      </c>
      <c r="D96" s="72" t="s">
        <v>828</v>
      </c>
      <c r="E96" s="72" t="s">
        <v>829</v>
      </c>
      <c r="F96" s="78"/>
      <c r="G96" s="72" t="s">
        <v>830</v>
      </c>
      <c r="H96" s="74" t="s">
        <v>13</v>
      </c>
      <c r="I96" s="75"/>
      <c r="J96" s="93"/>
      <c r="K96" s="58"/>
      <c r="L96" s="58"/>
      <c r="M96" s="58"/>
      <c r="N96" s="58"/>
      <c r="O96" s="58"/>
      <c r="P96" s="58"/>
      <c r="Q96" s="58"/>
      <c r="R96" s="58"/>
      <c r="S96" s="58"/>
      <c r="T96" s="58"/>
      <c r="U96" s="58"/>
      <c r="V96" s="58"/>
      <c r="W96" s="58"/>
      <c r="X96" s="58"/>
      <c r="Y96" s="58"/>
      <c r="Z96" s="58"/>
    </row>
    <row r="97">
      <c r="A97" s="85" t="s">
        <v>831</v>
      </c>
      <c r="B97" s="72" t="s">
        <v>799</v>
      </c>
      <c r="C97" s="73" t="s">
        <v>808</v>
      </c>
      <c r="D97" s="72" t="s">
        <v>832</v>
      </c>
      <c r="E97" s="72" t="s">
        <v>833</v>
      </c>
      <c r="F97" s="78" t="s">
        <v>787</v>
      </c>
      <c r="G97" s="72" t="s">
        <v>834</v>
      </c>
      <c r="H97" s="74" t="s">
        <v>13</v>
      </c>
      <c r="I97" s="75"/>
      <c r="J97" s="93"/>
      <c r="K97" s="58"/>
      <c r="L97" s="58"/>
      <c r="M97" s="58"/>
      <c r="N97" s="58"/>
      <c r="O97" s="58"/>
      <c r="P97" s="58"/>
      <c r="Q97" s="58"/>
      <c r="R97" s="58"/>
      <c r="S97" s="58"/>
      <c r="T97" s="58"/>
      <c r="U97" s="58"/>
      <c r="V97" s="58"/>
      <c r="W97" s="58"/>
      <c r="X97" s="58"/>
      <c r="Y97" s="58"/>
      <c r="Z97" s="58"/>
    </row>
    <row r="98">
      <c r="A98" s="85" t="s">
        <v>835</v>
      </c>
      <c r="B98" s="72" t="s">
        <v>799</v>
      </c>
      <c r="C98" s="73" t="s">
        <v>836</v>
      </c>
      <c r="D98" s="72" t="s">
        <v>837</v>
      </c>
      <c r="E98" s="72" t="s">
        <v>838</v>
      </c>
      <c r="F98" s="78"/>
      <c r="G98" s="72" t="s">
        <v>839</v>
      </c>
      <c r="H98" s="74" t="s">
        <v>13</v>
      </c>
      <c r="I98" s="75"/>
      <c r="J98" s="93"/>
      <c r="K98" s="58"/>
      <c r="L98" s="58"/>
      <c r="M98" s="58"/>
      <c r="N98" s="58"/>
      <c r="O98" s="58"/>
      <c r="P98" s="58"/>
      <c r="Q98" s="58"/>
      <c r="R98" s="58"/>
      <c r="S98" s="58"/>
      <c r="T98" s="58"/>
      <c r="U98" s="58"/>
      <c r="V98" s="58"/>
      <c r="W98" s="58"/>
      <c r="X98" s="58"/>
      <c r="Y98" s="58"/>
      <c r="Z98" s="58"/>
    </row>
    <row r="99">
      <c r="A99" s="85" t="s">
        <v>840</v>
      </c>
      <c r="B99" s="72" t="s">
        <v>799</v>
      </c>
      <c r="C99" s="73" t="s">
        <v>836</v>
      </c>
      <c r="D99" s="72" t="s">
        <v>841</v>
      </c>
      <c r="E99" s="72" t="s">
        <v>842</v>
      </c>
      <c r="F99" s="78"/>
      <c r="G99" s="72" t="s">
        <v>843</v>
      </c>
      <c r="H99" s="74" t="s">
        <v>13</v>
      </c>
      <c r="I99" s="75"/>
      <c r="J99" s="93"/>
      <c r="K99" s="58"/>
      <c r="L99" s="58"/>
      <c r="M99" s="58"/>
      <c r="N99" s="58"/>
      <c r="O99" s="58"/>
      <c r="P99" s="58"/>
      <c r="Q99" s="58"/>
      <c r="R99" s="58"/>
      <c r="S99" s="58"/>
      <c r="T99" s="58"/>
      <c r="U99" s="58"/>
      <c r="V99" s="58"/>
      <c r="W99" s="58"/>
      <c r="X99" s="58"/>
      <c r="Y99" s="58"/>
      <c r="Z99" s="58"/>
    </row>
    <row r="100">
      <c r="A100" s="85" t="s">
        <v>844</v>
      </c>
      <c r="B100" s="72" t="s">
        <v>799</v>
      </c>
      <c r="C100" s="73" t="s">
        <v>836</v>
      </c>
      <c r="D100" s="72" t="s">
        <v>845</v>
      </c>
      <c r="E100" s="72" t="s">
        <v>846</v>
      </c>
      <c r="F100" s="78"/>
      <c r="G100" s="72" t="s">
        <v>847</v>
      </c>
      <c r="H100" s="74" t="s">
        <v>13</v>
      </c>
      <c r="I100" s="75"/>
      <c r="J100" s="93"/>
      <c r="K100" s="58"/>
      <c r="L100" s="58"/>
      <c r="M100" s="58"/>
      <c r="N100" s="58"/>
      <c r="O100" s="58"/>
      <c r="P100" s="58"/>
      <c r="Q100" s="58"/>
      <c r="R100" s="58"/>
      <c r="S100" s="58"/>
      <c r="T100" s="58"/>
      <c r="U100" s="58"/>
      <c r="V100" s="58"/>
      <c r="W100" s="58"/>
      <c r="X100" s="58"/>
      <c r="Y100" s="58"/>
      <c r="Z100" s="58"/>
    </row>
    <row r="101">
      <c r="A101" s="85" t="s">
        <v>848</v>
      </c>
      <c r="B101" s="72" t="s">
        <v>799</v>
      </c>
      <c r="C101" s="73" t="s">
        <v>836</v>
      </c>
      <c r="D101" s="72" t="s">
        <v>845</v>
      </c>
      <c r="E101" s="72" t="s">
        <v>849</v>
      </c>
      <c r="F101" s="78"/>
      <c r="G101" s="72" t="s">
        <v>850</v>
      </c>
      <c r="H101" s="74" t="s">
        <v>13</v>
      </c>
      <c r="I101" s="75"/>
      <c r="J101" s="93"/>
      <c r="K101" s="58"/>
      <c r="L101" s="58"/>
      <c r="M101" s="58"/>
      <c r="N101" s="58"/>
      <c r="O101" s="58"/>
      <c r="P101" s="58"/>
      <c r="Q101" s="58"/>
      <c r="R101" s="58"/>
      <c r="S101" s="58"/>
      <c r="T101" s="58"/>
      <c r="U101" s="58"/>
      <c r="V101" s="58"/>
      <c r="W101" s="58"/>
      <c r="X101" s="58"/>
      <c r="Y101" s="58"/>
      <c r="Z101" s="58"/>
    </row>
    <row r="102">
      <c r="A102" s="85" t="s">
        <v>851</v>
      </c>
      <c r="B102" s="72" t="s">
        <v>799</v>
      </c>
      <c r="C102" s="73" t="s">
        <v>836</v>
      </c>
      <c r="D102" s="72" t="s">
        <v>845</v>
      </c>
      <c r="E102" s="72" t="s">
        <v>852</v>
      </c>
      <c r="F102" s="78"/>
      <c r="G102" s="72" t="s">
        <v>853</v>
      </c>
      <c r="H102" s="74" t="s">
        <v>13</v>
      </c>
      <c r="I102" s="75"/>
      <c r="J102" s="93"/>
      <c r="K102" s="58"/>
      <c r="L102" s="58"/>
      <c r="M102" s="58"/>
      <c r="N102" s="58"/>
      <c r="O102" s="58"/>
      <c r="P102" s="58"/>
      <c r="Q102" s="58"/>
      <c r="R102" s="58"/>
      <c r="S102" s="58"/>
      <c r="T102" s="58"/>
      <c r="U102" s="58"/>
      <c r="V102" s="58"/>
      <c r="W102" s="58"/>
      <c r="X102" s="58"/>
      <c r="Y102" s="58"/>
      <c r="Z102" s="58"/>
    </row>
    <row r="103">
      <c r="A103" s="85" t="s">
        <v>854</v>
      </c>
      <c r="B103" s="72" t="s">
        <v>799</v>
      </c>
      <c r="C103" s="73" t="s">
        <v>836</v>
      </c>
      <c r="D103" s="72" t="s">
        <v>855</v>
      </c>
      <c r="E103" s="72" t="s">
        <v>856</v>
      </c>
      <c r="F103" s="78"/>
      <c r="G103" s="72" t="s">
        <v>857</v>
      </c>
      <c r="H103" s="74" t="s">
        <v>13</v>
      </c>
      <c r="I103" s="75"/>
      <c r="J103" s="93"/>
      <c r="K103" s="58"/>
      <c r="L103" s="58"/>
      <c r="M103" s="58"/>
      <c r="N103" s="58"/>
      <c r="O103" s="58"/>
      <c r="P103" s="58"/>
      <c r="Q103" s="58"/>
      <c r="R103" s="58"/>
      <c r="S103" s="58"/>
      <c r="T103" s="58"/>
      <c r="U103" s="58"/>
      <c r="V103" s="58"/>
      <c r="W103" s="58"/>
      <c r="X103" s="58"/>
      <c r="Y103" s="58"/>
      <c r="Z103" s="58"/>
    </row>
    <row r="104">
      <c r="A104" s="85" t="s">
        <v>858</v>
      </c>
      <c r="B104" s="72" t="s">
        <v>799</v>
      </c>
      <c r="C104" s="73" t="s">
        <v>836</v>
      </c>
      <c r="D104" s="72" t="s">
        <v>859</v>
      </c>
      <c r="E104" s="72" t="s">
        <v>860</v>
      </c>
      <c r="F104" s="78"/>
      <c r="G104" s="72" t="s">
        <v>861</v>
      </c>
      <c r="H104" s="74" t="s">
        <v>13</v>
      </c>
      <c r="I104" s="75"/>
      <c r="J104" s="93"/>
      <c r="K104" s="58"/>
      <c r="L104" s="58"/>
      <c r="M104" s="58"/>
      <c r="N104" s="58"/>
      <c r="O104" s="58"/>
      <c r="P104" s="58"/>
      <c r="Q104" s="58"/>
      <c r="R104" s="58"/>
      <c r="S104" s="58"/>
      <c r="T104" s="58"/>
      <c r="U104" s="58"/>
      <c r="V104" s="58"/>
      <c r="W104" s="58"/>
      <c r="X104" s="58"/>
      <c r="Y104" s="58"/>
      <c r="Z104" s="58"/>
    </row>
    <row r="105">
      <c r="A105" s="85" t="s">
        <v>862</v>
      </c>
      <c r="B105" s="72" t="s">
        <v>799</v>
      </c>
      <c r="C105" s="73" t="s">
        <v>836</v>
      </c>
      <c r="D105" s="72" t="s">
        <v>863</v>
      </c>
      <c r="E105" s="72" t="s">
        <v>864</v>
      </c>
      <c r="F105" s="78"/>
      <c r="G105" s="72" t="s">
        <v>865</v>
      </c>
      <c r="H105" s="74" t="s">
        <v>13</v>
      </c>
      <c r="I105" s="75"/>
      <c r="J105" s="93"/>
      <c r="K105" s="58"/>
      <c r="L105" s="58"/>
      <c r="M105" s="58"/>
      <c r="N105" s="58"/>
      <c r="O105" s="58"/>
      <c r="P105" s="58"/>
      <c r="Q105" s="58"/>
      <c r="R105" s="58"/>
      <c r="S105" s="58"/>
      <c r="T105" s="58"/>
      <c r="U105" s="58"/>
      <c r="V105" s="58"/>
      <c r="W105" s="58"/>
      <c r="X105" s="58"/>
      <c r="Y105" s="58"/>
      <c r="Z105" s="58"/>
    </row>
    <row r="106">
      <c r="A106" s="85" t="s">
        <v>866</v>
      </c>
      <c r="B106" s="72" t="s">
        <v>799</v>
      </c>
      <c r="C106" s="73" t="s">
        <v>836</v>
      </c>
      <c r="D106" s="72" t="s">
        <v>863</v>
      </c>
      <c r="E106" s="72" t="s">
        <v>867</v>
      </c>
      <c r="F106" s="78"/>
      <c r="G106" s="72" t="s">
        <v>868</v>
      </c>
      <c r="H106" s="74" t="s">
        <v>13</v>
      </c>
      <c r="I106" s="75"/>
      <c r="J106" s="93"/>
      <c r="K106" s="58"/>
      <c r="L106" s="58"/>
      <c r="M106" s="58"/>
      <c r="N106" s="58"/>
      <c r="O106" s="58"/>
      <c r="P106" s="58"/>
      <c r="Q106" s="58"/>
      <c r="R106" s="58"/>
      <c r="S106" s="58"/>
      <c r="T106" s="58"/>
      <c r="U106" s="58"/>
      <c r="V106" s="58"/>
      <c r="W106" s="58"/>
      <c r="X106" s="58"/>
      <c r="Y106" s="58"/>
      <c r="Z106" s="58"/>
    </row>
    <row r="107">
      <c r="A107" s="85" t="s">
        <v>869</v>
      </c>
      <c r="B107" s="72" t="s">
        <v>799</v>
      </c>
      <c r="C107" s="73" t="s">
        <v>836</v>
      </c>
      <c r="D107" s="72" t="s">
        <v>863</v>
      </c>
      <c r="E107" s="72" t="s">
        <v>870</v>
      </c>
      <c r="F107" s="78"/>
      <c r="G107" s="72" t="s">
        <v>871</v>
      </c>
      <c r="H107" s="74" t="s">
        <v>13</v>
      </c>
      <c r="I107" s="75"/>
      <c r="J107" s="93"/>
      <c r="K107" s="58"/>
      <c r="L107" s="58"/>
      <c r="M107" s="58"/>
      <c r="N107" s="58"/>
      <c r="O107" s="58"/>
      <c r="P107" s="58"/>
      <c r="Q107" s="58"/>
      <c r="R107" s="58"/>
      <c r="S107" s="58"/>
      <c r="T107" s="58"/>
      <c r="U107" s="58"/>
      <c r="V107" s="58"/>
      <c r="W107" s="58"/>
      <c r="X107" s="58"/>
      <c r="Y107" s="58"/>
      <c r="Z107" s="58"/>
    </row>
    <row r="108">
      <c r="A108" s="85" t="s">
        <v>872</v>
      </c>
      <c r="B108" s="72" t="s">
        <v>799</v>
      </c>
      <c r="C108" s="73" t="s">
        <v>836</v>
      </c>
      <c r="D108" s="72" t="s">
        <v>863</v>
      </c>
      <c r="E108" s="72" t="s">
        <v>873</v>
      </c>
      <c r="F108" s="78"/>
      <c r="G108" s="72" t="s">
        <v>874</v>
      </c>
      <c r="H108" s="74" t="s">
        <v>13</v>
      </c>
      <c r="I108" s="75"/>
      <c r="J108" s="93"/>
      <c r="K108" s="58"/>
      <c r="L108" s="58"/>
      <c r="M108" s="58"/>
      <c r="N108" s="58"/>
      <c r="O108" s="58"/>
      <c r="P108" s="58"/>
      <c r="Q108" s="58"/>
      <c r="R108" s="58"/>
      <c r="S108" s="58"/>
      <c r="T108" s="58"/>
      <c r="U108" s="58"/>
      <c r="V108" s="58"/>
      <c r="W108" s="58"/>
      <c r="X108" s="58"/>
      <c r="Y108" s="58"/>
      <c r="Z108" s="58"/>
    </row>
    <row r="109">
      <c r="A109" s="85" t="s">
        <v>875</v>
      </c>
      <c r="B109" s="72" t="s">
        <v>799</v>
      </c>
      <c r="C109" s="73" t="s">
        <v>876</v>
      </c>
      <c r="D109" s="72" t="s">
        <v>863</v>
      </c>
      <c r="E109" s="72" t="s">
        <v>877</v>
      </c>
      <c r="F109" s="78"/>
      <c r="G109" s="72" t="s">
        <v>878</v>
      </c>
      <c r="H109" s="74" t="s">
        <v>13</v>
      </c>
      <c r="I109" s="75"/>
      <c r="J109" s="101"/>
      <c r="K109" s="58"/>
      <c r="L109" s="58"/>
      <c r="M109" s="58"/>
      <c r="N109" s="58"/>
      <c r="O109" s="58"/>
      <c r="P109" s="58"/>
      <c r="Q109" s="58"/>
      <c r="R109" s="58"/>
      <c r="S109" s="58"/>
      <c r="T109" s="58"/>
      <c r="U109" s="58"/>
      <c r="V109" s="58"/>
      <c r="W109" s="58"/>
      <c r="X109" s="58"/>
      <c r="Y109" s="58"/>
      <c r="Z109" s="58"/>
    </row>
    <row r="110">
      <c r="A110" s="85" t="s">
        <v>879</v>
      </c>
      <c r="B110" s="72" t="s">
        <v>799</v>
      </c>
      <c r="C110" s="73" t="s">
        <v>876</v>
      </c>
      <c r="D110" s="72" t="s">
        <v>863</v>
      </c>
      <c r="E110" s="72" t="s">
        <v>880</v>
      </c>
      <c r="F110" s="78"/>
      <c r="G110" s="72" t="s">
        <v>881</v>
      </c>
      <c r="H110" s="74" t="s">
        <v>13</v>
      </c>
      <c r="I110" s="75"/>
      <c r="J110" s="101"/>
      <c r="K110" s="58"/>
      <c r="L110" s="58"/>
      <c r="M110" s="58"/>
      <c r="N110" s="58"/>
      <c r="O110" s="58"/>
      <c r="P110" s="58"/>
      <c r="Q110" s="58"/>
      <c r="R110" s="58"/>
      <c r="S110" s="58"/>
      <c r="T110" s="58"/>
      <c r="U110" s="58"/>
      <c r="V110" s="58"/>
      <c r="W110" s="58"/>
      <c r="X110" s="58"/>
      <c r="Y110" s="58"/>
      <c r="Z110" s="58"/>
    </row>
    <row r="111">
      <c r="A111" s="85" t="s">
        <v>882</v>
      </c>
      <c r="B111" s="72" t="s">
        <v>799</v>
      </c>
      <c r="C111" s="73" t="s">
        <v>883</v>
      </c>
      <c r="D111" s="72" t="s">
        <v>863</v>
      </c>
      <c r="E111" s="72" t="s">
        <v>884</v>
      </c>
      <c r="F111" s="78"/>
      <c r="G111" s="72" t="s">
        <v>885</v>
      </c>
      <c r="H111" s="74" t="s">
        <v>13</v>
      </c>
      <c r="I111" s="75"/>
      <c r="J111" s="101"/>
      <c r="K111" s="58"/>
      <c r="L111" s="58"/>
      <c r="M111" s="58"/>
      <c r="N111" s="58"/>
      <c r="O111" s="58"/>
      <c r="P111" s="58"/>
      <c r="Q111" s="58"/>
      <c r="R111" s="58"/>
      <c r="S111" s="58"/>
      <c r="T111" s="58"/>
      <c r="U111" s="58"/>
      <c r="V111" s="58"/>
      <c r="W111" s="58"/>
      <c r="X111" s="58"/>
      <c r="Y111" s="58"/>
      <c r="Z111" s="58"/>
    </row>
    <row r="112">
      <c r="A112" s="85" t="s">
        <v>886</v>
      </c>
      <c r="B112" s="102" t="s">
        <v>799</v>
      </c>
      <c r="C112" s="102" t="s">
        <v>883</v>
      </c>
      <c r="D112" s="102" t="s">
        <v>863</v>
      </c>
      <c r="E112" s="102" t="s">
        <v>887</v>
      </c>
      <c r="F112" s="78"/>
      <c r="G112" s="102" t="s">
        <v>888</v>
      </c>
      <c r="H112" s="74" t="s">
        <v>13</v>
      </c>
      <c r="I112" s="75"/>
      <c r="J112" s="101"/>
      <c r="K112" s="58"/>
      <c r="L112" s="58"/>
      <c r="M112" s="58"/>
      <c r="N112" s="58"/>
      <c r="O112" s="58"/>
      <c r="P112" s="58"/>
      <c r="Q112" s="58"/>
      <c r="R112" s="58"/>
      <c r="S112" s="58"/>
      <c r="T112" s="58"/>
      <c r="U112" s="58"/>
      <c r="V112" s="58"/>
      <c r="W112" s="58"/>
      <c r="X112" s="58"/>
      <c r="Y112" s="58"/>
      <c r="Z112" s="58"/>
    </row>
    <row r="113">
      <c r="A113" s="85" t="s">
        <v>889</v>
      </c>
      <c r="B113" s="102" t="s">
        <v>799</v>
      </c>
      <c r="C113" s="102" t="s">
        <v>883</v>
      </c>
      <c r="D113" s="102" t="s">
        <v>863</v>
      </c>
      <c r="E113" s="102" t="s">
        <v>890</v>
      </c>
      <c r="F113" s="103"/>
      <c r="G113" s="102" t="s">
        <v>888</v>
      </c>
      <c r="H113" s="74" t="s">
        <v>13</v>
      </c>
      <c r="I113" s="75"/>
      <c r="J113" s="101"/>
      <c r="K113" s="58"/>
      <c r="L113" s="58"/>
      <c r="M113" s="58"/>
      <c r="N113" s="58"/>
      <c r="O113" s="58"/>
      <c r="P113" s="58"/>
      <c r="Q113" s="58"/>
      <c r="R113" s="58"/>
      <c r="S113" s="58"/>
      <c r="T113" s="58"/>
      <c r="U113" s="58"/>
      <c r="V113" s="58"/>
      <c r="W113" s="58"/>
      <c r="X113" s="58"/>
      <c r="Y113" s="58"/>
      <c r="Z113" s="58"/>
    </row>
    <row r="114">
      <c r="A114" s="85" t="s">
        <v>891</v>
      </c>
      <c r="B114" s="102" t="s">
        <v>799</v>
      </c>
      <c r="C114" s="102" t="s">
        <v>883</v>
      </c>
      <c r="D114" s="102" t="s">
        <v>863</v>
      </c>
      <c r="E114" s="102" t="s">
        <v>892</v>
      </c>
      <c r="F114" s="78"/>
      <c r="G114" s="102" t="s">
        <v>888</v>
      </c>
      <c r="H114" s="74" t="s">
        <v>13</v>
      </c>
      <c r="I114" s="75"/>
      <c r="J114" s="101"/>
      <c r="K114" s="58"/>
      <c r="L114" s="58"/>
      <c r="M114" s="58"/>
      <c r="N114" s="58"/>
      <c r="O114" s="58"/>
      <c r="P114" s="58"/>
      <c r="Q114" s="58"/>
      <c r="R114" s="58"/>
      <c r="S114" s="58"/>
      <c r="T114" s="58"/>
      <c r="U114" s="58"/>
      <c r="V114" s="58"/>
      <c r="W114" s="58"/>
      <c r="X114" s="58"/>
      <c r="Y114" s="58"/>
      <c r="Z114" s="58"/>
    </row>
    <row r="115">
      <c r="A115" s="85" t="s">
        <v>893</v>
      </c>
      <c r="B115" s="102" t="s">
        <v>799</v>
      </c>
      <c r="C115" s="102" t="s">
        <v>883</v>
      </c>
      <c r="D115" s="102" t="s">
        <v>863</v>
      </c>
      <c r="E115" s="102" t="s">
        <v>894</v>
      </c>
      <c r="F115" s="78"/>
      <c r="G115" s="102" t="s">
        <v>888</v>
      </c>
      <c r="H115" s="74" t="s">
        <v>13</v>
      </c>
      <c r="I115" s="75"/>
      <c r="J115" s="101"/>
      <c r="K115" s="58"/>
      <c r="L115" s="58"/>
      <c r="M115" s="58"/>
      <c r="N115" s="58"/>
      <c r="O115" s="58"/>
      <c r="P115" s="58"/>
      <c r="Q115" s="58"/>
      <c r="R115" s="58"/>
      <c r="S115" s="58"/>
      <c r="T115" s="58"/>
      <c r="U115" s="58"/>
      <c r="V115" s="58"/>
      <c r="W115" s="58"/>
      <c r="X115" s="58"/>
      <c r="Y115" s="58"/>
      <c r="Z115" s="58"/>
    </row>
    <row r="116">
      <c r="A116" s="85" t="s">
        <v>895</v>
      </c>
      <c r="B116" s="72" t="s">
        <v>799</v>
      </c>
      <c r="C116" s="72" t="s">
        <v>896</v>
      </c>
      <c r="D116" s="72" t="s">
        <v>897</v>
      </c>
      <c r="E116" s="72" t="s">
        <v>898</v>
      </c>
      <c r="F116" s="78"/>
      <c r="G116" s="72" t="s">
        <v>899</v>
      </c>
      <c r="H116" s="74" t="s">
        <v>13</v>
      </c>
      <c r="I116" s="75"/>
      <c r="J116" s="101"/>
      <c r="K116" s="58"/>
      <c r="L116" s="58"/>
      <c r="M116" s="58"/>
      <c r="N116" s="58"/>
      <c r="O116" s="58"/>
      <c r="P116" s="58"/>
      <c r="Q116" s="58"/>
      <c r="R116" s="58"/>
      <c r="S116" s="58"/>
      <c r="T116" s="58"/>
      <c r="U116" s="58"/>
      <c r="V116" s="58"/>
      <c r="W116" s="58"/>
      <c r="X116" s="58"/>
      <c r="Y116" s="58"/>
      <c r="Z116" s="58"/>
    </row>
    <row r="117">
      <c r="A117" s="85" t="s">
        <v>900</v>
      </c>
      <c r="B117" s="72" t="s">
        <v>799</v>
      </c>
      <c r="C117" s="72" t="s">
        <v>896</v>
      </c>
      <c r="D117" s="72" t="s">
        <v>897</v>
      </c>
      <c r="E117" s="72" t="s">
        <v>901</v>
      </c>
      <c r="F117" s="78"/>
      <c r="G117" s="72" t="s">
        <v>902</v>
      </c>
      <c r="H117" s="74" t="s">
        <v>13</v>
      </c>
      <c r="I117" s="75"/>
      <c r="J117" s="101"/>
      <c r="K117" s="58"/>
      <c r="L117" s="58"/>
      <c r="M117" s="58"/>
      <c r="N117" s="58"/>
      <c r="O117" s="58"/>
      <c r="P117" s="58"/>
      <c r="Q117" s="58"/>
      <c r="R117" s="58"/>
      <c r="S117" s="58"/>
      <c r="T117" s="58"/>
      <c r="U117" s="58"/>
      <c r="V117" s="58"/>
      <c r="W117" s="58"/>
      <c r="X117" s="58"/>
      <c r="Y117" s="58"/>
      <c r="Z117" s="58"/>
    </row>
    <row r="118">
      <c r="A118" s="85" t="s">
        <v>903</v>
      </c>
      <c r="B118" s="72" t="s">
        <v>799</v>
      </c>
      <c r="C118" s="72" t="s">
        <v>896</v>
      </c>
      <c r="D118" s="72" t="s">
        <v>897</v>
      </c>
      <c r="E118" s="72" t="s">
        <v>904</v>
      </c>
      <c r="F118" s="78"/>
      <c r="G118" s="72" t="s">
        <v>905</v>
      </c>
      <c r="H118" s="74" t="s">
        <v>13</v>
      </c>
      <c r="I118" s="75"/>
      <c r="J118" s="101"/>
      <c r="K118" s="58"/>
      <c r="L118" s="58"/>
      <c r="M118" s="58"/>
      <c r="N118" s="58"/>
      <c r="O118" s="58"/>
      <c r="P118" s="58"/>
      <c r="Q118" s="58"/>
      <c r="R118" s="58"/>
      <c r="S118" s="58"/>
      <c r="T118" s="58"/>
      <c r="U118" s="58"/>
      <c r="V118" s="58"/>
      <c r="W118" s="58"/>
      <c r="X118" s="58"/>
      <c r="Y118" s="58"/>
      <c r="Z118" s="58"/>
    </row>
    <row r="119">
      <c r="A119" s="85" t="s">
        <v>906</v>
      </c>
      <c r="B119" s="72" t="s">
        <v>799</v>
      </c>
      <c r="C119" s="72" t="s">
        <v>907</v>
      </c>
      <c r="D119" s="72" t="s">
        <v>897</v>
      </c>
      <c r="E119" s="72" t="s">
        <v>908</v>
      </c>
      <c r="F119" s="78"/>
      <c r="G119" s="72" t="s">
        <v>909</v>
      </c>
      <c r="H119" s="74" t="s">
        <v>13</v>
      </c>
      <c r="I119" s="75"/>
      <c r="J119" s="101"/>
      <c r="K119" s="58"/>
      <c r="L119" s="58"/>
      <c r="M119" s="58"/>
      <c r="N119" s="58"/>
      <c r="O119" s="58"/>
      <c r="P119" s="58"/>
      <c r="Q119" s="58"/>
      <c r="R119" s="58"/>
      <c r="S119" s="58"/>
      <c r="T119" s="58"/>
      <c r="U119" s="58"/>
      <c r="V119" s="58"/>
      <c r="W119" s="58"/>
      <c r="X119" s="58"/>
      <c r="Y119" s="58"/>
      <c r="Z119" s="58"/>
    </row>
    <row r="120">
      <c r="A120" s="85" t="s">
        <v>910</v>
      </c>
      <c r="B120" s="72" t="s">
        <v>799</v>
      </c>
      <c r="C120" s="72" t="s">
        <v>911</v>
      </c>
      <c r="D120" s="72" t="s">
        <v>897</v>
      </c>
      <c r="E120" s="72" t="s">
        <v>912</v>
      </c>
      <c r="F120" s="78"/>
      <c r="G120" s="72" t="s">
        <v>913</v>
      </c>
      <c r="H120" s="74" t="s">
        <v>13</v>
      </c>
      <c r="I120" s="75"/>
      <c r="J120" s="101"/>
      <c r="K120" s="58"/>
      <c r="L120" s="58"/>
      <c r="M120" s="58"/>
      <c r="N120" s="58"/>
      <c r="O120" s="58"/>
      <c r="P120" s="58"/>
      <c r="Q120" s="58"/>
      <c r="R120" s="58"/>
      <c r="S120" s="58"/>
      <c r="T120" s="58"/>
      <c r="U120" s="58"/>
      <c r="V120" s="58"/>
      <c r="W120" s="58"/>
      <c r="X120" s="58"/>
      <c r="Y120" s="58"/>
      <c r="Z120" s="58"/>
    </row>
    <row r="121">
      <c r="A121" s="85" t="s">
        <v>914</v>
      </c>
      <c r="B121" s="72" t="s">
        <v>799</v>
      </c>
      <c r="C121" s="73" t="s">
        <v>915</v>
      </c>
      <c r="D121" s="72" t="s">
        <v>916</v>
      </c>
      <c r="E121" s="72" t="s">
        <v>917</v>
      </c>
      <c r="F121" s="78"/>
      <c r="G121" s="72" t="s">
        <v>918</v>
      </c>
      <c r="H121" s="74" t="s">
        <v>13</v>
      </c>
      <c r="I121" s="75"/>
      <c r="J121" s="101"/>
      <c r="K121" s="58"/>
      <c r="L121" s="58"/>
      <c r="M121" s="58"/>
      <c r="N121" s="58"/>
      <c r="O121" s="58"/>
      <c r="P121" s="58"/>
      <c r="Q121" s="58"/>
      <c r="R121" s="58"/>
      <c r="S121" s="58"/>
      <c r="T121" s="58"/>
      <c r="U121" s="58"/>
      <c r="V121" s="58"/>
      <c r="W121" s="58"/>
      <c r="X121" s="58"/>
      <c r="Y121" s="58"/>
      <c r="Z121" s="58"/>
    </row>
    <row r="122">
      <c r="A122" s="85" t="s">
        <v>919</v>
      </c>
      <c r="B122" s="72" t="s">
        <v>799</v>
      </c>
      <c r="C122" s="73" t="s">
        <v>915</v>
      </c>
      <c r="D122" s="72" t="s">
        <v>916</v>
      </c>
      <c r="E122" s="72" t="s">
        <v>920</v>
      </c>
      <c r="F122" s="78"/>
      <c r="G122" s="72" t="s">
        <v>921</v>
      </c>
      <c r="H122" s="74" t="s">
        <v>13</v>
      </c>
      <c r="I122" s="75"/>
      <c r="J122" s="101"/>
      <c r="K122" s="58"/>
      <c r="L122" s="58"/>
      <c r="M122" s="58"/>
      <c r="N122" s="58"/>
      <c r="O122" s="58"/>
      <c r="P122" s="58"/>
      <c r="Q122" s="58"/>
      <c r="R122" s="58"/>
      <c r="S122" s="58"/>
      <c r="T122" s="58"/>
      <c r="U122" s="58"/>
      <c r="V122" s="58"/>
      <c r="W122" s="58"/>
      <c r="X122" s="58"/>
      <c r="Y122" s="58"/>
      <c r="Z122" s="58"/>
    </row>
    <row r="123">
      <c r="A123" s="85" t="s">
        <v>922</v>
      </c>
      <c r="B123" s="72" t="s">
        <v>799</v>
      </c>
      <c r="C123" s="73" t="s">
        <v>915</v>
      </c>
      <c r="D123" s="72" t="s">
        <v>916</v>
      </c>
      <c r="E123" s="72" t="s">
        <v>923</v>
      </c>
      <c r="F123" s="78"/>
      <c r="G123" s="72" t="s">
        <v>924</v>
      </c>
      <c r="H123" s="74" t="s">
        <v>13</v>
      </c>
      <c r="I123" s="75"/>
      <c r="J123" s="101"/>
      <c r="K123" s="58"/>
      <c r="L123" s="58"/>
      <c r="M123" s="58"/>
      <c r="N123" s="58"/>
      <c r="O123" s="58"/>
      <c r="P123" s="58"/>
      <c r="Q123" s="58"/>
      <c r="R123" s="58"/>
      <c r="S123" s="58"/>
      <c r="T123" s="58"/>
      <c r="U123" s="58"/>
      <c r="V123" s="58"/>
      <c r="W123" s="58"/>
      <c r="X123" s="58"/>
      <c r="Y123" s="58"/>
      <c r="Z123" s="58"/>
    </row>
    <row r="124">
      <c r="A124" s="85" t="s">
        <v>925</v>
      </c>
      <c r="B124" s="72" t="s">
        <v>799</v>
      </c>
      <c r="C124" s="73" t="s">
        <v>926</v>
      </c>
      <c r="D124" s="72"/>
      <c r="E124" s="72" t="s">
        <v>927</v>
      </c>
      <c r="F124" s="78"/>
      <c r="G124" s="72" t="s">
        <v>928</v>
      </c>
      <c r="H124" s="74" t="s">
        <v>13</v>
      </c>
      <c r="I124" s="75"/>
      <c r="J124" s="101"/>
      <c r="K124" s="58"/>
      <c r="L124" s="58"/>
      <c r="M124" s="58"/>
      <c r="N124" s="58"/>
      <c r="O124" s="58"/>
      <c r="P124" s="58"/>
      <c r="Q124" s="58"/>
      <c r="R124" s="58"/>
      <c r="S124" s="58"/>
      <c r="T124" s="58"/>
      <c r="U124" s="58"/>
      <c r="V124" s="58"/>
      <c r="W124" s="58"/>
      <c r="X124" s="58"/>
      <c r="Y124" s="58"/>
      <c r="Z124" s="58"/>
    </row>
    <row r="125">
      <c r="A125" s="104" t="s">
        <v>929</v>
      </c>
      <c r="B125" s="72" t="s">
        <v>930</v>
      </c>
      <c r="C125" s="73" t="s">
        <v>931</v>
      </c>
      <c r="D125" s="72" t="s">
        <v>932</v>
      </c>
      <c r="E125" s="72" t="s">
        <v>933</v>
      </c>
      <c r="F125" s="78"/>
      <c r="G125" s="72" t="s">
        <v>934</v>
      </c>
      <c r="H125" s="74" t="s">
        <v>13</v>
      </c>
      <c r="I125" s="75"/>
      <c r="J125" s="58"/>
      <c r="K125" s="58"/>
      <c r="L125" s="58"/>
      <c r="M125" s="58"/>
      <c r="N125" s="58"/>
      <c r="O125" s="58"/>
      <c r="P125" s="58"/>
      <c r="Q125" s="58"/>
      <c r="R125" s="58"/>
      <c r="S125" s="58"/>
      <c r="T125" s="58"/>
      <c r="U125" s="58"/>
      <c r="V125" s="58"/>
      <c r="W125" s="58"/>
      <c r="X125" s="58"/>
      <c r="Y125" s="58"/>
      <c r="Z125" s="58"/>
    </row>
    <row r="126">
      <c r="A126" s="85" t="s">
        <v>935</v>
      </c>
      <c r="B126" s="72" t="s">
        <v>930</v>
      </c>
      <c r="C126" s="73" t="s">
        <v>931</v>
      </c>
      <c r="D126" s="72" t="s">
        <v>932</v>
      </c>
      <c r="E126" s="72" t="s">
        <v>936</v>
      </c>
      <c r="F126" s="78"/>
      <c r="G126" s="72" t="s">
        <v>937</v>
      </c>
      <c r="H126" s="74" t="s">
        <v>13</v>
      </c>
      <c r="I126" s="75"/>
      <c r="J126" s="58"/>
      <c r="K126" s="58"/>
      <c r="L126" s="58"/>
      <c r="M126" s="58"/>
      <c r="N126" s="58"/>
      <c r="O126" s="58"/>
      <c r="P126" s="58"/>
      <c r="Q126" s="58"/>
      <c r="R126" s="58"/>
      <c r="S126" s="58"/>
      <c r="T126" s="58"/>
      <c r="U126" s="58"/>
      <c r="V126" s="58"/>
      <c r="W126" s="58"/>
      <c r="X126" s="58"/>
      <c r="Y126" s="58"/>
      <c r="Z126" s="58"/>
    </row>
    <row r="127">
      <c r="A127" s="85" t="s">
        <v>938</v>
      </c>
      <c r="B127" s="72" t="s">
        <v>930</v>
      </c>
      <c r="C127" s="73" t="s">
        <v>931</v>
      </c>
      <c r="D127" s="72" t="s">
        <v>932</v>
      </c>
      <c r="E127" s="72" t="s">
        <v>939</v>
      </c>
      <c r="F127" s="78"/>
      <c r="G127" s="72" t="s">
        <v>940</v>
      </c>
      <c r="H127" s="74" t="s">
        <v>13</v>
      </c>
      <c r="I127" s="75"/>
      <c r="J127" s="58"/>
      <c r="K127" s="58"/>
      <c r="L127" s="58"/>
      <c r="M127" s="58"/>
      <c r="N127" s="58"/>
      <c r="O127" s="58"/>
      <c r="P127" s="58"/>
      <c r="Q127" s="58"/>
      <c r="R127" s="58"/>
      <c r="S127" s="58"/>
      <c r="T127" s="58"/>
      <c r="U127" s="58"/>
      <c r="V127" s="58"/>
      <c r="W127" s="58"/>
      <c r="X127" s="58"/>
      <c r="Y127" s="58"/>
      <c r="Z127" s="58"/>
    </row>
    <row r="128">
      <c r="A128" s="85" t="s">
        <v>941</v>
      </c>
      <c r="B128" s="72" t="s">
        <v>930</v>
      </c>
      <c r="C128" s="73" t="s">
        <v>931</v>
      </c>
      <c r="D128" s="72" t="s">
        <v>942</v>
      </c>
      <c r="E128" s="73" t="s">
        <v>943</v>
      </c>
      <c r="F128" s="78"/>
      <c r="G128" s="105" t="s">
        <v>944</v>
      </c>
      <c r="H128" s="74" t="s">
        <v>13</v>
      </c>
      <c r="I128" s="75"/>
      <c r="J128" s="58"/>
      <c r="K128" s="58"/>
      <c r="L128" s="58"/>
      <c r="M128" s="58"/>
      <c r="N128" s="58"/>
      <c r="O128" s="58"/>
      <c r="P128" s="58"/>
      <c r="Q128" s="58"/>
      <c r="R128" s="58"/>
      <c r="S128" s="58"/>
      <c r="T128" s="58"/>
      <c r="U128" s="58"/>
      <c r="V128" s="58"/>
      <c r="W128" s="58"/>
      <c r="X128" s="58"/>
      <c r="Y128" s="58"/>
      <c r="Z128" s="58"/>
    </row>
    <row r="129">
      <c r="A129" s="85" t="s">
        <v>945</v>
      </c>
      <c r="B129" s="72" t="s">
        <v>930</v>
      </c>
      <c r="C129" s="73" t="s">
        <v>931</v>
      </c>
      <c r="D129" s="72" t="s">
        <v>942</v>
      </c>
      <c r="E129" s="73" t="s">
        <v>946</v>
      </c>
      <c r="F129" s="78"/>
      <c r="G129" s="105" t="s">
        <v>947</v>
      </c>
      <c r="H129" s="74" t="s">
        <v>13</v>
      </c>
      <c r="I129" s="75"/>
      <c r="J129" s="58"/>
      <c r="K129" s="58"/>
      <c r="L129" s="58"/>
      <c r="M129" s="58"/>
      <c r="N129" s="58"/>
      <c r="O129" s="58"/>
      <c r="P129" s="58"/>
      <c r="Q129" s="58"/>
      <c r="R129" s="58"/>
      <c r="S129" s="58"/>
      <c r="T129" s="58"/>
      <c r="U129" s="58"/>
      <c r="V129" s="58"/>
      <c r="W129" s="58"/>
      <c r="X129" s="58"/>
      <c r="Y129" s="58"/>
      <c r="Z129" s="58"/>
    </row>
    <row r="130">
      <c r="A130" s="85" t="s">
        <v>948</v>
      </c>
      <c r="B130" s="72" t="s">
        <v>930</v>
      </c>
      <c r="C130" s="73" t="s">
        <v>931</v>
      </c>
      <c r="D130" s="72" t="s">
        <v>942</v>
      </c>
      <c r="E130" s="72" t="s">
        <v>949</v>
      </c>
      <c r="F130" s="78"/>
      <c r="G130" s="72" t="s">
        <v>950</v>
      </c>
      <c r="H130" s="74" t="s">
        <v>13</v>
      </c>
      <c r="I130" s="75"/>
      <c r="J130" s="58"/>
      <c r="K130" s="58"/>
      <c r="L130" s="58"/>
      <c r="M130" s="58"/>
      <c r="N130" s="58"/>
      <c r="O130" s="58"/>
      <c r="P130" s="58"/>
      <c r="Q130" s="58"/>
      <c r="R130" s="58"/>
      <c r="S130" s="58"/>
      <c r="T130" s="58"/>
      <c r="U130" s="58"/>
      <c r="V130" s="58"/>
      <c r="W130" s="58"/>
      <c r="X130" s="58"/>
      <c r="Y130" s="58"/>
      <c r="Z130" s="58"/>
    </row>
    <row r="131">
      <c r="A131" s="85" t="s">
        <v>951</v>
      </c>
      <c r="B131" s="72" t="s">
        <v>930</v>
      </c>
      <c r="C131" s="73" t="s">
        <v>931</v>
      </c>
      <c r="D131" s="72" t="s">
        <v>942</v>
      </c>
      <c r="E131" s="72" t="s">
        <v>952</v>
      </c>
      <c r="F131" s="78"/>
      <c r="G131" s="72" t="s">
        <v>953</v>
      </c>
      <c r="H131" s="74" t="s">
        <v>13</v>
      </c>
      <c r="I131" s="75"/>
      <c r="J131" s="58"/>
      <c r="K131" s="58"/>
      <c r="L131" s="58"/>
      <c r="M131" s="58"/>
      <c r="N131" s="58"/>
      <c r="O131" s="58"/>
      <c r="P131" s="58"/>
      <c r="Q131" s="58"/>
      <c r="R131" s="58"/>
      <c r="S131" s="58"/>
      <c r="T131" s="58"/>
      <c r="U131" s="58"/>
      <c r="V131" s="58"/>
      <c r="W131" s="58"/>
      <c r="X131" s="58"/>
      <c r="Y131" s="58"/>
      <c r="Z131" s="58"/>
    </row>
    <row r="132">
      <c r="A132" s="85" t="s">
        <v>954</v>
      </c>
      <c r="B132" s="72" t="s">
        <v>930</v>
      </c>
      <c r="C132" s="73" t="s">
        <v>931</v>
      </c>
      <c r="D132" s="72" t="s">
        <v>942</v>
      </c>
      <c r="E132" s="72" t="s">
        <v>955</v>
      </c>
      <c r="F132" s="78"/>
      <c r="G132" s="72" t="s">
        <v>956</v>
      </c>
      <c r="H132" s="74" t="s">
        <v>13</v>
      </c>
      <c r="I132" s="75"/>
      <c r="J132" s="58"/>
      <c r="K132" s="58"/>
      <c r="L132" s="58"/>
      <c r="M132" s="58"/>
      <c r="N132" s="58"/>
      <c r="O132" s="58"/>
      <c r="P132" s="58"/>
      <c r="Q132" s="58"/>
      <c r="R132" s="58"/>
      <c r="S132" s="58"/>
      <c r="T132" s="58"/>
      <c r="U132" s="58"/>
      <c r="V132" s="58"/>
      <c r="W132" s="58"/>
      <c r="X132" s="58"/>
      <c r="Y132" s="58"/>
      <c r="Z132" s="58"/>
    </row>
    <row r="133">
      <c r="A133" s="85" t="s">
        <v>957</v>
      </c>
      <c r="B133" s="72" t="s">
        <v>930</v>
      </c>
      <c r="C133" s="73" t="s">
        <v>931</v>
      </c>
      <c r="D133" s="72" t="s">
        <v>942</v>
      </c>
      <c r="E133" s="72" t="s">
        <v>958</v>
      </c>
      <c r="F133" s="78"/>
      <c r="G133" s="72" t="s">
        <v>959</v>
      </c>
      <c r="H133" s="74" t="s">
        <v>13</v>
      </c>
      <c r="I133" s="75"/>
      <c r="J133" s="58"/>
      <c r="K133" s="58"/>
      <c r="L133" s="58"/>
      <c r="M133" s="58"/>
      <c r="N133" s="58"/>
      <c r="O133" s="58"/>
      <c r="P133" s="58"/>
      <c r="Q133" s="58"/>
      <c r="R133" s="58"/>
      <c r="S133" s="58"/>
      <c r="T133" s="58"/>
      <c r="U133" s="58"/>
      <c r="V133" s="58"/>
      <c r="W133" s="58"/>
      <c r="X133" s="58"/>
      <c r="Y133" s="58"/>
      <c r="Z133" s="58"/>
    </row>
    <row r="134">
      <c r="A134" s="85" t="s">
        <v>960</v>
      </c>
      <c r="B134" s="72" t="s">
        <v>961</v>
      </c>
      <c r="C134" s="73" t="s">
        <v>962</v>
      </c>
      <c r="D134" s="72" t="s">
        <v>942</v>
      </c>
      <c r="E134" s="73" t="s">
        <v>963</v>
      </c>
      <c r="F134" s="78"/>
      <c r="G134" s="72" t="s">
        <v>964</v>
      </c>
      <c r="H134" s="74" t="s">
        <v>13</v>
      </c>
      <c r="I134" s="75"/>
      <c r="J134" s="58"/>
      <c r="K134" s="58"/>
      <c r="L134" s="58"/>
      <c r="M134" s="58"/>
      <c r="N134" s="58"/>
      <c r="O134" s="58"/>
      <c r="P134" s="58"/>
      <c r="Q134" s="58"/>
      <c r="R134" s="58"/>
      <c r="S134" s="58"/>
      <c r="T134" s="58"/>
      <c r="U134" s="58"/>
      <c r="V134" s="58"/>
      <c r="W134" s="58"/>
      <c r="X134" s="58"/>
      <c r="Y134" s="58"/>
      <c r="Z134" s="58"/>
    </row>
    <row r="135">
      <c r="A135" s="85" t="s">
        <v>965</v>
      </c>
      <c r="B135" s="72" t="s">
        <v>961</v>
      </c>
      <c r="C135" s="73" t="s">
        <v>962</v>
      </c>
      <c r="D135" s="72" t="s">
        <v>942</v>
      </c>
      <c r="E135" s="72" t="s">
        <v>966</v>
      </c>
      <c r="F135" s="78"/>
      <c r="G135" s="72" t="s">
        <v>967</v>
      </c>
      <c r="H135" s="74" t="s">
        <v>13</v>
      </c>
      <c r="I135" s="75"/>
      <c r="J135" s="58"/>
      <c r="K135" s="58"/>
      <c r="L135" s="58"/>
      <c r="M135" s="58"/>
      <c r="N135" s="58"/>
      <c r="O135" s="58"/>
      <c r="P135" s="58"/>
      <c r="Q135" s="58"/>
      <c r="R135" s="58"/>
      <c r="S135" s="58"/>
      <c r="T135" s="58"/>
      <c r="U135" s="58"/>
      <c r="V135" s="58"/>
      <c r="W135" s="58"/>
      <c r="X135" s="58"/>
      <c r="Y135" s="58"/>
      <c r="Z135" s="58"/>
    </row>
    <row r="136">
      <c r="A136" s="85" t="s">
        <v>968</v>
      </c>
      <c r="B136" s="72" t="s">
        <v>961</v>
      </c>
      <c r="C136" s="73" t="s">
        <v>962</v>
      </c>
      <c r="D136" s="72" t="s">
        <v>942</v>
      </c>
      <c r="E136" s="72" t="s">
        <v>969</v>
      </c>
      <c r="F136" s="78"/>
      <c r="G136" s="72" t="s">
        <v>970</v>
      </c>
      <c r="H136" s="74" t="s">
        <v>13</v>
      </c>
      <c r="I136" s="75"/>
      <c r="J136" s="58"/>
      <c r="K136" s="58"/>
      <c r="L136" s="58"/>
      <c r="M136" s="58"/>
      <c r="N136" s="58"/>
      <c r="O136" s="58"/>
      <c r="P136" s="58"/>
      <c r="Q136" s="58"/>
      <c r="R136" s="58"/>
      <c r="S136" s="58"/>
      <c r="T136" s="58"/>
      <c r="U136" s="58"/>
      <c r="V136" s="58"/>
      <c r="W136" s="58"/>
      <c r="X136" s="58"/>
      <c r="Y136" s="58"/>
      <c r="Z136" s="58"/>
    </row>
    <row r="137">
      <c r="A137" s="58"/>
      <c r="B137" s="58"/>
      <c r="C137" s="58"/>
      <c r="D137" s="58"/>
      <c r="E137" s="58"/>
      <c r="F137" s="58"/>
      <c r="G137" s="86"/>
      <c r="H137" s="58"/>
      <c r="I137" s="58"/>
      <c r="J137" s="58"/>
      <c r="K137" s="58"/>
      <c r="L137" s="58"/>
      <c r="M137" s="58"/>
      <c r="N137" s="58"/>
      <c r="O137" s="58"/>
      <c r="P137" s="58"/>
      <c r="Q137" s="58"/>
      <c r="R137" s="58"/>
      <c r="S137" s="58"/>
      <c r="T137" s="58"/>
      <c r="U137" s="58"/>
      <c r="V137" s="58"/>
      <c r="W137" s="58"/>
      <c r="X137" s="58"/>
      <c r="Y137" s="58"/>
      <c r="Z137" s="58"/>
    </row>
    <row r="138">
      <c r="A138" s="58"/>
      <c r="B138" s="58"/>
      <c r="C138" s="58"/>
      <c r="D138" s="58"/>
      <c r="E138" s="58"/>
      <c r="F138" s="58"/>
      <c r="G138" s="86"/>
      <c r="H138" s="58"/>
      <c r="I138" s="58"/>
      <c r="J138" s="58"/>
      <c r="K138" s="58"/>
      <c r="L138" s="58"/>
      <c r="M138" s="58"/>
      <c r="N138" s="58"/>
      <c r="O138" s="58"/>
      <c r="P138" s="58"/>
      <c r="Q138" s="58"/>
      <c r="R138" s="58"/>
      <c r="S138" s="58"/>
      <c r="T138" s="58"/>
      <c r="U138" s="58"/>
      <c r="V138" s="58"/>
      <c r="W138" s="58"/>
      <c r="X138" s="58"/>
      <c r="Y138" s="58"/>
      <c r="Z138" s="58"/>
    </row>
    <row r="139">
      <c r="A139" s="58"/>
      <c r="B139" s="58"/>
      <c r="C139" s="58"/>
      <c r="D139" s="58"/>
      <c r="E139" s="58"/>
      <c r="F139" s="58"/>
      <c r="G139" s="86"/>
      <c r="H139" s="58"/>
      <c r="I139" s="58"/>
      <c r="J139" s="58"/>
      <c r="K139" s="58"/>
      <c r="L139" s="58"/>
      <c r="M139" s="58"/>
      <c r="N139" s="58"/>
      <c r="O139" s="58"/>
      <c r="P139" s="58"/>
      <c r="Q139" s="58"/>
      <c r="R139" s="58"/>
      <c r="S139" s="58"/>
      <c r="T139" s="58"/>
      <c r="U139" s="58"/>
      <c r="V139" s="58"/>
      <c r="W139" s="58"/>
      <c r="X139" s="58"/>
      <c r="Y139" s="58"/>
      <c r="Z139" s="58"/>
    </row>
    <row r="140">
      <c r="A140" s="58"/>
      <c r="B140" s="58"/>
      <c r="C140" s="58"/>
      <c r="D140" s="58"/>
      <c r="E140" s="58"/>
      <c r="F140" s="58"/>
      <c r="G140" s="86"/>
      <c r="H140" s="58"/>
      <c r="I140" s="58"/>
      <c r="J140" s="58"/>
      <c r="K140" s="58"/>
      <c r="L140" s="58"/>
      <c r="M140" s="58"/>
      <c r="N140" s="58"/>
      <c r="O140" s="58"/>
      <c r="P140" s="58"/>
      <c r="Q140" s="58"/>
      <c r="R140" s="58"/>
      <c r="S140" s="58"/>
      <c r="T140" s="58"/>
      <c r="U140" s="58"/>
      <c r="V140" s="58"/>
      <c r="W140" s="58"/>
      <c r="X140" s="58"/>
      <c r="Y140" s="58"/>
      <c r="Z140" s="58"/>
    </row>
    <row r="141">
      <c r="A141" s="58"/>
      <c r="B141" s="58"/>
      <c r="C141" s="58"/>
      <c r="D141" s="58"/>
      <c r="E141" s="58"/>
      <c r="F141" s="58"/>
      <c r="G141" s="86"/>
      <c r="H141" s="58"/>
      <c r="I141" s="58"/>
      <c r="J141" s="58"/>
      <c r="K141" s="58"/>
      <c r="L141" s="58"/>
      <c r="M141" s="58"/>
      <c r="N141" s="58"/>
      <c r="O141" s="58"/>
      <c r="P141" s="58"/>
      <c r="Q141" s="58"/>
      <c r="R141" s="58"/>
      <c r="S141" s="58"/>
      <c r="T141" s="58"/>
      <c r="U141" s="58"/>
      <c r="V141" s="58"/>
      <c r="W141" s="58"/>
      <c r="X141" s="58"/>
      <c r="Y141" s="58"/>
      <c r="Z141" s="58"/>
    </row>
    <row r="142">
      <c r="A142" s="58"/>
      <c r="B142" s="58"/>
      <c r="C142" s="58"/>
      <c r="D142" s="58"/>
      <c r="E142" s="58"/>
      <c r="F142" s="58"/>
      <c r="G142" s="86"/>
      <c r="H142" s="58"/>
      <c r="I142" s="58"/>
      <c r="J142" s="58"/>
      <c r="K142" s="58"/>
      <c r="L142" s="58"/>
      <c r="M142" s="58"/>
      <c r="N142" s="58"/>
      <c r="O142" s="58"/>
      <c r="P142" s="58"/>
      <c r="Q142" s="58"/>
      <c r="R142" s="58"/>
      <c r="S142" s="58"/>
      <c r="T142" s="58"/>
      <c r="U142" s="58"/>
      <c r="V142" s="58"/>
      <c r="W142" s="58"/>
      <c r="X142" s="58"/>
      <c r="Y142" s="58"/>
      <c r="Z142" s="58"/>
    </row>
    <row r="143">
      <c r="A143" s="58"/>
      <c r="B143" s="58"/>
      <c r="C143" s="58"/>
      <c r="D143" s="58"/>
      <c r="E143" s="58"/>
      <c r="F143" s="58"/>
      <c r="G143" s="86"/>
      <c r="H143" s="58"/>
      <c r="I143" s="58"/>
      <c r="J143" s="58"/>
      <c r="K143" s="58"/>
      <c r="L143" s="58"/>
      <c r="M143" s="58"/>
      <c r="N143" s="58"/>
      <c r="O143" s="58"/>
      <c r="P143" s="58"/>
      <c r="Q143" s="58"/>
      <c r="R143" s="58"/>
      <c r="S143" s="58"/>
      <c r="T143" s="58"/>
      <c r="U143" s="58"/>
      <c r="V143" s="58"/>
      <c r="W143" s="58"/>
      <c r="X143" s="58"/>
      <c r="Y143" s="58"/>
      <c r="Z143" s="58"/>
    </row>
    <row r="144">
      <c r="A144" s="58"/>
      <c r="B144" s="58"/>
      <c r="C144" s="58"/>
      <c r="D144" s="58"/>
      <c r="E144" s="58"/>
      <c r="F144" s="58"/>
      <c r="G144" s="86"/>
      <c r="H144" s="58"/>
      <c r="I144" s="58"/>
      <c r="J144" s="58"/>
      <c r="K144" s="58"/>
      <c r="L144" s="58"/>
      <c r="M144" s="58"/>
      <c r="N144" s="58"/>
      <c r="O144" s="58"/>
      <c r="P144" s="58"/>
      <c r="Q144" s="58"/>
      <c r="R144" s="58"/>
      <c r="S144" s="58"/>
      <c r="T144" s="58"/>
      <c r="U144" s="58"/>
      <c r="V144" s="58"/>
      <c r="W144" s="58"/>
      <c r="X144" s="58"/>
      <c r="Y144" s="58"/>
      <c r="Z144" s="58"/>
    </row>
    <row r="145">
      <c r="A145" s="58"/>
      <c r="B145" s="58"/>
      <c r="C145" s="58"/>
      <c r="D145" s="58"/>
      <c r="E145" s="58"/>
      <c r="F145" s="58"/>
      <c r="G145" s="86"/>
      <c r="H145" s="58"/>
      <c r="I145" s="58"/>
      <c r="J145" s="58"/>
      <c r="K145" s="58"/>
      <c r="L145" s="58"/>
      <c r="M145" s="58"/>
      <c r="N145" s="58"/>
      <c r="O145" s="58"/>
      <c r="P145" s="58"/>
      <c r="Q145" s="58"/>
      <c r="R145" s="58"/>
      <c r="S145" s="58"/>
      <c r="T145" s="58"/>
      <c r="U145" s="58"/>
      <c r="V145" s="58"/>
      <c r="W145" s="58"/>
      <c r="X145" s="58"/>
      <c r="Y145" s="58"/>
      <c r="Z145" s="58"/>
    </row>
    <row r="146">
      <c r="A146" s="58"/>
      <c r="B146" s="58"/>
      <c r="C146" s="58"/>
      <c r="D146" s="58"/>
      <c r="E146" s="58"/>
      <c r="F146" s="58"/>
      <c r="G146" s="86"/>
      <c r="H146" s="58"/>
      <c r="I146" s="58"/>
      <c r="J146" s="58"/>
      <c r="K146" s="58"/>
      <c r="L146" s="58"/>
      <c r="M146" s="58"/>
      <c r="N146" s="58"/>
      <c r="O146" s="58"/>
      <c r="P146" s="58"/>
      <c r="Q146" s="58"/>
      <c r="R146" s="58"/>
      <c r="S146" s="58"/>
      <c r="T146" s="58"/>
      <c r="U146" s="58"/>
      <c r="V146" s="58"/>
      <c r="W146" s="58"/>
      <c r="X146" s="58"/>
      <c r="Y146" s="58"/>
      <c r="Z146" s="58"/>
    </row>
    <row r="147">
      <c r="A147" s="58"/>
      <c r="B147" s="58"/>
      <c r="C147" s="58"/>
      <c r="D147" s="58"/>
      <c r="E147" s="58"/>
      <c r="F147" s="58"/>
      <c r="G147" s="86"/>
      <c r="H147" s="58"/>
      <c r="I147" s="58"/>
      <c r="J147" s="58"/>
      <c r="K147" s="58"/>
      <c r="L147" s="58"/>
      <c r="M147" s="58"/>
      <c r="N147" s="58"/>
      <c r="O147" s="58"/>
      <c r="P147" s="58"/>
      <c r="Q147" s="58"/>
      <c r="R147" s="58"/>
      <c r="S147" s="58"/>
      <c r="T147" s="58"/>
      <c r="U147" s="58"/>
      <c r="V147" s="58"/>
      <c r="W147" s="58"/>
      <c r="X147" s="58"/>
      <c r="Y147" s="58"/>
      <c r="Z147" s="58"/>
    </row>
    <row r="148">
      <c r="A148" s="58"/>
      <c r="B148" s="58"/>
      <c r="C148" s="58"/>
      <c r="D148" s="58"/>
      <c r="E148" s="58"/>
      <c r="F148" s="58"/>
      <c r="G148" s="86"/>
      <c r="H148" s="58"/>
      <c r="I148" s="58"/>
      <c r="J148" s="58"/>
      <c r="K148" s="58"/>
      <c r="L148" s="58"/>
      <c r="M148" s="58"/>
      <c r="N148" s="58"/>
      <c r="O148" s="58"/>
      <c r="P148" s="58"/>
      <c r="Q148" s="58"/>
      <c r="R148" s="58"/>
      <c r="S148" s="58"/>
      <c r="T148" s="58"/>
      <c r="U148" s="58"/>
      <c r="V148" s="58"/>
      <c r="W148" s="58"/>
      <c r="X148" s="58"/>
      <c r="Y148" s="58"/>
      <c r="Z148" s="58"/>
    </row>
    <row r="149">
      <c r="A149" s="58"/>
      <c r="B149" s="58"/>
      <c r="C149" s="58"/>
      <c r="D149" s="58"/>
      <c r="E149" s="58"/>
      <c r="F149" s="58"/>
      <c r="G149" s="86"/>
      <c r="H149" s="58"/>
      <c r="I149" s="58"/>
      <c r="J149" s="58"/>
      <c r="K149" s="58"/>
      <c r="L149" s="58"/>
      <c r="M149" s="58"/>
      <c r="N149" s="58"/>
      <c r="O149" s="58"/>
      <c r="P149" s="58"/>
      <c r="Q149" s="58"/>
      <c r="R149" s="58"/>
      <c r="S149" s="58"/>
      <c r="T149" s="58"/>
      <c r="U149" s="58"/>
      <c r="V149" s="58"/>
      <c r="W149" s="58"/>
      <c r="X149" s="58"/>
      <c r="Y149" s="58"/>
      <c r="Z149" s="58"/>
    </row>
    <row r="150">
      <c r="A150" s="58"/>
      <c r="B150" s="58"/>
      <c r="C150" s="58"/>
      <c r="D150" s="58"/>
      <c r="E150" s="58"/>
      <c r="F150" s="58"/>
      <c r="G150" s="86"/>
      <c r="H150" s="58"/>
      <c r="I150" s="58"/>
      <c r="J150" s="58"/>
      <c r="K150" s="58"/>
      <c r="L150" s="58"/>
      <c r="M150" s="58"/>
      <c r="N150" s="58"/>
      <c r="O150" s="58"/>
      <c r="P150" s="58"/>
      <c r="Q150" s="58"/>
      <c r="R150" s="58"/>
      <c r="S150" s="58"/>
      <c r="T150" s="58"/>
      <c r="U150" s="58"/>
      <c r="V150" s="58"/>
      <c r="W150" s="58"/>
      <c r="X150" s="58"/>
      <c r="Y150" s="58"/>
      <c r="Z150" s="58"/>
    </row>
    <row r="151">
      <c r="A151" s="58"/>
      <c r="B151" s="58"/>
      <c r="C151" s="58"/>
      <c r="D151" s="58"/>
      <c r="E151" s="58"/>
      <c r="F151" s="58"/>
      <c r="G151" s="86"/>
      <c r="H151" s="58"/>
      <c r="I151" s="58"/>
      <c r="J151" s="58"/>
      <c r="K151" s="58"/>
      <c r="L151" s="58"/>
      <c r="M151" s="58"/>
      <c r="N151" s="58"/>
      <c r="O151" s="58"/>
      <c r="P151" s="58"/>
      <c r="Q151" s="58"/>
      <c r="R151" s="58"/>
      <c r="S151" s="58"/>
      <c r="T151" s="58"/>
      <c r="U151" s="58"/>
      <c r="V151" s="58"/>
      <c r="W151" s="58"/>
      <c r="X151" s="58"/>
      <c r="Y151" s="58"/>
      <c r="Z151" s="58"/>
    </row>
    <row r="152">
      <c r="A152" s="58"/>
      <c r="B152" s="58"/>
      <c r="C152" s="58"/>
      <c r="D152" s="58"/>
      <c r="E152" s="58"/>
      <c r="F152" s="58"/>
      <c r="G152" s="86"/>
      <c r="H152" s="58"/>
      <c r="I152" s="58"/>
      <c r="J152" s="58"/>
      <c r="K152" s="58"/>
      <c r="L152" s="58"/>
      <c r="M152" s="58"/>
      <c r="N152" s="58"/>
      <c r="O152" s="58"/>
      <c r="P152" s="58"/>
      <c r="Q152" s="58"/>
      <c r="R152" s="58"/>
      <c r="S152" s="58"/>
      <c r="T152" s="58"/>
      <c r="U152" s="58"/>
      <c r="V152" s="58"/>
      <c r="W152" s="58"/>
      <c r="X152" s="58"/>
      <c r="Y152" s="58"/>
      <c r="Z152" s="58"/>
    </row>
    <row r="153">
      <c r="A153" s="58"/>
      <c r="B153" s="58"/>
      <c r="C153" s="58"/>
      <c r="D153" s="58"/>
      <c r="E153" s="58"/>
      <c r="F153" s="58"/>
      <c r="G153" s="86"/>
      <c r="H153" s="58"/>
      <c r="I153" s="58"/>
      <c r="J153" s="58"/>
      <c r="K153" s="58"/>
      <c r="L153" s="58"/>
      <c r="M153" s="58"/>
      <c r="N153" s="58"/>
      <c r="O153" s="58"/>
      <c r="P153" s="58"/>
      <c r="Q153" s="58"/>
      <c r="R153" s="58"/>
      <c r="S153" s="58"/>
      <c r="T153" s="58"/>
      <c r="U153" s="58"/>
      <c r="V153" s="58"/>
      <c r="W153" s="58"/>
      <c r="X153" s="58"/>
      <c r="Y153" s="58"/>
      <c r="Z153" s="58"/>
    </row>
    <row r="154">
      <c r="A154" s="58"/>
      <c r="B154" s="58"/>
      <c r="C154" s="58"/>
      <c r="D154" s="58"/>
      <c r="E154" s="58"/>
      <c r="F154" s="58"/>
      <c r="G154" s="86"/>
      <c r="H154" s="58"/>
      <c r="I154" s="58"/>
      <c r="J154" s="58"/>
      <c r="K154" s="58"/>
      <c r="L154" s="58"/>
      <c r="M154" s="58"/>
      <c r="N154" s="58"/>
      <c r="O154" s="58"/>
      <c r="P154" s="58"/>
      <c r="Q154" s="58"/>
      <c r="R154" s="58"/>
      <c r="S154" s="58"/>
      <c r="T154" s="58"/>
      <c r="U154" s="58"/>
      <c r="V154" s="58"/>
      <c r="W154" s="58"/>
      <c r="X154" s="58"/>
      <c r="Y154" s="58"/>
      <c r="Z154" s="58"/>
    </row>
    <row r="155">
      <c r="A155" s="58"/>
      <c r="B155" s="58"/>
      <c r="C155" s="58"/>
      <c r="D155" s="58"/>
      <c r="E155" s="58"/>
      <c r="F155" s="58"/>
      <c r="G155" s="86"/>
      <c r="H155" s="58"/>
      <c r="I155" s="58"/>
      <c r="J155" s="58"/>
      <c r="K155" s="58"/>
      <c r="L155" s="58"/>
      <c r="M155" s="58"/>
      <c r="N155" s="58"/>
      <c r="O155" s="58"/>
      <c r="P155" s="58"/>
      <c r="Q155" s="58"/>
      <c r="R155" s="58"/>
      <c r="S155" s="58"/>
      <c r="T155" s="58"/>
      <c r="U155" s="58"/>
      <c r="V155" s="58"/>
      <c r="W155" s="58"/>
      <c r="X155" s="58"/>
      <c r="Y155" s="58"/>
      <c r="Z155" s="58"/>
    </row>
    <row r="156">
      <c r="A156" s="58"/>
      <c r="B156" s="58"/>
      <c r="C156" s="58"/>
      <c r="D156" s="58"/>
      <c r="E156" s="58"/>
      <c r="F156" s="58"/>
      <c r="G156" s="86"/>
      <c r="H156" s="58"/>
      <c r="I156" s="58"/>
      <c r="J156" s="58"/>
      <c r="K156" s="58"/>
      <c r="L156" s="58"/>
      <c r="M156" s="58"/>
      <c r="N156" s="58"/>
      <c r="O156" s="58"/>
      <c r="P156" s="58"/>
      <c r="Q156" s="58"/>
      <c r="R156" s="58"/>
      <c r="S156" s="58"/>
      <c r="T156" s="58"/>
      <c r="U156" s="58"/>
      <c r="V156" s="58"/>
      <c r="W156" s="58"/>
      <c r="X156" s="58"/>
      <c r="Y156" s="58"/>
      <c r="Z156" s="58"/>
    </row>
    <row r="157">
      <c r="A157" s="58"/>
      <c r="B157" s="58"/>
      <c r="C157" s="58"/>
      <c r="D157" s="58"/>
      <c r="E157" s="58"/>
      <c r="F157" s="58"/>
      <c r="G157" s="86"/>
      <c r="H157" s="58"/>
      <c r="I157" s="58"/>
      <c r="J157" s="58"/>
      <c r="K157" s="58"/>
      <c r="L157" s="58"/>
      <c r="M157" s="58"/>
      <c r="N157" s="58"/>
      <c r="O157" s="58"/>
      <c r="P157" s="58"/>
      <c r="Q157" s="58"/>
      <c r="R157" s="58"/>
      <c r="S157" s="58"/>
      <c r="T157" s="58"/>
      <c r="U157" s="58"/>
      <c r="V157" s="58"/>
      <c r="W157" s="58"/>
      <c r="X157" s="58"/>
      <c r="Y157" s="58"/>
      <c r="Z157" s="58"/>
    </row>
    <row r="158">
      <c r="A158" s="58"/>
      <c r="B158" s="58"/>
      <c r="C158" s="58"/>
      <c r="D158" s="58"/>
      <c r="E158" s="58"/>
      <c r="F158" s="58"/>
      <c r="G158" s="86"/>
      <c r="H158" s="58"/>
      <c r="I158" s="58"/>
      <c r="J158" s="58"/>
      <c r="K158" s="58"/>
      <c r="L158" s="58"/>
      <c r="M158" s="58"/>
      <c r="N158" s="58"/>
      <c r="O158" s="58"/>
      <c r="P158" s="58"/>
      <c r="Q158" s="58"/>
      <c r="R158" s="58"/>
      <c r="S158" s="58"/>
      <c r="T158" s="58"/>
      <c r="U158" s="58"/>
      <c r="V158" s="58"/>
      <c r="W158" s="58"/>
      <c r="X158" s="58"/>
      <c r="Y158" s="58"/>
      <c r="Z158" s="58"/>
    </row>
    <row r="159">
      <c r="A159" s="58"/>
      <c r="B159" s="58"/>
      <c r="C159" s="58"/>
      <c r="D159" s="58"/>
      <c r="E159" s="58"/>
      <c r="F159" s="58"/>
      <c r="G159" s="86"/>
      <c r="H159" s="58"/>
      <c r="I159" s="58"/>
      <c r="J159" s="58"/>
      <c r="K159" s="58"/>
      <c r="L159" s="58"/>
      <c r="M159" s="58"/>
      <c r="N159" s="58"/>
      <c r="O159" s="58"/>
      <c r="P159" s="58"/>
      <c r="Q159" s="58"/>
      <c r="R159" s="58"/>
      <c r="S159" s="58"/>
      <c r="T159" s="58"/>
      <c r="U159" s="58"/>
      <c r="V159" s="58"/>
      <c r="W159" s="58"/>
      <c r="X159" s="58"/>
      <c r="Y159" s="58"/>
      <c r="Z159" s="58"/>
    </row>
    <row r="160">
      <c r="A160" s="58"/>
      <c r="B160" s="58"/>
      <c r="C160" s="58"/>
      <c r="D160" s="58"/>
      <c r="E160" s="58"/>
      <c r="F160" s="58"/>
      <c r="G160" s="86"/>
      <c r="H160" s="58"/>
      <c r="I160" s="58"/>
      <c r="J160" s="58"/>
      <c r="K160" s="58"/>
      <c r="L160" s="58"/>
      <c r="M160" s="58"/>
      <c r="N160" s="58"/>
      <c r="O160" s="58"/>
      <c r="P160" s="58"/>
      <c r="Q160" s="58"/>
      <c r="R160" s="58"/>
      <c r="S160" s="58"/>
      <c r="T160" s="58"/>
      <c r="U160" s="58"/>
      <c r="V160" s="58"/>
      <c r="W160" s="58"/>
      <c r="X160" s="58"/>
      <c r="Y160" s="58"/>
      <c r="Z160" s="58"/>
    </row>
    <row r="161">
      <c r="A161" s="58"/>
      <c r="B161" s="58"/>
      <c r="C161" s="58"/>
      <c r="D161" s="58"/>
      <c r="E161" s="58"/>
      <c r="F161" s="58"/>
      <c r="G161" s="86"/>
      <c r="H161" s="58"/>
      <c r="I161" s="58"/>
      <c r="J161" s="58"/>
      <c r="K161" s="58"/>
      <c r="L161" s="58"/>
      <c r="M161" s="58"/>
      <c r="N161" s="58"/>
      <c r="O161" s="58"/>
      <c r="P161" s="58"/>
      <c r="Q161" s="58"/>
      <c r="R161" s="58"/>
      <c r="S161" s="58"/>
      <c r="T161" s="58"/>
      <c r="U161" s="58"/>
      <c r="V161" s="58"/>
      <c r="W161" s="58"/>
      <c r="X161" s="58"/>
      <c r="Y161" s="58"/>
      <c r="Z161" s="58"/>
    </row>
    <row r="162">
      <c r="A162" s="58"/>
      <c r="B162" s="58"/>
      <c r="C162" s="58"/>
      <c r="D162" s="58"/>
      <c r="E162" s="58"/>
      <c r="F162" s="58"/>
      <c r="G162" s="86"/>
      <c r="H162" s="58"/>
      <c r="I162" s="58"/>
      <c r="J162" s="58"/>
      <c r="K162" s="58"/>
      <c r="L162" s="58"/>
      <c r="M162" s="58"/>
      <c r="N162" s="58"/>
      <c r="O162" s="58"/>
      <c r="P162" s="58"/>
      <c r="Q162" s="58"/>
      <c r="R162" s="58"/>
      <c r="S162" s="58"/>
      <c r="T162" s="58"/>
      <c r="U162" s="58"/>
      <c r="V162" s="58"/>
      <c r="W162" s="58"/>
      <c r="X162" s="58"/>
      <c r="Y162" s="58"/>
      <c r="Z162" s="58"/>
    </row>
    <row r="163">
      <c r="A163" s="58"/>
      <c r="B163" s="58"/>
      <c r="C163" s="58"/>
      <c r="D163" s="58"/>
      <c r="E163" s="58"/>
      <c r="F163" s="58"/>
      <c r="G163" s="86"/>
      <c r="H163" s="58"/>
      <c r="I163" s="58"/>
      <c r="J163" s="58"/>
      <c r="K163" s="58"/>
      <c r="L163" s="58"/>
      <c r="M163" s="58"/>
      <c r="N163" s="58"/>
      <c r="O163" s="58"/>
      <c r="P163" s="58"/>
      <c r="Q163" s="58"/>
      <c r="R163" s="58"/>
      <c r="S163" s="58"/>
      <c r="T163" s="58"/>
      <c r="U163" s="58"/>
      <c r="V163" s="58"/>
      <c r="W163" s="58"/>
      <c r="X163" s="58"/>
      <c r="Y163" s="58"/>
      <c r="Z163" s="58"/>
    </row>
    <row r="164">
      <c r="A164" s="58"/>
      <c r="B164" s="58"/>
      <c r="C164" s="58"/>
      <c r="D164" s="58"/>
      <c r="E164" s="58"/>
      <c r="F164" s="58"/>
      <c r="G164" s="86"/>
      <c r="H164" s="58"/>
      <c r="I164" s="58"/>
      <c r="J164" s="58"/>
      <c r="K164" s="58"/>
      <c r="L164" s="58"/>
      <c r="M164" s="58"/>
      <c r="N164" s="58"/>
      <c r="O164" s="58"/>
      <c r="P164" s="58"/>
      <c r="Q164" s="58"/>
      <c r="R164" s="58"/>
      <c r="S164" s="58"/>
      <c r="T164" s="58"/>
      <c r="U164" s="58"/>
      <c r="V164" s="58"/>
      <c r="W164" s="58"/>
      <c r="X164" s="58"/>
      <c r="Y164" s="58"/>
      <c r="Z164" s="58"/>
    </row>
    <row r="165">
      <c r="A165" s="58"/>
      <c r="B165" s="58"/>
      <c r="C165" s="58"/>
      <c r="D165" s="58"/>
      <c r="E165" s="58"/>
      <c r="F165" s="58"/>
      <c r="G165" s="86"/>
      <c r="H165" s="58"/>
      <c r="I165" s="58"/>
      <c r="J165" s="58"/>
      <c r="K165" s="58"/>
      <c r="L165" s="58"/>
      <c r="M165" s="58"/>
      <c r="N165" s="58"/>
      <c r="O165" s="58"/>
      <c r="P165" s="58"/>
      <c r="Q165" s="58"/>
      <c r="R165" s="58"/>
      <c r="S165" s="58"/>
      <c r="T165" s="58"/>
      <c r="U165" s="58"/>
      <c r="V165" s="58"/>
      <c r="W165" s="58"/>
      <c r="X165" s="58"/>
      <c r="Y165" s="58"/>
      <c r="Z165" s="58"/>
    </row>
    <row r="166">
      <c r="A166" s="58"/>
      <c r="B166" s="58"/>
      <c r="C166" s="58"/>
      <c r="D166" s="58"/>
      <c r="E166" s="58"/>
      <c r="F166" s="58"/>
      <c r="G166" s="86"/>
      <c r="H166" s="58"/>
      <c r="I166" s="58"/>
      <c r="J166" s="58"/>
      <c r="K166" s="58"/>
      <c r="L166" s="58"/>
      <c r="M166" s="58"/>
      <c r="N166" s="58"/>
      <c r="O166" s="58"/>
      <c r="P166" s="58"/>
      <c r="Q166" s="58"/>
      <c r="R166" s="58"/>
      <c r="S166" s="58"/>
      <c r="T166" s="58"/>
      <c r="U166" s="58"/>
      <c r="V166" s="58"/>
      <c r="W166" s="58"/>
      <c r="X166" s="58"/>
      <c r="Y166" s="58"/>
      <c r="Z166" s="58"/>
    </row>
    <row r="167">
      <c r="A167" s="58"/>
      <c r="B167" s="58"/>
      <c r="C167" s="58"/>
      <c r="D167" s="58"/>
      <c r="E167" s="58"/>
      <c r="F167" s="58"/>
      <c r="G167" s="86"/>
      <c r="H167" s="58"/>
      <c r="I167" s="58"/>
      <c r="J167" s="58"/>
      <c r="K167" s="58"/>
      <c r="L167" s="58"/>
      <c r="M167" s="58"/>
      <c r="N167" s="58"/>
      <c r="O167" s="58"/>
      <c r="P167" s="58"/>
      <c r="Q167" s="58"/>
      <c r="R167" s="58"/>
      <c r="S167" s="58"/>
      <c r="T167" s="58"/>
      <c r="U167" s="58"/>
      <c r="V167" s="58"/>
      <c r="W167" s="58"/>
      <c r="X167" s="58"/>
      <c r="Y167" s="58"/>
      <c r="Z167" s="58"/>
    </row>
    <row r="168">
      <c r="A168" s="58"/>
      <c r="B168" s="58"/>
      <c r="C168" s="58"/>
      <c r="D168" s="58"/>
      <c r="E168" s="58"/>
      <c r="F168" s="58"/>
      <c r="G168" s="86"/>
      <c r="H168" s="58"/>
      <c r="I168" s="58"/>
      <c r="J168" s="58"/>
      <c r="K168" s="58"/>
      <c r="L168" s="58"/>
      <c r="M168" s="58"/>
      <c r="N168" s="58"/>
      <c r="O168" s="58"/>
      <c r="P168" s="58"/>
      <c r="Q168" s="58"/>
      <c r="R168" s="58"/>
      <c r="S168" s="58"/>
      <c r="T168" s="58"/>
      <c r="U168" s="58"/>
      <c r="V168" s="58"/>
      <c r="W168" s="58"/>
      <c r="X168" s="58"/>
      <c r="Y168" s="58"/>
      <c r="Z168" s="58"/>
    </row>
    <row r="169">
      <c r="A169" s="58"/>
      <c r="B169" s="58"/>
      <c r="C169" s="58"/>
      <c r="D169" s="58"/>
      <c r="E169" s="58"/>
      <c r="F169" s="58"/>
      <c r="G169" s="86"/>
      <c r="H169" s="58"/>
      <c r="I169" s="58"/>
      <c r="J169" s="58"/>
      <c r="K169" s="58"/>
      <c r="L169" s="58"/>
      <c r="M169" s="58"/>
      <c r="N169" s="58"/>
      <c r="O169" s="58"/>
      <c r="P169" s="58"/>
      <c r="Q169" s="58"/>
      <c r="R169" s="58"/>
      <c r="S169" s="58"/>
      <c r="T169" s="58"/>
      <c r="U169" s="58"/>
      <c r="V169" s="58"/>
      <c r="W169" s="58"/>
      <c r="X169" s="58"/>
      <c r="Y169" s="58"/>
      <c r="Z169" s="58"/>
    </row>
    <row r="170">
      <c r="A170" s="58"/>
      <c r="B170" s="58"/>
      <c r="C170" s="58"/>
      <c r="D170" s="58"/>
      <c r="E170" s="58"/>
      <c r="F170" s="58"/>
      <c r="G170" s="86"/>
      <c r="H170" s="58"/>
      <c r="I170" s="58"/>
      <c r="J170" s="58"/>
      <c r="K170" s="58"/>
      <c r="L170" s="58"/>
      <c r="M170" s="58"/>
      <c r="N170" s="58"/>
      <c r="O170" s="58"/>
      <c r="P170" s="58"/>
      <c r="Q170" s="58"/>
      <c r="R170" s="58"/>
      <c r="S170" s="58"/>
      <c r="T170" s="58"/>
      <c r="U170" s="58"/>
      <c r="V170" s="58"/>
      <c r="W170" s="58"/>
      <c r="X170" s="58"/>
      <c r="Y170" s="58"/>
      <c r="Z170" s="58"/>
    </row>
    <row r="171">
      <c r="A171" s="58"/>
      <c r="B171" s="58"/>
      <c r="C171" s="58"/>
      <c r="D171" s="58"/>
      <c r="E171" s="58"/>
      <c r="F171" s="58"/>
      <c r="G171" s="86"/>
      <c r="H171" s="58"/>
      <c r="I171" s="58"/>
      <c r="J171" s="58"/>
      <c r="K171" s="58"/>
      <c r="L171" s="58"/>
      <c r="M171" s="58"/>
      <c r="N171" s="58"/>
      <c r="O171" s="58"/>
      <c r="P171" s="58"/>
      <c r="Q171" s="58"/>
      <c r="R171" s="58"/>
      <c r="S171" s="58"/>
      <c r="T171" s="58"/>
      <c r="U171" s="58"/>
      <c r="V171" s="58"/>
      <c r="W171" s="58"/>
      <c r="X171" s="58"/>
      <c r="Y171" s="58"/>
      <c r="Z171" s="58"/>
    </row>
    <row r="172">
      <c r="A172" s="58"/>
      <c r="B172" s="58"/>
      <c r="C172" s="58"/>
      <c r="D172" s="58"/>
      <c r="E172" s="58"/>
      <c r="F172" s="58"/>
      <c r="G172" s="86"/>
      <c r="H172" s="58"/>
      <c r="I172" s="58"/>
      <c r="J172" s="58"/>
      <c r="K172" s="58"/>
      <c r="L172" s="58"/>
      <c r="M172" s="58"/>
      <c r="N172" s="58"/>
      <c r="O172" s="58"/>
      <c r="P172" s="58"/>
      <c r="Q172" s="58"/>
      <c r="R172" s="58"/>
      <c r="S172" s="58"/>
      <c r="T172" s="58"/>
      <c r="U172" s="58"/>
      <c r="V172" s="58"/>
      <c r="W172" s="58"/>
      <c r="X172" s="58"/>
      <c r="Y172" s="58"/>
      <c r="Z172" s="58"/>
    </row>
    <row r="173">
      <c r="A173" s="58"/>
      <c r="B173" s="58"/>
      <c r="C173" s="58"/>
      <c r="D173" s="58"/>
      <c r="E173" s="58"/>
      <c r="F173" s="58"/>
      <c r="G173" s="86"/>
      <c r="H173" s="58"/>
      <c r="I173" s="58"/>
      <c r="J173" s="58"/>
      <c r="K173" s="58"/>
      <c r="L173" s="58"/>
      <c r="M173" s="58"/>
      <c r="N173" s="58"/>
      <c r="O173" s="58"/>
      <c r="P173" s="58"/>
      <c r="Q173" s="58"/>
      <c r="R173" s="58"/>
      <c r="S173" s="58"/>
      <c r="T173" s="58"/>
      <c r="U173" s="58"/>
      <c r="V173" s="58"/>
      <c r="W173" s="58"/>
      <c r="X173" s="58"/>
      <c r="Y173" s="58"/>
      <c r="Z173" s="58"/>
    </row>
    <row r="174">
      <c r="A174" s="58"/>
      <c r="B174" s="58"/>
      <c r="C174" s="58"/>
      <c r="D174" s="58"/>
      <c r="E174" s="58"/>
      <c r="F174" s="58"/>
      <c r="G174" s="86"/>
      <c r="H174" s="58"/>
      <c r="I174" s="58"/>
      <c r="J174" s="58"/>
      <c r="K174" s="58"/>
      <c r="L174" s="58"/>
      <c r="M174" s="58"/>
      <c r="N174" s="58"/>
      <c r="O174" s="58"/>
      <c r="P174" s="58"/>
      <c r="Q174" s="58"/>
      <c r="R174" s="58"/>
      <c r="S174" s="58"/>
      <c r="T174" s="58"/>
      <c r="U174" s="58"/>
      <c r="V174" s="58"/>
      <c r="W174" s="58"/>
      <c r="X174" s="58"/>
      <c r="Y174" s="58"/>
      <c r="Z174" s="58"/>
    </row>
    <row r="175">
      <c r="A175" s="58"/>
      <c r="B175" s="58"/>
      <c r="C175" s="58"/>
      <c r="D175" s="58"/>
      <c r="E175" s="58"/>
      <c r="F175" s="58"/>
      <c r="G175" s="86"/>
      <c r="H175" s="58"/>
      <c r="I175" s="58"/>
      <c r="J175" s="58"/>
      <c r="K175" s="58"/>
      <c r="L175" s="58"/>
      <c r="M175" s="58"/>
      <c r="N175" s="58"/>
      <c r="O175" s="58"/>
      <c r="P175" s="58"/>
      <c r="Q175" s="58"/>
      <c r="R175" s="58"/>
      <c r="S175" s="58"/>
      <c r="T175" s="58"/>
      <c r="U175" s="58"/>
      <c r="V175" s="58"/>
      <c r="W175" s="58"/>
      <c r="X175" s="58"/>
      <c r="Y175" s="58"/>
      <c r="Z175" s="58"/>
    </row>
    <row r="176">
      <c r="A176" s="58"/>
      <c r="B176" s="58"/>
      <c r="C176" s="58"/>
      <c r="D176" s="58"/>
      <c r="E176" s="58"/>
      <c r="F176" s="58"/>
      <c r="G176" s="86"/>
      <c r="H176" s="58"/>
      <c r="I176" s="58"/>
      <c r="J176" s="58"/>
      <c r="K176" s="58"/>
      <c r="L176" s="58"/>
      <c r="M176" s="58"/>
      <c r="N176" s="58"/>
      <c r="O176" s="58"/>
      <c r="P176" s="58"/>
      <c r="Q176" s="58"/>
      <c r="R176" s="58"/>
      <c r="S176" s="58"/>
      <c r="T176" s="58"/>
      <c r="U176" s="58"/>
      <c r="V176" s="58"/>
      <c r="W176" s="58"/>
      <c r="X176" s="58"/>
      <c r="Y176" s="58"/>
      <c r="Z176" s="58"/>
    </row>
    <row r="177">
      <c r="A177" s="58"/>
      <c r="B177" s="58"/>
      <c r="C177" s="58"/>
      <c r="D177" s="58"/>
      <c r="E177" s="58"/>
      <c r="F177" s="58"/>
      <c r="G177" s="86"/>
      <c r="H177" s="58"/>
      <c r="I177" s="58"/>
      <c r="J177" s="58"/>
      <c r="K177" s="58"/>
      <c r="L177" s="58"/>
      <c r="M177" s="58"/>
      <c r="N177" s="58"/>
      <c r="O177" s="58"/>
      <c r="P177" s="58"/>
      <c r="Q177" s="58"/>
      <c r="R177" s="58"/>
      <c r="S177" s="58"/>
      <c r="T177" s="58"/>
      <c r="U177" s="58"/>
      <c r="V177" s="58"/>
      <c r="W177" s="58"/>
      <c r="X177" s="58"/>
      <c r="Y177" s="58"/>
      <c r="Z177" s="58"/>
    </row>
    <row r="178">
      <c r="A178" s="58"/>
      <c r="B178" s="58"/>
      <c r="C178" s="58"/>
      <c r="D178" s="58"/>
      <c r="E178" s="58"/>
      <c r="F178" s="58"/>
      <c r="G178" s="86"/>
      <c r="H178" s="58"/>
      <c r="I178" s="58"/>
      <c r="J178" s="58"/>
      <c r="K178" s="58"/>
      <c r="L178" s="58"/>
      <c r="M178" s="58"/>
      <c r="N178" s="58"/>
      <c r="O178" s="58"/>
      <c r="P178" s="58"/>
      <c r="Q178" s="58"/>
      <c r="R178" s="58"/>
      <c r="S178" s="58"/>
      <c r="T178" s="58"/>
      <c r="U178" s="58"/>
      <c r="V178" s="58"/>
      <c r="W178" s="58"/>
      <c r="X178" s="58"/>
      <c r="Y178" s="58"/>
      <c r="Z178" s="58"/>
    </row>
    <row r="179">
      <c r="A179" s="58"/>
      <c r="B179" s="58"/>
      <c r="C179" s="58"/>
      <c r="D179" s="58"/>
      <c r="E179" s="58"/>
      <c r="F179" s="58"/>
      <c r="G179" s="86"/>
      <c r="H179" s="58"/>
      <c r="I179" s="58"/>
      <c r="J179" s="58"/>
      <c r="K179" s="58"/>
      <c r="L179" s="58"/>
      <c r="M179" s="58"/>
      <c r="N179" s="58"/>
      <c r="O179" s="58"/>
      <c r="P179" s="58"/>
      <c r="Q179" s="58"/>
      <c r="R179" s="58"/>
      <c r="S179" s="58"/>
      <c r="T179" s="58"/>
      <c r="U179" s="58"/>
      <c r="V179" s="58"/>
      <c r="W179" s="58"/>
      <c r="X179" s="58"/>
      <c r="Y179" s="58"/>
      <c r="Z179" s="58"/>
    </row>
    <row r="180">
      <c r="A180" s="58"/>
      <c r="B180" s="58"/>
      <c r="C180" s="58"/>
      <c r="D180" s="58"/>
      <c r="E180" s="58"/>
      <c r="F180" s="58"/>
      <c r="G180" s="86"/>
      <c r="H180" s="58"/>
      <c r="I180" s="58"/>
      <c r="J180" s="58"/>
      <c r="K180" s="58"/>
      <c r="L180" s="58"/>
      <c r="M180" s="58"/>
      <c r="N180" s="58"/>
      <c r="O180" s="58"/>
      <c r="P180" s="58"/>
      <c r="Q180" s="58"/>
      <c r="R180" s="58"/>
      <c r="S180" s="58"/>
      <c r="T180" s="58"/>
      <c r="U180" s="58"/>
      <c r="V180" s="58"/>
      <c r="W180" s="58"/>
      <c r="X180" s="58"/>
      <c r="Y180" s="58"/>
      <c r="Z180" s="58"/>
    </row>
    <row r="181">
      <c r="A181" s="58"/>
      <c r="B181" s="58"/>
      <c r="C181" s="58"/>
      <c r="D181" s="58"/>
      <c r="E181" s="58"/>
      <c r="F181" s="58"/>
      <c r="G181" s="86"/>
      <c r="H181" s="58"/>
      <c r="I181" s="58"/>
      <c r="J181" s="58"/>
      <c r="K181" s="58"/>
      <c r="L181" s="58"/>
      <c r="M181" s="58"/>
      <c r="N181" s="58"/>
      <c r="O181" s="58"/>
      <c r="P181" s="58"/>
      <c r="Q181" s="58"/>
      <c r="R181" s="58"/>
      <c r="S181" s="58"/>
      <c r="T181" s="58"/>
      <c r="U181" s="58"/>
      <c r="V181" s="58"/>
      <c r="W181" s="58"/>
      <c r="X181" s="58"/>
      <c r="Y181" s="58"/>
      <c r="Z181" s="58"/>
    </row>
    <row r="182">
      <c r="A182" s="58"/>
      <c r="B182" s="58"/>
      <c r="C182" s="58"/>
      <c r="D182" s="58"/>
      <c r="E182" s="58"/>
      <c r="F182" s="58"/>
      <c r="G182" s="86"/>
      <c r="H182" s="58"/>
      <c r="I182" s="58"/>
      <c r="J182" s="58"/>
      <c r="K182" s="58"/>
      <c r="L182" s="58"/>
      <c r="M182" s="58"/>
      <c r="N182" s="58"/>
      <c r="O182" s="58"/>
      <c r="P182" s="58"/>
      <c r="Q182" s="58"/>
      <c r="R182" s="58"/>
      <c r="S182" s="58"/>
      <c r="T182" s="58"/>
      <c r="U182" s="58"/>
      <c r="V182" s="58"/>
      <c r="W182" s="58"/>
      <c r="X182" s="58"/>
      <c r="Y182" s="58"/>
      <c r="Z182" s="58"/>
    </row>
    <row r="183">
      <c r="A183" s="58"/>
      <c r="B183" s="58"/>
      <c r="C183" s="58"/>
      <c r="D183" s="58"/>
      <c r="E183" s="58"/>
      <c r="F183" s="58"/>
      <c r="G183" s="86"/>
      <c r="H183" s="58"/>
      <c r="I183" s="58"/>
      <c r="J183" s="58"/>
      <c r="K183" s="58"/>
      <c r="L183" s="58"/>
      <c r="M183" s="58"/>
      <c r="N183" s="58"/>
      <c r="O183" s="58"/>
      <c r="P183" s="58"/>
      <c r="Q183" s="58"/>
      <c r="R183" s="58"/>
      <c r="S183" s="58"/>
      <c r="T183" s="58"/>
      <c r="U183" s="58"/>
      <c r="V183" s="58"/>
      <c r="W183" s="58"/>
      <c r="X183" s="58"/>
      <c r="Y183" s="58"/>
      <c r="Z183" s="58"/>
    </row>
    <row r="184">
      <c r="A184" s="58"/>
      <c r="B184" s="58"/>
      <c r="C184" s="58"/>
      <c r="D184" s="58"/>
      <c r="E184" s="58"/>
      <c r="F184" s="58"/>
      <c r="G184" s="86"/>
      <c r="H184" s="58"/>
      <c r="I184" s="58"/>
      <c r="J184" s="58"/>
      <c r="K184" s="58"/>
      <c r="L184" s="58"/>
      <c r="M184" s="58"/>
      <c r="N184" s="58"/>
      <c r="O184" s="58"/>
      <c r="P184" s="58"/>
      <c r="Q184" s="58"/>
      <c r="R184" s="58"/>
      <c r="S184" s="58"/>
      <c r="T184" s="58"/>
      <c r="U184" s="58"/>
      <c r="V184" s="58"/>
      <c r="W184" s="58"/>
      <c r="X184" s="58"/>
      <c r="Y184" s="58"/>
      <c r="Z184" s="58"/>
    </row>
    <row r="185">
      <c r="A185" s="58"/>
      <c r="B185" s="58"/>
      <c r="C185" s="58"/>
      <c r="D185" s="58"/>
      <c r="E185" s="58"/>
      <c r="F185" s="58"/>
      <c r="G185" s="86"/>
      <c r="H185" s="58"/>
      <c r="I185" s="58"/>
      <c r="J185" s="58"/>
      <c r="K185" s="58"/>
      <c r="L185" s="58"/>
      <c r="M185" s="58"/>
      <c r="N185" s="58"/>
      <c r="O185" s="58"/>
      <c r="P185" s="58"/>
      <c r="Q185" s="58"/>
      <c r="R185" s="58"/>
      <c r="S185" s="58"/>
      <c r="T185" s="58"/>
      <c r="U185" s="58"/>
      <c r="V185" s="58"/>
      <c r="W185" s="58"/>
      <c r="X185" s="58"/>
      <c r="Y185" s="58"/>
      <c r="Z185" s="58"/>
    </row>
    <row r="186">
      <c r="A186" s="58"/>
      <c r="B186" s="58"/>
      <c r="C186" s="58"/>
      <c r="D186" s="58"/>
      <c r="E186" s="58"/>
      <c r="F186" s="58"/>
      <c r="G186" s="86"/>
      <c r="H186" s="58"/>
      <c r="I186" s="58"/>
      <c r="J186" s="58"/>
      <c r="K186" s="58"/>
      <c r="L186" s="58"/>
      <c r="M186" s="58"/>
      <c r="N186" s="58"/>
      <c r="O186" s="58"/>
      <c r="P186" s="58"/>
      <c r="Q186" s="58"/>
      <c r="R186" s="58"/>
      <c r="S186" s="58"/>
      <c r="T186" s="58"/>
      <c r="U186" s="58"/>
      <c r="V186" s="58"/>
      <c r="W186" s="58"/>
      <c r="X186" s="58"/>
      <c r="Y186" s="58"/>
      <c r="Z186" s="58"/>
    </row>
    <row r="187">
      <c r="A187" s="58"/>
      <c r="B187" s="58"/>
      <c r="C187" s="58"/>
      <c r="D187" s="58"/>
      <c r="E187" s="58"/>
      <c r="F187" s="58"/>
      <c r="G187" s="86"/>
      <c r="H187" s="58"/>
      <c r="I187" s="58"/>
      <c r="J187" s="58"/>
      <c r="K187" s="58"/>
      <c r="L187" s="58"/>
      <c r="M187" s="58"/>
      <c r="N187" s="58"/>
      <c r="O187" s="58"/>
      <c r="P187" s="58"/>
      <c r="Q187" s="58"/>
      <c r="R187" s="58"/>
      <c r="S187" s="58"/>
      <c r="T187" s="58"/>
      <c r="U187" s="58"/>
      <c r="V187" s="58"/>
      <c r="W187" s="58"/>
      <c r="X187" s="58"/>
      <c r="Y187" s="58"/>
      <c r="Z187" s="58"/>
    </row>
    <row r="188">
      <c r="A188" s="58"/>
      <c r="B188" s="58"/>
      <c r="C188" s="58"/>
      <c r="D188" s="58"/>
      <c r="E188" s="58"/>
      <c r="F188" s="58"/>
      <c r="G188" s="86"/>
      <c r="H188" s="58"/>
      <c r="I188" s="58"/>
      <c r="J188" s="58"/>
      <c r="K188" s="58"/>
      <c r="L188" s="58"/>
      <c r="M188" s="58"/>
      <c r="N188" s="58"/>
      <c r="O188" s="58"/>
      <c r="P188" s="58"/>
      <c r="Q188" s="58"/>
      <c r="R188" s="58"/>
      <c r="S188" s="58"/>
      <c r="T188" s="58"/>
      <c r="U188" s="58"/>
      <c r="V188" s="58"/>
      <c r="W188" s="58"/>
      <c r="X188" s="58"/>
      <c r="Y188" s="58"/>
      <c r="Z188" s="58"/>
    </row>
    <row r="189">
      <c r="A189" s="58"/>
      <c r="B189" s="58"/>
      <c r="C189" s="58"/>
      <c r="D189" s="58"/>
      <c r="E189" s="58"/>
      <c r="F189" s="58"/>
      <c r="G189" s="86"/>
      <c r="H189" s="58"/>
      <c r="I189" s="58"/>
      <c r="J189" s="58"/>
      <c r="K189" s="58"/>
      <c r="L189" s="58"/>
      <c r="M189" s="58"/>
      <c r="N189" s="58"/>
      <c r="O189" s="58"/>
      <c r="P189" s="58"/>
      <c r="Q189" s="58"/>
      <c r="R189" s="58"/>
      <c r="S189" s="58"/>
      <c r="T189" s="58"/>
      <c r="U189" s="58"/>
      <c r="V189" s="58"/>
      <c r="W189" s="58"/>
      <c r="X189" s="58"/>
      <c r="Y189" s="58"/>
      <c r="Z189" s="58"/>
    </row>
    <row r="190">
      <c r="A190" s="58"/>
      <c r="B190" s="58"/>
      <c r="C190" s="58"/>
      <c r="D190" s="58"/>
      <c r="E190" s="58"/>
      <c r="F190" s="58"/>
      <c r="G190" s="86"/>
      <c r="H190" s="58"/>
      <c r="I190" s="58"/>
      <c r="J190" s="58"/>
      <c r="K190" s="58"/>
      <c r="L190" s="58"/>
      <c r="M190" s="58"/>
      <c r="N190" s="58"/>
      <c r="O190" s="58"/>
      <c r="P190" s="58"/>
      <c r="Q190" s="58"/>
      <c r="R190" s="58"/>
      <c r="S190" s="58"/>
      <c r="T190" s="58"/>
      <c r="U190" s="58"/>
      <c r="V190" s="58"/>
      <c r="W190" s="58"/>
      <c r="X190" s="58"/>
      <c r="Y190" s="58"/>
      <c r="Z190" s="58"/>
    </row>
    <row r="191">
      <c r="A191" s="58"/>
      <c r="B191" s="58"/>
      <c r="C191" s="58"/>
      <c r="D191" s="58"/>
      <c r="E191" s="58"/>
      <c r="F191" s="58"/>
      <c r="G191" s="86"/>
      <c r="H191" s="58"/>
      <c r="I191" s="58"/>
      <c r="J191" s="58"/>
      <c r="K191" s="58"/>
      <c r="L191" s="58"/>
      <c r="M191" s="58"/>
      <c r="N191" s="58"/>
      <c r="O191" s="58"/>
      <c r="P191" s="58"/>
      <c r="Q191" s="58"/>
      <c r="R191" s="58"/>
      <c r="S191" s="58"/>
      <c r="T191" s="58"/>
      <c r="U191" s="58"/>
      <c r="V191" s="58"/>
      <c r="W191" s="58"/>
      <c r="X191" s="58"/>
      <c r="Y191" s="58"/>
      <c r="Z191" s="58"/>
    </row>
    <row r="192">
      <c r="A192" s="58"/>
      <c r="B192" s="58"/>
      <c r="C192" s="58"/>
      <c r="D192" s="58"/>
      <c r="E192" s="58"/>
      <c r="F192" s="58"/>
      <c r="G192" s="86"/>
      <c r="H192" s="58"/>
      <c r="I192" s="58"/>
      <c r="J192" s="58"/>
      <c r="K192" s="58"/>
      <c r="L192" s="58"/>
      <c r="M192" s="58"/>
      <c r="N192" s="58"/>
      <c r="O192" s="58"/>
      <c r="P192" s="58"/>
      <c r="Q192" s="58"/>
      <c r="R192" s="58"/>
      <c r="S192" s="58"/>
      <c r="T192" s="58"/>
      <c r="U192" s="58"/>
      <c r="V192" s="58"/>
      <c r="W192" s="58"/>
      <c r="X192" s="58"/>
      <c r="Y192" s="58"/>
      <c r="Z192" s="58"/>
    </row>
    <row r="193">
      <c r="A193" s="58"/>
      <c r="B193" s="58"/>
      <c r="C193" s="58"/>
      <c r="D193" s="58"/>
      <c r="E193" s="58"/>
      <c r="F193" s="58"/>
      <c r="G193" s="86"/>
      <c r="H193" s="58"/>
      <c r="I193" s="58"/>
      <c r="J193" s="58"/>
      <c r="K193" s="58"/>
      <c r="L193" s="58"/>
      <c r="M193" s="58"/>
      <c r="N193" s="58"/>
      <c r="O193" s="58"/>
      <c r="P193" s="58"/>
      <c r="Q193" s="58"/>
      <c r="R193" s="58"/>
      <c r="S193" s="58"/>
      <c r="T193" s="58"/>
      <c r="U193" s="58"/>
      <c r="V193" s="58"/>
      <c r="W193" s="58"/>
      <c r="X193" s="58"/>
      <c r="Y193" s="58"/>
      <c r="Z193" s="58"/>
    </row>
    <row r="194">
      <c r="A194" s="58"/>
      <c r="B194" s="58"/>
      <c r="C194" s="58"/>
      <c r="D194" s="58"/>
      <c r="E194" s="58"/>
      <c r="F194" s="58"/>
      <c r="G194" s="86"/>
      <c r="H194" s="58"/>
      <c r="I194" s="58"/>
      <c r="J194" s="58"/>
      <c r="K194" s="58"/>
      <c r="L194" s="58"/>
      <c r="M194" s="58"/>
      <c r="N194" s="58"/>
      <c r="O194" s="58"/>
      <c r="P194" s="58"/>
      <c r="Q194" s="58"/>
      <c r="R194" s="58"/>
      <c r="S194" s="58"/>
      <c r="T194" s="58"/>
      <c r="U194" s="58"/>
      <c r="V194" s="58"/>
      <c r="W194" s="58"/>
      <c r="X194" s="58"/>
      <c r="Y194" s="58"/>
      <c r="Z194" s="58"/>
    </row>
    <row r="195">
      <c r="A195" s="58"/>
      <c r="B195" s="58"/>
      <c r="C195" s="58"/>
      <c r="D195" s="58"/>
      <c r="E195" s="58"/>
      <c r="F195" s="58"/>
      <c r="G195" s="86"/>
      <c r="H195" s="58"/>
      <c r="I195" s="58"/>
      <c r="J195" s="58"/>
      <c r="K195" s="58"/>
      <c r="L195" s="58"/>
      <c r="M195" s="58"/>
      <c r="N195" s="58"/>
      <c r="O195" s="58"/>
      <c r="P195" s="58"/>
      <c r="Q195" s="58"/>
      <c r="R195" s="58"/>
      <c r="S195" s="58"/>
      <c r="T195" s="58"/>
      <c r="U195" s="58"/>
      <c r="V195" s="58"/>
      <c r="W195" s="58"/>
      <c r="X195" s="58"/>
      <c r="Y195" s="58"/>
      <c r="Z195" s="58"/>
    </row>
    <row r="196">
      <c r="A196" s="58"/>
      <c r="B196" s="58"/>
      <c r="C196" s="58"/>
      <c r="D196" s="58"/>
      <c r="E196" s="58"/>
      <c r="F196" s="58"/>
      <c r="G196" s="86"/>
      <c r="H196" s="58"/>
      <c r="I196" s="58"/>
      <c r="J196" s="58"/>
      <c r="K196" s="58"/>
      <c r="L196" s="58"/>
      <c r="M196" s="58"/>
      <c r="N196" s="58"/>
      <c r="O196" s="58"/>
      <c r="P196" s="58"/>
      <c r="Q196" s="58"/>
      <c r="R196" s="58"/>
      <c r="S196" s="58"/>
      <c r="T196" s="58"/>
      <c r="U196" s="58"/>
      <c r="V196" s="58"/>
      <c r="W196" s="58"/>
      <c r="X196" s="58"/>
      <c r="Y196" s="58"/>
      <c r="Z196" s="58"/>
    </row>
    <row r="197">
      <c r="A197" s="58"/>
      <c r="B197" s="58"/>
      <c r="C197" s="58"/>
      <c r="D197" s="58"/>
      <c r="E197" s="58"/>
      <c r="F197" s="58"/>
      <c r="G197" s="86"/>
      <c r="H197" s="58"/>
      <c r="I197" s="58"/>
      <c r="J197" s="58"/>
      <c r="K197" s="58"/>
      <c r="L197" s="58"/>
      <c r="M197" s="58"/>
      <c r="N197" s="58"/>
      <c r="O197" s="58"/>
      <c r="P197" s="58"/>
      <c r="Q197" s="58"/>
      <c r="R197" s="58"/>
      <c r="S197" s="58"/>
      <c r="T197" s="58"/>
      <c r="U197" s="58"/>
      <c r="V197" s="58"/>
      <c r="W197" s="58"/>
      <c r="X197" s="58"/>
      <c r="Y197" s="58"/>
      <c r="Z197" s="58"/>
    </row>
    <row r="198">
      <c r="A198" s="58"/>
      <c r="B198" s="58"/>
      <c r="C198" s="58"/>
      <c r="D198" s="58"/>
      <c r="E198" s="58"/>
      <c r="F198" s="58"/>
      <c r="G198" s="86"/>
      <c r="H198" s="58"/>
      <c r="I198" s="58"/>
      <c r="J198" s="58"/>
      <c r="K198" s="58"/>
      <c r="L198" s="58"/>
      <c r="M198" s="58"/>
      <c r="N198" s="58"/>
      <c r="O198" s="58"/>
      <c r="P198" s="58"/>
      <c r="Q198" s="58"/>
      <c r="R198" s="58"/>
      <c r="S198" s="58"/>
      <c r="T198" s="58"/>
      <c r="U198" s="58"/>
      <c r="V198" s="58"/>
      <c r="W198" s="58"/>
      <c r="X198" s="58"/>
      <c r="Y198" s="58"/>
      <c r="Z198" s="58"/>
    </row>
    <row r="199">
      <c r="A199" s="58"/>
      <c r="B199" s="58"/>
      <c r="C199" s="58"/>
      <c r="D199" s="58"/>
      <c r="E199" s="58"/>
      <c r="F199" s="58"/>
      <c r="G199" s="86"/>
      <c r="H199" s="58"/>
      <c r="I199" s="58"/>
      <c r="J199" s="58"/>
      <c r="K199" s="58"/>
      <c r="L199" s="58"/>
      <c r="M199" s="58"/>
      <c r="N199" s="58"/>
      <c r="O199" s="58"/>
      <c r="P199" s="58"/>
      <c r="Q199" s="58"/>
      <c r="R199" s="58"/>
      <c r="S199" s="58"/>
      <c r="T199" s="58"/>
      <c r="U199" s="58"/>
      <c r="V199" s="58"/>
      <c r="W199" s="58"/>
      <c r="X199" s="58"/>
      <c r="Y199" s="58"/>
      <c r="Z199" s="58"/>
    </row>
    <row r="200">
      <c r="A200" s="58"/>
      <c r="B200" s="58"/>
      <c r="C200" s="58"/>
      <c r="D200" s="58"/>
      <c r="E200" s="58"/>
      <c r="F200" s="58"/>
      <c r="G200" s="86"/>
      <c r="H200" s="58"/>
      <c r="I200" s="58"/>
      <c r="J200" s="58"/>
      <c r="K200" s="58"/>
      <c r="L200" s="58"/>
      <c r="M200" s="58"/>
      <c r="N200" s="58"/>
      <c r="O200" s="58"/>
      <c r="P200" s="58"/>
      <c r="Q200" s="58"/>
      <c r="R200" s="58"/>
      <c r="S200" s="58"/>
      <c r="T200" s="58"/>
      <c r="U200" s="58"/>
      <c r="V200" s="58"/>
      <c r="W200" s="58"/>
      <c r="X200" s="58"/>
      <c r="Y200" s="58"/>
      <c r="Z200" s="58"/>
    </row>
    <row r="201">
      <c r="A201" s="58"/>
      <c r="B201" s="58"/>
      <c r="C201" s="58"/>
      <c r="D201" s="58"/>
      <c r="E201" s="58"/>
      <c r="F201" s="58"/>
      <c r="G201" s="86"/>
      <c r="H201" s="58"/>
      <c r="I201" s="58"/>
      <c r="J201" s="58"/>
      <c r="K201" s="58"/>
      <c r="L201" s="58"/>
      <c r="M201" s="58"/>
      <c r="N201" s="58"/>
      <c r="O201" s="58"/>
      <c r="P201" s="58"/>
      <c r="Q201" s="58"/>
      <c r="R201" s="58"/>
      <c r="S201" s="58"/>
      <c r="T201" s="58"/>
      <c r="U201" s="58"/>
      <c r="V201" s="58"/>
      <c r="W201" s="58"/>
      <c r="X201" s="58"/>
      <c r="Y201" s="58"/>
      <c r="Z201" s="58"/>
    </row>
    <row r="202">
      <c r="A202" s="58"/>
      <c r="B202" s="58"/>
      <c r="C202" s="58"/>
      <c r="D202" s="58"/>
      <c r="E202" s="58"/>
      <c r="F202" s="58"/>
      <c r="G202" s="86"/>
      <c r="H202" s="58"/>
      <c r="I202" s="58"/>
      <c r="J202" s="58"/>
      <c r="K202" s="58"/>
      <c r="L202" s="58"/>
      <c r="M202" s="58"/>
      <c r="N202" s="58"/>
      <c r="O202" s="58"/>
      <c r="P202" s="58"/>
      <c r="Q202" s="58"/>
      <c r="R202" s="58"/>
      <c r="S202" s="58"/>
      <c r="T202" s="58"/>
      <c r="U202" s="58"/>
      <c r="V202" s="58"/>
      <c r="W202" s="58"/>
      <c r="X202" s="58"/>
      <c r="Y202" s="58"/>
      <c r="Z202" s="58"/>
    </row>
    <row r="203">
      <c r="A203" s="58"/>
      <c r="B203" s="58"/>
      <c r="C203" s="58"/>
      <c r="D203" s="58"/>
      <c r="E203" s="58"/>
      <c r="F203" s="58"/>
      <c r="G203" s="86"/>
      <c r="H203" s="58"/>
      <c r="I203" s="58"/>
      <c r="J203" s="58"/>
      <c r="K203" s="58"/>
      <c r="L203" s="58"/>
      <c r="M203" s="58"/>
      <c r="N203" s="58"/>
      <c r="O203" s="58"/>
      <c r="P203" s="58"/>
      <c r="Q203" s="58"/>
      <c r="R203" s="58"/>
      <c r="S203" s="58"/>
      <c r="T203" s="58"/>
      <c r="U203" s="58"/>
      <c r="V203" s="58"/>
      <c r="W203" s="58"/>
      <c r="X203" s="58"/>
      <c r="Y203" s="58"/>
      <c r="Z203" s="58"/>
    </row>
    <row r="204">
      <c r="A204" s="58"/>
      <c r="B204" s="58"/>
      <c r="C204" s="58"/>
      <c r="D204" s="58"/>
      <c r="E204" s="58"/>
      <c r="F204" s="58"/>
      <c r="G204" s="86"/>
      <c r="H204" s="58"/>
      <c r="I204" s="58"/>
      <c r="J204" s="58"/>
      <c r="K204" s="58"/>
      <c r="L204" s="58"/>
      <c r="M204" s="58"/>
      <c r="N204" s="58"/>
      <c r="O204" s="58"/>
      <c r="P204" s="58"/>
      <c r="Q204" s="58"/>
      <c r="R204" s="58"/>
      <c r="S204" s="58"/>
      <c r="T204" s="58"/>
      <c r="U204" s="58"/>
      <c r="V204" s="58"/>
      <c r="W204" s="58"/>
      <c r="X204" s="58"/>
      <c r="Y204" s="58"/>
      <c r="Z204" s="58"/>
    </row>
    <row r="205">
      <c r="A205" s="58"/>
      <c r="B205" s="58"/>
      <c r="C205" s="58"/>
      <c r="D205" s="58"/>
      <c r="E205" s="58"/>
      <c r="F205" s="58"/>
      <c r="G205" s="86"/>
      <c r="H205" s="58"/>
      <c r="I205" s="58"/>
      <c r="J205" s="58"/>
      <c r="K205" s="58"/>
      <c r="L205" s="58"/>
      <c r="M205" s="58"/>
      <c r="N205" s="58"/>
      <c r="O205" s="58"/>
      <c r="P205" s="58"/>
      <c r="Q205" s="58"/>
      <c r="R205" s="58"/>
      <c r="S205" s="58"/>
      <c r="T205" s="58"/>
      <c r="U205" s="58"/>
      <c r="V205" s="58"/>
      <c r="W205" s="58"/>
      <c r="X205" s="58"/>
      <c r="Y205" s="58"/>
      <c r="Z205" s="58"/>
    </row>
    <row r="206">
      <c r="A206" s="58"/>
      <c r="B206" s="58"/>
      <c r="C206" s="58"/>
      <c r="D206" s="58"/>
      <c r="E206" s="58"/>
      <c r="F206" s="58"/>
      <c r="G206" s="86"/>
      <c r="H206" s="58"/>
      <c r="I206" s="58"/>
      <c r="J206" s="58"/>
      <c r="K206" s="58"/>
      <c r="L206" s="58"/>
      <c r="M206" s="58"/>
      <c r="N206" s="58"/>
      <c r="O206" s="58"/>
      <c r="P206" s="58"/>
      <c r="Q206" s="58"/>
      <c r="R206" s="58"/>
      <c r="S206" s="58"/>
      <c r="T206" s="58"/>
      <c r="U206" s="58"/>
      <c r="V206" s="58"/>
      <c r="W206" s="58"/>
      <c r="X206" s="58"/>
      <c r="Y206" s="58"/>
      <c r="Z206" s="58"/>
    </row>
    <row r="207">
      <c r="A207" s="58"/>
      <c r="B207" s="58"/>
      <c r="C207" s="58"/>
      <c r="D207" s="58"/>
      <c r="E207" s="58"/>
      <c r="F207" s="58"/>
      <c r="G207" s="86"/>
      <c r="H207" s="58"/>
      <c r="I207" s="58"/>
      <c r="J207" s="58"/>
      <c r="K207" s="58"/>
      <c r="L207" s="58"/>
      <c r="M207" s="58"/>
      <c r="N207" s="58"/>
      <c r="O207" s="58"/>
      <c r="P207" s="58"/>
      <c r="Q207" s="58"/>
      <c r="R207" s="58"/>
      <c r="S207" s="58"/>
      <c r="T207" s="58"/>
      <c r="U207" s="58"/>
      <c r="V207" s="58"/>
      <c r="W207" s="58"/>
      <c r="X207" s="58"/>
      <c r="Y207" s="58"/>
      <c r="Z207" s="58"/>
    </row>
    <row r="208">
      <c r="A208" s="58"/>
      <c r="B208" s="58"/>
      <c r="C208" s="58"/>
      <c r="D208" s="58"/>
      <c r="E208" s="58"/>
      <c r="F208" s="58"/>
      <c r="G208" s="86"/>
      <c r="H208" s="58"/>
      <c r="I208" s="58"/>
      <c r="J208" s="58"/>
      <c r="K208" s="58"/>
      <c r="L208" s="58"/>
      <c r="M208" s="58"/>
      <c r="N208" s="58"/>
      <c r="O208" s="58"/>
      <c r="P208" s="58"/>
      <c r="Q208" s="58"/>
      <c r="R208" s="58"/>
      <c r="S208" s="58"/>
      <c r="T208" s="58"/>
      <c r="U208" s="58"/>
      <c r="V208" s="58"/>
      <c r="W208" s="58"/>
      <c r="X208" s="58"/>
      <c r="Y208" s="58"/>
      <c r="Z208" s="58"/>
    </row>
    <row r="209">
      <c r="A209" s="58"/>
      <c r="B209" s="58"/>
      <c r="C209" s="58"/>
      <c r="D209" s="58"/>
      <c r="E209" s="58"/>
      <c r="F209" s="58"/>
      <c r="G209" s="86"/>
      <c r="H209" s="58"/>
      <c r="I209" s="58"/>
      <c r="J209" s="58"/>
      <c r="K209" s="58"/>
      <c r="L209" s="58"/>
      <c r="M209" s="58"/>
      <c r="N209" s="58"/>
      <c r="O209" s="58"/>
      <c r="P209" s="58"/>
      <c r="Q209" s="58"/>
      <c r="R209" s="58"/>
      <c r="S209" s="58"/>
      <c r="T209" s="58"/>
      <c r="U209" s="58"/>
      <c r="V209" s="58"/>
      <c r="W209" s="58"/>
      <c r="X209" s="58"/>
      <c r="Y209" s="58"/>
      <c r="Z209" s="58"/>
    </row>
    <row r="210">
      <c r="A210" s="58"/>
      <c r="B210" s="58"/>
      <c r="C210" s="58"/>
      <c r="D210" s="58"/>
      <c r="E210" s="58"/>
      <c r="F210" s="58"/>
      <c r="G210" s="86"/>
      <c r="H210" s="58"/>
      <c r="I210" s="58"/>
      <c r="J210" s="58"/>
      <c r="K210" s="58"/>
      <c r="L210" s="58"/>
      <c r="M210" s="58"/>
      <c r="N210" s="58"/>
      <c r="O210" s="58"/>
      <c r="P210" s="58"/>
      <c r="Q210" s="58"/>
      <c r="R210" s="58"/>
      <c r="S210" s="58"/>
      <c r="T210" s="58"/>
      <c r="U210" s="58"/>
      <c r="V210" s="58"/>
      <c r="W210" s="58"/>
      <c r="X210" s="58"/>
      <c r="Y210" s="58"/>
      <c r="Z210" s="58"/>
    </row>
    <row r="211">
      <c r="A211" s="58"/>
      <c r="B211" s="58"/>
      <c r="C211" s="58"/>
      <c r="D211" s="58"/>
      <c r="E211" s="58"/>
      <c r="F211" s="58"/>
      <c r="G211" s="86"/>
      <c r="H211" s="58"/>
      <c r="I211" s="58"/>
      <c r="J211" s="58"/>
      <c r="K211" s="58"/>
      <c r="L211" s="58"/>
      <c r="M211" s="58"/>
      <c r="N211" s="58"/>
      <c r="O211" s="58"/>
      <c r="P211" s="58"/>
      <c r="Q211" s="58"/>
      <c r="R211" s="58"/>
      <c r="S211" s="58"/>
      <c r="T211" s="58"/>
      <c r="U211" s="58"/>
      <c r="V211" s="58"/>
      <c r="W211" s="58"/>
      <c r="X211" s="58"/>
      <c r="Y211" s="58"/>
      <c r="Z211" s="58"/>
    </row>
    <row r="212">
      <c r="A212" s="58"/>
      <c r="B212" s="58"/>
      <c r="C212" s="58"/>
      <c r="D212" s="58"/>
      <c r="E212" s="58"/>
      <c r="F212" s="58"/>
      <c r="G212" s="86"/>
      <c r="H212" s="58"/>
      <c r="I212" s="58"/>
      <c r="J212" s="58"/>
      <c r="K212" s="58"/>
      <c r="L212" s="58"/>
      <c r="M212" s="58"/>
      <c r="N212" s="58"/>
      <c r="O212" s="58"/>
      <c r="P212" s="58"/>
      <c r="Q212" s="58"/>
      <c r="R212" s="58"/>
      <c r="S212" s="58"/>
      <c r="T212" s="58"/>
      <c r="U212" s="58"/>
      <c r="V212" s="58"/>
      <c r="W212" s="58"/>
      <c r="X212" s="58"/>
      <c r="Y212" s="58"/>
      <c r="Z212" s="58"/>
    </row>
    <row r="213">
      <c r="A213" s="58"/>
      <c r="B213" s="58"/>
      <c r="C213" s="58"/>
      <c r="D213" s="58"/>
      <c r="E213" s="58"/>
      <c r="F213" s="58"/>
      <c r="G213" s="86"/>
      <c r="H213" s="58"/>
      <c r="I213" s="58"/>
      <c r="J213" s="58"/>
      <c r="K213" s="58"/>
      <c r="L213" s="58"/>
      <c r="M213" s="58"/>
      <c r="N213" s="58"/>
      <c r="O213" s="58"/>
      <c r="P213" s="58"/>
      <c r="Q213" s="58"/>
      <c r="R213" s="58"/>
      <c r="S213" s="58"/>
      <c r="T213" s="58"/>
      <c r="U213" s="58"/>
      <c r="V213" s="58"/>
      <c r="W213" s="58"/>
      <c r="X213" s="58"/>
      <c r="Y213" s="58"/>
      <c r="Z213" s="58"/>
    </row>
    <row r="214">
      <c r="A214" s="58"/>
      <c r="B214" s="58"/>
      <c r="C214" s="58"/>
      <c r="D214" s="58"/>
      <c r="E214" s="58"/>
      <c r="F214" s="58"/>
      <c r="G214" s="86"/>
      <c r="H214" s="58"/>
      <c r="I214" s="58"/>
      <c r="J214" s="58"/>
      <c r="K214" s="58"/>
      <c r="L214" s="58"/>
      <c r="M214" s="58"/>
      <c r="N214" s="58"/>
      <c r="O214" s="58"/>
      <c r="P214" s="58"/>
      <c r="Q214" s="58"/>
      <c r="R214" s="58"/>
      <c r="S214" s="58"/>
      <c r="T214" s="58"/>
      <c r="U214" s="58"/>
      <c r="V214" s="58"/>
      <c r="W214" s="58"/>
      <c r="X214" s="58"/>
      <c r="Y214" s="58"/>
      <c r="Z214" s="58"/>
    </row>
    <row r="215">
      <c r="A215" s="58"/>
      <c r="B215" s="58"/>
      <c r="C215" s="58"/>
      <c r="D215" s="58"/>
      <c r="E215" s="58"/>
      <c r="F215" s="58"/>
      <c r="G215" s="86"/>
      <c r="H215" s="58"/>
      <c r="I215" s="58"/>
      <c r="J215" s="58"/>
      <c r="K215" s="58"/>
      <c r="L215" s="58"/>
      <c r="M215" s="58"/>
      <c r="N215" s="58"/>
      <c r="O215" s="58"/>
      <c r="P215" s="58"/>
      <c r="Q215" s="58"/>
      <c r="R215" s="58"/>
      <c r="S215" s="58"/>
      <c r="T215" s="58"/>
      <c r="U215" s="58"/>
      <c r="V215" s="58"/>
      <c r="W215" s="58"/>
      <c r="X215" s="58"/>
      <c r="Y215" s="58"/>
      <c r="Z215" s="58"/>
    </row>
    <row r="216">
      <c r="A216" s="58"/>
      <c r="B216" s="58"/>
      <c r="C216" s="58"/>
      <c r="D216" s="58"/>
      <c r="E216" s="58"/>
      <c r="F216" s="58"/>
      <c r="G216" s="86"/>
      <c r="H216" s="58"/>
      <c r="I216" s="58"/>
      <c r="J216" s="58"/>
      <c r="K216" s="58"/>
      <c r="L216" s="58"/>
      <c r="M216" s="58"/>
      <c r="N216" s="58"/>
      <c r="O216" s="58"/>
      <c r="P216" s="58"/>
      <c r="Q216" s="58"/>
      <c r="R216" s="58"/>
      <c r="S216" s="58"/>
      <c r="T216" s="58"/>
      <c r="U216" s="58"/>
      <c r="V216" s="58"/>
      <c r="W216" s="58"/>
      <c r="X216" s="58"/>
      <c r="Y216" s="58"/>
      <c r="Z216" s="58"/>
    </row>
    <row r="217">
      <c r="A217" s="58"/>
      <c r="B217" s="58"/>
      <c r="C217" s="58"/>
      <c r="D217" s="58"/>
      <c r="E217" s="58"/>
      <c r="F217" s="58"/>
      <c r="G217" s="86"/>
      <c r="H217" s="58"/>
      <c r="I217" s="58"/>
      <c r="J217" s="58"/>
      <c r="K217" s="58"/>
      <c r="L217" s="58"/>
      <c r="M217" s="58"/>
      <c r="N217" s="58"/>
      <c r="O217" s="58"/>
      <c r="P217" s="58"/>
      <c r="Q217" s="58"/>
      <c r="R217" s="58"/>
      <c r="S217" s="58"/>
      <c r="T217" s="58"/>
      <c r="U217" s="58"/>
      <c r="V217" s="58"/>
      <c r="W217" s="58"/>
      <c r="X217" s="58"/>
      <c r="Y217" s="58"/>
      <c r="Z217" s="58"/>
    </row>
    <row r="218">
      <c r="A218" s="58"/>
      <c r="B218" s="58"/>
      <c r="C218" s="58"/>
      <c r="D218" s="58"/>
      <c r="E218" s="58"/>
      <c r="F218" s="58"/>
      <c r="G218" s="86"/>
      <c r="H218" s="58"/>
      <c r="I218" s="58"/>
      <c r="J218" s="58"/>
      <c r="K218" s="58"/>
      <c r="L218" s="58"/>
      <c r="M218" s="58"/>
      <c r="N218" s="58"/>
      <c r="O218" s="58"/>
      <c r="P218" s="58"/>
      <c r="Q218" s="58"/>
      <c r="R218" s="58"/>
      <c r="S218" s="58"/>
      <c r="T218" s="58"/>
      <c r="U218" s="58"/>
      <c r="V218" s="58"/>
      <c r="W218" s="58"/>
      <c r="X218" s="58"/>
      <c r="Y218" s="58"/>
      <c r="Z218" s="58"/>
    </row>
    <row r="219">
      <c r="A219" s="58"/>
      <c r="B219" s="58"/>
      <c r="C219" s="58"/>
      <c r="D219" s="58"/>
      <c r="E219" s="58"/>
      <c r="F219" s="58"/>
      <c r="G219" s="86"/>
      <c r="H219" s="58"/>
      <c r="I219" s="58"/>
      <c r="J219" s="58"/>
      <c r="K219" s="58"/>
      <c r="L219" s="58"/>
      <c r="M219" s="58"/>
      <c r="N219" s="58"/>
      <c r="O219" s="58"/>
      <c r="P219" s="58"/>
      <c r="Q219" s="58"/>
      <c r="R219" s="58"/>
      <c r="S219" s="58"/>
      <c r="T219" s="58"/>
      <c r="U219" s="58"/>
      <c r="V219" s="58"/>
      <c r="W219" s="58"/>
      <c r="X219" s="58"/>
      <c r="Y219" s="58"/>
      <c r="Z219" s="58"/>
    </row>
    <row r="220">
      <c r="A220" s="58"/>
      <c r="B220" s="58"/>
      <c r="C220" s="58"/>
      <c r="D220" s="58"/>
      <c r="E220" s="58"/>
      <c r="F220" s="58"/>
      <c r="G220" s="86"/>
      <c r="H220" s="58"/>
      <c r="I220" s="58"/>
      <c r="J220" s="58"/>
      <c r="K220" s="58"/>
      <c r="L220" s="58"/>
      <c r="M220" s="58"/>
      <c r="N220" s="58"/>
      <c r="O220" s="58"/>
      <c r="P220" s="58"/>
      <c r="Q220" s="58"/>
      <c r="R220" s="58"/>
      <c r="S220" s="58"/>
      <c r="T220" s="58"/>
      <c r="U220" s="58"/>
      <c r="V220" s="58"/>
      <c r="W220" s="58"/>
      <c r="X220" s="58"/>
      <c r="Y220" s="58"/>
      <c r="Z220" s="58"/>
    </row>
    <row r="221">
      <c r="A221" s="58"/>
      <c r="B221" s="58"/>
      <c r="C221" s="58"/>
      <c r="D221" s="58"/>
      <c r="E221" s="58"/>
      <c r="F221" s="58"/>
      <c r="G221" s="86"/>
      <c r="H221" s="58"/>
      <c r="I221" s="58"/>
      <c r="J221" s="58"/>
      <c r="K221" s="58"/>
      <c r="L221" s="58"/>
      <c r="M221" s="58"/>
      <c r="N221" s="58"/>
      <c r="O221" s="58"/>
      <c r="P221" s="58"/>
      <c r="Q221" s="58"/>
      <c r="R221" s="58"/>
      <c r="S221" s="58"/>
      <c r="T221" s="58"/>
      <c r="U221" s="58"/>
      <c r="V221" s="58"/>
      <c r="W221" s="58"/>
      <c r="X221" s="58"/>
      <c r="Y221" s="58"/>
      <c r="Z221" s="58"/>
    </row>
    <row r="222">
      <c r="A222" s="58"/>
      <c r="B222" s="58"/>
      <c r="C222" s="58"/>
      <c r="D222" s="58"/>
      <c r="E222" s="58"/>
      <c r="F222" s="58"/>
      <c r="G222" s="86"/>
      <c r="H222" s="58"/>
      <c r="I222" s="58"/>
      <c r="J222" s="58"/>
      <c r="K222" s="58"/>
      <c r="L222" s="58"/>
      <c r="M222" s="58"/>
      <c r="N222" s="58"/>
      <c r="O222" s="58"/>
      <c r="P222" s="58"/>
      <c r="Q222" s="58"/>
      <c r="R222" s="58"/>
      <c r="S222" s="58"/>
      <c r="T222" s="58"/>
      <c r="U222" s="58"/>
      <c r="V222" s="58"/>
      <c r="W222" s="58"/>
      <c r="X222" s="58"/>
      <c r="Y222" s="58"/>
      <c r="Z222" s="58"/>
    </row>
    <row r="223">
      <c r="A223" s="58"/>
      <c r="B223" s="58"/>
      <c r="C223" s="58"/>
      <c r="D223" s="58"/>
      <c r="E223" s="58"/>
      <c r="F223" s="58"/>
      <c r="G223" s="86"/>
      <c r="H223" s="58"/>
      <c r="I223" s="58"/>
      <c r="J223" s="58"/>
      <c r="K223" s="58"/>
      <c r="L223" s="58"/>
      <c r="M223" s="58"/>
      <c r="N223" s="58"/>
      <c r="O223" s="58"/>
      <c r="P223" s="58"/>
      <c r="Q223" s="58"/>
      <c r="R223" s="58"/>
      <c r="S223" s="58"/>
      <c r="T223" s="58"/>
      <c r="U223" s="58"/>
      <c r="V223" s="58"/>
      <c r="W223" s="58"/>
      <c r="X223" s="58"/>
      <c r="Y223" s="58"/>
      <c r="Z223" s="58"/>
    </row>
    <row r="224">
      <c r="A224" s="58"/>
      <c r="B224" s="58"/>
      <c r="C224" s="58"/>
      <c r="D224" s="58"/>
      <c r="E224" s="58"/>
      <c r="F224" s="58"/>
      <c r="G224" s="86"/>
      <c r="H224" s="58"/>
      <c r="I224" s="58"/>
      <c r="J224" s="58"/>
      <c r="K224" s="58"/>
      <c r="L224" s="58"/>
      <c r="M224" s="58"/>
      <c r="N224" s="58"/>
      <c r="O224" s="58"/>
      <c r="P224" s="58"/>
      <c r="Q224" s="58"/>
      <c r="R224" s="58"/>
      <c r="S224" s="58"/>
      <c r="T224" s="58"/>
      <c r="U224" s="58"/>
      <c r="V224" s="58"/>
      <c r="W224" s="58"/>
      <c r="X224" s="58"/>
      <c r="Y224" s="58"/>
      <c r="Z224" s="58"/>
    </row>
    <row r="225">
      <c r="A225" s="58"/>
      <c r="B225" s="58"/>
      <c r="C225" s="58"/>
      <c r="D225" s="58"/>
      <c r="E225" s="58"/>
      <c r="F225" s="58"/>
      <c r="G225" s="86"/>
      <c r="H225" s="58"/>
      <c r="I225" s="58"/>
      <c r="J225" s="58"/>
      <c r="K225" s="58"/>
      <c r="L225" s="58"/>
      <c r="M225" s="58"/>
      <c r="N225" s="58"/>
      <c r="O225" s="58"/>
      <c r="P225" s="58"/>
      <c r="Q225" s="58"/>
      <c r="R225" s="58"/>
      <c r="S225" s="58"/>
      <c r="T225" s="58"/>
      <c r="U225" s="58"/>
      <c r="V225" s="58"/>
      <c r="W225" s="58"/>
      <c r="X225" s="58"/>
      <c r="Y225" s="58"/>
      <c r="Z225" s="58"/>
    </row>
    <row r="226">
      <c r="A226" s="58"/>
      <c r="B226" s="58"/>
      <c r="C226" s="58"/>
      <c r="D226" s="58"/>
      <c r="E226" s="58"/>
      <c r="F226" s="58"/>
      <c r="G226" s="86"/>
      <c r="H226" s="58"/>
      <c r="I226" s="58"/>
      <c r="J226" s="58"/>
      <c r="K226" s="58"/>
      <c r="L226" s="58"/>
      <c r="M226" s="58"/>
      <c r="N226" s="58"/>
      <c r="O226" s="58"/>
      <c r="P226" s="58"/>
      <c r="Q226" s="58"/>
      <c r="R226" s="58"/>
      <c r="S226" s="58"/>
      <c r="T226" s="58"/>
      <c r="U226" s="58"/>
      <c r="V226" s="58"/>
      <c r="W226" s="58"/>
      <c r="X226" s="58"/>
      <c r="Y226" s="58"/>
      <c r="Z226" s="58"/>
    </row>
    <row r="227">
      <c r="A227" s="58"/>
      <c r="B227" s="58"/>
      <c r="C227" s="58"/>
      <c r="D227" s="58"/>
      <c r="E227" s="58"/>
      <c r="F227" s="58"/>
      <c r="G227" s="86"/>
      <c r="H227" s="58"/>
      <c r="I227" s="58"/>
      <c r="J227" s="58"/>
      <c r="K227" s="58"/>
      <c r="L227" s="58"/>
      <c r="M227" s="58"/>
      <c r="N227" s="58"/>
      <c r="O227" s="58"/>
      <c r="P227" s="58"/>
      <c r="Q227" s="58"/>
      <c r="R227" s="58"/>
      <c r="S227" s="58"/>
      <c r="T227" s="58"/>
      <c r="U227" s="58"/>
      <c r="V227" s="58"/>
      <c r="W227" s="58"/>
      <c r="X227" s="58"/>
      <c r="Y227" s="58"/>
      <c r="Z227" s="58"/>
    </row>
    <row r="228">
      <c r="A228" s="58"/>
      <c r="B228" s="58"/>
      <c r="C228" s="58"/>
      <c r="D228" s="58"/>
      <c r="E228" s="58"/>
      <c r="F228" s="58"/>
      <c r="G228" s="86"/>
      <c r="H228" s="58"/>
      <c r="I228" s="58"/>
      <c r="J228" s="58"/>
      <c r="K228" s="58"/>
      <c r="L228" s="58"/>
      <c r="M228" s="58"/>
      <c r="N228" s="58"/>
      <c r="O228" s="58"/>
      <c r="P228" s="58"/>
      <c r="Q228" s="58"/>
      <c r="R228" s="58"/>
      <c r="S228" s="58"/>
      <c r="T228" s="58"/>
      <c r="U228" s="58"/>
      <c r="V228" s="58"/>
      <c r="W228" s="58"/>
      <c r="X228" s="58"/>
      <c r="Y228" s="58"/>
      <c r="Z228" s="58"/>
    </row>
    <row r="229">
      <c r="A229" s="58"/>
      <c r="B229" s="58"/>
      <c r="C229" s="58"/>
      <c r="D229" s="58"/>
      <c r="E229" s="58"/>
      <c r="F229" s="58"/>
      <c r="G229" s="86"/>
      <c r="H229" s="58"/>
      <c r="I229" s="58"/>
      <c r="J229" s="58"/>
      <c r="K229" s="58"/>
      <c r="L229" s="58"/>
      <c r="M229" s="58"/>
      <c r="N229" s="58"/>
      <c r="O229" s="58"/>
      <c r="P229" s="58"/>
      <c r="Q229" s="58"/>
      <c r="R229" s="58"/>
      <c r="S229" s="58"/>
      <c r="T229" s="58"/>
      <c r="U229" s="58"/>
      <c r="V229" s="58"/>
      <c r="W229" s="58"/>
      <c r="X229" s="58"/>
      <c r="Y229" s="58"/>
      <c r="Z229" s="58"/>
    </row>
    <row r="230">
      <c r="A230" s="58"/>
      <c r="B230" s="58"/>
      <c r="C230" s="58"/>
      <c r="D230" s="58"/>
      <c r="E230" s="58"/>
      <c r="F230" s="58"/>
      <c r="G230" s="86"/>
      <c r="H230" s="58"/>
      <c r="I230" s="58"/>
      <c r="J230" s="58"/>
      <c r="K230" s="58"/>
      <c r="L230" s="58"/>
      <c r="M230" s="58"/>
      <c r="N230" s="58"/>
      <c r="O230" s="58"/>
      <c r="P230" s="58"/>
      <c r="Q230" s="58"/>
      <c r="R230" s="58"/>
      <c r="S230" s="58"/>
      <c r="T230" s="58"/>
      <c r="U230" s="58"/>
      <c r="V230" s="58"/>
      <c r="W230" s="58"/>
      <c r="X230" s="58"/>
      <c r="Y230" s="58"/>
      <c r="Z230" s="58"/>
    </row>
    <row r="231">
      <c r="A231" s="58"/>
      <c r="B231" s="58"/>
      <c r="C231" s="58"/>
      <c r="D231" s="58"/>
      <c r="E231" s="58"/>
      <c r="F231" s="58"/>
      <c r="G231" s="86"/>
      <c r="H231" s="58"/>
      <c r="I231" s="58"/>
      <c r="J231" s="58"/>
      <c r="K231" s="58"/>
      <c r="L231" s="58"/>
      <c r="M231" s="58"/>
      <c r="N231" s="58"/>
      <c r="O231" s="58"/>
      <c r="P231" s="58"/>
      <c r="Q231" s="58"/>
      <c r="R231" s="58"/>
      <c r="S231" s="58"/>
      <c r="T231" s="58"/>
      <c r="U231" s="58"/>
      <c r="V231" s="58"/>
      <c r="W231" s="58"/>
      <c r="X231" s="58"/>
      <c r="Y231" s="58"/>
      <c r="Z231" s="58"/>
    </row>
    <row r="232">
      <c r="A232" s="58"/>
      <c r="B232" s="58"/>
      <c r="C232" s="58"/>
      <c r="D232" s="58"/>
      <c r="E232" s="58"/>
      <c r="F232" s="58"/>
      <c r="G232" s="86"/>
      <c r="H232" s="58"/>
      <c r="I232" s="58"/>
      <c r="J232" s="58"/>
      <c r="K232" s="58"/>
      <c r="L232" s="58"/>
      <c r="M232" s="58"/>
      <c r="N232" s="58"/>
      <c r="O232" s="58"/>
      <c r="P232" s="58"/>
      <c r="Q232" s="58"/>
      <c r="R232" s="58"/>
      <c r="S232" s="58"/>
      <c r="T232" s="58"/>
      <c r="U232" s="58"/>
      <c r="V232" s="58"/>
      <c r="W232" s="58"/>
      <c r="X232" s="58"/>
      <c r="Y232" s="58"/>
      <c r="Z232" s="58"/>
    </row>
    <row r="233">
      <c r="A233" s="58"/>
      <c r="B233" s="58"/>
      <c r="C233" s="58"/>
      <c r="D233" s="58"/>
      <c r="E233" s="58"/>
      <c r="F233" s="58"/>
      <c r="G233" s="86"/>
      <c r="H233" s="58"/>
      <c r="I233" s="58"/>
      <c r="J233" s="58"/>
      <c r="K233" s="58"/>
      <c r="L233" s="58"/>
      <c r="M233" s="58"/>
      <c r="N233" s="58"/>
      <c r="O233" s="58"/>
      <c r="P233" s="58"/>
      <c r="Q233" s="58"/>
      <c r="R233" s="58"/>
      <c r="S233" s="58"/>
      <c r="T233" s="58"/>
      <c r="U233" s="58"/>
      <c r="V233" s="58"/>
      <c r="W233" s="58"/>
      <c r="X233" s="58"/>
      <c r="Y233" s="58"/>
      <c r="Z233" s="58"/>
    </row>
    <row r="234">
      <c r="A234" s="58"/>
      <c r="B234" s="58"/>
      <c r="C234" s="58"/>
      <c r="D234" s="58"/>
      <c r="E234" s="58"/>
      <c r="F234" s="58"/>
      <c r="G234" s="86"/>
      <c r="H234" s="58"/>
      <c r="I234" s="58"/>
      <c r="J234" s="58"/>
      <c r="K234" s="58"/>
      <c r="L234" s="58"/>
      <c r="M234" s="58"/>
      <c r="N234" s="58"/>
      <c r="O234" s="58"/>
      <c r="P234" s="58"/>
      <c r="Q234" s="58"/>
      <c r="R234" s="58"/>
      <c r="S234" s="58"/>
      <c r="T234" s="58"/>
      <c r="U234" s="58"/>
      <c r="V234" s="58"/>
      <c r="W234" s="58"/>
      <c r="X234" s="58"/>
      <c r="Y234" s="58"/>
      <c r="Z234" s="58"/>
    </row>
    <row r="235">
      <c r="A235" s="58"/>
      <c r="B235" s="58"/>
      <c r="C235" s="58"/>
      <c r="D235" s="58"/>
      <c r="E235" s="58"/>
      <c r="F235" s="58"/>
      <c r="G235" s="86"/>
      <c r="H235" s="58"/>
      <c r="I235" s="58"/>
      <c r="J235" s="58"/>
      <c r="K235" s="58"/>
      <c r="L235" s="58"/>
      <c r="M235" s="58"/>
      <c r="N235" s="58"/>
      <c r="O235" s="58"/>
      <c r="P235" s="58"/>
      <c r="Q235" s="58"/>
      <c r="R235" s="58"/>
      <c r="S235" s="58"/>
      <c r="T235" s="58"/>
      <c r="U235" s="58"/>
      <c r="V235" s="58"/>
      <c r="W235" s="58"/>
      <c r="X235" s="58"/>
      <c r="Y235" s="58"/>
      <c r="Z235" s="58"/>
    </row>
    <row r="236">
      <c r="A236" s="58"/>
      <c r="B236" s="58"/>
      <c r="C236" s="58"/>
      <c r="D236" s="58"/>
      <c r="E236" s="58"/>
      <c r="F236" s="58"/>
      <c r="G236" s="86"/>
      <c r="H236" s="58"/>
      <c r="I236" s="58"/>
      <c r="J236" s="58"/>
      <c r="K236" s="58"/>
      <c r="L236" s="58"/>
      <c r="M236" s="58"/>
      <c r="N236" s="58"/>
      <c r="O236" s="58"/>
      <c r="P236" s="58"/>
      <c r="Q236" s="58"/>
      <c r="R236" s="58"/>
      <c r="S236" s="58"/>
      <c r="T236" s="58"/>
      <c r="U236" s="58"/>
      <c r="V236" s="58"/>
      <c r="W236" s="58"/>
      <c r="X236" s="58"/>
      <c r="Y236" s="58"/>
      <c r="Z236" s="58"/>
    </row>
    <row r="237">
      <c r="A237" s="58"/>
      <c r="B237" s="58"/>
      <c r="C237" s="58"/>
      <c r="D237" s="58"/>
      <c r="E237" s="58"/>
      <c r="F237" s="58"/>
      <c r="G237" s="86"/>
      <c r="H237" s="58"/>
      <c r="I237" s="58"/>
      <c r="J237" s="58"/>
      <c r="K237" s="58"/>
      <c r="L237" s="58"/>
      <c r="M237" s="58"/>
      <c r="N237" s="58"/>
      <c r="O237" s="58"/>
      <c r="P237" s="58"/>
      <c r="Q237" s="58"/>
      <c r="R237" s="58"/>
      <c r="S237" s="58"/>
      <c r="T237" s="58"/>
      <c r="U237" s="58"/>
      <c r="V237" s="58"/>
      <c r="W237" s="58"/>
      <c r="X237" s="58"/>
      <c r="Y237" s="58"/>
      <c r="Z237" s="58"/>
    </row>
    <row r="238">
      <c r="A238" s="58"/>
      <c r="B238" s="58"/>
      <c r="C238" s="58"/>
      <c r="D238" s="58"/>
      <c r="E238" s="58"/>
      <c r="F238" s="58"/>
      <c r="G238" s="86"/>
      <c r="H238" s="58"/>
      <c r="I238" s="58"/>
      <c r="J238" s="58"/>
      <c r="K238" s="58"/>
      <c r="L238" s="58"/>
      <c r="M238" s="58"/>
      <c r="N238" s="58"/>
      <c r="O238" s="58"/>
      <c r="P238" s="58"/>
      <c r="Q238" s="58"/>
      <c r="R238" s="58"/>
      <c r="S238" s="58"/>
      <c r="T238" s="58"/>
      <c r="U238" s="58"/>
      <c r="V238" s="58"/>
      <c r="W238" s="58"/>
      <c r="X238" s="58"/>
      <c r="Y238" s="58"/>
      <c r="Z238" s="58"/>
    </row>
    <row r="239">
      <c r="A239" s="58"/>
      <c r="B239" s="58"/>
      <c r="C239" s="58"/>
      <c r="D239" s="58"/>
      <c r="E239" s="58"/>
      <c r="F239" s="58"/>
      <c r="G239" s="86"/>
      <c r="H239" s="58"/>
      <c r="I239" s="58"/>
      <c r="J239" s="58"/>
      <c r="K239" s="58"/>
      <c r="L239" s="58"/>
      <c r="M239" s="58"/>
      <c r="N239" s="58"/>
      <c r="O239" s="58"/>
      <c r="P239" s="58"/>
      <c r="Q239" s="58"/>
      <c r="R239" s="58"/>
      <c r="S239" s="58"/>
      <c r="T239" s="58"/>
      <c r="U239" s="58"/>
      <c r="V239" s="58"/>
      <c r="W239" s="58"/>
      <c r="X239" s="58"/>
      <c r="Y239" s="58"/>
      <c r="Z239" s="58"/>
    </row>
    <row r="240">
      <c r="A240" s="58"/>
      <c r="B240" s="58"/>
      <c r="C240" s="58"/>
      <c r="D240" s="58"/>
      <c r="E240" s="58"/>
      <c r="F240" s="58"/>
      <c r="G240" s="86"/>
      <c r="H240" s="58"/>
      <c r="I240" s="58"/>
      <c r="J240" s="58"/>
      <c r="K240" s="58"/>
      <c r="L240" s="58"/>
      <c r="M240" s="58"/>
      <c r="N240" s="58"/>
      <c r="O240" s="58"/>
      <c r="P240" s="58"/>
      <c r="Q240" s="58"/>
      <c r="R240" s="58"/>
      <c r="S240" s="58"/>
      <c r="T240" s="58"/>
      <c r="U240" s="58"/>
      <c r="V240" s="58"/>
      <c r="W240" s="58"/>
      <c r="X240" s="58"/>
      <c r="Y240" s="58"/>
      <c r="Z240" s="58"/>
    </row>
    <row r="241">
      <c r="A241" s="58"/>
      <c r="B241" s="58"/>
      <c r="C241" s="58"/>
      <c r="D241" s="58"/>
      <c r="E241" s="58"/>
      <c r="F241" s="58"/>
      <c r="G241" s="86"/>
      <c r="H241" s="58"/>
      <c r="I241" s="58"/>
      <c r="J241" s="58"/>
      <c r="K241" s="58"/>
      <c r="L241" s="58"/>
      <c r="M241" s="58"/>
      <c r="N241" s="58"/>
      <c r="O241" s="58"/>
      <c r="P241" s="58"/>
      <c r="Q241" s="58"/>
      <c r="R241" s="58"/>
      <c r="S241" s="58"/>
      <c r="T241" s="58"/>
      <c r="U241" s="58"/>
      <c r="V241" s="58"/>
      <c r="W241" s="58"/>
      <c r="X241" s="58"/>
      <c r="Y241" s="58"/>
      <c r="Z241" s="58"/>
    </row>
    <row r="242">
      <c r="A242" s="58"/>
      <c r="B242" s="58"/>
      <c r="C242" s="58"/>
      <c r="D242" s="58"/>
      <c r="E242" s="58"/>
      <c r="F242" s="58"/>
      <c r="G242" s="86"/>
      <c r="H242" s="58"/>
      <c r="I242" s="58"/>
      <c r="J242" s="58"/>
      <c r="K242" s="58"/>
      <c r="L242" s="58"/>
      <c r="M242" s="58"/>
      <c r="N242" s="58"/>
      <c r="O242" s="58"/>
      <c r="P242" s="58"/>
      <c r="Q242" s="58"/>
      <c r="R242" s="58"/>
      <c r="S242" s="58"/>
      <c r="T242" s="58"/>
      <c r="U242" s="58"/>
      <c r="V242" s="58"/>
      <c r="W242" s="58"/>
      <c r="X242" s="58"/>
      <c r="Y242" s="58"/>
      <c r="Z242" s="58"/>
    </row>
    <row r="243">
      <c r="A243" s="58"/>
      <c r="B243" s="58"/>
      <c r="C243" s="58"/>
      <c r="D243" s="58"/>
      <c r="E243" s="58"/>
      <c r="F243" s="58"/>
      <c r="G243" s="86"/>
      <c r="H243" s="58"/>
      <c r="I243" s="58"/>
      <c r="J243" s="58"/>
      <c r="K243" s="58"/>
      <c r="L243" s="58"/>
      <c r="M243" s="58"/>
      <c r="N243" s="58"/>
      <c r="O243" s="58"/>
      <c r="P243" s="58"/>
      <c r="Q243" s="58"/>
      <c r="R243" s="58"/>
      <c r="S243" s="58"/>
      <c r="T243" s="58"/>
      <c r="U243" s="58"/>
      <c r="V243" s="58"/>
      <c r="W243" s="58"/>
      <c r="X243" s="58"/>
      <c r="Y243" s="58"/>
      <c r="Z243" s="58"/>
    </row>
    <row r="244">
      <c r="A244" s="58"/>
      <c r="B244" s="58"/>
      <c r="C244" s="58"/>
      <c r="D244" s="58"/>
      <c r="E244" s="58"/>
      <c r="F244" s="58"/>
      <c r="G244" s="86"/>
      <c r="H244" s="58"/>
      <c r="I244" s="58"/>
      <c r="J244" s="58"/>
      <c r="K244" s="58"/>
      <c r="L244" s="58"/>
      <c r="M244" s="58"/>
      <c r="N244" s="58"/>
      <c r="O244" s="58"/>
      <c r="P244" s="58"/>
      <c r="Q244" s="58"/>
      <c r="R244" s="58"/>
      <c r="S244" s="58"/>
      <c r="T244" s="58"/>
      <c r="U244" s="58"/>
      <c r="V244" s="58"/>
      <c r="W244" s="58"/>
      <c r="X244" s="58"/>
      <c r="Y244" s="58"/>
      <c r="Z244" s="58"/>
    </row>
    <row r="245">
      <c r="A245" s="58"/>
      <c r="B245" s="58"/>
      <c r="C245" s="58"/>
      <c r="D245" s="58"/>
      <c r="E245" s="58"/>
      <c r="F245" s="58"/>
      <c r="G245" s="86"/>
      <c r="H245" s="58"/>
      <c r="I245" s="58"/>
      <c r="J245" s="58"/>
      <c r="K245" s="58"/>
      <c r="L245" s="58"/>
      <c r="M245" s="58"/>
      <c r="N245" s="58"/>
      <c r="O245" s="58"/>
      <c r="P245" s="58"/>
      <c r="Q245" s="58"/>
      <c r="R245" s="58"/>
      <c r="S245" s="58"/>
      <c r="T245" s="58"/>
      <c r="U245" s="58"/>
      <c r="V245" s="58"/>
      <c r="W245" s="58"/>
      <c r="X245" s="58"/>
      <c r="Y245" s="58"/>
      <c r="Z245" s="58"/>
    </row>
    <row r="246">
      <c r="A246" s="58"/>
      <c r="B246" s="58"/>
      <c r="C246" s="58"/>
      <c r="D246" s="58"/>
      <c r="E246" s="58"/>
      <c r="F246" s="58"/>
      <c r="G246" s="86"/>
      <c r="H246" s="58"/>
      <c r="I246" s="58"/>
      <c r="J246" s="58"/>
      <c r="K246" s="58"/>
      <c r="L246" s="58"/>
      <c r="M246" s="58"/>
      <c r="N246" s="58"/>
      <c r="O246" s="58"/>
      <c r="P246" s="58"/>
      <c r="Q246" s="58"/>
      <c r="R246" s="58"/>
      <c r="S246" s="58"/>
      <c r="T246" s="58"/>
      <c r="U246" s="58"/>
      <c r="V246" s="58"/>
      <c r="W246" s="58"/>
      <c r="X246" s="58"/>
      <c r="Y246" s="58"/>
      <c r="Z246" s="58"/>
    </row>
    <row r="247">
      <c r="A247" s="58"/>
      <c r="B247" s="58"/>
      <c r="C247" s="58"/>
      <c r="D247" s="58"/>
      <c r="E247" s="58"/>
      <c r="F247" s="58"/>
      <c r="G247" s="86"/>
      <c r="H247" s="58"/>
      <c r="I247" s="58"/>
      <c r="J247" s="58"/>
      <c r="K247" s="58"/>
      <c r="L247" s="58"/>
      <c r="M247" s="58"/>
      <c r="N247" s="58"/>
      <c r="O247" s="58"/>
      <c r="P247" s="58"/>
      <c r="Q247" s="58"/>
      <c r="R247" s="58"/>
      <c r="S247" s="58"/>
      <c r="T247" s="58"/>
      <c r="U247" s="58"/>
      <c r="V247" s="58"/>
      <c r="W247" s="58"/>
      <c r="X247" s="58"/>
      <c r="Y247" s="58"/>
      <c r="Z247" s="58"/>
    </row>
    <row r="248">
      <c r="A248" s="58"/>
      <c r="B248" s="58"/>
      <c r="C248" s="58"/>
      <c r="D248" s="58"/>
      <c r="E248" s="58"/>
      <c r="F248" s="58"/>
      <c r="G248" s="86"/>
      <c r="H248" s="58"/>
      <c r="I248" s="58"/>
      <c r="J248" s="58"/>
      <c r="K248" s="58"/>
      <c r="L248" s="58"/>
      <c r="M248" s="58"/>
      <c r="N248" s="58"/>
      <c r="O248" s="58"/>
      <c r="P248" s="58"/>
      <c r="Q248" s="58"/>
      <c r="R248" s="58"/>
      <c r="S248" s="58"/>
      <c r="T248" s="58"/>
      <c r="U248" s="58"/>
      <c r="V248" s="58"/>
      <c r="W248" s="58"/>
      <c r="X248" s="58"/>
      <c r="Y248" s="58"/>
      <c r="Z248" s="58"/>
    </row>
    <row r="249">
      <c r="A249" s="58"/>
      <c r="B249" s="58"/>
      <c r="C249" s="58"/>
      <c r="D249" s="58"/>
      <c r="E249" s="58"/>
      <c r="F249" s="58"/>
      <c r="G249" s="86"/>
      <c r="H249" s="58"/>
      <c r="I249" s="58"/>
      <c r="J249" s="58"/>
      <c r="K249" s="58"/>
      <c r="L249" s="58"/>
      <c r="M249" s="58"/>
      <c r="N249" s="58"/>
      <c r="O249" s="58"/>
      <c r="P249" s="58"/>
      <c r="Q249" s="58"/>
      <c r="R249" s="58"/>
      <c r="S249" s="58"/>
      <c r="T249" s="58"/>
      <c r="U249" s="58"/>
      <c r="V249" s="58"/>
      <c r="W249" s="58"/>
      <c r="X249" s="58"/>
      <c r="Y249" s="58"/>
      <c r="Z249" s="58"/>
    </row>
    <row r="250">
      <c r="A250" s="58"/>
      <c r="B250" s="58"/>
      <c r="C250" s="58"/>
      <c r="D250" s="58"/>
      <c r="E250" s="58"/>
      <c r="F250" s="58"/>
      <c r="G250" s="86"/>
      <c r="H250" s="58"/>
      <c r="I250" s="58"/>
      <c r="J250" s="58"/>
      <c r="K250" s="58"/>
      <c r="L250" s="58"/>
      <c r="M250" s="58"/>
      <c r="N250" s="58"/>
      <c r="O250" s="58"/>
      <c r="P250" s="58"/>
      <c r="Q250" s="58"/>
      <c r="R250" s="58"/>
      <c r="S250" s="58"/>
      <c r="T250" s="58"/>
      <c r="U250" s="58"/>
      <c r="V250" s="58"/>
      <c r="W250" s="58"/>
      <c r="X250" s="58"/>
      <c r="Y250" s="58"/>
      <c r="Z250" s="58"/>
    </row>
    <row r="251">
      <c r="A251" s="58"/>
      <c r="B251" s="58"/>
      <c r="C251" s="58"/>
      <c r="D251" s="58"/>
      <c r="E251" s="58"/>
      <c r="F251" s="58"/>
      <c r="G251" s="86"/>
      <c r="H251" s="58"/>
      <c r="I251" s="58"/>
      <c r="J251" s="58"/>
      <c r="K251" s="58"/>
      <c r="L251" s="58"/>
      <c r="M251" s="58"/>
      <c r="N251" s="58"/>
      <c r="O251" s="58"/>
      <c r="P251" s="58"/>
      <c r="Q251" s="58"/>
      <c r="R251" s="58"/>
      <c r="S251" s="58"/>
      <c r="T251" s="58"/>
      <c r="U251" s="58"/>
      <c r="V251" s="58"/>
      <c r="W251" s="58"/>
      <c r="X251" s="58"/>
      <c r="Y251" s="58"/>
      <c r="Z251" s="58"/>
    </row>
    <row r="252">
      <c r="A252" s="58"/>
      <c r="B252" s="58"/>
      <c r="C252" s="58"/>
      <c r="D252" s="58"/>
      <c r="E252" s="58"/>
      <c r="F252" s="58"/>
      <c r="G252" s="86"/>
      <c r="H252" s="58"/>
      <c r="I252" s="58"/>
      <c r="J252" s="58"/>
      <c r="K252" s="58"/>
      <c r="L252" s="58"/>
      <c r="M252" s="58"/>
      <c r="N252" s="58"/>
      <c r="O252" s="58"/>
      <c r="P252" s="58"/>
      <c r="Q252" s="58"/>
      <c r="R252" s="58"/>
      <c r="S252" s="58"/>
      <c r="T252" s="58"/>
      <c r="U252" s="58"/>
      <c r="V252" s="58"/>
      <c r="W252" s="58"/>
      <c r="X252" s="58"/>
      <c r="Y252" s="58"/>
      <c r="Z252" s="58"/>
    </row>
    <row r="253">
      <c r="A253" s="58"/>
      <c r="B253" s="58"/>
      <c r="C253" s="58"/>
      <c r="D253" s="58"/>
      <c r="E253" s="58"/>
      <c r="F253" s="58"/>
      <c r="G253" s="86"/>
      <c r="H253" s="58"/>
      <c r="I253" s="58"/>
      <c r="J253" s="58"/>
      <c r="K253" s="58"/>
      <c r="L253" s="58"/>
      <c r="M253" s="58"/>
      <c r="N253" s="58"/>
      <c r="O253" s="58"/>
      <c r="P253" s="58"/>
      <c r="Q253" s="58"/>
      <c r="R253" s="58"/>
      <c r="S253" s="58"/>
      <c r="T253" s="58"/>
      <c r="U253" s="58"/>
      <c r="V253" s="58"/>
      <c r="W253" s="58"/>
      <c r="X253" s="58"/>
      <c r="Y253" s="58"/>
      <c r="Z253" s="58"/>
    </row>
    <row r="254">
      <c r="A254" s="58"/>
      <c r="B254" s="58"/>
      <c r="C254" s="58"/>
      <c r="D254" s="58"/>
      <c r="E254" s="58"/>
      <c r="F254" s="58"/>
      <c r="G254" s="86"/>
      <c r="H254" s="58"/>
      <c r="I254" s="58"/>
      <c r="J254" s="58"/>
      <c r="K254" s="58"/>
      <c r="L254" s="58"/>
      <c r="M254" s="58"/>
      <c r="N254" s="58"/>
      <c r="O254" s="58"/>
      <c r="P254" s="58"/>
      <c r="Q254" s="58"/>
      <c r="R254" s="58"/>
      <c r="S254" s="58"/>
      <c r="T254" s="58"/>
      <c r="U254" s="58"/>
      <c r="V254" s="58"/>
      <c r="W254" s="58"/>
      <c r="X254" s="58"/>
      <c r="Y254" s="58"/>
      <c r="Z254" s="58"/>
    </row>
    <row r="255">
      <c r="A255" s="58"/>
      <c r="B255" s="58"/>
      <c r="C255" s="58"/>
      <c r="D255" s="58"/>
      <c r="E255" s="58"/>
      <c r="F255" s="58"/>
      <c r="G255" s="86"/>
      <c r="H255" s="58"/>
      <c r="I255" s="58"/>
      <c r="J255" s="58"/>
      <c r="K255" s="58"/>
      <c r="L255" s="58"/>
      <c r="M255" s="58"/>
      <c r="N255" s="58"/>
      <c r="O255" s="58"/>
      <c r="P255" s="58"/>
      <c r="Q255" s="58"/>
      <c r="R255" s="58"/>
      <c r="S255" s="58"/>
      <c r="T255" s="58"/>
      <c r="U255" s="58"/>
      <c r="V255" s="58"/>
      <c r="W255" s="58"/>
      <c r="X255" s="58"/>
      <c r="Y255" s="58"/>
      <c r="Z255" s="58"/>
    </row>
    <row r="256">
      <c r="A256" s="58"/>
      <c r="B256" s="58"/>
      <c r="C256" s="58"/>
      <c r="D256" s="58"/>
      <c r="E256" s="58"/>
      <c r="F256" s="58"/>
      <c r="G256" s="86"/>
      <c r="H256" s="58"/>
      <c r="I256" s="58"/>
      <c r="J256" s="58"/>
      <c r="K256" s="58"/>
      <c r="L256" s="58"/>
      <c r="M256" s="58"/>
      <c r="N256" s="58"/>
      <c r="O256" s="58"/>
      <c r="P256" s="58"/>
      <c r="Q256" s="58"/>
      <c r="R256" s="58"/>
      <c r="S256" s="58"/>
      <c r="T256" s="58"/>
      <c r="U256" s="58"/>
      <c r="V256" s="58"/>
      <c r="W256" s="58"/>
      <c r="X256" s="58"/>
      <c r="Y256" s="58"/>
      <c r="Z256" s="58"/>
    </row>
    <row r="257">
      <c r="A257" s="58"/>
      <c r="B257" s="58"/>
      <c r="C257" s="58"/>
      <c r="D257" s="58"/>
      <c r="E257" s="58"/>
      <c r="F257" s="58"/>
      <c r="G257" s="86"/>
      <c r="H257" s="58"/>
      <c r="I257" s="58"/>
      <c r="J257" s="58"/>
      <c r="K257" s="58"/>
      <c r="L257" s="58"/>
      <c r="M257" s="58"/>
      <c r="N257" s="58"/>
      <c r="O257" s="58"/>
      <c r="P257" s="58"/>
      <c r="Q257" s="58"/>
      <c r="R257" s="58"/>
      <c r="S257" s="58"/>
      <c r="T257" s="58"/>
      <c r="U257" s="58"/>
      <c r="V257" s="58"/>
      <c r="W257" s="58"/>
      <c r="X257" s="58"/>
      <c r="Y257" s="58"/>
      <c r="Z257" s="58"/>
    </row>
    <row r="258">
      <c r="A258" s="58"/>
      <c r="B258" s="58"/>
      <c r="C258" s="58"/>
      <c r="D258" s="58"/>
      <c r="E258" s="58"/>
      <c r="F258" s="58"/>
      <c r="G258" s="86"/>
      <c r="H258" s="58"/>
      <c r="I258" s="58"/>
      <c r="J258" s="58"/>
      <c r="K258" s="58"/>
      <c r="L258" s="58"/>
      <c r="M258" s="58"/>
      <c r="N258" s="58"/>
      <c r="O258" s="58"/>
      <c r="P258" s="58"/>
      <c r="Q258" s="58"/>
      <c r="R258" s="58"/>
      <c r="S258" s="58"/>
      <c r="T258" s="58"/>
      <c r="U258" s="58"/>
      <c r="V258" s="58"/>
      <c r="W258" s="58"/>
      <c r="X258" s="58"/>
      <c r="Y258" s="58"/>
      <c r="Z258" s="58"/>
    </row>
    <row r="259">
      <c r="A259" s="58"/>
      <c r="B259" s="58"/>
      <c r="C259" s="58"/>
      <c r="D259" s="58"/>
      <c r="E259" s="58"/>
      <c r="F259" s="58"/>
      <c r="G259" s="86"/>
      <c r="H259" s="58"/>
      <c r="I259" s="58"/>
      <c r="J259" s="58"/>
      <c r="K259" s="58"/>
      <c r="L259" s="58"/>
      <c r="M259" s="58"/>
      <c r="N259" s="58"/>
      <c r="O259" s="58"/>
      <c r="P259" s="58"/>
      <c r="Q259" s="58"/>
      <c r="R259" s="58"/>
      <c r="S259" s="58"/>
      <c r="T259" s="58"/>
      <c r="U259" s="58"/>
      <c r="V259" s="58"/>
      <c r="W259" s="58"/>
      <c r="X259" s="58"/>
      <c r="Y259" s="58"/>
      <c r="Z259" s="58"/>
    </row>
    <row r="260">
      <c r="A260" s="58"/>
      <c r="B260" s="58"/>
      <c r="C260" s="58"/>
      <c r="D260" s="58"/>
      <c r="E260" s="58"/>
      <c r="F260" s="58"/>
      <c r="G260" s="86"/>
      <c r="H260" s="58"/>
      <c r="I260" s="58"/>
      <c r="J260" s="58"/>
      <c r="K260" s="58"/>
      <c r="L260" s="58"/>
      <c r="M260" s="58"/>
      <c r="N260" s="58"/>
      <c r="O260" s="58"/>
      <c r="P260" s="58"/>
      <c r="Q260" s="58"/>
      <c r="R260" s="58"/>
      <c r="S260" s="58"/>
      <c r="T260" s="58"/>
      <c r="U260" s="58"/>
      <c r="V260" s="58"/>
      <c r="W260" s="58"/>
      <c r="X260" s="58"/>
      <c r="Y260" s="58"/>
      <c r="Z260" s="58"/>
    </row>
    <row r="261">
      <c r="A261" s="58"/>
      <c r="B261" s="58"/>
      <c r="C261" s="58"/>
      <c r="D261" s="58"/>
      <c r="E261" s="58"/>
      <c r="F261" s="58"/>
      <c r="G261" s="86"/>
      <c r="H261" s="58"/>
      <c r="I261" s="58"/>
      <c r="J261" s="58"/>
      <c r="K261" s="58"/>
      <c r="L261" s="58"/>
      <c r="M261" s="58"/>
      <c r="N261" s="58"/>
      <c r="O261" s="58"/>
      <c r="P261" s="58"/>
      <c r="Q261" s="58"/>
      <c r="R261" s="58"/>
      <c r="S261" s="58"/>
      <c r="T261" s="58"/>
      <c r="U261" s="58"/>
      <c r="V261" s="58"/>
      <c r="W261" s="58"/>
      <c r="X261" s="58"/>
      <c r="Y261" s="58"/>
      <c r="Z261" s="58"/>
    </row>
    <row r="262">
      <c r="A262" s="58"/>
      <c r="B262" s="58"/>
      <c r="C262" s="58"/>
      <c r="D262" s="58"/>
      <c r="E262" s="58"/>
      <c r="F262" s="58"/>
      <c r="G262" s="86"/>
      <c r="H262" s="58"/>
      <c r="I262" s="58"/>
      <c r="J262" s="58"/>
      <c r="K262" s="58"/>
      <c r="L262" s="58"/>
      <c r="M262" s="58"/>
      <c r="N262" s="58"/>
      <c r="O262" s="58"/>
      <c r="P262" s="58"/>
      <c r="Q262" s="58"/>
      <c r="R262" s="58"/>
      <c r="S262" s="58"/>
      <c r="T262" s="58"/>
      <c r="U262" s="58"/>
      <c r="V262" s="58"/>
      <c r="W262" s="58"/>
      <c r="X262" s="58"/>
      <c r="Y262" s="58"/>
      <c r="Z262" s="58"/>
    </row>
    <row r="263">
      <c r="A263" s="58"/>
      <c r="B263" s="58"/>
      <c r="C263" s="58"/>
      <c r="D263" s="58"/>
      <c r="E263" s="58"/>
      <c r="F263" s="58"/>
      <c r="G263" s="86"/>
      <c r="H263" s="58"/>
      <c r="I263" s="58"/>
      <c r="J263" s="58"/>
      <c r="K263" s="58"/>
      <c r="L263" s="58"/>
      <c r="M263" s="58"/>
      <c r="N263" s="58"/>
      <c r="O263" s="58"/>
      <c r="P263" s="58"/>
      <c r="Q263" s="58"/>
      <c r="R263" s="58"/>
      <c r="S263" s="58"/>
      <c r="T263" s="58"/>
      <c r="U263" s="58"/>
      <c r="V263" s="58"/>
      <c r="W263" s="58"/>
      <c r="X263" s="58"/>
      <c r="Y263" s="58"/>
      <c r="Z263" s="58"/>
    </row>
    <row r="264">
      <c r="A264" s="58"/>
      <c r="B264" s="58"/>
      <c r="C264" s="58"/>
      <c r="D264" s="58"/>
      <c r="E264" s="58"/>
      <c r="F264" s="58"/>
      <c r="G264" s="86"/>
      <c r="H264" s="58"/>
      <c r="I264" s="58"/>
      <c r="J264" s="58"/>
      <c r="K264" s="58"/>
      <c r="L264" s="58"/>
      <c r="M264" s="58"/>
      <c r="N264" s="58"/>
      <c r="O264" s="58"/>
      <c r="P264" s="58"/>
      <c r="Q264" s="58"/>
      <c r="R264" s="58"/>
      <c r="S264" s="58"/>
      <c r="T264" s="58"/>
      <c r="U264" s="58"/>
      <c r="V264" s="58"/>
      <c r="W264" s="58"/>
      <c r="X264" s="58"/>
      <c r="Y264" s="58"/>
      <c r="Z264" s="58"/>
    </row>
    <row r="265">
      <c r="A265" s="58"/>
      <c r="B265" s="58"/>
      <c r="C265" s="58"/>
      <c r="D265" s="58"/>
      <c r="E265" s="58"/>
      <c r="F265" s="58"/>
      <c r="G265" s="86"/>
      <c r="H265" s="58"/>
      <c r="I265" s="58"/>
      <c r="J265" s="58"/>
      <c r="K265" s="58"/>
      <c r="L265" s="58"/>
      <c r="M265" s="58"/>
      <c r="N265" s="58"/>
      <c r="O265" s="58"/>
      <c r="P265" s="58"/>
      <c r="Q265" s="58"/>
      <c r="R265" s="58"/>
      <c r="S265" s="58"/>
      <c r="T265" s="58"/>
      <c r="U265" s="58"/>
      <c r="V265" s="58"/>
      <c r="W265" s="58"/>
      <c r="X265" s="58"/>
      <c r="Y265" s="58"/>
      <c r="Z265" s="58"/>
    </row>
    <row r="266">
      <c r="A266" s="58"/>
      <c r="B266" s="58"/>
      <c r="C266" s="58"/>
      <c r="D266" s="58"/>
      <c r="E266" s="58"/>
      <c r="F266" s="58"/>
      <c r="G266" s="86"/>
      <c r="H266" s="58"/>
      <c r="I266" s="58"/>
      <c r="J266" s="58"/>
      <c r="K266" s="58"/>
      <c r="L266" s="58"/>
      <c r="M266" s="58"/>
      <c r="N266" s="58"/>
      <c r="O266" s="58"/>
      <c r="P266" s="58"/>
      <c r="Q266" s="58"/>
      <c r="R266" s="58"/>
      <c r="S266" s="58"/>
      <c r="T266" s="58"/>
      <c r="U266" s="58"/>
      <c r="V266" s="58"/>
      <c r="W266" s="58"/>
      <c r="X266" s="58"/>
      <c r="Y266" s="58"/>
      <c r="Z266" s="58"/>
    </row>
    <row r="267">
      <c r="A267" s="58"/>
      <c r="B267" s="58"/>
      <c r="C267" s="58"/>
      <c r="D267" s="58"/>
      <c r="E267" s="58"/>
      <c r="F267" s="58"/>
      <c r="G267" s="86"/>
      <c r="H267" s="58"/>
      <c r="I267" s="58"/>
      <c r="J267" s="58"/>
      <c r="K267" s="58"/>
      <c r="L267" s="58"/>
      <c r="M267" s="58"/>
      <c r="N267" s="58"/>
      <c r="O267" s="58"/>
      <c r="P267" s="58"/>
      <c r="Q267" s="58"/>
      <c r="R267" s="58"/>
      <c r="S267" s="58"/>
      <c r="T267" s="58"/>
      <c r="U267" s="58"/>
      <c r="V267" s="58"/>
      <c r="W267" s="58"/>
      <c r="X267" s="58"/>
      <c r="Y267" s="58"/>
      <c r="Z267" s="58"/>
    </row>
    <row r="268">
      <c r="A268" s="58"/>
      <c r="B268" s="58"/>
      <c r="C268" s="58"/>
      <c r="D268" s="58"/>
      <c r="E268" s="58"/>
      <c r="F268" s="58"/>
      <c r="G268" s="86"/>
      <c r="H268" s="58"/>
      <c r="I268" s="58"/>
      <c r="J268" s="58"/>
      <c r="K268" s="58"/>
      <c r="L268" s="58"/>
      <c r="M268" s="58"/>
      <c r="N268" s="58"/>
      <c r="O268" s="58"/>
      <c r="P268" s="58"/>
      <c r="Q268" s="58"/>
      <c r="R268" s="58"/>
      <c r="S268" s="58"/>
      <c r="T268" s="58"/>
      <c r="U268" s="58"/>
      <c r="V268" s="58"/>
      <c r="W268" s="58"/>
      <c r="X268" s="58"/>
      <c r="Y268" s="58"/>
      <c r="Z268" s="58"/>
    </row>
    <row r="269">
      <c r="A269" s="58"/>
      <c r="B269" s="58"/>
      <c r="C269" s="58"/>
      <c r="D269" s="58"/>
      <c r="E269" s="58"/>
      <c r="F269" s="58"/>
      <c r="G269" s="86"/>
      <c r="H269" s="58"/>
      <c r="I269" s="58"/>
      <c r="J269" s="58"/>
      <c r="K269" s="58"/>
      <c r="L269" s="58"/>
      <c r="M269" s="58"/>
      <c r="N269" s="58"/>
      <c r="O269" s="58"/>
      <c r="P269" s="58"/>
      <c r="Q269" s="58"/>
      <c r="R269" s="58"/>
      <c r="S269" s="58"/>
      <c r="T269" s="58"/>
      <c r="U269" s="58"/>
      <c r="V269" s="58"/>
      <c r="W269" s="58"/>
      <c r="X269" s="58"/>
      <c r="Y269" s="58"/>
      <c r="Z269" s="58"/>
    </row>
    <row r="270">
      <c r="A270" s="58"/>
      <c r="B270" s="58"/>
      <c r="C270" s="58"/>
      <c r="D270" s="58"/>
      <c r="E270" s="58"/>
      <c r="F270" s="58"/>
      <c r="G270" s="86"/>
      <c r="H270" s="58"/>
      <c r="I270" s="58"/>
      <c r="J270" s="58"/>
      <c r="K270" s="58"/>
      <c r="L270" s="58"/>
      <c r="M270" s="58"/>
      <c r="N270" s="58"/>
      <c r="O270" s="58"/>
      <c r="P270" s="58"/>
      <c r="Q270" s="58"/>
      <c r="R270" s="58"/>
      <c r="S270" s="58"/>
      <c r="T270" s="58"/>
      <c r="U270" s="58"/>
      <c r="V270" s="58"/>
      <c r="W270" s="58"/>
      <c r="X270" s="58"/>
      <c r="Y270" s="58"/>
      <c r="Z270" s="58"/>
    </row>
    <row r="271">
      <c r="A271" s="58"/>
      <c r="B271" s="58"/>
      <c r="C271" s="58"/>
      <c r="D271" s="58"/>
      <c r="E271" s="58"/>
      <c r="F271" s="58"/>
      <c r="G271" s="86"/>
      <c r="H271" s="58"/>
      <c r="I271" s="58"/>
      <c r="J271" s="58"/>
      <c r="K271" s="58"/>
      <c r="L271" s="58"/>
      <c r="M271" s="58"/>
      <c r="N271" s="58"/>
      <c r="O271" s="58"/>
      <c r="P271" s="58"/>
      <c r="Q271" s="58"/>
      <c r="R271" s="58"/>
      <c r="S271" s="58"/>
      <c r="T271" s="58"/>
      <c r="U271" s="58"/>
      <c r="V271" s="58"/>
      <c r="W271" s="58"/>
      <c r="X271" s="58"/>
      <c r="Y271" s="58"/>
      <c r="Z271" s="58"/>
    </row>
    <row r="272">
      <c r="A272" s="58"/>
      <c r="B272" s="58"/>
      <c r="C272" s="58"/>
      <c r="D272" s="58"/>
      <c r="E272" s="58"/>
      <c r="F272" s="58"/>
      <c r="G272" s="86"/>
      <c r="H272" s="58"/>
      <c r="I272" s="58"/>
      <c r="J272" s="58"/>
      <c r="K272" s="58"/>
      <c r="L272" s="58"/>
      <c r="M272" s="58"/>
      <c r="N272" s="58"/>
      <c r="O272" s="58"/>
      <c r="P272" s="58"/>
      <c r="Q272" s="58"/>
      <c r="R272" s="58"/>
      <c r="S272" s="58"/>
      <c r="T272" s="58"/>
      <c r="U272" s="58"/>
      <c r="V272" s="58"/>
      <c r="W272" s="58"/>
      <c r="X272" s="58"/>
      <c r="Y272" s="58"/>
      <c r="Z272" s="58"/>
    </row>
    <row r="273">
      <c r="A273" s="58"/>
      <c r="B273" s="58"/>
      <c r="C273" s="58"/>
      <c r="D273" s="58"/>
      <c r="E273" s="58"/>
      <c r="F273" s="58"/>
      <c r="G273" s="86"/>
      <c r="H273" s="58"/>
      <c r="I273" s="58"/>
      <c r="J273" s="58"/>
      <c r="K273" s="58"/>
      <c r="L273" s="58"/>
      <c r="M273" s="58"/>
      <c r="N273" s="58"/>
      <c r="O273" s="58"/>
      <c r="P273" s="58"/>
      <c r="Q273" s="58"/>
      <c r="R273" s="58"/>
      <c r="S273" s="58"/>
      <c r="T273" s="58"/>
      <c r="U273" s="58"/>
      <c r="V273" s="58"/>
      <c r="W273" s="58"/>
      <c r="X273" s="58"/>
      <c r="Y273" s="58"/>
      <c r="Z273" s="58"/>
    </row>
    <row r="274">
      <c r="A274" s="58"/>
      <c r="B274" s="58"/>
      <c r="C274" s="58"/>
      <c r="D274" s="58"/>
      <c r="E274" s="58"/>
      <c r="F274" s="58"/>
      <c r="G274" s="86"/>
      <c r="H274" s="58"/>
      <c r="I274" s="58"/>
      <c r="J274" s="58"/>
      <c r="K274" s="58"/>
      <c r="L274" s="58"/>
      <c r="M274" s="58"/>
      <c r="N274" s="58"/>
      <c r="O274" s="58"/>
      <c r="P274" s="58"/>
      <c r="Q274" s="58"/>
      <c r="R274" s="58"/>
      <c r="S274" s="58"/>
      <c r="T274" s="58"/>
      <c r="U274" s="58"/>
      <c r="V274" s="58"/>
      <c r="W274" s="58"/>
      <c r="X274" s="58"/>
      <c r="Y274" s="58"/>
      <c r="Z274" s="58"/>
    </row>
    <row r="275">
      <c r="A275" s="58"/>
      <c r="B275" s="58"/>
      <c r="C275" s="58"/>
      <c r="D275" s="58"/>
      <c r="E275" s="58"/>
      <c r="F275" s="58"/>
      <c r="G275" s="86"/>
      <c r="H275" s="58"/>
      <c r="I275" s="58"/>
      <c r="J275" s="58"/>
      <c r="K275" s="58"/>
      <c r="L275" s="58"/>
      <c r="M275" s="58"/>
      <c r="N275" s="58"/>
      <c r="O275" s="58"/>
      <c r="P275" s="58"/>
      <c r="Q275" s="58"/>
      <c r="R275" s="58"/>
      <c r="S275" s="58"/>
      <c r="T275" s="58"/>
      <c r="U275" s="58"/>
      <c r="V275" s="58"/>
      <c r="W275" s="58"/>
      <c r="X275" s="58"/>
      <c r="Y275" s="58"/>
      <c r="Z275" s="58"/>
    </row>
    <row r="276">
      <c r="A276" s="58"/>
      <c r="B276" s="58"/>
      <c r="C276" s="58"/>
      <c r="D276" s="58"/>
      <c r="E276" s="58"/>
      <c r="F276" s="58"/>
      <c r="G276" s="86"/>
      <c r="H276" s="58"/>
      <c r="I276" s="58"/>
      <c r="J276" s="58"/>
      <c r="K276" s="58"/>
      <c r="L276" s="58"/>
      <c r="M276" s="58"/>
      <c r="N276" s="58"/>
      <c r="O276" s="58"/>
      <c r="P276" s="58"/>
      <c r="Q276" s="58"/>
      <c r="R276" s="58"/>
      <c r="S276" s="58"/>
      <c r="T276" s="58"/>
      <c r="U276" s="58"/>
      <c r="V276" s="58"/>
      <c r="W276" s="58"/>
      <c r="X276" s="58"/>
      <c r="Y276" s="58"/>
      <c r="Z276" s="58"/>
    </row>
    <row r="277">
      <c r="A277" s="58"/>
      <c r="B277" s="58"/>
      <c r="C277" s="58"/>
      <c r="D277" s="58"/>
      <c r="E277" s="58"/>
      <c r="F277" s="58"/>
      <c r="G277" s="86"/>
      <c r="H277" s="58"/>
      <c r="I277" s="58"/>
      <c r="J277" s="58"/>
      <c r="K277" s="58"/>
      <c r="L277" s="58"/>
      <c r="M277" s="58"/>
      <c r="N277" s="58"/>
      <c r="O277" s="58"/>
      <c r="P277" s="58"/>
      <c r="Q277" s="58"/>
      <c r="R277" s="58"/>
      <c r="S277" s="58"/>
      <c r="T277" s="58"/>
      <c r="U277" s="58"/>
      <c r="V277" s="58"/>
      <c r="W277" s="58"/>
      <c r="X277" s="58"/>
      <c r="Y277" s="58"/>
      <c r="Z277" s="58"/>
    </row>
    <row r="278">
      <c r="A278" s="58"/>
      <c r="B278" s="58"/>
      <c r="C278" s="58"/>
      <c r="D278" s="58"/>
      <c r="E278" s="58"/>
      <c r="F278" s="58"/>
      <c r="G278" s="86"/>
      <c r="H278" s="58"/>
      <c r="I278" s="58"/>
      <c r="J278" s="58"/>
      <c r="K278" s="58"/>
      <c r="L278" s="58"/>
      <c r="M278" s="58"/>
      <c r="N278" s="58"/>
      <c r="O278" s="58"/>
      <c r="P278" s="58"/>
      <c r="Q278" s="58"/>
      <c r="R278" s="58"/>
      <c r="S278" s="58"/>
      <c r="T278" s="58"/>
      <c r="U278" s="58"/>
      <c r="V278" s="58"/>
      <c r="W278" s="58"/>
      <c r="X278" s="58"/>
      <c r="Y278" s="58"/>
      <c r="Z278" s="58"/>
    </row>
    <row r="279">
      <c r="A279" s="58"/>
      <c r="B279" s="58"/>
      <c r="C279" s="58"/>
      <c r="D279" s="58"/>
      <c r="E279" s="58"/>
      <c r="F279" s="58"/>
      <c r="G279" s="86"/>
      <c r="H279" s="58"/>
      <c r="I279" s="58"/>
      <c r="J279" s="58"/>
      <c r="K279" s="58"/>
      <c r="L279" s="58"/>
      <c r="M279" s="58"/>
      <c r="N279" s="58"/>
      <c r="O279" s="58"/>
      <c r="P279" s="58"/>
      <c r="Q279" s="58"/>
      <c r="R279" s="58"/>
      <c r="S279" s="58"/>
      <c r="T279" s="58"/>
      <c r="U279" s="58"/>
      <c r="V279" s="58"/>
      <c r="W279" s="58"/>
      <c r="X279" s="58"/>
      <c r="Y279" s="58"/>
      <c r="Z279" s="58"/>
    </row>
    <row r="280">
      <c r="A280" s="58"/>
      <c r="B280" s="58"/>
      <c r="C280" s="58"/>
      <c r="D280" s="58"/>
      <c r="E280" s="58"/>
      <c r="F280" s="58"/>
      <c r="G280" s="86"/>
      <c r="H280" s="58"/>
      <c r="I280" s="58"/>
      <c r="J280" s="58"/>
      <c r="K280" s="58"/>
      <c r="L280" s="58"/>
      <c r="M280" s="58"/>
      <c r="N280" s="58"/>
      <c r="O280" s="58"/>
      <c r="P280" s="58"/>
      <c r="Q280" s="58"/>
      <c r="R280" s="58"/>
      <c r="S280" s="58"/>
      <c r="T280" s="58"/>
      <c r="U280" s="58"/>
      <c r="V280" s="58"/>
      <c r="W280" s="58"/>
      <c r="X280" s="58"/>
      <c r="Y280" s="58"/>
      <c r="Z280" s="58"/>
    </row>
    <row r="281">
      <c r="A281" s="58"/>
      <c r="B281" s="58"/>
      <c r="C281" s="58"/>
      <c r="D281" s="58"/>
      <c r="E281" s="58"/>
      <c r="F281" s="58"/>
      <c r="G281" s="86"/>
      <c r="H281" s="58"/>
      <c r="I281" s="58"/>
      <c r="J281" s="58"/>
      <c r="K281" s="58"/>
      <c r="L281" s="58"/>
      <c r="M281" s="58"/>
      <c r="N281" s="58"/>
      <c r="O281" s="58"/>
      <c r="P281" s="58"/>
      <c r="Q281" s="58"/>
      <c r="R281" s="58"/>
      <c r="S281" s="58"/>
      <c r="T281" s="58"/>
      <c r="U281" s="58"/>
      <c r="V281" s="58"/>
      <c r="W281" s="58"/>
      <c r="X281" s="58"/>
      <c r="Y281" s="58"/>
      <c r="Z281" s="58"/>
    </row>
    <row r="282">
      <c r="A282" s="58"/>
      <c r="B282" s="58"/>
      <c r="C282" s="58"/>
      <c r="D282" s="58"/>
      <c r="E282" s="58"/>
      <c r="F282" s="58"/>
      <c r="G282" s="86"/>
      <c r="H282" s="58"/>
      <c r="I282" s="58"/>
      <c r="J282" s="58"/>
      <c r="K282" s="58"/>
      <c r="L282" s="58"/>
      <c r="M282" s="58"/>
      <c r="N282" s="58"/>
      <c r="O282" s="58"/>
      <c r="P282" s="58"/>
      <c r="Q282" s="58"/>
      <c r="R282" s="58"/>
      <c r="S282" s="58"/>
      <c r="T282" s="58"/>
      <c r="U282" s="58"/>
      <c r="V282" s="58"/>
      <c r="W282" s="58"/>
      <c r="X282" s="58"/>
      <c r="Y282" s="58"/>
      <c r="Z282" s="58"/>
    </row>
    <row r="283">
      <c r="A283" s="58"/>
      <c r="B283" s="58"/>
      <c r="C283" s="58"/>
      <c r="D283" s="58"/>
      <c r="E283" s="58"/>
      <c r="F283" s="58"/>
      <c r="G283" s="86"/>
      <c r="H283" s="58"/>
      <c r="I283" s="58"/>
      <c r="J283" s="58"/>
      <c r="K283" s="58"/>
      <c r="L283" s="58"/>
      <c r="M283" s="58"/>
      <c r="N283" s="58"/>
      <c r="O283" s="58"/>
      <c r="P283" s="58"/>
      <c r="Q283" s="58"/>
      <c r="R283" s="58"/>
      <c r="S283" s="58"/>
      <c r="T283" s="58"/>
      <c r="U283" s="58"/>
      <c r="V283" s="58"/>
      <c r="W283" s="58"/>
      <c r="X283" s="58"/>
      <c r="Y283" s="58"/>
      <c r="Z283" s="58"/>
    </row>
    <row r="284">
      <c r="A284" s="58"/>
      <c r="B284" s="58"/>
      <c r="C284" s="58"/>
      <c r="D284" s="58"/>
      <c r="E284" s="58"/>
      <c r="F284" s="58"/>
      <c r="G284" s="86"/>
      <c r="H284" s="58"/>
      <c r="I284" s="58"/>
      <c r="J284" s="58"/>
      <c r="K284" s="58"/>
      <c r="L284" s="58"/>
      <c r="M284" s="58"/>
      <c r="N284" s="58"/>
      <c r="O284" s="58"/>
      <c r="P284" s="58"/>
      <c r="Q284" s="58"/>
      <c r="R284" s="58"/>
      <c r="S284" s="58"/>
      <c r="T284" s="58"/>
      <c r="U284" s="58"/>
      <c r="V284" s="58"/>
      <c r="W284" s="58"/>
      <c r="X284" s="58"/>
      <c r="Y284" s="58"/>
      <c r="Z284" s="58"/>
    </row>
    <row r="285">
      <c r="A285" s="58"/>
      <c r="B285" s="58"/>
      <c r="C285" s="58"/>
      <c r="D285" s="58"/>
      <c r="E285" s="58"/>
      <c r="F285" s="58"/>
      <c r="G285" s="86"/>
      <c r="H285" s="58"/>
      <c r="I285" s="58"/>
      <c r="J285" s="58"/>
      <c r="K285" s="58"/>
      <c r="L285" s="58"/>
      <c r="M285" s="58"/>
      <c r="N285" s="58"/>
      <c r="O285" s="58"/>
      <c r="P285" s="58"/>
      <c r="Q285" s="58"/>
      <c r="R285" s="58"/>
      <c r="S285" s="58"/>
      <c r="T285" s="58"/>
      <c r="U285" s="58"/>
      <c r="V285" s="58"/>
      <c r="W285" s="58"/>
      <c r="X285" s="58"/>
      <c r="Y285" s="58"/>
      <c r="Z285" s="58"/>
    </row>
    <row r="286">
      <c r="A286" s="58"/>
      <c r="B286" s="58"/>
      <c r="C286" s="58"/>
      <c r="D286" s="58"/>
      <c r="E286" s="58"/>
      <c r="F286" s="58"/>
      <c r="G286" s="86"/>
      <c r="H286" s="58"/>
      <c r="I286" s="58"/>
      <c r="J286" s="58"/>
      <c r="K286" s="58"/>
      <c r="L286" s="58"/>
      <c r="M286" s="58"/>
      <c r="N286" s="58"/>
      <c r="O286" s="58"/>
      <c r="P286" s="58"/>
      <c r="Q286" s="58"/>
      <c r="R286" s="58"/>
      <c r="S286" s="58"/>
      <c r="T286" s="58"/>
      <c r="U286" s="58"/>
      <c r="V286" s="58"/>
      <c r="W286" s="58"/>
      <c r="X286" s="58"/>
      <c r="Y286" s="58"/>
      <c r="Z286" s="58"/>
    </row>
    <row r="287">
      <c r="A287" s="58"/>
      <c r="B287" s="58"/>
      <c r="C287" s="58"/>
      <c r="D287" s="58"/>
      <c r="E287" s="58"/>
      <c r="F287" s="58"/>
      <c r="G287" s="86"/>
      <c r="H287" s="58"/>
      <c r="I287" s="58"/>
      <c r="J287" s="58"/>
      <c r="K287" s="58"/>
      <c r="L287" s="58"/>
      <c r="M287" s="58"/>
      <c r="N287" s="58"/>
      <c r="O287" s="58"/>
      <c r="P287" s="58"/>
      <c r="Q287" s="58"/>
      <c r="R287" s="58"/>
      <c r="S287" s="58"/>
      <c r="T287" s="58"/>
      <c r="U287" s="58"/>
      <c r="V287" s="58"/>
      <c r="W287" s="58"/>
      <c r="X287" s="58"/>
      <c r="Y287" s="58"/>
      <c r="Z287" s="58"/>
    </row>
    <row r="288">
      <c r="A288" s="58"/>
      <c r="B288" s="58"/>
      <c r="C288" s="58"/>
      <c r="D288" s="58"/>
      <c r="E288" s="58"/>
      <c r="F288" s="58"/>
      <c r="G288" s="86"/>
      <c r="H288" s="58"/>
      <c r="I288" s="58"/>
      <c r="J288" s="58"/>
      <c r="K288" s="58"/>
      <c r="L288" s="58"/>
      <c r="M288" s="58"/>
      <c r="N288" s="58"/>
      <c r="O288" s="58"/>
      <c r="P288" s="58"/>
      <c r="Q288" s="58"/>
      <c r="R288" s="58"/>
      <c r="S288" s="58"/>
      <c r="T288" s="58"/>
      <c r="U288" s="58"/>
      <c r="V288" s="58"/>
      <c r="W288" s="58"/>
      <c r="X288" s="58"/>
      <c r="Y288" s="58"/>
      <c r="Z288" s="58"/>
    </row>
    <row r="289">
      <c r="A289" s="58"/>
      <c r="B289" s="58"/>
      <c r="C289" s="58"/>
      <c r="D289" s="58"/>
      <c r="E289" s="58"/>
      <c r="F289" s="58"/>
      <c r="G289" s="86"/>
      <c r="H289" s="58"/>
      <c r="I289" s="58"/>
      <c r="J289" s="58"/>
      <c r="K289" s="58"/>
      <c r="L289" s="58"/>
      <c r="M289" s="58"/>
      <c r="N289" s="58"/>
      <c r="O289" s="58"/>
      <c r="P289" s="58"/>
      <c r="Q289" s="58"/>
      <c r="R289" s="58"/>
      <c r="S289" s="58"/>
      <c r="T289" s="58"/>
      <c r="U289" s="58"/>
      <c r="V289" s="58"/>
      <c r="W289" s="58"/>
      <c r="X289" s="58"/>
      <c r="Y289" s="58"/>
      <c r="Z289" s="58"/>
    </row>
    <row r="290">
      <c r="A290" s="58"/>
      <c r="B290" s="58"/>
      <c r="C290" s="58"/>
      <c r="D290" s="58"/>
      <c r="E290" s="58"/>
      <c r="F290" s="58"/>
      <c r="G290" s="86"/>
      <c r="H290" s="58"/>
      <c r="I290" s="58"/>
      <c r="J290" s="58"/>
      <c r="K290" s="58"/>
      <c r="L290" s="58"/>
      <c r="M290" s="58"/>
      <c r="N290" s="58"/>
      <c r="O290" s="58"/>
      <c r="P290" s="58"/>
      <c r="Q290" s="58"/>
      <c r="R290" s="58"/>
      <c r="S290" s="58"/>
      <c r="T290" s="58"/>
      <c r="U290" s="58"/>
      <c r="V290" s="58"/>
      <c r="W290" s="58"/>
      <c r="X290" s="58"/>
      <c r="Y290" s="58"/>
      <c r="Z290" s="58"/>
    </row>
    <row r="291">
      <c r="A291" s="58"/>
      <c r="B291" s="58"/>
      <c r="C291" s="58"/>
      <c r="D291" s="58"/>
      <c r="E291" s="58"/>
      <c r="F291" s="58"/>
      <c r="G291" s="86"/>
      <c r="H291" s="58"/>
      <c r="I291" s="58"/>
      <c r="J291" s="58"/>
      <c r="K291" s="58"/>
      <c r="L291" s="58"/>
      <c r="M291" s="58"/>
      <c r="N291" s="58"/>
      <c r="O291" s="58"/>
      <c r="P291" s="58"/>
      <c r="Q291" s="58"/>
      <c r="R291" s="58"/>
      <c r="S291" s="58"/>
      <c r="T291" s="58"/>
      <c r="U291" s="58"/>
      <c r="V291" s="58"/>
      <c r="W291" s="58"/>
      <c r="X291" s="58"/>
      <c r="Y291" s="58"/>
      <c r="Z291" s="58"/>
    </row>
    <row r="292">
      <c r="A292" s="58"/>
      <c r="B292" s="58"/>
      <c r="C292" s="58"/>
      <c r="D292" s="58"/>
      <c r="E292" s="58"/>
      <c r="F292" s="58"/>
      <c r="G292" s="86"/>
      <c r="H292" s="58"/>
      <c r="I292" s="58"/>
      <c r="J292" s="58"/>
      <c r="K292" s="58"/>
      <c r="L292" s="58"/>
      <c r="M292" s="58"/>
      <c r="N292" s="58"/>
      <c r="O292" s="58"/>
      <c r="P292" s="58"/>
      <c r="Q292" s="58"/>
      <c r="R292" s="58"/>
      <c r="S292" s="58"/>
      <c r="T292" s="58"/>
      <c r="U292" s="58"/>
      <c r="V292" s="58"/>
      <c r="W292" s="58"/>
      <c r="X292" s="58"/>
      <c r="Y292" s="58"/>
      <c r="Z292" s="58"/>
    </row>
    <row r="293">
      <c r="A293" s="58"/>
      <c r="B293" s="58"/>
      <c r="C293" s="58"/>
      <c r="D293" s="58"/>
      <c r="E293" s="58"/>
      <c r="F293" s="58"/>
      <c r="G293" s="86"/>
      <c r="H293" s="58"/>
      <c r="I293" s="58"/>
      <c r="J293" s="58"/>
      <c r="K293" s="58"/>
      <c r="L293" s="58"/>
      <c r="M293" s="58"/>
      <c r="N293" s="58"/>
      <c r="O293" s="58"/>
      <c r="P293" s="58"/>
      <c r="Q293" s="58"/>
      <c r="R293" s="58"/>
      <c r="S293" s="58"/>
      <c r="T293" s="58"/>
      <c r="U293" s="58"/>
      <c r="V293" s="58"/>
      <c r="W293" s="58"/>
      <c r="X293" s="58"/>
      <c r="Y293" s="58"/>
      <c r="Z293" s="58"/>
    </row>
    <row r="294">
      <c r="A294" s="58"/>
      <c r="B294" s="58"/>
      <c r="C294" s="58"/>
      <c r="D294" s="58"/>
      <c r="E294" s="58"/>
      <c r="F294" s="58"/>
      <c r="G294" s="86"/>
      <c r="H294" s="58"/>
      <c r="I294" s="58"/>
      <c r="J294" s="58"/>
      <c r="K294" s="58"/>
      <c r="L294" s="58"/>
      <c r="M294" s="58"/>
      <c r="N294" s="58"/>
      <c r="O294" s="58"/>
      <c r="P294" s="58"/>
      <c r="Q294" s="58"/>
      <c r="R294" s="58"/>
      <c r="S294" s="58"/>
      <c r="T294" s="58"/>
      <c r="U294" s="58"/>
      <c r="V294" s="58"/>
      <c r="W294" s="58"/>
      <c r="X294" s="58"/>
      <c r="Y294" s="58"/>
      <c r="Z294" s="58"/>
    </row>
    <row r="295">
      <c r="A295" s="58"/>
      <c r="B295" s="58"/>
      <c r="C295" s="58"/>
      <c r="D295" s="58"/>
      <c r="E295" s="58"/>
      <c r="F295" s="58"/>
      <c r="G295" s="86"/>
      <c r="H295" s="58"/>
      <c r="I295" s="58"/>
      <c r="J295" s="58"/>
      <c r="K295" s="58"/>
      <c r="L295" s="58"/>
      <c r="M295" s="58"/>
      <c r="N295" s="58"/>
      <c r="O295" s="58"/>
      <c r="P295" s="58"/>
      <c r="Q295" s="58"/>
      <c r="R295" s="58"/>
      <c r="S295" s="58"/>
      <c r="T295" s="58"/>
      <c r="U295" s="58"/>
      <c r="V295" s="58"/>
      <c r="W295" s="58"/>
      <c r="X295" s="58"/>
      <c r="Y295" s="58"/>
      <c r="Z295" s="58"/>
    </row>
    <row r="296">
      <c r="A296" s="58"/>
      <c r="B296" s="58"/>
      <c r="C296" s="58"/>
      <c r="D296" s="58"/>
      <c r="E296" s="58"/>
      <c r="F296" s="58"/>
      <c r="G296" s="86"/>
      <c r="H296" s="58"/>
      <c r="I296" s="58"/>
      <c r="J296" s="58"/>
      <c r="K296" s="58"/>
      <c r="L296" s="58"/>
      <c r="M296" s="58"/>
      <c r="N296" s="58"/>
      <c r="O296" s="58"/>
      <c r="P296" s="58"/>
      <c r="Q296" s="58"/>
      <c r="R296" s="58"/>
      <c r="S296" s="58"/>
      <c r="T296" s="58"/>
      <c r="U296" s="58"/>
      <c r="V296" s="58"/>
      <c r="W296" s="58"/>
      <c r="X296" s="58"/>
      <c r="Y296" s="58"/>
      <c r="Z296" s="58"/>
    </row>
    <row r="297">
      <c r="A297" s="58"/>
      <c r="B297" s="58"/>
      <c r="C297" s="58"/>
      <c r="D297" s="58"/>
      <c r="E297" s="58"/>
      <c r="F297" s="58"/>
      <c r="G297" s="86"/>
      <c r="H297" s="58"/>
      <c r="I297" s="58"/>
      <c r="J297" s="58"/>
      <c r="K297" s="58"/>
      <c r="L297" s="58"/>
      <c r="M297" s="58"/>
      <c r="N297" s="58"/>
      <c r="O297" s="58"/>
      <c r="P297" s="58"/>
      <c r="Q297" s="58"/>
      <c r="R297" s="58"/>
      <c r="S297" s="58"/>
      <c r="T297" s="58"/>
      <c r="U297" s="58"/>
      <c r="V297" s="58"/>
      <c r="W297" s="58"/>
      <c r="X297" s="58"/>
      <c r="Y297" s="58"/>
      <c r="Z297" s="58"/>
    </row>
    <row r="298">
      <c r="A298" s="58"/>
      <c r="B298" s="58"/>
      <c r="C298" s="58"/>
      <c r="D298" s="58"/>
      <c r="E298" s="58"/>
      <c r="F298" s="58"/>
      <c r="G298" s="86"/>
      <c r="H298" s="58"/>
      <c r="I298" s="58"/>
      <c r="J298" s="58"/>
      <c r="K298" s="58"/>
      <c r="L298" s="58"/>
      <c r="M298" s="58"/>
      <c r="N298" s="58"/>
      <c r="O298" s="58"/>
      <c r="P298" s="58"/>
      <c r="Q298" s="58"/>
      <c r="R298" s="58"/>
      <c r="S298" s="58"/>
      <c r="T298" s="58"/>
      <c r="U298" s="58"/>
      <c r="V298" s="58"/>
      <c r="W298" s="58"/>
      <c r="X298" s="58"/>
      <c r="Y298" s="58"/>
      <c r="Z298" s="58"/>
    </row>
    <row r="299">
      <c r="A299" s="58"/>
      <c r="B299" s="58"/>
      <c r="C299" s="58"/>
      <c r="D299" s="58"/>
      <c r="E299" s="58"/>
      <c r="F299" s="58"/>
      <c r="G299" s="86"/>
      <c r="H299" s="58"/>
      <c r="I299" s="58"/>
      <c r="J299" s="58"/>
      <c r="K299" s="58"/>
      <c r="L299" s="58"/>
      <c r="M299" s="58"/>
      <c r="N299" s="58"/>
      <c r="O299" s="58"/>
      <c r="P299" s="58"/>
      <c r="Q299" s="58"/>
      <c r="R299" s="58"/>
      <c r="S299" s="58"/>
      <c r="T299" s="58"/>
      <c r="U299" s="58"/>
      <c r="V299" s="58"/>
      <c r="W299" s="58"/>
      <c r="X299" s="58"/>
      <c r="Y299" s="58"/>
      <c r="Z299" s="58"/>
    </row>
    <row r="300">
      <c r="A300" s="58"/>
      <c r="B300" s="58"/>
      <c r="C300" s="58"/>
      <c r="D300" s="58"/>
      <c r="E300" s="58"/>
      <c r="F300" s="58"/>
      <c r="G300" s="86"/>
      <c r="H300" s="58"/>
      <c r="I300" s="58"/>
      <c r="J300" s="58"/>
      <c r="K300" s="58"/>
      <c r="L300" s="58"/>
      <c r="M300" s="58"/>
      <c r="N300" s="58"/>
      <c r="O300" s="58"/>
      <c r="P300" s="58"/>
      <c r="Q300" s="58"/>
      <c r="R300" s="58"/>
      <c r="S300" s="58"/>
      <c r="T300" s="58"/>
      <c r="U300" s="58"/>
      <c r="V300" s="58"/>
      <c r="W300" s="58"/>
      <c r="X300" s="58"/>
      <c r="Y300" s="58"/>
      <c r="Z300" s="58"/>
    </row>
    <row r="301">
      <c r="A301" s="58"/>
      <c r="B301" s="58"/>
      <c r="C301" s="58"/>
      <c r="D301" s="58"/>
      <c r="E301" s="58"/>
      <c r="F301" s="58"/>
      <c r="G301" s="86"/>
      <c r="H301" s="58"/>
      <c r="I301" s="58"/>
      <c r="J301" s="58"/>
      <c r="K301" s="58"/>
      <c r="L301" s="58"/>
      <c r="M301" s="58"/>
      <c r="N301" s="58"/>
      <c r="O301" s="58"/>
      <c r="P301" s="58"/>
      <c r="Q301" s="58"/>
      <c r="R301" s="58"/>
      <c r="S301" s="58"/>
      <c r="T301" s="58"/>
      <c r="U301" s="58"/>
      <c r="V301" s="58"/>
      <c r="W301" s="58"/>
      <c r="X301" s="58"/>
      <c r="Y301" s="58"/>
      <c r="Z301" s="58"/>
    </row>
    <row r="302">
      <c r="A302" s="58"/>
      <c r="B302" s="58"/>
      <c r="C302" s="58"/>
      <c r="D302" s="58"/>
      <c r="E302" s="58"/>
      <c r="F302" s="58"/>
      <c r="G302" s="86"/>
      <c r="H302" s="58"/>
      <c r="I302" s="58"/>
      <c r="J302" s="58"/>
      <c r="K302" s="58"/>
      <c r="L302" s="58"/>
      <c r="M302" s="58"/>
      <c r="N302" s="58"/>
      <c r="O302" s="58"/>
      <c r="P302" s="58"/>
      <c r="Q302" s="58"/>
      <c r="R302" s="58"/>
      <c r="S302" s="58"/>
      <c r="T302" s="58"/>
      <c r="U302" s="58"/>
      <c r="V302" s="58"/>
      <c r="W302" s="58"/>
      <c r="X302" s="58"/>
      <c r="Y302" s="58"/>
      <c r="Z302" s="58"/>
    </row>
    <row r="303">
      <c r="A303" s="58"/>
      <c r="B303" s="58"/>
      <c r="C303" s="58"/>
      <c r="D303" s="58"/>
      <c r="E303" s="58"/>
      <c r="F303" s="58"/>
      <c r="G303" s="86"/>
      <c r="H303" s="58"/>
      <c r="I303" s="58"/>
      <c r="J303" s="58"/>
      <c r="K303" s="58"/>
      <c r="L303" s="58"/>
      <c r="M303" s="58"/>
      <c r="N303" s="58"/>
      <c r="O303" s="58"/>
      <c r="P303" s="58"/>
      <c r="Q303" s="58"/>
      <c r="R303" s="58"/>
      <c r="S303" s="58"/>
      <c r="T303" s="58"/>
      <c r="U303" s="58"/>
      <c r="V303" s="58"/>
      <c r="W303" s="58"/>
      <c r="X303" s="58"/>
      <c r="Y303" s="58"/>
      <c r="Z303" s="58"/>
    </row>
    <row r="304">
      <c r="A304" s="58"/>
      <c r="B304" s="58"/>
      <c r="C304" s="58"/>
      <c r="D304" s="58"/>
      <c r="E304" s="58"/>
      <c r="F304" s="58"/>
      <c r="G304" s="86"/>
      <c r="H304" s="58"/>
      <c r="I304" s="58"/>
      <c r="J304" s="58"/>
      <c r="K304" s="58"/>
      <c r="L304" s="58"/>
      <c r="M304" s="58"/>
      <c r="N304" s="58"/>
      <c r="O304" s="58"/>
      <c r="P304" s="58"/>
      <c r="Q304" s="58"/>
      <c r="R304" s="58"/>
      <c r="S304" s="58"/>
      <c r="T304" s="58"/>
      <c r="U304" s="58"/>
      <c r="V304" s="58"/>
      <c r="W304" s="58"/>
      <c r="X304" s="58"/>
      <c r="Y304" s="58"/>
      <c r="Z304" s="58"/>
    </row>
    <row r="305">
      <c r="A305" s="58"/>
      <c r="B305" s="58"/>
      <c r="C305" s="58"/>
      <c r="D305" s="58"/>
      <c r="E305" s="58"/>
      <c r="F305" s="58"/>
      <c r="G305" s="86"/>
      <c r="H305" s="58"/>
      <c r="I305" s="58"/>
      <c r="J305" s="58"/>
      <c r="K305" s="58"/>
      <c r="L305" s="58"/>
      <c r="M305" s="58"/>
      <c r="N305" s="58"/>
      <c r="O305" s="58"/>
      <c r="P305" s="58"/>
      <c r="Q305" s="58"/>
      <c r="R305" s="58"/>
      <c r="S305" s="58"/>
      <c r="T305" s="58"/>
      <c r="U305" s="58"/>
      <c r="V305" s="58"/>
      <c r="W305" s="58"/>
      <c r="X305" s="58"/>
      <c r="Y305" s="58"/>
      <c r="Z305" s="58"/>
    </row>
    <row r="306">
      <c r="A306" s="58"/>
      <c r="B306" s="58"/>
      <c r="C306" s="58"/>
      <c r="D306" s="58"/>
      <c r="E306" s="58"/>
      <c r="F306" s="58"/>
      <c r="G306" s="86"/>
      <c r="H306" s="58"/>
      <c r="I306" s="58"/>
      <c r="J306" s="58"/>
      <c r="K306" s="58"/>
      <c r="L306" s="58"/>
      <c r="M306" s="58"/>
      <c r="N306" s="58"/>
      <c r="O306" s="58"/>
      <c r="P306" s="58"/>
      <c r="Q306" s="58"/>
      <c r="R306" s="58"/>
      <c r="S306" s="58"/>
      <c r="T306" s="58"/>
      <c r="U306" s="58"/>
      <c r="V306" s="58"/>
      <c r="W306" s="58"/>
      <c r="X306" s="58"/>
      <c r="Y306" s="58"/>
      <c r="Z306" s="58"/>
    </row>
    <row r="307">
      <c r="A307" s="58"/>
      <c r="B307" s="58"/>
      <c r="C307" s="58"/>
      <c r="D307" s="58"/>
      <c r="E307" s="58"/>
      <c r="F307" s="58"/>
      <c r="G307" s="86"/>
      <c r="H307" s="58"/>
      <c r="I307" s="58"/>
      <c r="J307" s="58"/>
      <c r="K307" s="58"/>
      <c r="L307" s="58"/>
      <c r="M307" s="58"/>
      <c r="N307" s="58"/>
      <c r="O307" s="58"/>
      <c r="P307" s="58"/>
      <c r="Q307" s="58"/>
      <c r="R307" s="58"/>
      <c r="S307" s="58"/>
      <c r="T307" s="58"/>
      <c r="U307" s="58"/>
      <c r="V307" s="58"/>
      <c r="W307" s="58"/>
      <c r="X307" s="58"/>
      <c r="Y307" s="58"/>
      <c r="Z307" s="58"/>
    </row>
    <row r="308">
      <c r="A308" s="58"/>
      <c r="B308" s="58"/>
      <c r="C308" s="58"/>
      <c r="D308" s="58"/>
      <c r="E308" s="58"/>
      <c r="F308" s="58"/>
      <c r="G308" s="86"/>
      <c r="H308" s="58"/>
      <c r="I308" s="58"/>
      <c r="J308" s="58"/>
      <c r="K308" s="58"/>
      <c r="L308" s="58"/>
      <c r="M308" s="58"/>
      <c r="N308" s="58"/>
      <c r="O308" s="58"/>
      <c r="P308" s="58"/>
      <c r="Q308" s="58"/>
      <c r="R308" s="58"/>
      <c r="S308" s="58"/>
      <c r="T308" s="58"/>
      <c r="U308" s="58"/>
      <c r="V308" s="58"/>
      <c r="W308" s="58"/>
      <c r="X308" s="58"/>
      <c r="Y308" s="58"/>
      <c r="Z308" s="58"/>
    </row>
    <row r="309">
      <c r="A309" s="58"/>
      <c r="B309" s="58"/>
      <c r="C309" s="58"/>
      <c r="D309" s="58"/>
      <c r="E309" s="58"/>
      <c r="F309" s="58"/>
      <c r="G309" s="86"/>
      <c r="H309" s="58"/>
      <c r="I309" s="58"/>
      <c r="J309" s="58"/>
      <c r="K309" s="58"/>
      <c r="L309" s="58"/>
      <c r="M309" s="58"/>
      <c r="N309" s="58"/>
      <c r="O309" s="58"/>
      <c r="P309" s="58"/>
      <c r="Q309" s="58"/>
      <c r="R309" s="58"/>
      <c r="S309" s="58"/>
      <c r="T309" s="58"/>
      <c r="U309" s="58"/>
      <c r="V309" s="58"/>
      <c r="W309" s="58"/>
      <c r="X309" s="58"/>
      <c r="Y309" s="58"/>
      <c r="Z309" s="58"/>
    </row>
    <row r="310">
      <c r="A310" s="58"/>
      <c r="B310" s="58"/>
      <c r="C310" s="58"/>
      <c r="D310" s="58"/>
      <c r="E310" s="58"/>
      <c r="F310" s="58"/>
      <c r="G310" s="86"/>
      <c r="H310" s="58"/>
      <c r="I310" s="58"/>
      <c r="J310" s="58"/>
      <c r="K310" s="58"/>
      <c r="L310" s="58"/>
      <c r="M310" s="58"/>
      <c r="N310" s="58"/>
      <c r="O310" s="58"/>
      <c r="P310" s="58"/>
      <c r="Q310" s="58"/>
      <c r="R310" s="58"/>
      <c r="S310" s="58"/>
      <c r="T310" s="58"/>
      <c r="U310" s="58"/>
      <c r="V310" s="58"/>
      <c r="W310" s="58"/>
      <c r="X310" s="58"/>
      <c r="Y310" s="58"/>
      <c r="Z310" s="58"/>
    </row>
    <row r="311">
      <c r="A311" s="58"/>
      <c r="B311" s="58"/>
      <c r="C311" s="58"/>
      <c r="D311" s="58"/>
      <c r="E311" s="58"/>
      <c r="F311" s="58"/>
      <c r="G311" s="86"/>
      <c r="H311" s="58"/>
      <c r="I311" s="58"/>
      <c r="J311" s="58"/>
      <c r="K311" s="58"/>
      <c r="L311" s="58"/>
      <c r="M311" s="58"/>
      <c r="N311" s="58"/>
      <c r="O311" s="58"/>
      <c r="P311" s="58"/>
      <c r="Q311" s="58"/>
      <c r="R311" s="58"/>
      <c r="S311" s="58"/>
      <c r="T311" s="58"/>
      <c r="U311" s="58"/>
      <c r="V311" s="58"/>
      <c r="W311" s="58"/>
      <c r="X311" s="58"/>
      <c r="Y311" s="58"/>
      <c r="Z311" s="58"/>
    </row>
    <row r="312">
      <c r="A312" s="58"/>
      <c r="B312" s="58"/>
      <c r="C312" s="58"/>
      <c r="D312" s="58"/>
      <c r="E312" s="58"/>
      <c r="F312" s="58"/>
      <c r="G312" s="86"/>
      <c r="H312" s="58"/>
      <c r="I312" s="58"/>
      <c r="J312" s="58"/>
      <c r="K312" s="58"/>
      <c r="L312" s="58"/>
      <c r="M312" s="58"/>
      <c r="N312" s="58"/>
      <c r="O312" s="58"/>
      <c r="P312" s="58"/>
      <c r="Q312" s="58"/>
      <c r="R312" s="58"/>
      <c r="S312" s="58"/>
      <c r="T312" s="58"/>
      <c r="U312" s="58"/>
      <c r="V312" s="58"/>
      <c r="W312" s="58"/>
      <c r="X312" s="58"/>
      <c r="Y312" s="58"/>
      <c r="Z312" s="58"/>
    </row>
    <row r="313">
      <c r="A313" s="58"/>
      <c r="B313" s="58"/>
      <c r="C313" s="58"/>
      <c r="D313" s="58"/>
      <c r="E313" s="58"/>
      <c r="F313" s="58"/>
      <c r="G313" s="86"/>
      <c r="H313" s="58"/>
      <c r="I313" s="58"/>
      <c r="J313" s="58"/>
      <c r="K313" s="58"/>
      <c r="L313" s="58"/>
      <c r="M313" s="58"/>
      <c r="N313" s="58"/>
      <c r="O313" s="58"/>
      <c r="P313" s="58"/>
      <c r="Q313" s="58"/>
      <c r="R313" s="58"/>
      <c r="S313" s="58"/>
      <c r="T313" s="58"/>
      <c r="U313" s="58"/>
      <c r="V313" s="58"/>
      <c r="W313" s="58"/>
      <c r="X313" s="58"/>
      <c r="Y313" s="58"/>
      <c r="Z313" s="58"/>
    </row>
    <row r="314">
      <c r="A314" s="58"/>
      <c r="B314" s="58"/>
      <c r="C314" s="58"/>
      <c r="D314" s="58"/>
      <c r="E314" s="58"/>
      <c r="F314" s="58"/>
      <c r="G314" s="86"/>
      <c r="H314" s="58"/>
      <c r="I314" s="58"/>
      <c r="J314" s="58"/>
      <c r="K314" s="58"/>
      <c r="L314" s="58"/>
      <c r="M314" s="58"/>
      <c r="N314" s="58"/>
      <c r="O314" s="58"/>
      <c r="P314" s="58"/>
      <c r="Q314" s="58"/>
      <c r="R314" s="58"/>
      <c r="S314" s="58"/>
      <c r="T314" s="58"/>
      <c r="U314" s="58"/>
      <c r="V314" s="58"/>
      <c r="W314" s="58"/>
      <c r="X314" s="58"/>
      <c r="Y314" s="58"/>
      <c r="Z314" s="58"/>
    </row>
    <row r="315">
      <c r="A315" s="58"/>
      <c r="B315" s="58"/>
      <c r="C315" s="58"/>
      <c r="D315" s="58"/>
      <c r="E315" s="58"/>
      <c r="F315" s="58"/>
      <c r="G315" s="86"/>
      <c r="H315" s="58"/>
      <c r="I315" s="58"/>
      <c r="J315" s="58"/>
      <c r="K315" s="58"/>
      <c r="L315" s="58"/>
      <c r="M315" s="58"/>
      <c r="N315" s="58"/>
      <c r="O315" s="58"/>
      <c r="P315" s="58"/>
      <c r="Q315" s="58"/>
      <c r="R315" s="58"/>
      <c r="S315" s="58"/>
      <c r="T315" s="58"/>
      <c r="U315" s="58"/>
      <c r="V315" s="58"/>
      <c r="W315" s="58"/>
      <c r="X315" s="58"/>
      <c r="Y315" s="58"/>
      <c r="Z315" s="58"/>
    </row>
    <row r="316">
      <c r="A316" s="58"/>
      <c r="B316" s="58"/>
      <c r="C316" s="58"/>
      <c r="D316" s="58"/>
      <c r="E316" s="58"/>
      <c r="F316" s="58"/>
      <c r="G316" s="86"/>
      <c r="H316" s="58"/>
      <c r="I316" s="58"/>
      <c r="J316" s="58"/>
      <c r="K316" s="58"/>
      <c r="L316" s="58"/>
      <c r="M316" s="58"/>
      <c r="N316" s="58"/>
      <c r="O316" s="58"/>
      <c r="P316" s="58"/>
      <c r="Q316" s="58"/>
      <c r="R316" s="58"/>
      <c r="S316" s="58"/>
      <c r="T316" s="58"/>
      <c r="U316" s="58"/>
      <c r="V316" s="58"/>
      <c r="W316" s="58"/>
      <c r="X316" s="58"/>
      <c r="Y316" s="58"/>
      <c r="Z316" s="58"/>
    </row>
    <row r="317">
      <c r="A317" s="58"/>
      <c r="B317" s="58"/>
      <c r="C317" s="58"/>
      <c r="D317" s="58"/>
      <c r="E317" s="58"/>
      <c r="F317" s="58"/>
      <c r="G317" s="86"/>
      <c r="H317" s="58"/>
      <c r="I317" s="58"/>
      <c r="J317" s="58"/>
      <c r="K317" s="58"/>
      <c r="L317" s="58"/>
      <c r="M317" s="58"/>
      <c r="N317" s="58"/>
      <c r="O317" s="58"/>
      <c r="P317" s="58"/>
      <c r="Q317" s="58"/>
      <c r="R317" s="58"/>
      <c r="S317" s="58"/>
      <c r="T317" s="58"/>
      <c r="U317" s="58"/>
      <c r="V317" s="58"/>
      <c r="W317" s="58"/>
      <c r="X317" s="58"/>
      <c r="Y317" s="58"/>
      <c r="Z317" s="58"/>
    </row>
    <row r="318">
      <c r="A318" s="58"/>
      <c r="B318" s="58"/>
      <c r="C318" s="58"/>
      <c r="D318" s="58"/>
      <c r="E318" s="58"/>
      <c r="F318" s="58"/>
      <c r="G318" s="86"/>
      <c r="H318" s="58"/>
      <c r="I318" s="58"/>
      <c r="J318" s="58"/>
      <c r="K318" s="58"/>
      <c r="L318" s="58"/>
      <c r="M318" s="58"/>
      <c r="N318" s="58"/>
      <c r="O318" s="58"/>
      <c r="P318" s="58"/>
      <c r="Q318" s="58"/>
      <c r="R318" s="58"/>
      <c r="S318" s="58"/>
      <c r="T318" s="58"/>
      <c r="U318" s="58"/>
      <c r="V318" s="58"/>
      <c r="W318" s="58"/>
      <c r="X318" s="58"/>
      <c r="Y318" s="58"/>
      <c r="Z318" s="58"/>
    </row>
    <row r="319">
      <c r="A319" s="58"/>
      <c r="B319" s="58"/>
      <c r="C319" s="58"/>
      <c r="D319" s="58"/>
      <c r="E319" s="58"/>
      <c r="F319" s="58"/>
      <c r="G319" s="86"/>
      <c r="H319" s="58"/>
      <c r="I319" s="58"/>
      <c r="J319" s="58"/>
      <c r="K319" s="58"/>
      <c r="L319" s="58"/>
      <c r="M319" s="58"/>
      <c r="N319" s="58"/>
      <c r="O319" s="58"/>
      <c r="P319" s="58"/>
      <c r="Q319" s="58"/>
      <c r="R319" s="58"/>
      <c r="S319" s="58"/>
      <c r="T319" s="58"/>
      <c r="U319" s="58"/>
      <c r="V319" s="58"/>
      <c r="W319" s="58"/>
      <c r="X319" s="58"/>
      <c r="Y319" s="58"/>
      <c r="Z319" s="58"/>
    </row>
    <row r="320">
      <c r="A320" s="58"/>
      <c r="B320" s="58"/>
      <c r="C320" s="58"/>
      <c r="D320" s="58"/>
      <c r="E320" s="58"/>
      <c r="F320" s="58"/>
      <c r="G320" s="86"/>
      <c r="H320" s="58"/>
      <c r="I320" s="58"/>
      <c r="J320" s="58"/>
      <c r="K320" s="58"/>
      <c r="L320" s="58"/>
      <c r="M320" s="58"/>
      <c r="N320" s="58"/>
      <c r="O320" s="58"/>
      <c r="P320" s="58"/>
      <c r="Q320" s="58"/>
      <c r="R320" s="58"/>
      <c r="S320" s="58"/>
      <c r="T320" s="58"/>
      <c r="U320" s="58"/>
      <c r="V320" s="58"/>
      <c r="W320" s="58"/>
      <c r="X320" s="58"/>
      <c r="Y320" s="58"/>
      <c r="Z320" s="58"/>
    </row>
    <row r="321">
      <c r="A321" s="58"/>
      <c r="B321" s="58"/>
      <c r="C321" s="58"/>
      <c r="D321" s="58"/>
      <c r="E321" s="58"/>
      <c r="F321" s="58"/>
      <c r="G321" s="86"/>
      <c r="H321" s="58"/>
      <c r="I321" s="58"/>
      <c r="J321" s="58"/>
      <c r="K321" s="58"/>
      <c r="L321" s="58"/>
      <c r="M321" s="58"/>
      <c r="N321" s="58"/>
      <c r="O321" s="58"/>
      <c r="P321" s="58"/>
      <c r="Q321" s="58"/>
      <c r="R321" s="58"/>
      <c r="S321" s="58"/>
      <c r="T321" s="58"/>
      <c r="U321" s="58"/>
      <c r="V321" s="58"/>
      <c r="W321" s="58"/>
      <c r="X321" s="58"/>
      <c r="Y321" s="58"/>
      <c r="Z321" s="58"/>
    </row>
    <row r="322">
      <c r="A322" s="58"/>
      <c r="B322" s="58"/>
      <c r="C322" s="58"/>
      <c r="D322" s="58"/>
      <c r="E322" s="58"/>
      <c r="F322" s="58"/>
      <c r="G322" s="86"/>
      <c r="H322" s="58"/>
      <c r="I322" s="58"/>
      <c r="J322" s="58"/>
      <c r="K322" s="58"/>
      <c r="L322" s="58"/>
      <c r="M322" s="58"/>
      <c r="N322" s="58"/>
      <c r="O322" s="58"/>
      <c r="P322" s="58"/>
      <c r="Q322" s="58"/>
      <c r="R322" s="58"/>
      <c r="S322" s="58"/>
      <c r="T322" s="58"/>
      <c r="U322" s="58"/>
      <c r="V322" s="58"/>
      <c r="W322" s="58"/>
      <c r="X322" s="58"/>
      <c r="Y322" s="58"/>
      <c r="Z322" s="58"/>
    </row>
    <row r="323">
      <c r="A323" s="58"/>
      <c r="B323" s="58"/>
      <c r="C323" s="58"/>
      <c r="D323" s="58"/>
      <c r="E323" s="58"/>
      <c r="F323" s="58"/>
      <c r="G323" s="86"/>
      <c r="H323" s="58"/>
      <c r="I323" s="58"/>
      <c r="J323" s="58"/>
      <c r="K323" s="58"/>
      <c r="L323" s="58"/>
      <c r="M323" s="58"/>
      <c r="N323" s="58"/>
      <c r="O323" s="58"/>
      <c r="P323" s="58"/>
      <c r="Q323" s="58"/>
      <c r="R323" s="58"/>
      <c r="S323" s="58"/>
      <c r="T323" s="58"/>
      <c r="U323" s="58"/>
      <c r="V323" s="58"/>
      <c r="W323" s="58"/>
      <c r="X323" s="58"/>
      <c r="Y323" s="58"/>
      <c r="Z323" s="58"/>
    </row>
    <row r="324">
      <c r="A324" s="58"/>
      <c r="B324" s="58"/>
      <c r="C324" s="58"/>
      <c r="D324" s="58"/>
      <c r="E324" s="58"/>
      <c r="F324" s="58"/>
      <c r="G324" s="86"/>
      <c r="H324" s="58"/>
      <c r="I324" s="58"/>
      <c r="J324" s="58"/>
      <c r="K324" s="58"/>
      <c r="L324" s="58"/>
      <c r="M324" s="58"/>
      <c r="N324" s="58"/>
      <c r="O324" s="58"/>
      <c r="P324" s="58"/>
      <c r="Q324" s="58"/>
      <c r="R324" s="58"/>
      <c r="S324" s="58"/>
      <c r="T324" s="58"/>
      <c r="U324" s="58"/>
      <c r="V324" s="58"/>
      <c r="W324" s="58"/>
      <c r="X324" s="58"/>
      <c r="Y324" s="58"/>
      <c r="Z324" s="58"/>
    </row>
    <row r="325">
      <c r="A325" s="58"/>
      <c r="B325" s="58"/>
      <c r="C325" s="58"/>
      <c r="D325" s="58"/>
      <c r="E325" s="58"/>
      <c r="F325" s="58"/>
      <c r="G325" s="86"/>
      <c r="H325" s="58"/>
      <c r="I325" s="58"/>
      <c r="J325" s="58"/>
      <c r="K325" s="58"/>
      <c r="L325" s="58"/>
      <c r="M325" s="58"/>
      <c r="N325" s="58"/>
      <c r="O325" s="58"/>
      <c r="P325" s="58"/>
      <c r="Q325" s="58"/>
      <c r="R325" s="58"/>
      <c r="S325" s="58"/>
      <c r="T325" s="58"/>
      <c r="U325" s="58"/>
      <c r="V325" s="58"/>
      <c r="W325" s="58"/>
      <c r="X325" s="58"/>
      <c r="Y325" s="58"/>
      <c r="Z325" s="58"/>
    </row>
    <row r="326">
      <c r="A326" s="58"/>
      <c r="B326" s="58"/>
      <c r="C326" s="58"/>
      <c r="D326" s="58"/>
      <c r="E326" s="58"/>
      <c r="F326" s="58"/>
      <c r="G326" s="86"/>
      <c r="H326" s="58"/>
      <c r="I326" s="58"/>
      <c r="J326" s="58"/>
      <c r="K326" s="58"/>
      <c r="L326" s="58"/>
      <c r="M326" s="58"/>
      <c r="N326" s="58"/>
      <c r="O326" s="58"/>
      <c r="P326" s="58"/>
      <c r="Q326" s="58"/>
      <c r="R326" s="58"/>
      <c r="S326" s="58"/>
      <c r="T326" s="58"/>
      <c r="U326" s="58"/>
      <c r="V326" s="58"/>
      <c r="W326" s="58"/>
      <c r="X326" s="58"/>
      <c r="Y326" s="58"/>
      <c r="Z326" s="58"/>
    </row>
    <row r="327">
      <c r="A327" s="58"/>
      <c r="B327" s="58"/>
      <c r="C327" s="58"/>
      <c r="D327" s="58"/>
      <c r="E327" s="58"/>
      <c r="F327" s="58"/>
      <c r="G327" s="86"/>
      <c r="H327" s="58"/>
      <c r="I327" s="58"/>
      <c r="J327" s="58"/>
      <c r="K327" s="58"/>
      <c r="L327" s="58"/>
      <c r="M327" s="58"/>
      <c r="N327" s="58"/>
      <c r="O327" s="58"/>
      <c r="P327" s="58"/>
      <c r="Q327" s="58"/>
      <c r="R327" s="58"/>
      <c r="S327" s="58"/>
      <c r="T327" s="58"/>
      <c r="U327" s="58"/>
      <c r="V327" s="58"/>
      <c r="W327" s="58"/>
      <c r="X327" s="58"/>
      <c r="Y327" s="58"/>
      <c r="Z327" s="58"/>
    </row>
    <row r="328">
      <c r="A328" s="58"/>
      <c r="B328" s="58"/>
      <c r="C328" s="58"/>
      <c r="D328" s="58"/>
      <c r="E328" s="58"/>
      <c r="F328" s="58"/>
      <c r="G328" s="86"/>
      <c r="H328" s="58"/>
      <c r="I328" s="58"/>
      <c r="J328" s="58"/>
      <c r="K328" s="58"/>
      <c r="L328" s="58"/>
      <c r="M328" s="58"/>
      <c r="N328" s="58"/>
      <c r="O328" s="58"/>
      <c r="P328" s="58"/>
      <c r="Q328" s="58"/>
      <c r="R328" s="58"/>
      <c r="S328" s="58"/>
      <c r="T328" s="58"/>
      <c r="U328" s="58"/>
      <c r="V328" s="58"/>
      <c r="W328" s="58"/>
      <c r="X328" s="58"/>
      <c r="Y328" s="58"/>
      <c r="Z328" s="58"/>
    </row>
    <row r="329">
      <c r="A329" s="58"/>
      <c r="B329" s="58"/>
      <c r="C329" s="58"/>
      <c r="D329" s="58"/>
      <c r="E329" s="58"/>
      <c r="F329" s="58"/>
      <c r="G329" s="86"/>
      <c r="H329" s="58"/>
      <c r="I329" s="58"/>
      <c r="J329" s="58"/>
      <c r="K329" s="58"/>
      <c r="L329" s="58"/>
      <c r="M329" s="58"/>
      <c r="N329" s="58"/>
      <c r="O329" s="58"/>
      <c r="P329" s="58"/>
      <c r="Q329" s="58"/>
      <c r="R329" s="58"/>
      <c r="S329" s="58"/>
      <c r="T329" s="58"/>
      <c r="U329" s="58"/>
      <c r="V329" s="58"/>
      <c r="W329" s="58"/>
      <c r="X329" s="58"/>
      <c r="Y329" s="58"/>
      <c r="Z329" s="58"/>
    </row>
    <row r="330">
      <c r="A330" s="58"/>
      <c r="B330" s="58"/>
      <c r="C330" s="58"/>
      <c r="D330" s="58"/>
      <c r="E330" s="58"/>
      <c r="F330" s="58"/>
      <c r="G330" s="86"/>
      <c r="H330" s="58"/>
      <c r="I330" s="58"/>
      <c r="J330" s="58"/>
      <c r="K330" s="58"/>
      <c r="L330" s="58"/>
      <c r="M330" s="58"/>
      <c r="N330" s="58"/>
      <c r="O330" s="58"/>
      <c r="P330" s="58"/>
      <c r="Q330" s="58"/>
      <c r="R330" s="58"/>
      <c r="S330" s="58"/>
      <c r="T330" s="58"/>
      <c r="U330" s="58"/>
      <c r="V330" s="58"/>
      <c r="W330" s="58"/>
      <c r="X330" s="58"/>
      <c r="Y330" s="58"/>
      <c r="Z330" s="58"/>
    </row>
    <row r="331">
      <c r="A331" s="58"/>
      <c r="B331" s="58"/>
      <c r="C331" s="58"/>
      <c r="D331" s="58"/>
      <c r="E331" s="58"/>
      <c r="F331" s="58"/>
      <c r="G331" s="86"/>
      <c r="H331" s="58"/>
      <c r="I331" s="58"/>
      <c r="J331" s="58"/>
      <c r="K331" s="58"/>
      <c r="L331" s="58"/>
      <c r="M331" s="58"/>
      <c r="N331" s="58"/>
      <c r="O331" s="58"/>
      <c r="P331" s="58"/>
      <c r="Q331" s="58"/>
      <c r="R331" s="58"/>
      <c r="S331" s="58"/>
      <c r="T331" s="58"/>
      <c r="U331" s="58"/>
      <c r="V331" s="58"/>
      <c r="W331" s="58"/>
      <c r="X331" s="58"/>
      <c r="Y331" s="58"/>
      <c r="Z331" s="58"/>
    </row>
    <row r="332">
      <c r="A332" s="58"/>
      <c r="B332" s="58"/>
      <c r="C332" s="58"/>
      <c r="D332" s="58"/>
      <c r="E332" s="58"/>
      <c r="F332" s="58"/>
      <c r="G332" s="86"/>
      <c r="H332" s="58"/>
      <c r="I332" s="58"/>
      <c r="J332" s="58"/>
      <c r="K332" s="58"/>
      <c r="L332" s="58"/>
      <c r="M332" s="58"/>
      <c r="N332" s="58"/>
      <c r="O332" s="58"/>
      <c r="P332" s="58"/>
      <c r="Q332" s="58"/>
      <c r="R332" s="58"/>
      <c r="S332" s="58"/>
      <c r="T332" s="58"/>
      <c r="U332" s="58"/>
      <c r="V332" s="58"/>
      <c r="W332" s="58"/>
      <c r="X332" s="58"/>
      <c r="Y332" s="58"/>
      <c r="Z332" s="58"/>
    </row>
    <row r="333">
      <c r="A333" s="58"/>
      <c r="B333" s="58"/>
      <c r="C333" s="58"/>
      <c r="D333" s="58"/>
      <c r="E333" s="58"/>
      <c r="F333" s="58"/>
      <c r="G333" s="86"/>
      <c r="H333" s="58"/>
      <c r="I333" s="58"/>
      <c r="J333" s="58"/>
      <c r="K333" s="58"/>
      <c r="L333" s="58"/>
      <c r="M333" s="58"/>
      <c r="N333" s="58"/>
      <c r="O333" s="58"/>
      <c r="P333" s="58"/>
      <c r="Q333" s="58"/>
      <c r="R333" s="58"/>
      <c r="S333" s="58"/>
      <c r="T333" s="58"/>
      <c r="U333" s="58"/>
      <c r="V333" s="58"/>
      <c r="W333" s="58"/>
      <c r="X333" s="58"/>
      <c r="Y333" s="58"/>
      <c r="Z333" s="58"/>
    </row>
    <row r="334">
      <c r="A334" s="58"/>
      <c r="B334" s="58"/>
      <c r="C334" s="58"/>
      <c r="D334" s="58"/>
      <c r="E334" s="58"/>
      <c r="F334" s="58"/>
      <c r="G334" s="86"/>
      <c r="H334" s="58"/>
      <c r="I334" s="58"/>
      <c r="J334" s="58"/>
      <c r="K334" s="58"/>
      <c r="L334" s="58"/>
      <c r="M334" s="58"/>
      <c r="N334" s="58"/>
      <c r="O334" s="58"/>
      <c r="P334" s="58"/>
      <c r="Q334" s="58"/>
      <c r="R334" s="58"/>
      <c r="S334" s="58"/>
      <c r="T334" s="58"/>
      <c r="U334" s="58"/>
      <c r="V334" s="58"/>
      <c r="W334" s="58"/>
      <c r="X334" s="58"/>
      <c r="Y334" s="58"/>
      <c r="Z334" s="58"/>
    </row>
    <row r="335">
      <c r="A335" s="58"/>
      <c r="B335" s="58"/>
      <c r="C335" s="58"/>
      <c r="D335" s="58"/>
      <c r="E335" s="58"/>
      <c r="F335" s="58"/>
      <c r="G335" s="86"/>
      <c r="H335" s="58"/>
      <c r="I335" s="58"/>
      <c r="J335" s="58"/>
      <c r="K335" s="58"/>
      <c r="L335" s="58"/>
      <c r="M335" s="58"/>
      <c r="N335" s="58"/>
      <c r="O335" s="58"/>
      <c r="P335" s="58"/>
      <c r="Q335" s="58"/>
      <c r="R335" s="58"/>
      <c r="S335" s="58"/>
      <c r="T335" s="58"/>
      <c r="U335" s="58"/>
      <c r="V335" s="58"/>
      <c r="W335" s="58"/>
      <c r="X335" s="58"/>
      <c r="Y335" s="58"/>
      <c r="Z335" s="58"/>
    </row>
    <row r="336">
      <c r="A336" s="58"/>
      <c r="B336" s="58"/>
      <c r="C336" s="58"/>
      <c r="D336" s="58"/>
      <c r="E336" s="58"/>
      <c r="F336" s="58"/>
      <c r="G336" s="86"/>
      <c r="H336" s="58"/>
      <c r="I336" s="58"/>
      <c r="J336" s="58"/>
      <c r="K336" s="58"/>
      <c r="L336" s="58"/>
      <c r="M336" s="58"/>
      <c r="N336" s="58"/>
      <c r="O336" s="58"/>
      <c r="P336" s="58"/>
      <c r="Q336" s="58"/>
      <c r="R336" s="58"/>
      <c r="S336" s="58"/>
      <c r="T336" s="58"/>
      <c r="U336" s="58"/>
      <c r="V336" s="58"/>
      <c r="W336" s="58"/>
      <c r="X336" s="58"/>
      <c r="Y336" s="58"/>
      <c r="Z336" s="58"/>
    </row>
    <row r="337">
      <c r="A337" s="58"/>
      <c r="B337" s="58"/>
      <c r="C337" s="58"/>
      <c r="D337" s="58"/>
      <c r="E337" s="58"/>
      <c r="F337" s="58"/>
      <c r="G337" s="86"/>
      <c r="H337" s="58"/>
      <c r="I337" s="58"/>
      <c r="J337" s="58"/>
      <c r="K337" s="58"/>
      <c r="L337" s="58"/>
      <c r="M337" s="58"/>
      <c r="N337" s="58"/>
      <c r="O337" s="58"/>
      <c r="P337" s="58"/>
      <c r="Q337" s="58"/>
      <c r="R337" s="58"/>
      <c r="S337" s="58"/>
      <c r="T337" s="58"/>
      <c r="U337" s="58"/>
      <c r="V337" s="58"/>
      <c r="W337" s="58"/>
      <c r="X337" s="58"/>
      <c r="Y337" s="58"/>
      <c r="Z337" s="58"/>
    </row>
    <row r="338">
      <c r="A338" s="58"/>
      <c r="B338" s="58"/>
      <c r="C338" s="58"/>
      <c r="D338" s="58"/>
      <c r="E338" s="58"/>
      <c r="F338" s="58"/>
      <c r="G338" s="86"/>
      <c r="H338" s="58"/>
      <c r="I338" s="58"/>
      <c r="J338" s="58"/>
      <c r="K338" s="58"/>
      <c r="L338" s="58"/>
      <c r="M338" s="58"/>
      <c r="N338" s="58"/>
      <c r="O338" s="58"/>
      <c r="P338" s="58"/>
      <c r="Q338" s="58"/>
      <c r="R338" s="58"/>
      <c r="S338" s="58"/>
      <c r="T338" s="58"/>
      <c r="U338" s="58"/>
      <c r="V338" s="58"/>
      <c r="W338" s="58"/>
      <c r="X338" s="58"/>
      <c r="Y338" s="58"/>
      <c r="Z338" s="58"/>
    </row>
    <row r="339">
      <c r="A339" s="58"/>
      <c r="B339" s="58"/>
      <c r="C339" s="58"/>
      <c r="D339" s="58"/>
      <c r="E339" s="58"/>
      <c r="F339" s="58"/>
      <c r="G339" s="86"/>
      <c r="H339" s="58"/>
      <c r="I339" s="58"/>
      <c r="J339" s="58"/>
      <c r="K339" s="58"/>
      <c r="L339" s="58"/>
      <c r="M339" s="58"/>
      <c r="N339" s="58"/>
      <c r="O339" s="58"/>
      <c r="P339" s="58"/>
      <c r="Q339" s="58"/>
      <c r="R339" s="58"/>
      <c r="S339" s="58"/>
      <c r="T339" s="58"/>
      <c r="U339" s="58"/>
      <c r="V339" s="58"/>
      <c r="W339" s="58"/>
      <c r="X339" s="58"/>
      <c r="Y339" s="58"/>
      <c r="Z339" s="58"/>
    </row>
    <row r="340">
      <c r="A340" s="58"/>
      <c r="B340" s="58"/>
      <c r="C340" s="58"/>
      <c r="D340" s="58"/>
      <c r="E340" s="58"/>
      <c r="F340" s="58"/>
      <c r="G340" s="86"/>
      <c r="H340" s="58"/>
      <c r="I340" s="58"/>
      <c r="J340" s="58"/>
      <c r="K340" s="58"/>
      <c r="L340" s="58"/>
      <c r="M340" s="58"/>
      <c r="N340" s="58"/>
      <c r="O340" s="58"/>
      <c r="P340" s="58"/>
      <c r="Q340" s="58"/>
      <c r="R340" s="58"/>
      <c r="S340" s="58"/>
      <c r="T340" s="58"/>
      <c r="U340" s="58"/>
      <c r="V340" s="58"/>
      <c r="W340" s="58"/>
      <c r="X340" s="58"/>
      <c r="Y340" s="58"/>
      <c r="Z340" s="58"/>
    </row>
    <row r="341">
      <c r="A341" s="58"/>
      <c r="B341" s="58"/>
      <c r="C341" s="58"/>
      <c r="D341" s="58"/>
      <c r="E341" s="58"/>
      <c r="F341" s="58"/>
      <c r="G341" s="86"/>
      <c r="H341" s="58"/>
      <c r="I341" s="58"/>
      <c r="J341" s="58"/>
      <c r="K341" s="58"/>
      <c r="L341" s="58"/>
      <c r="M341" s="58"/>
      <c r="N341" s="58"/>
      <c r="O341" s="58"/>
      <c r="P341" s="58"/>
      <c r="Q341" s="58"/>
      <c r="R341" s="58"/>
      <c r="S341" s="58"/>
      <c r="T341" s="58"/>
      <c r="U341" s="58"/>
      <c r="V341" s="58"/>
      <c r="W341" s="58"/>
      <c r="X341" s="58"/>
      <c r="Y341" s="58"/>
      <c r="Z341" s="58"/>
    </row>
    <row r="342">
      <c r="A342" s="58"/>
      <c r="B342" s="58"/>
      <c r="C342" s="58"/>
      <c r="D342" s="58"/>
      <c r="E342" s="58"/>
      <c r="F342" s="58"/>
      <c r="G342" s="86"/>
      <c r="H342" s="58"/>
      <c r="I342" s="58"/>
      <c r="J342" s="58"/>
      <c r="K342" s="58"/>
      <c r="L342" s="58"/>
      <c r="M342" s="58"/>
      <c r="N342" s="58"/>
      <c r="O342" s="58"/>
      <c r="P342" s="58"/>
      <c r="Q342" s="58"/>
      <c r="R342" s="58"/>
      <c r="S342" s="58"/>
      <c r="T342" s="58"/>
      <c r="U342" s="58"/>
      <c r="V342" s="58"/>
      <c r="W342" s="58"/>
      <c r="X342" s="58"/>
      <c r="Y342" s="58"/>
      <c r="Z342" s="58"/>
    </row>
    <row r="343">
      <c r="A343" s="58"/>
      <c r="B343" s="58"/>
      <c r="C343" s="58"/>
      <c r="D343" s="58"/>
      <c r="E343" s="58"/>
      <c r="F343" s="58"/>
      <c r="G343" s="86"/>
      <c r="H343" s="58"/>
      <c r="I343" s="58"/>
      <c r="J343" s="58"/>
      <c r="K343" s="58"/>
      <c r="L343" s="58"/>
      <c r="M343" s="58"/>
      <c r="N343" s="58"/>
      <c r="O343" s="58"/>
      <c r="P343" s="58"/>
      <c r="Q343" s="58"/>
      <c r="R343" s="58"/>
      <c r="S343" s="58"/>
      <c r="T343" s="58"/>
      <c r="U343" s="58"/>
      <c r="V343" s="58"/>
      <c r="W343" s="58"/>
      <c r="X343" s="58"/>
      <c r="Y343" s="58"/>
      <c r="Z343" s="58"/>
    </row>
    <row r="344">
      <c r="A344" s="58"/>
      <c r="B344" s="58"/>
      <c r="C344" s="58"/>
      <c r="D344" s="58"/>
      <c r="E344" s="58"/>
      <c r="F344" s="58"/>
      <c r="G344" s="86"/>
      <c r="H344" s="58"/>
      <c r="I344" s="58"/>
      <c r="J344" s="58"/>
      <c r="K344" s="58"/>
      <c r="L344" s="58"/>
      <c r="M344" s="58"/>
      <c r="N344" s="58"/>
      <c r="O344" s="58"/>
      <c r="P344" s="58"/>
      <c r="Q344" s="58"/>
      <c r="R344" s="58"/>
      <c r="S344" s="58"/>
      <c r="T344" s="58"/>
      <c r="U344" s="58"/>
      <c r="V344" s="58"/>
      <c r="W344" s="58"/>
      <c r="X344" s="58"/>
      <c r="Y344" s="58"/>
      <c r="Z344" s="58"/>
    </row>
    <row r="345">
      <c r="A345" s="58"/>
      <c r="B345" s="58"/>
      <c r="C345" s="58"/>
      <c r="D345" s="58"/>
      <c r="E345" s="58"/>
      <c r="F345" s="58"/>
      <c r="G345" s="86"/>
      <c r="H345" s="58"/>
      <c r="I345" s="58"/>
      <c r="J345" s="58"/>
      <c r="K345" s="58"/>
      <c r="L345" s="58"/>
      <c r="M345" s="58"/>
      <c r="N345" s="58"/>
      <c r="O345" s="58"/>
      <c r="P345" s="58"/>
      <c r="Q345" s="58"/>
      <c r="R345" s="58"/>
      <c r="S345" s="58"/>
      <c r="T345" s="58"/>
      <c r="U345" s="58"/>
      <c r="V345" s="58"/>
      <c r="W345" s="58"/>
      <c r="X345" s="58"/>
      <c r="Y345" s="58"/>
      <c r="Z345" s="58"/>
    </row>
    <row r="346">
      <c r="A346" s="58"/>
      <c r="B346" s="58"/>
      <c r="C346" s="58"/>
      <c r="D346" s="58"/>
      <c r="E346" s="58"/>
      <c r="F346" s="58"/>
      <c r="G346" s="86"/>
      <c r="H346" s="58"/>
      <c r="I346" s="58"/>
      <c r="J346" s="58"/>
      <c r="K346" s="58"/>
      <c r="L346" s="58"/>
      <c r="M346" s="58"/>
      <c r="N346" s="58"/>
      <c r="O346" s="58"/>
      <c r="P346" s="58"/>
      <c r="Q346" s="58"/>
      <c r="R346" s="58"/>
      <c r="S346" s="58"/>
      <c r="T346" s="58"/>
      <c r="U346" s="58"/>
      <c r="V346" s="58"/>
      <c r="W346" s="58"/>
      <c r="X346" s="58"/>
      <c r="Y346" s="58"/>
      <c r="Z346" s="58"/>
    </row>
    <row r="347">
      <c r="A347" s="58"/>
      <c r="B347" s="58"/>
      <c r="C347" s="58"/>
      <c r="D347" s="58"/>
      <c r="E347" s="58"/>
      <c r="F347" s="58"/>
      <c r="G347" s="86"/>
      <c r="H347" s="58"/>
      <c r="I347" s="58"/>
      <c r="J347" s="58"/>
      <c r="K347" s="58"/>
      <c r="L347" s="58"/>
      <c r="M347" s="58"/>
      <c r="N347" s="58"/>
      <c r="O347" s="58"/>
      <c r="P347" s="58"/>
      <c r="Q347" s="58"/>
      <c r="R347" s="58"/>
      <c r="S347" s="58"/>
      <c r="T347" s="58"/>
      <c r="U347" s="58"/>
      <c r="V347" s="58"/>
      <c r="W347" s="58"/>
      <c r="X347" s="58"/>
      <c r="Y347" s="58"/>
      <c r="Z347" s="58"/>
    </row>
    <row r="348">
      <c r="A348" s="58"/>
      <c r="B348" s="58"/>
      <c r="C348" s="58"/>
      <c r="D348" s="58"/>
      <c r="E348" s="58"/>
      <c r="F348" s="58"/>
      <c r="G348" s="86"/>
      <c r="H348" s="58"/>
      <c r="I348" s="58"/>
      <c r="J348" s="58"/>
      <c r="K348" s="58"/>
      <c r="L348" s="58"/>
      <c r="M348" s="58"/>
      <c r="N348" s="58"/>
      <c r="O348" s="58"/>
      <c r="P348" s="58"/>
      <c r="Q348" s="58"/>
      <c r="R348" s="58"/>
      <c r="S348" s="58"/>
      <c r="T348" s="58"/>
      <c r="U348" s="58"/>
      <c r="V348" s="58"/>
      <c r="W348" s="58"/>
      <c r="X348" s="58"/>
      <c r="Y348" s="58"/>
      <c r="Z348" s="58"/>
    </row>
    <row r="349">
      <c r="A349" s="58"/>
      <c r="B349" s="58"/>
      <c r="C349" s="58"/>
      <c r="D349" s="58"/>
      <c r="E349" s="58"/>
      <c r="F349" s="58"/>
      <c r="G349" s="86"/>
      <c r="H349" s="58"/>
      <c r="I349" s="58"/>
      <c r="J349" s="58"/>
      <c r="K349" s="58"/>
      <c r="L349" s="58"/>
      <c r="M349" s="58"/>
      <c r="N349" s="58"/>
      <c r="O349" s="58"/>
      <c r="P349" s="58"/>
      <c r="Q349" s="58"/>
      <c r="R349" s="58"/>
      <c r="S349" s="58"/>
      <c r="T349" s="58"/>
      <c r="U349" s="58"/>
      <c r="V349" s="58"/>
      <c r="W349" s="58"/>
      <c r="X349" s="58"/>
      <c r="Y349" s="58"/>
      <c r="Z349" s="58"/>
    </row>
    <row r="350">
      <c r="A350" s="58"/>
      <c r="B350" s="58"/>
      <c r="C350" s="58"/>
      <c r="D350" s="58"/>
      <c r="E350" s="58"/>
      <c r="F350" s="58"/>
      <c r="G350" s="86"/>
      <c r="H350" s="58"/>
      <c r="I350" s="58"/>
      <c r="J350" s="58"/>
      <c r="K350" s="58"/>
      <c r="L350" s="58"/>
      <c r="M350" s="58"/>
      <c r="N350" s="58"/>
      <c r="O350" s="58"/>
      <c r="P350" s="58"/>
      <c r="Q350" s="58"/>
      <c r="R350" s="58"/>
      <c r="S350" s="58"/>
      <c r="T350" s="58"/>
      <c r="U350" s="58"/>
      <c r="V350" s="58"/>
      <c r="W350" s="58"/>
      <c r="X350" s="58"/>
      <c r="Y350" s="58"/>
      <c r="Z350" s="58"/>
    </row>
    <row r="351">
      <c r="A351" s="58"/>
      <c r="B351" s="58"/>
      <c r="C351" s="58"/>
      <c r="D351" s="58"/>
      <c r="E351" s="58"/>
      <c r="F351" s="58"/>
      <c r="G351" s="86"/>
      <c r="H351" s="58"/>
      <c r="I351" s="58"/>
      <c r="J351" s="58"/>
      <c r="K351" s="58"/>
      <c r="L351" s="58"/>
      <c r="M351" s="58"/>
      <c r="N351" s="58"/>
      <c r="O351" s="58"/>
      <c r="P351" s="58"/>
      <c r="Q351" s="58"/>
      <c r="R351" s="58"/>
      <c r="S351" s="58"/>
      <c r="T351" s="58"/>
      <c r="U351" s="58"/>
      <c r="V351" s="58"/>
      <c r="W351" s="58"/>
      <c r="X351" s="58"/>
      <c r="Y351" s="58"/>
      <c r="Z351" s="58"/>
    </row>
    <row r="352">
      <c r="A352" s="58"/>
      <c r="B352" s="58"/>
      <c r="C352" s="58"/>
      <c r="D352" s="58"/>
      <c r="E352" s="58"/>
      <c r="F352" s="58"/>
      <c r="G352" s="86"/>
      <c r="H352" s="58"/>
      <c r="I352" s="58"/>
      <c r="J352" s="58"/>
      <c r="K352" s="58"/>
      <c r="L352" s="58"/>
      <c r="M352" s="58"/>
      <c r="N352" s="58"/>
      <c r="O352" s="58"/>
      <c r="P352" s="58"/>
      <c r="Q352" s="58"/>
      <c r="R352" s="58"/>
      <c r="S352" s="58"/>
      <c r="T352" s="58"/>
      <c r="U352" s="58"/>
      <c r="V352" s="58"/>
      <c r="W352" s="58"/>
      <c r="X352" s="58"/>
      <c r="Y352" s="58"/>
      <c r="Z352" s="58"/>
    </row>
    <row r="353">
      <c r="A353" s="58"/>
      <c r="B353" s="58"/>
      <c r="C353" s="58"/>
      <c r="D353" s="58"/>
      <c r="E353" s="58"/>
      <c r="F353" s="58"/>
      <c r="G353" s="86"/>
      <c r="H353" s="58"/>
      <c r="I353" s="58"/>
      <c r="J353" s="58"/>
      <c r="K353" s="58"/>
      <c r="L353" s="58"/>
      <c r="M353" s="58"/>
      <c r="N353" s="58"/>
      <c r="O353" s="58"/>
      <c r="P353" s="58"/>
      <c r="Q353" s="58"/>
      <c r="R353" s="58"/>
      <c r="S353" s="58"/>
      <c r="T353" s="58"/>
      <c r="U353" s="58"/>
      <c r="V353" s="58"/>
      <c r="W353" s="58"/>
      <c r="X353" s="58"/>
      <c r="Y353" s="58"/>
      <c r="Z353" s="58"/>
    </row>
    <row r="354">
      <c r="A354" s="58"/>
      <c r="B354" s="58"/>
      <c r="C354" s="58"/>
      <c r="D354" s="58"/>
      <c r="E354" s="58"/>
      <c r="F354" s="58"/>
      <c r="G354" s="86"/>
      <c r="H354" s="58"/>
      <c r="I354" s="58"/>
      <c r="J354" s="58"/>
      <c r="K354" s="58"/>
      <c r="L354" s="58"/>
      <c r="M354" s="58"/>
      <c r="N354" s="58"/>
      <c r="O354" s="58"/>
      <c r="P354" s="58"/>
      <c r="Q354" s="58"/>
      <c r="R354" s="58"/>
      <c r="S354" s="58"/>
      <c r="T354" s="58"/>
      <c r="U354" s="58"/>
      <c r="V354" s="58"/>
      <c r="W354" s="58"/>
      <c r="X354" s="58"/>
      <c r="Y354" s="58"/>
      <c r="Z354" s="58"/>
    </row>
    <row r="355">
      <c r="A355" s="58"/>
      <c r="B355" s="58"/>
      <c r="C355" s="58"/>
      <c r="D355" s="58"/>
      <c r="E355" s="58"/>
      <c r="F355" s="58"/>
      <c r="G355" s="86"/>
      <c r="H355" s="58"/>
      <c r="I355" s="58"/>
      <c r="J355" s="58"/>
      <c r="K355" s="58"/>
      <c r="L355" s="58"/>
      <c r="M355" s="58"/>
      <c r="N355" s="58"/>
      <c r="O355" s="58"/>
      <c r="P355" s="58"/>
      <c r="Q355" s="58"/>
      <c r="R355" s="58"/>
      <c r="S355" s="58"/>
      <c r="T355" s="58"/>
      <c r="U355" s="58"/>
      <c r="V355" s="58"/>
      <c r="W355" s="58"/>
      <c r="X355" s="58"/>
      <c r="Y355" s="58"/>
      <c r="Z355" s="58"/>
    </row>
    <row r="356">
      <c r="A356" s="58"/>
      <c r="B356" s="58"/>
      <c r="C356" s="58"/>
      <c r="D356" s="58"/>
      <c r="E356" s="58"/>
      <c r="F356" s="58"/>
      <c r="G356" s="86"/>
      <c r="H356" s="58"/>
      <c r="I356" s="58"/>
      <c r="J356" s="58"/>
      <c r="K356" s="58"/>
      <c r="L356" s="58"/>
      <c r="M356" s="58"/>
      <c r="N356" s="58"/>
      <c r="O356" s="58"/>
      <c r="P356" s="58"/>
      <c r="Q356" s="58"/>
      <c r="R356" s="58"/>
      <c r="S356" s="58"/>
      <c r="T356" s="58"/>
      <c r="U356" s="58"/>
      <c r="V356" s="58"/>
      <c r="W356" s="58"/>
      <c r="X356" s="58"/>
      <c r="Y356" s="58"/>
      <c r="Z356" s="58"/>
    </row>
    <row r="357">
      <c r="A357" s="58"/>
      <c r="B357" s="58"/>
      <c r="C357" s="58"/>
      <c r="D357" s="58"/>
      <c r="E357" s="58"/>
      <c r="F357" s="58"/>
      <c r="G357" s="86"/>
      <c r="H357" s="58"/>
      <c r="I357" s="58"/>
      <c r="J357" s="58"/>
      <c r="K357" s="58"/>
      <c r="L357" s="58"/>
      <c r="M357" s="58"/>
      <c r="N357" s="58"/>
      <c r="O357" s="58"/>
      <c r="P357" s="58"/>
      <c r="Q357" s="58"/>
      <c r="R357" s="58"/>
      <c r="S357" s="58"/>
      <c r="T357" s="58"/>
      <c r="U357" s="58"/>
      <c r="V357" s="58"/>
      <c r="W357" s="58"/>
      <c r="X357" s="58"/>
      <c r="Y357" s="58"/>
      <c r="Z357" s="58"/>
    </row>
    <row r="358">
      <c r="A358" s="58"/>
      <c r="B358" s="58"/>
      <c r="C358" s="58"/>
      <c r="D358" s="58"/>
      <c r="E358" s="58"/>
      <c r="F358" s="58"/>
      <c r="G358" s="86"/>
      <c r="H358" s="58"/>
      <c r="I358" s="58"/>
      <c r="J358" s="58"/>
      <c r="K358" s="58"/>
      <c r="L358" s="58"/>
      <c r="M358" s="58"/>
      <c r="N358" s="58"/>
      <c r="O358" s="58"/>
      <c r="P358" s="58"/>
      <c r="Q358" s="58"/>
      <c r="R358" s="58"/>
      <c r="S358" s="58"/>
      <c r="T358" s="58"/>
      <c r="U358" s="58"/>
      <c r="V358" s="58"/>
      <c r="W358" s="58"/>
      <c r="X358" s="58"/>
      <c r="Y358" s="58"/>
      <c r="Z358" s="58"/>
    </row>
    <row r="359">
      <c r="A359" s="58"/>
      <c r="B359" s="58"/>
      <c r="C359" s="58"/>
      <c r="D359" s="58"/>
      <c r="E359" s="58"/>
      <c r="F359" s="58"/>
      <c r="G359" s="86"/>
      <c r="H359" s="58"/>
      <c r="I359" s="58"/>
      <c r="J359" s="58"/>
      <c r="K359" s="58"/>
      <c r="L359" s="58"/>
      <c r="M359" s="58"/>
      <c r="N359" s="58"/>
      <c r="O359" s="58"/>
      <c r="P359" s="58"/>
      <c r="Q359" s="58"/>
      <c r="R359" s="58"/>
      <c r="S359" s="58"/>
      <c r="T359" s="58"/>
      <c r="U359" s="58"/>
      <c r="V359" s="58"/>
      <c r="W359" s="58"/>
      <c r="X359" s="58"/>
      <c r="Y359" s="58"/>
      <c r="Z359" s="58"/>
    </row>
    <row r="360">
      <c r="A360" s="58"/>
      <c r="B360" s="58"/>
      <c r="C360" s="58"/>
      <c r="D360" s="58"/>
      <c r="E360" s="58"/>
      <c r="F360" s="58"/>
      <c r="G360" s="86"/>
      <c r="H360" s="58"/>
      <c r="I360" s="58"/>
      <c r="J360" s="58"/>
      <c r="K360" s="58"/>
      <c r="L360" s="58"/>
      <c r="M360" s="58"/>
      <c r="N360" s="58"/>
      <c r="O360" s="58"/>
      <c r="P360" s="58"/>
      <c r="Q360" s="58"/>
      <c r="R360" s="58"/>
      <c r="S360" s="58"/>
      <c r="T360" s="58"/>
      <c r="U360" s="58"/>
      <c r="V360" s="58"/>
      <c r="W360" s="58"/>
      <c r="X360" s="58"/>
      <c r="Y360" s="58"/>
      <c r="Z360" s="58"/>
    </row>
    <row r="361">
      <c r="A361" s="58"/>
      <c r="B361" s="58"/>
      <c r="C361" s="58"/>
      <c r="D361" s="58"/>
      <c r="E361" s="58"/>
      <c r="F361" s="58"/>
      <c r="G361" s="86"/>
      <c r="H361" s="58"/>
      <c r="I361" s="58"/>
      <c r="J361" s="58"/>
      <c r="K361" s="58"/>
      <c r="L361" s="58"/>
      <c r="M361" s="58"/>
      <c r="N361" s="58"/>
      <c r="O361" s="58"/>
      <c r="P361" s="58"/>
      <c r="Q361" s="58"/>
      <c r="R361" s="58"/>
      <c r="S361" s="58"/>
      <c r="T361" s="58"/>
      <c r="U361" s="58"/>
      <c r="V361" s="58"/>
      <c r="W361" s="58"/>
      <c r="X361" s="58"/>
      <c r="Y361" s="58"/>
      <c r="Z361" s="58"/>
    </row>
    <row r="362">
      <c r="A362" s="58"/>
      <c r="B362" s="58"/>
      <c r="C362" s="58"/>
      <c r="D362" s="58"/>
      <c r="E362" s="58"/>
      <c r="F362" s="58"/>
      <c r="G362" s="86"/>
      <c r="H362" s="58"/>
      <c r="I362" s="58"/>
      <c r="J362" s="58"/>
      <c r="K362" s="58"/>
      <c r="L362" s="58"/>
      <c r="M362" s="58"/>
      <c r="N362" s="58"/>
      <c r="O362" s="58"/>
      <c r="P362" s="58"/>
      <c r="Q362" s="58"/>
      <c r="R362" s="58"/>
      <c r="S362" s="58"/>
      <c r="T362" s="58"/>
      <c r="U362" s="58"/>
      <c r="V362" s="58"/>
      <c r="W362" s="58"/>
      <c r="X362" s="58"/>
      <c r="Y362" s="58"/>
      <c r="Z362" s="58"/>
    </row>
    <row r="363">
      <c r="A363" s="58"/>
      <c r="B363" s="58"/>
      <c r="C363" s="58"/>
      <c r="D363" s="58"/>
      <c r="E363" s="58"/>
      <c r="F363" s="58"/>
      <c r="G363" s="86"/>
      <c r="H363" s="58"/>
      <c r="I363" s="58"/>
      <c r="J363" s="58"/>
      <c r="K363" s="58"/>
      <c r="L363" s="58"/>
      <c r="M363" s="58"/>
      <c r="N363" s="58"/>
      <c r="O363" s="58"/>
      <c r="P363" s="58"/>
      <c r="Q363" s="58"/>
      <c r="R363" s="58"/>
      <c r="S363" s="58"/>
      <c r="T363" s="58"/>
      <c r="U363" s="58"/>
      <c r="V363" s="58"/>
      <c r="W363" s="58"/>
      <c r="X363" s="58"/>
      <c r="Y363" s="58"/>
      <c r="Z363" s="58"/>
    </row>
    <row r="364">
      <c r="A364" s="58"/>
      <c r="B364" s="58"/>
      <c r="C364" s="58"/>
      <c r="D364" s="58"/>
      <c r="E364" s="58"/>
      <c r="F364" s="58"/>
      <c r="G364" s="86"/>
      <c r="H364" s="58"/>
      <c r="I364" s="58"/>
      <c r="J364" s="58"/>
      <c r="K364" s="58"/>
      <c r="L364" s="58"/>
      <c r="M364" s="58"/>
      <c r="N364" s="58"/>
      <c r="O364" s="58"/>
      <c r="P364" s="58"/>
      <c r="Q364" s="58"/>
      <c r="R364" s="58"/>
      <c r="S364" s="58"/>
      <c r="T364" s="58"/>
      <c r="U364" s="58"/>
      <c r="V364" s="58"/>
      <c r="W364" s="58"/>
      <c r="X364" s="58"/>
      <c r="Y364" s="58"/>
      <c r="Z364" s="58"/>
    </row>
    <row r="365">
      <c r="A365" s="58"/>
      <c r="B365" s="58"/>
      <c r="C365" s="58"/>
      <c r="D365" s="58"/>
      <c r="E365" s="58"/>
      <c r="F365" s="58"/>
      <c r="G365" s="86"/>
      <c r="H365" s="58"/>
      <c r="I365" s="58"/>
      <c r="J365" s="58"/>
      <c r="K365" s="58"/>
      <c r="L365" s="58"/>
      <c r="M365" s="58"/>
      <c r="N365" s="58"/>
      <c r="O365" s="58"/>
      <c r="P365" s="58"/>
      <c r="Q365" s="58"/>
      <c r="R365" s="58"/>
      <c r="S365" s="58"/>
      <c r="T365" s="58"/>
      <c r="U365" s="58"/>
      <c r="V365" s="58"/>
      <c r="W365" s="58"/>
      <c r="X365" s="58"/>
      <c r="Y365" s="58"/>
      <c r="Z365" s="58"/>
    </row>
    <row r="366">
      <c r="A366" s="58"/>
      <c r="B366" s="58"/>
      <c r="C366" s="58"/>
      <c r="D366" s="58"/>
      <c r="E366" s="58"/>
      <c r="F366" s="58"/>
      <c r="G366" s="86"/>
      <c r="H366" s="58"/>
      <c r="I366" s="58"/>
      <c r="J366" s="58"/>
      <c r="K366" s="58"/>
      <c r="L366" s="58"/>
      <c r="M366" s="58"/>
      <c r="N366" s="58"/>
      <c r="O366" s="58"/>
      <c r="P366" s="58"/>
      <c r="Q366" s="58"/>
      <c r="R366" s="58"/>
      <c r="S366" s="58"/>
      <c r="T366" s="58"/>
      <c r="U366" s="58"/>
      <c r="V366" s="58"/>
      <c r="W366" s="58"/>
      <c r="X366" s="58"/>
      <c r="Y366" s="58"/>
      <c r="Z366" s="58"/>
    </row>
    <row r="367">
      <c r="A367" s="58"/>
      <c r="B367" s="58"/>
      <c r="C367" s="58"/>
      <c r="D367" s="58"/>
      <c r="E367" s="58"/>
      <c r="F367" s="58"/>
      <c r="G367" s="86"/>
      <c r="H367" s="58"/>
      <c r="I367" s="58"/>
      <c r="J367" s="58"/>
      <c r="K367" s="58"/>
      <c r="L367" s="58"/>
      <c r="M367" s="58"/>
      <c r="N367" s="58"/>
      <c r="O367" s="58"/>
      <c r="P367" s="58"/>
      <c r="Q367" s="58"/>
      <c r="R367" s="58"/>
      <c r="S367" s="58"/>
      <c r="T367" s="58"/>
      <c r="U367" s="58"/>
      <c r="V367" s="58"/>
      <c r="W367" s="58"/>
      <c r="X367" s="58"/>
      <c r="Y367" s="58"/>
      <c r="Z367" s="58"/>
    </row>
    <row r="368">
      <c r="A368" s="58"/>
      <c r="B368" s="58"/>
      <c r="C368" s="58"/>
      <c r="D368" s="58"/>
      <c r="E368" s="58"/>
      <c r="F368" s="58"/>
      <c r="G368" s="86"/>
      <c r="H368" s="58"/>
      <c r="I368" s="58"/>
      <c r="J368" s="58"/>
      <c r="K368" s="58"/>
      <c r="L368" s="58"/>
      <c r="M368" s="58"/>
      <c r="N368" s="58"/>
      <c r="O368" s="58"/>
      <c r="P368" s="58"/>
      <c r="Q368" s="58"/>
      <c r="R368" s="58"/>
      <c r="S368" s="58"/>
      <c r="T368" s="58"/>
      <c r="U368" s="58"/>
      <c r="V368" s="58"/>
      <c r="W368" s="58"/>
      <c r="X368" s="58"/>
      <c r="Y368" s="58"/>
      <c r="Z368" s="58"/>
    </row>
    <row r="369">
      <c r="A369" s="58"/>
      <c r="B369" s="58"/>
      <c r="C369" s="58"/>
      <c r="D369" s="58"/>
      <c r="E369" s="58"/>
      <c r="F369" s="58"/>
      <c r="G369" s="86"/>
      <c r="H369" s="58"/>
      <c r="I369" s="58"/>
      <c r="J369" s="58"/>
      <c r="K369" s="58"/>
      <c r="L369" s="58"/>
      <c r="M369" s="58"/>
      <c r="N369" s="58"/>
      <c r="O369" s="58"/>
      <c r="P369" s="58"/>
      <c r="Q369" s="58"/>
      <c r="R369" s="58"/>
      <c r="S369" s="58"/>
      <c r="T369" s="58"/>
      <c r="U369" s="58"/>
      <c r="V369" s="58"/>
      <c r="W369" s="58"/>
      <c r="X369" s="58"/>
      <c r="Y369" s="58"/>
      <c r="Z369" s="58"/>
    </row>
    <row r="370">
      <c r="A370" s="58"/>
      <c r="B370" s="58"/>
      <c r="C370" s="58"/>
      <c r="D370" s="58"/>
      <c r="E370" s="58"/>
      <c r="F370" s="58"/>
      <c r="G370" s="86"/>
      <c r="H370" s="58"/>
      <c r="I370" s="58"/>
      <c r="J370" s="58"/>
      <c r="K370" s="58"/>
      <c r="L370" s="58"/>
      <c r="M370" s="58"/>
      <c r="N370" s="58"/>
      <c r="O370" s="58"/>
      <c r="P370" s="58"/>
      <c r="Q370" s="58"/>
      <c r="R370" s="58"/>
      <c r="S370" s="58"/>
      <c r="T370" s="58"/>
      <c r="U370" s="58"/>
      <c r="V370" s="58"/>
      <c r="W370" s="58"/>
      <c r="X370" s="58"/>
      <c r="Y370" s="58"/>
      <c r="Z370" s="58"/>
    </row>
    <row r="371">
      <c r="A371" s="58"/>
      <c r="B371" s="58"/>
      <c r="C371" s="58"/>
      <c r="D371" s="58"/>
      <c r="E371" s="58"/>
      <c r="F371" s="58"/>
      <c r="G371" s="86"/>
      <c r="H371" s="58"/>
      <c r="I371" s="58"/>
      <c r="J371" s="58"/>
      <c r="K371" s="58"/>
      <c r="L371" s="58"/>
      <c r="M371" s="58"/>
      <c r="N371" s="58"/>
      <c r="O371" s="58"/>
      <c r="P371" s="58"/>
      <c r="Q371" s="58"/>
      <c r="R371" s="58"/>
      <c r="S371" s="58"/>
      <c r="T371" s="58"/>
      <c r="U371" s="58"/>
      <c r="V371" s="58"/>
      <c r="W371" s="58"/>
      <c r="X371" s="58"/>
      <c r="Y371" s="58"/>
      <c r="Z371" s="58"/>
    </row>
    <row r="372">
      <c r="A372" s="58"/>
      <c r="B372" s="58"/>
      <c r="C372" s="58"/>
      <c r="D372" s="58"/>
      <c r="E372" s="58"/>
      <c r="F372" s="58"/>
      <c r="G372" s="86"/>
      <c r="H372" s="58"/>
      <c r="I372" s="58"/>
      <c r="J372" s="58"/>
      <c r="K372" s="58"/>
      <c r="L372" s="58"/>
      <c r="M372" s="58"/>
      <c r="N372" s="58"/>
      <c r="O372" s="58"/>
      <c r="P372" s="58"/>
      <c r="Q372" s="58"/>
      <c r="R372" s="58"/>
      <c r="S372" s="58"/>
      <c r="T372" s="58"/>
      <c r="U372" s="58"/>
      <c r="V372" s="58"/>
      <c r="W372" s="58"/>
      <c r="X372" s="58"/>
      <c r="Y372" s="58"/>
      <c r="Z372" s="58"/>
    </row>
    <row r="373">
      <c r="A373" s="58"/>
      <c r="B373" s="58"/>
      <c r="C373" s="58"/>
      <c r="D373" s="58"/>
      <c r="E373" s="58"/>
      <c r="F373" s="58"/>
      <c r="G373" s="86"/>
      <c r="H373" s="58"/>
      <c r="I373" s="58"/>
      <c r="J373" s="58"/>
      <c r="K373" s="58"/>
      <c r="L373" s="58"/>
      <c r="M373" s="58"/>
      <c r="N373" s="58"/>
      <c r="O373" s="58"/>
      <c r="P373" s="58"/>
      <c r="Q373" s="58"/>
      <c r="R373" s="58"/>
      <c r="S373" s="58"/>
      <c r="T373" s="58"/>
      <c r="U373" s="58"/>
      <c r="V373" s="58"/>
      <c r="W373" s="58"/>
      <c r="X373" s="58"/>
      <c r="Y373" s="58"/>
      <c r="Z373" s="58"/>
    </row>
    <row r="374">
      <c r="A374" s="58"/>
      <c r="B374" s="58"/>
      <c r="C374" s="58"/>
      <c r="D374" s="58"/>
      <c r="E374" s="58"/>
      <c r="F374" s="58"/>
      <c r="G374" s="86"/>
      <c r="H374" s="58"/>
      <c r="I374" s="58"/>
      <c r="J374" s="58"/>
      <c r="K374" s="58"/>
      <c r="L374" s="58"/>
      <c r="M374" s="58"/>
      <c r="N374" s="58"/>
      <c r="O374" s="58"/>
      <c r="P374" s="58"/>
      <c r="Q374" s="58"/>
      <c r="R374" s="58"/>
      <c r="S374" s="58"/>
      <c r="T374" s="58"/>
      <c r="U374" s="58"/>
      <c r="V374" s="58"/>
      <c r="W374" s="58"/>
      <c r="X374" s="58"/>
      <c r="Y374" s="58"/>
      <c r="Z374" s="58"/>
    </row>
    <row r="375">
      <c r="A375" s="58"/>
      <c r="B375" s="58"/>
      <c r="C375" s="58"/>
      <c r="D375" s="58"/>
      <c r="E375" s="58"/>
      <c r="F375" s="58"/>
      <c r="G375" s="86"/>
      <c r="H375" s="58"/>
      <c r="I375" s="58"/>
      <c r="J375" s="58"/>
      <c r="K375" s="58"/>
      <c r="L375" s="58"/>
      <c r="M375" s="58"/>
      <c r="N375" s="58"/>
      <c r="O375" s="58"/>
      <c r="P375" s="58"/>
      <c r="Q375" s="58"/>
      <c r="R375" s="58"/>
      <c r="S375" s="58"/>
      <c r="T375" s="58"/>
      <c r="U375" s="58"/>
      <c r="V375" s="58"/>
      <c r="W375" s="58"/>
      <c r="X375" s="58"/>
      <c r="Y375" s="58"/>
      <c r="Z375" s="58"/>
    </row>
    <row r="376">
      <c r="A376" s="58"/>
      <c r="B376" s="58"/>
      <c r="C376" s="58"/>
      <c r="D376" s="58"/>
      <c r="E376" s="58"/>
      <c r="F376" s="58"/>
      <c r="G376" s="86"/>
      <c r="H376" s="58"/>
      <c r="I376" s="58"/>
      <c r="J376" s="58"/>
      <c r="K376" s="58"/>
      <c r="L376" s="58"/>
      <c r="M376" s="58"/>
      <c r="N376" s="58"/>
      <c r="O376" s="58"/>
      <c r="P376" s="58"/>
      <c r="Q376" s="58"/>
      <c r="R376" s="58"/>
      <c r="S376" s="58"/>
      <c r="T376" s="58"/>
      <c r="U376" s="58"/>
      <c r="V376" s="58"/>
      <c r="W376" s="58"/>
      <c r="X376" s="58"/>
      <c r="Y376" s="58"/>
      <c r="Z376" s="58"/>
    </row>
    <row r="377">
      <c r="A377" s="58"/>
      <c r="B377" s="58"/>
      <c r="C377" s="58"/>
      <c r="D377" s="58"/>
      <c r="E377" s="58"/>
      <c r="F377" s="58"/>
      <c r="G377" s="86"/>
      <c r="H377" s="58"/>
      <c r="I377" s="58"/>
      <c r="J377" s="58"/>
      <c r="K377" s="58"/>
      <c r="L377" s="58"/>
      <c r="M377" s="58"/>
      <c r="N377" s="58"/>
      <c r="O377" s="58"/>
      <c r="P377" s="58"/>
      <c r="Q377" s="58"/>
      <c r="R377" s="58"/>
      <c r="S377" s="58"/>
      <c r="T377" s="58"/>
      <c r="U377" s="58"/>
      <c r="V377" s="58"/>
      <c r="W377" s="58"/>
      <c r="X377" s="58"/>
      <c r="Y377" s="58"/>
      <c r="Z377" s="58"/>
    </row>
    <row r="378">
      <c r="A378" s="58"/>
      <c r="B378" s="58"/>
      <c r="C378" s="58"/>
      <c r="D378" s="58"/>
      <c r="E378" s="58"/>
      <c r="F378" s="58"/>
      <c r="G378" s="86"/>
      <c r="H378" s="58"/>
      <c r="I378" s="58"/>
      <c r="J378" s="58"/>
      <c r="K378" s="58"/>
      <c r="L378" s="58"/>
      <c r="M378" s="58"/>
      <c r="N378" s="58"/>
      <c r="O378" s="58"/>
      <c r="P378" s="58"/>
      <c r="Q378" s="58"/>
      <c r="R378" s="58"/>
      <c r="S378" s="58"/>
      <c r="T378" s="58"/>
      <c r="U378" s="58"/>
      <c r="V378" s="58"/>
      <c r="W378" s="58"/>
      <c r="X378" s="58"/>
      <c r="Y378" s="58"/>
      <c r="Z378" s="58"/>
    </row>
    <row r="379">
      <c r="A379" s="58"/>
      <c r="B379" s="58"/>
      <c r="C379" s="58"/>
      <c r="D379" s="58"/>
      <c r="E379" s="58"/>
      <c r="F379" s="58"/>
      <c r="G379" s="86"/>
      <c r="H379" s="58"/>
      <c r="I379" s="58"/>
      <c r="J379" s="58"/>
      <c r="K379" s="58"/>
      <c r="L379" s="58"/>
      <c r="M379" s="58"/>
      <c r="N379" s="58"/>
      <c r="O379" s="58"/>
      <c r="P379" s="58"/>
      <c r="Q379" s="58"/>
      <c r="R379" s="58"/>
      <c r="S379" s="58"/>
      <c r="T379" s="58"/>
      <c r="U379" s="58"/>
      <c r="V379" s="58"/>
      <c r="W379" s="58"/>
      <c r="X379" s="58"/>
      <c r="Y379" s="58"/>
      <c r="Z379" s="58"/>
    </row>
    <row r="380">
      <c r="A380" s="58"/>
      <c r="B380" s="58"/>
      <c r="C380" s="58"/>
      <c r="D380" s="58"/>
      <c r="E380" s="58"/>
      <c r="F380" s="58"/>
      <c r="G380" s="86"/>
      <c r="H380" s="58"/>
      <c r="I380" s="58"/>
      <c r="J380" s="58"/>
      <c r="K380" s="58"/>
      <c r="L380" s="58"/>
      <c r="M380" s="58"/>
      <c r="N380" s="58"/>
      <c r="O380" s="58"/>
      <c r="P380" s="58"/>
      <c r="Q380" s="58"/>
      <c r="R380" s="58"/>
      <c r="S380" s="58"/>
      <c r="T380" s="58"/>
      <c r="U380" s="58"/>
      <c r="V380" s="58"/>
      <c r="W380" s="58"/>
      <c r="X380" s="58"/>
      <c r="Y380" s="58"/>
      <c r="Z380" s="58"/>
    </row>
    <row r="381">
      <c r="A381" s="58"/>
      <c r="B381" s="58"/>
      <c r="C381" s="58"/>
      <c r="D381" s="58"/>
      <c r="E381" s="58"/>
      <c r="F381" s="58"/>
      <c r="G381" s="86"/>
      <c r="H381" s="58"/>
      <c r="I381" s="58"/>
      <c r="J381" s="58"/>
      <c r="K381" s="58"/>
      <c r="L381" s="58"/>
      <c r="M381" s="58"/>
      <c r="N381" s="58"/>
      <c r="O381" s="58"/>
      <c r="P381" s="58"/>
      <c r="Q381" s="58"/>
      <c r="R381" s="58"/>
      <c r="S381" s="58"/>
      <c r="T381" s="58"/>
      <c r="U381" s="58"/>
      <c r="V381" s="58"/>
      <c r="W381" s="58"/>
      <c r="X381" s="58"/>
      <c r="Y381" s="58"/>
      <c r="Z381" s="58"/>
    </row>
    <row r="382">
      <c r="A382" s="58"/>
      <c r="B382" s="58"/>
      <c r="C382" s="58"/>
      <c r="D382" s="58"/>
      <c r="E382" s="58"/>
      <c r="F382" s="58"/>
      <c r="G382" s="86"/>
      <c r="H382" s="58"/>
      <c r="I382" s="58"/>
      <c r="J382" s="58"/>
      <c r="K382" s="58"/>
      <c r="L382" s="58"/>
      <c r="M382" s="58"/>
      <c r="N382" s="58"/>
      <c r="O382" s="58"/>
      <c r="P382" s="58"/>
      <c r="Q382" s="58"/>
      <c r="R382" s="58"/>
      <c r="S382" s="58"/>
      <c r="T382" s="58"/>
      <c r="U382" s="58"/>
      <c r="V382" s="58"/>
      <c r="W382" s="58"/>
      <c r="X382" s="58"/>
      <c r="Y382" s="58"/>
      <c r="Z382" s="58"/>
    </row>
    <row r="383">
      <c r="A383" s="58"/>
      <c r="B383" s="58"/>
      <c r="C383" s="58"/>
      <c r="D383" s="58"/>
      <c r="E383" s="58"/>
      <c r="F383" s="58"/>
      <c r="G383" s="86"/>
      <c r="H383" s="58"/>
      <c r="I383" s="58"/>
      <c r="J383" s="58"/>
      <c r="K383" s="58"/>
      <c r="L383" s="58"/>
      <c r="M383" s="58"/>
      <c r="N383" s="58"/>
      <c r="O383" s="58"/>
      <c r="P383" s="58"/>
      <c r="Q383" s="58"/>
      <c r="R383" s="58"/>
      <c r="S383" s="58"/>
      <c r="T383" s="58"/>
      <c r="U383" s="58"/>
      <c r="V383" s="58"/>
      <c r="W383" s="58"/>
      <c r="X383" s="58"/>
      <c r="Y383" s="58"/>
      <c r="Z383" s="58"/>
    </row>
    <row r="384">
      <c r="A384" s="58"/>
      <c r="B384" s="58"/>
      <c r="C384" s="58"/>
      <c r="D384" s="58"/>
      <c r="E384" s="58"/>
      <c r="F384" s="58"/>
      <c r="G384" s="86"/>
      <c r="H384" s="58"/>
      <c r="I384" s="58"/>
      <c r="J384" s="58"/>
      <c r="K384" s="58"/>
      <c r="L384" s="58"/>
      <c r="M384" s="58"/>
      <c r="N384" s="58"/>
      <c r="O384" s="58"/>
      <c r="P384" s="58"/>
      <c r="Q384" s="58"/>
      <c r="R384" s="58"/>
      <c r="S384" s="58"/>
      <c r="T384" s="58"/>
      <c r="U384" s="58"/>
      <c r="V384" s="58"/>
      <c r="W384" s="58"/>
      <c r="X384" s="58"/>
      <c r="Y384" s="58"/>
      <c r="Z384" s="58"/>
    </row>
    <row r="385">
      <c r="A385" s="58"/>
      <c r="B385" s="58"/>
      <c r="C385" s="58"/>
      <c r="D385" s="58"/>
      <c r="E385" s="58"/>
      <c r="F385" s="58"/>
      <c r="G385" s="86"/>
      <c r="H385" s="58"/>
      <c r="I385" s="58"/>
      <c r="J385" s="58"/>
      <c r="K385" s="58"/>
      <c r="L385" s="58"/>
      <c r="M385" s="58"/>
      <c r="N385" s="58"/>
      <c r="O385" s="58"/>
      <c r="P385" s="58"/>
      <c r="Q385" s="58"/>
      <c r="R385" s="58"/>
      <c r="S385" s="58"/>
      <c r="T385" s="58"/>
      <c r="U385" s="58"/>
      <c r="V385" s="58"/>
      <c r="W385" s="58"/>
      <c r="X385" s="58"/>
      <c r="Y385" s="58"/>
      <c r="Z385" s="58"/>
    </row>
    <row r="386">
      <c r="A386" s="58"/>
      <c r="B386" s="58"/>
      <c r="C386" s="58"/>
      <c r="D386" s="58"/>
      <c r="E386" s="58"/>
      <c r="F386" s="58"/>
      <c r="G386" s="86"/>
      <c r="H386" s="58"/>
      <c r="I386" s="58"/>
      <c r="J386" s="58"/>
      <c r="K386" s="58"/>
      <c r="L386" s="58"/>
      <c r="M386" s="58"/>
      <c r="N386" s="58"/>
      <c r="O386" s="58"/>
      <c r="P386" s="58"/>
      <c r="Q386" s="58"/>
      <c r="R386" s="58"/>
      <c r="S386" s="58"/>
      <c r="T386" s="58"/>
      <c r="U386" s="58"/>
      <c r="V386" s="58"/>
      <c r="W386" s="58"/>
      <c r="X386" s="58"/>
      <c r="Y386" s="58"/>
      <c r="Z386" s="58"/>
    </row>
    <row r="387">
      <c r="A387" s="58"/>
      <c r="B387" s="58"/>
      <c r="C387" s="58"/>
      <c r="D387" s="58"/>
      <c r="E387" s="58"/>
      <c r="F387" s="58"/>
      <c r="G387" s="86"/>
      <c r="H387" s="58"/>
      <c r="I387" s="58"/>
      <c r="J387" s="58"/>
      <c r="K387" s="58"/>
      <c r="L387" s="58"/>
      <c r="M387" s="58"/>
      <c r="N387" s="58"/>
      <c r="O387" s="58"/>
      <c r="P387" s="58"/>
      <c r="Q387" s="58"/>
      <c r="R387" s="58"/>
      <c r="S387" s="58"/>
      <c r="T387" s="58"/>
      <c r="U387" s="58"/>
      <c r="V387" s="58"/>
      <c r="W387" s="58"/>
      <c r="X387" s="58"/>
      <c r="Y387" s="58"/>
      <c r="Z387" s="58"/>
    </row>
    <row r="388">
      <c r="A388" s="58"/>
      <c r="B388" s="58"/>
      <c r="C388" s="58"/>
      <c r="D388" s="58"/>
      <c r="E388" s="58"/>
      <c r="F388" s="58"/>
      <c r="G388" s="86"/>
      <c r="H388" s="58"/>
      <c r="I388" s="58"/>
      <c r="J388" s="58"/>
      <c r="K388" s="58"/>
      <c r="L388" s="58"/>
      <c r="M388" s="58"/>
      <c r="N388" s="58"/>
      <c r="O388" s="58"/>
      <c r="P388" s="58"/>
      <c r="Q388" s="58"/>
      <c r="R388" s="58"/>
      <c r="S388" s="58"/>
      <c r="T388" s="58"/>
      <c r="U388" s="58"/>
      <c r="V388" s="58"/>
      <c r="W388" s="58"/>
      <c r="X388" s="58"/>
      <c r="Y388" s="58"/>
      <c r="Z388" s="58"/>
    </row>
    <row r="389">
      <c r="A389" s="58"/>
      <c r="B389" s="58"/>
      <c r="C389" s="58"/>
      <c r="D389" s="58"/>
      <c r="E389" s="58"/>
      <c r="F389" s="58"/>
      <c r="G389" s="86"/>
      <c r="H389" s="58"/>
      <c r="I389" s="58"/>
      <c r="J389" s="58"/>
      <c r="K389" s="58"/>
      <c r="L389" s="58"/>
      <c r="M389" s="58"/>
      <c r="N389" s="58"/>
      <c r="O389" s="58"/>
      <c r="P389" s="58"/>
      <c r="Q389" s="58"/>
      <c r="R389" s="58"/>
      <c r="S389" s="58"/>
      <c r="T389" s="58"/>
      <c r="U389" s="58"/>
      <c r="V389" s="58"/>
      <c r="W389" s="58"/>
      <c r="X389" s="58"/>
      <c r="Y389" s="58"/>
      <c r="Z389" s="58"/>
    </row>
    <row r="390">
      <c r="A390" s="58"/>
      <c r="B390" s="58"/>
      <c r="C390" s="58"/>
      <c r="D390" s="58"/>
      <c r="E390" s="58"/>
      <c r="F390" s="58"/>
      <c r="G390" s="86"/>
      <c r="H390" s="58"/>
      <c r="I390" s="58"/>
      <c r="J390" s="58"/>
      <c r="K390" s="58"/>
      <c r="L390" s="58"/>
      <c r="M390" s="58"/>
      <c r="N390" s="58"/>
      <c r="O390" s="58"/>
      <c r="P390" s="58"/>
      <c r="Q390" s="58"/>
      <c r="R390" s="58"/>
      <c r="S390" s="58"/>
      <c r="T390" s="58"/>
      <c r="U390" s="58"/>
      <c r="V390" s="58"/>
      <c r="W390" s="58"/>
      <c r="X390" s="58"/>
      <c r="Y390" s="58"/>
      <c r="Z390" s="58"/>
    </row>
    <row r="391">
      <c r="A391" s="58"/>
      <c r="B391" s="58"/>
      <c r="C391" s="58"/>
      <c r="D391" s="58"/>
      <c r="E391" s="58"/>
      <c r="F391" s="58"/>
      <c r="G391" s="86"/>
      <c r="H391" s="58"/>
      <c r="I391" s="58"/>
      <c r="J391" s="58"/>
      <c r="K391" s="58"/>
      <c r="L391" s="58"/>
      <c r="M391" s="58"/>
      <c r="N391" s="58"/>
      <c r="O391" s="58"/>
      <c r="P391" s="58"/>
      <c r="Q391" s="58"/>
      <c r="R391" s="58"/>
      <c r="S391" s="58"/>
      <c r="T391" s="58"/>
      <c r="U391" s="58"/>
      <c r="V391" s="58"/>
      <c r="W391" s="58"/>
      <c r="X391" s="58"/>
      <c r="Y391" s="58"/>
      <c r="Z391" s="58"/>
    </row>
    <row r="392">
      <c r="A392" s="58"/>
      <c r="B392" s="58"/>
      <c r="C392" s="58"/>
      <c r="D392" s="58"/>
      <c r="E392" s="58"/>
      <c r="F392" s="58"/>
      <c r="G392" s="86"/>
      <c r="H392" s="58"/>
      <c r="I392" s="58"/>
      <c r="J392" s="58"/>
      <c r="K392" s="58"/>
      <c r="L392" s="58"/>
      <c r="M392" s="58"/>
      <c r="N392" s="58"/>
      <c r="O392" s="58"/>
      <c r="P392" s="58"/>
      <c r="Q392" s="58"/>
      <c r="R392" s="58"/>
      <c r="S392" s="58"/>
      <c r="T392" s="58"/>
      <c r="U392" s="58"/>
      <c r="V392" s="58"/>
      <c r="W392" s="58"/>
      <c r="X392" s="58"/>
      <c r="Y392" s="58"/>
      <c r="Z392" s="58"/>
    </row>
    <row r="393">
      <c r="A393" s="58"/>
      <c r="B393" s="58"/>
      <c r="C393" s="58"/>
      <c r="D393" s="58"/>
      <c r="E393" s="58"/>
      <c r="F393" s="58"/>
      <c r="G393" s="86"/>
      <c r="H393" s="58"/>
      <c r="I393" s="58"/>
      <c r="J393" s="58"/>
      <c r="K393" s="58"/>
      <c r="L393" s="58"/>
      <c r="M393" s="58"/>
      <c r="N393" s="58"/>
      <c r="O393" s="58"/>
      <c r="P393" s="58"/>
      <c r="Q393" s="58"/>
      <c r="R393" s="58"/>
      <c r="S393" s="58"/>
      <c r="T393" s="58"/>
      <c r="U393" s="58"/>
      <c r="V393" s="58"/>
      <c r="W393" s="58"/>
      <c r="X393" s="58"/>
      <c r="Y393" s="58"/>
      <c r="Z393" s="58"/>
    </row>
    <row r="394">
      <c r="A394" s="58"/>
      <c r="B394" s="58"/>
      <c r="C394" s="58"/>
      <c r="D394" s="58"/>
      <c r="E394" s="58"/>
      <c r="F394" s="58"/>
      <c r="G394" s="86"/>
      <c r="H394" s="58"/>
      <c r="I394" s="58"/>
      <c r="J394" s="58"/>
      <c r="K394" s="58"/>
      <c r="L394" s="58"/>
      <c r="M394" s="58"/>
      <c r="N394" s="58"/>
      <c r="O394" s="58"/>
      <c r="P394" s="58"/>
      <c r="Q394" s="58"/>
      <c r="R394" s="58"/>
      <c r="S394" s="58"/>
      <c r="T394" s="58"/>
      <c r="U394" s="58"/>
      <c r="V394" s="58"/>
      <c r="W394" s="58"/>
      <c r="X394" s="58"/>
      <c r="Y394" s="58"/>
      <c r="Z394" s="58"/>
    </row>
    <row r="395">
      <c r="A395" s="58"/>
      <c r="B395" s="58"/>
      <c r="C395" s="58"/>
      <c r="D395" s="58"/>
      <c r="E395" s="58"/>
      <c r="F395" s="58"/>
      <c r="G395" s="86"/>
      <c r="H395" s="58"/>
      <c r="I395" s="58"/>
      <c r="J395" s="58"/>
      <c r="K395" s="58"/>
      <c r="L395" s="58"/>
      <c r="M395" s="58"/>
      <c r="N395" s="58"/>
      <c r="O395" s="58"/>
      <c r="P395" s="58"/>
      <c r="Q395" s="58"/>
      <c r="R395" s="58"/>
      <c r="S395" s="58"/>
      <c r="T395" s="58"/>
      <c r="U395" s="58"/>
      <c r="V395" s="58"/>
      <c r="W395" s="58"/>
      <c r="X395" s="58"/>
      <c r="Y395" s="58"/>
      <c r="Z395" s="58"/>
    </row>
    <row r="396">
      <c r="A396" s="58"/>
      <c r="B396" s="58"/>
      <c r="C396" s="58"/>
      <c r="D396" s="58"/>
      <c r="E396" s="58"/>
      <c r="F396" s="58"/>
      <c r="G396" s="86"/>
      <c r="H396" s="58"/>
      <c r="I396" s="58"/>
      <c r="J396" s="58"/>
      <c r="K396" s="58"/>
      <c r="L396" s="58"/>
      <c r="M396" s="58"/>
      <c r="N396" s="58"/>
      <c r="O396" s="58"/>
      <c r="P396" s="58"/>
      <c r="Q396" s="58"/>
      <c r="R396" s="58"/>
      <c r="S396" s="58"/>
      <c r="T396" s="58"/>
      <c r="U396" s="58"/>
      <c r="V396" s="58"/>
      <c r="W396" s="58"/>
      <c r="X396" s="58"/>
      <c r="Y396" s="58"/>
      <c r="Z396" s="58"/>
    </row>
    <row r="397">
      <c r="A397" s="58"/>
      <c r="B397" s="58"/>
      <c r="C397" s="58"/>
      <c r="D397" s="58"/>
      <c r="E397" s="58"/>
      <c r="F397" s="58"/>
      <c r="G397" s="86"/>
      <c r="H397" s="58"/>
      <c r="I397" s="58"/>
      <c r="J397" s="58"/>
      <c r="K397" s="58"/>
      <c r="L397" s="58"/>
      <c r="M397" s="58"/>
      <c r="N397" s="58"/>
      <c r="O397" s="58"/>
      <c r="P397" s="58"/>
      <c r="Q397" s="58"/>
      <c r="R397" s="58"/>
      <c r="S397" s="58"/>
      <c r="T397" s="58"/>
      <c r="U397" s="58"/>
      <c r="V397" s="58"/>
      <c r="W397" s="58"/>
      <c r="X397" s="58"/>
      <c r="Y397" s="58"/>
      <c r="Z397" s="58"/>
    </row>
    <row r="398">
      <c r="A398" s="58"/>
      <c r="B398" s="58"/>
      <c r="C398" s="58"/>
      <c r="D398" s="58"/>
      <c r="E398" s="58"/>
      <c r="F398" s="58"/>
      <c r="G398" s="86"/>
      <c r="H398" s="58"/>
      <c r="I398" s="58"/>
      <c r="J398" s="58"/>
      <c r="K398" s="58"/>
      <c r="L398" s="58"/>
      <c r="M398" s="58"/>
      <c r="N398" s="58"/>
      <c r="O398" s="58"/>
      <c r="P398" s="58"/>
      <c r="Q398" s="58"/>
      <c r="R398" s="58"/>
      <c r="S398" s="58"/>
      <c r="T398" s="58"/>
      <c r="U398" s="58"/>
      <c r="V398" s="58"/>
      <c r="W398" s="58"/>
      <c r="X398" s="58"/>
      <c r="Y398" s="58"/>
      <c r="Z398" s="58"/>
    </row>
    <row r="399">
      <c r="A399" s="58"/>
      <c r="B399" s="58"/>
      <c r="C399" s="58"/>
      <c r="D399" s="58"/>
      <c r="E399" s="58"/>
      <c r="F399" s="58"/>
      <c r="G399" s="86"/>
      <c r="H399" s="58"/>
      <c r="I399" s="58"/>
      <c r="J399" s="58"/>
      <c r="K399" s="58"/>
      <c r="L399" s="58"/>
      <c r="M399" s="58"/>
      <c r="N399" s="58"/>
      <c r="O399" s="58"/>
      <c r="P399" s="58"/>
      <c r="Q399" s="58"/>
      <c r="R399" s="58"/>
      <c r="S399" s="58"/>
      <c r="T399" s="58"/>
      <c r="U399" s="58"/>
      <c r="V399" s="58"/>
      <c r="W399" s="58"/>
      <c r="X399" s="58"/>
      <c r="Y399" s="58"/>
      <c r="Z399" s="58"/>
    </row>
    <row r="400">
      <c r="A400" s="58"/>
      <c r="B400" s="58"/>
      <c r="C400" s="58"/>
      <c r="D400" s="58"/>
      <c r="E400" s="58"/>
      <c r="F400" s="58"/>
      <c r="G400" s="86"/>
      <c r="H400" s="58"/>
      <c r="I400" s="58"/>
      <c r="J400" s="58"/>
      <c r="K400" s="58"/>
      <c r="L400" s="58"/>
      <c r="M400" s="58"/>
      <c r="N400" s="58"/>
      <c r="O400" s="58"/>
      <c r="P400" s="58"/>
      <c r="Q400" s="58"/>
      <c r="R400" s="58"/>
      <c r="S400" s="58"/>
      <c r="T400" s="58"/>
      <c r="U400" s="58"/>
      <c r="V400" s="58"/>
      <c r="W400" s="58"/>
      <c r="X400" s="58"/>
      <c r="Y400" s="58"/>
      <c r="Z400" s="58"/>
    </row>
    <row r="401">
      <c r="A401" s="58"/>
      <c r="B401" s="58"/>
      <c r="C401" s="58"/>
      <c r="D401" s="58"/>
      <c r="E401" s="58"/>
      <c r="F401" s="58"/>
      <c r="G401" s="86"/>
      <c r="H401" s="58"/>
      <c r="I401" s="58"/>
      <c r="J401" s="58"/>
      <c r="K401" s="58"/>
      <c r="L401" s="58"/>
      <c r="M401" s="58"/>
      <c r="N401" s="58"/>
      <c r="O401" s="58"/>
      <c r="P401" s="58"/>
      <c r="Q401" s="58"/>
      <c r="R401" s="58"/>
      <c r="S401" s="58"/>
      <c r="T401" s="58"/>
      <c r="U401" s="58"/>
      <c r="V401" s="58"/>
      <c r="W401" s="58"/>
      <c r="X401" s="58"/>
      <c r="Y401" s="58"/>
      <c r="Z401" s="58"/>
    </row>
    <row r="402">
      <c r="A402" s="58"/>
      <c r="B402" s="58"/>
      <c r="C402" s="58"/>
      <c r="D402" s="58"/>
      <c r="E402" s="58"/>
      <c r="F402" s="58"/>
      <c r="G402" s="86"/>
      <c r="H402" s="58"/>
      <c r="I402" s="58"/>
      <c r="J402" s="58"/>
      <c r="K402" s="58"/>
      <c r="L402" s="58"/>
      <c r="M402" s="58"/>
      <c r="N402" s="58"/>
      <c r="O402" s="58"/>
      <c r="P402" s="58"/>
      <c r="Q402" s="58"/>
      <c r="R402" s="58"/>
      <c r="S402" s="58"/>
      <c r="T402" s="58"/>
      <c r="U402" s="58"/>
      <c r="V402" s="58"/>
      <c r="W402" s="58"/>
      <c r="X402" s="58"/>
      <c r="Y402" s="58"/>
      <c r="Z402" s="58"/>
    </row>
    <row r="403">
      <c r="A403" s="58"/>
      <c r="B403" s="58"/>
      <c r="C403" s="58"/>
      <c r="D403" s="58"/>
      <c r="E403" s="58"/>
      <c r="F403" s="58"/>
      <c r="G403" s="86"/>
      <c r="H403" s="58"/>
      <c r="I403" s="58"/>
      <c r="J403" s="58"/>
      <c r="K403" s="58"/>
      <c r="L403" s="58"/>
      <c r="M403" s="58"/>
      <c r="N403" s="58"/>
      <c r="O403" s="58"/>
      <c r="P403" s="58"/>
      <c r="Q403" s="58"/>
      <c r="R403" s="58"/>
      <c r="S403" s="58"/>
      <c r="T403" s="58"/>
      <c r="U403" s="58"/>
      <c r="V403" s="58"/>
      <c r="W403" s="58"/>
      <c r="X403" s="58"/>
      <c r="Y403" s="58"/>
      <c r="Z403" s="58"/>
    </row>
    <row r="404">
      <c r="A404" s="58"/>
      <c r="B404" s="58"/>
      <c r="C404" s="58"/>
      <c r="D404" s="58"/>
      <c r="E404" s="58"/>
      <c r="F404" s="58"/>
      <c r="G404" s="86"/>
      <c r="H404" s="58"/>
      <c r="I404" s="58"/>
      <c r="J404" s="58"/>
      <c r="K404" s="58"/>
      <c r="L404" s="58"/>
      <c r="M404" s="58"/>
      <c r="N404" s="58"/>
      <c r="O404" s="58"/>
      <c r="P404" s="58"/>
      <c r="Q404" s="58"/>
      <c r="R404" s="58"/>
      <c r="S404" s="58"/>
      <c r="T404" s="58"/>
      <c r="U404" s="58"/>
      <c r="V404" s="58"/>
      <c r="W404" s="58"/>
      <c r="X404" s="58"/>
      <c r="Y404" s="58"/>
      <c r="Z404" s="58"/>
    </row>
    <row r="405">
      <c r="A405" s="58"/>
      <c r="B405" s="58"/>
      <c r="C405" s="58"/>
      <c r="D405" s="58"/>
      <c r="E405" s="58"/>
      <c r="F405" s="58"/>
      <c r="G405" s="86"/>
      <c r="H405" s="58"/>
      <c r="I405" s="58"/>
      <c r="J405" s="58"/>
      <c r="K405" s="58"/>
      <c r="L405" s="58"/>
      <c r="M405" s="58"/>
      <c r="N405" s="58"/>
      <c r="O405" s="58"/>
      <c r="P405" s="58"/>
      <c r="Q405" s="58"/>
      <c r="R405" s="58"/>
      <c r="S405" s="58"/>
      <c r="T405" s="58"/>
      <c r="U405" s="58"/>
      <c r="V405" s="58"/>
      <c r="W405" s="58"/>
      <c r="X405" s="58"/>
      <c r="Y405" s="58"/>
      <c r="Z405" s="58"/>
    </row>
    <row r="406">
      <c r="A406" s="58"/>
      <c r="B406" s="58"/>
      <c r="C406" s="58"/>
      <c r="D406" s="58"/>
      <c r="E406" s="58"/>
      <c r="F406" s="58"/>
      <c r="G406" s="86"/>
      <c r="H406" s="58"/>
      <c r="I406" s="58"/>
      <c r="J406" s="58"/>
      <c r="K406" s="58"/>
      <c r="L406" s="58"/>
      <c r="M406" s="58"/>
      <c r="N406" s="58"/>
      <c r="O406" s="58"/>
      <c r="P406" s="58"/>
      <c r="Q406" s="58"/>
      <c r="R406" s="58"/>
      <c r="S406" s="58"/>
      <c r="T406" s="58"/>
      <c r="U406" s="58"/>
      <c r="V406" s="58"/>
      <c r="W406" s="58"/>
      <c r="X406" s="58"/>
      <c r="Y406" s="58"/>
      <c r="Z406" s="58"/>
    </row>
    <row r="407">
      <c r="A407" s="58"/>
      <c r="B407" s="58"/>
      <c r="C407" s="58"/>
      <c r="D407" s="58"/>
      <c r="E407" s="58"/>
      <c r="F407" s="58"/>
      <c r="G407" s="86"/>
      <c r="H407" s="58"/>
      <c r="I407" s="58"/>
      <c r="J407" s="58"/>
      <c r="K407" s="58"/>
      <c r="L407" s="58"/>
      <c r="M407" s="58"/>
      <c r="N407" s="58"/>
      <c r="O407" s="58"/>
      <c r="P407" s="58"/>
      <c r="Q407" s="58"/>
      <c r="R407" s="58"/>
      <c r="S407" s="58"/>
      <c r="T407" s="58"/>
      <c r="U407" s="58"/>
      <c r="V407" s="58"/>
      <c r="W407" s="58"/>
      <c r="X407" s="58"/>
      <c r="Y407" s="58"/>
      <c r="Z407" s="58"/>
    </row>
    <row r="408">
      <c r="A408" s="58"/>
      <c r="B408" s="58"/>
      <c r="C408" s="58"/>
      <c r="D408" s="58"/>
      <c r="E408" s="58"/>
      <c r="F408" s="58"/>
      <c r="G408" s="86"/>
      <c r="H408" s="58"/>
      <c r="I408" s="58"/>
      <c r="J408" s="58"/>
      <c r="K408" s="58"/>
      <c r="L408" s="58"/>
      <c r="M408" s="58"/>
      <c r="N408" s="58"/>
      <c r="O408" s="58"/>
      <c r="P408" s="58"/>
      <c r="Q408" s="58"/>
      <c r="R408" s="58"/>
      <c r="S408" s="58"/>
      <c r="T408" s="58"/>
      <c r="U408" s="58"/>
      <c r="V408" s="58"/>
      <c r="W408" s="58"/>
      <c r="X408" s="58"/>
      <c r="Y408" s="58"/>
      <c r="Z408" s="58"/>
    </row>
    <row r="409">
      <c r="A409" s="58"/>
      <c r="B409" s="58"/>
      <c r="C409" s="58"/>
      <c r="D409" s="58"/>
      <c r="E409" s="58"/>
      <c r="F409" s="58"/>
      <c r="G409" s="86"/>
      <c r="H409" s="58"/>
      <c r="I409" s="58"/>
      <c r="J409" s="58"/>
      <c r="K409" s="58"/>
      <c r="L409" s="58"/>
      <c r="M409" s="58"/>
      <c r="N409" s="58"/>
      <c r="O409" s="58"/>
      <c r="P409" s="58"/>
      <c r="Q409" s="58"/>
      <c r="R409" s="58"/>
      <c r="S409" s="58"/>
      <c r="T409" s="58"/>
      <c r="U409" s="58"/>
      <c r="V409" s="58"/>
      <c r="W409" s="58"/>
      <c r="X409" s="58"/>
      <c r="Y409" s="58"/>
      <c r="Z409" s="58"/>
    </row>
    <row r="410">
      <c r="A410" s="58"/>
      <c r="B410" s="58"/>
      <c r="C410" s="58"/>
      <c r="D410" s="58"/>
      <c r="E410" s="58"/>
      <c r="F410" s="58"/>
      <c r="G410" s="86"/>
      <c r="H410" s="58"/>
      <c r="I410" s="58"/>
      <c r="J410" s="58"/>
      <c r="K410" s="58"/>
      <c r="L410" s="58"/>
      <c r="M410" s="58"/>
      <c r="N410" s="58"/>
      <c r="O410" s="58"/>
      <c r="P410" s="58"/>
      <c r="Q410" s="58"/>
      <c r="R410" s="58"/>
      <c r="S410" s="58"/>
      <c r="T410" s="58"/>
      <c r="U410" s="58"/>
      <c r="V410" s="58"/>
      <c r="W410" s="58"/>
      <c r="X410" s="58"/>
      <c r="Y410" s="58"/>
      <c r="Z410" s="58"/>
    </row>
    <row r="411">
      <c r="A411" s="58"/>
      <c r="B411" s="58"/>
      <c r="C411" s="58"/>
      <c r="D411" s="58"/>
      <c r="E411" s="58"/>
      <c r="F411" s="58"/>
      <c r="G411" s="86"/>
      <c r="H411" s="58"/>
      <c r="I411" s="58"/>
      <c r="J411" s="58"/>
      <c r="K411" s="58"/>
      <c r="L411" s="58"/>
      <c r="M411" s="58"/>
      <c r="N411" s="58"/>
      <c r="O411" s="58"/>
      <c r="P411" s="58"/>
      <c r="Q411" s="58"/>
      <c r="R411" s="58"/>
      <c r="S411" s="58"/>
      <c r="T411" s="58"/>
      <c r="U411" s="58"/>
      <c r="V411" s="58"/>
      <c r="W411" s="58"/>
      <c r="X411" s="58"/>
      <c r="Y411" s="58"/>
      <c r="Z411" s="58"/>
    </row>
    <row r="412">
      <c r="A412" s="58"/>
      <c r="B412" s="58"/>
      <c r="C412" s="58"/>
      <c r="D412" s="58"/>
      <c r="E412" s="58"/>
      <c r="F412" s="58"/>
      <c r="G412" s="86"/>
      <c r="H412" s="58"/>
      <c r="I412" s="58"/>
      <c r="J412" s="58"/>
      <c r="K412" s="58"/>
      <c r="L412" s="58"/>
      <c r="M412" s="58"/>
      <c r="N412" s="58"/>
      <c r="O412" s="58"/>
      <c r="P412" s="58"/>
      <c r="Q412" s="58"/>
      <c r="R412" s="58"/>
      <c r="S412" s="58"/>
      <c r="T412" s="58"/>
      <c r="U412" s="58"/>
      <c r="V412" s="58"/>
      <c r="W412" s="58"/>
      <c r="X412" s="58"/>
      <c r="Y412" s="58"/>
      <c r="Z412" s="58"/>
    </row>
    <row r="413">
      <c r="A413" s="58"/>
      <c r="B413" s="58"/>
      <c r="C413" s="58"/>
      <c r="D413" s="58"/>
      <c r="E413" s="58"/>
      <c r="F413" s="58"/>
      <c r="G413" s="86"/>
      <c r="H413" s="58"/>
      <c r="I413" s="58"/>
      <c r="J413" s="58"/>
      <c r="K413" s="58"/>
      <c r="L413" s="58"/>
      <c r="M413" s="58"/>
      <c r="N413" s="58"/>
      <c r="O413" s="58"/>
      <c r="P413" s="58"/>
      <c r="Q413" s="58"/>
      <c r="R413" s="58"/>
      <c r="S413" s="58"/>
      <c r="T413" s="58"/>
      <c r="U413" s="58"/>
      <c r="V413" s="58"/>
      <c r="W413" s="58"/>
      <c r="X413" s="58"/>
      <c r="Y413" s="58"/>
      <c r="Z413" s="58"/>
    </row>
    <row r="414">
      <c r="A414" s="58"/>
      <c r="B414" s="58"/>
      <c r="C414" s="58"/>
      <c r="D414" s="58"/>
      <c r="E414" s="58"/>
      <c r="F414" s="58"/>
      <c r="G414" s="86"/>
      <c r="H414" s="58"/>
      <c r="I414" s="58"/>
      <c r="J414" s="58"/>
      <c r="K414" s="58"/>
      <c r="L414" s="58"/>
      <c r="M414" s="58"/>
      <c r="N414" s="58"/>
      <c r="O414" s="58"/>
      <c r="P414" s="58"/>
      <c r="Q414" s="58"/>
      <c r="R414" s="58"/>
      <c r="S414" s="58"/>
      <c r="T414" s="58"/>
      <c r="U414" s="58"/>
      <c r="V414" s="58"/>
      <c r="W414" s="58"/>
      <c r="X414" s="58"/>
      <c r="Y414" s="58"/>
      <c r="Z414" s="58"/>
    </row>
    <row r="415">
      <c r="A415" s="58"/>
      <c r="B415" s="58"/>
      <c r="C415" s="58"/>
      <c r="D415" s="58"/>
      <c r="E415" s="58"/>
      <c r="F415" s="58"/>
      <c r="G415" s="86"/>
      <c r="H415" s="58"/>
      <c r="I415" s="58"/>
      <c r="J415" s="58"/>
      <c r="K415" s="58"/>
      <c r="L415" s="58"/>
      <c r="M415" s="58"/>
      <c r="N415" s="58"/>
      <c r="O415" s="58"/>
      <c r="P415" s="58"/>
      <c r="Q415" s="58"/>
      <c r="R415" s="58"/>
      <c r="S415" s="58"/>
      <c r="T415" s="58"/>
      <c r="U415" s="58"/>
      <c r="V415" s="58"/>
      <c r="W415" s="58"/>
      <c r="X415" s="58"/>
      <c r="Y415" s="58"/>
      <c r="Z415" s="58"/>
    </row>
    <row r="416">
      <c r="A416" s="58"/>
      <c r="B416" s="58"/>
      <c r="C416" s="58"/>
      <c r="D416" s="58"/>
      <c r="E416" s="58"/>
      <c r="F416" s="58"/>
      <c r="G416" s="86"/>
      <c r="H416" s="58"/>
      <c r="I416" s="58"/>
      <c r="J416" s="58"/>
      <c r="K416" s="58"/>
      <c r="L416" s="58"/>
      <c r="M416" s="58"/>
      <c r="N416" s="58"/>
      <c r="O416" s="58"/>
      <c r="P416" s="58"/>
      <c r="Q416" s="58"/>
      <c r="R416" s="58"/>
      <c r="S416" s="58"/>
      <c r="T416" s="58"/>
      <c r="U416" s="58"/>
      <c r="V416" s="58"/>
      <c r="W416" s="58"/>
      <c r="X416" s="58"/>
      <c r="Y416" s="58"/>
      <c r="Z416" s="58"/>
    </row>
    <row r="417">
      <c r="A417" s="58"/>
      <c r="B417" s="58"/>
      <c r="C417" s="58"/>
      <c r="D417" s="58"/>
      <c r="E417" s="58"/>
      <c r="F417" s="58"/>
      <c r="G417" s="86"/>
      <c r="H417" s="58"/>
      <c r="I417" s="58"/>
      <c r="J417" s="58"/>
      <c r="K417" s="58"/>
      <c r="L417" s="58"/>
      <c r="M417" s="58"/>
      <c r="N417" s="58"/>
      <c r="O417" s="58"/>
      <c r="P417" s="58"/>
      <c r="Q417" s="58"/>
      <c r="R417" s="58"/>
      <c r="S417" s="58"/>
      <c r="T417" s="58"/>
      <c r="U417" s="58"/>
      <c r="V417" s="58"/>
      <c r="W417" s="58"/>
      <c r="X417" s="58"/>
      <c r="Y417" s="58"/>
      <c r="Z417" s="58"/>
    </row>
    <row r="418">
      <c r="A418" s="58"/>
      <c r="B418" s="58"/>
      <c r="C418" s="58"/>
      <c r="D418" s="58"/>
      <c r="E418" s="58"/>
      <c r="F418" s="58"/>
      <c r="G418" s="86"/>
      <c r="H418" s="58"/>
      <c r="I418" s="58"/>
      <c r="J418" s="58"/>
      <c r="K418" s="58"/>
      <c r="L418" s="58"/>
      <c r="M418" s="58"/>
      <c r="N418" s="58"/>
      <c r="O418" s="58"/>
      <c r="P418" s="58"/>
      <c r="Q418" s="58"/>
      <c r="R418" s="58"/>
      <c r="S418" s="58"/>
      <c r="T418" s="58"/>
      <c r="U418" s="58"/>
      <c r="V418" s="58"/>
      <c r="W418" s="58"/>
      <c r="X418" s="58"/>
      <c r="Y418" s="58"/>
      <c r="Z418" s="58"/>
    </row>
    <row r="419">
      <c r="A419" s="58"/>
      <c r="B419" s="58"/>
      <c r="C419" s="58"/>
      <c r="D419" s="58"/>
      <c r="E419" s="58"/>
      <c r="F419" s="58"/>
      <c r="G419" s="86"/>
      <c r="H419" s="58"/>
      <c r="I419" s="58"/>
      <c r="J419" s="58"/>
      <c r="K419" s="58"/>
      <c r="L419" s="58"/>
      <c r="M419" s="58"/>
      <c r="N419" s="58"/>
      <c r="O419" s="58"/>
      <c r="P419" s="58"/>
      <c r="Q419" s="58"/>
      <c r="R419" s="58"/>
      <c r="S419" s="58"/>
      <c r="T419" s="58"/>
      <c r="U419" s="58"/>
      <c r="V419" s="58"/>
      <c r="W419" s="58"/>
      <c r="X419" s="58"/>
      <c r="Y419" s="58"/>
      <c r="Z419" s="58"/>
    </row>
    <row r="420">
      <c r="A420" s="58"/>
      <c r="B420" s="58"/>
      <c r="C420" s="58"/>
      <c r="D420" s="58"/>
      <c r="E420" s="58"/>
      <c r="F420" s="58"/>
      <c r="G420" s="86"/>
      <c r="H420" s="58"/>
      <c r="I420" s="58"/>
      <c r="J420" s="58"/>
      <c r="K420" s="58"/>
      <c r="L420" s="58"/>
      <c r="M420" s="58"/>
      <c r="N420" s="58"/>
      <c r="O420" s="58"/>
      <c r="P420" s="58"/>
      <c r="Q420" s="58"/>
      <c r="R420" s="58"/>
      <c r="S420" s="58"/>
      <c r="T420" s="58"/>
      <c r="U420" s="58"/>
      <c r="V420" s="58"/>
      <c r="W420" s="58"/>
      <c r="X420" s="58"/>
      <c r="Y420" s="58"/>
      <c r="Z420" s="58"/>
    </row>
    <row r="421">
      <c r="A421" s="58"/>
      <c r="B421" s="58"/>
      <c r="C421" s="58"/>
      <c r="D421" s="58"/>
      <c r="E421" s="58"/>
      <c r="F421" s="58"/>
      <c r="G421" s="86"/>
      <c r="H421" s="58"/>
      <c r="I421" s="58"/>
      <c r="J421" s="58"/>
      <c r="K421" s="58"/>
      <c r="L421" s="58"/>
      <c r="M421" s="58"/>
      <c r="N421" s="58"/>
      <c r="O421" s="58"/>
      <c r="P421" s="58"/>
      <c r="Q421" s="58"/>
      <c r="R421" s="58"/>
      <c r="S421" s="58"/>
      <c r="T421" s="58"/>
      <c r="U421" s="58"/>
      <c r="V421" s="58"/>
      <c r="W421" s="58"/>
      <c r="X421" s="58"/>
      <c r="Y421" s="58"/>
      <c r="Z421" s="58"/>
    </row>
    <row r="422">
      <c r="A422" s="58"/>
      <c r="B422" s="58"/>
      <c r="C422" s="58"/>
      <c r="D422" s="58"/>
      <c r="E422" s="58"/>
      <c r="F422" s="58"/>
      <c r="G422" s="86"/>
      <c r="H422" s="58"/>
      <c r="I422" s="58"/>
      <c r="J422" s="58"/>
      <c r="K422" s="58"/>
      <c r="L422" s="58"/>
      <c r="M422" s="58"/>
      <c r="N422" s="58"/>
      <c r="O422" s="58"/>
      <c r="P422" s="58"/>
      <c r="Q422" s="58"/>
      <c r="R422" s="58"/>
      <c r="S422" s="58"/>
      <c r="T422" s="58"/>
      <c r="U422" s="58"/>
      <c r="V422" s="58"/>
      <c r="W422" s="58"/>
      <c r="X422" s="58"/>
      <c r="Y422" s="58"/>
      <c r="Z422" s="58"/>
    </row>
    <row r="423">
      <c r="A423" s="58"/>
      <c r="B423" s="58"/>
      <c r="C423" s="58"/>
      <c r="D423" s="58"/>
      <c r="E423" s="58"/>
      <c r="F423" s="58"/>
      <c r="G423" s="86"/>
      <c r="H423" s="58"/>
      <c r="I423" s="58"/>
      <c r="J423" s="58"/>
      <c r="K423" s="58"/>
      <c r="L423" s="58"/>
      <c r="M423" s="58"/>
      <c r="N423" s="58"/>
      <c r="O423" s="58"/>
      <c r="P423" s="58"/>
      <c r="Q423" s="58"/>
      <c r="R423" s="58"/>
      <c r="S423" s="58"/>
      <c r="T423" s="58"/>
      <c r="U423" s="58"/>
      <c r="V423" s="58"/>
      <c r="W423" s="58"/>
      <c r="X423" s="58"/>
      <c r="Y423" s="58"/>
      <c r="Z423" s="58"/>
    </row>
    <row r="424">
      <c r="A424" s="58"/>
      <c r="B424" s="58"/>
      <c r="C424" s="58"/>
      <c r="D424" s="58"/>
      <c r="E424" s="58"/>
      <c r="F424" s="58"/>
      <c r="G424" s="86"/>
      <c r="H424" s="58"/>
      <c r="I424" s="58"/>
      <c r="J424" s="58"/>
      <c r="K424" s="58"/>
      <c r="L424" s="58"/>
      <c r="M424" s="58"/>
      <c r="N424" s="58"/>
      <c r="O424" s="58"/>
      <c r="P424" s="58"/>
      <c r="Q424" s="58"/>
      <c r="R424" s="58"/>
      <c r="S424" s="58"/>
      <c r="T424" s="58"/>
      <c r="U424" s="58"/>
      <c r="V424" s="58"/>
      <c r="W424" s="58"/>
      <c r="X424" s="58"/>
      <c r="Y424" s="58"/>
      <c r="Z424" s="58"/>
    </row>
    <row r="425">
      <c r="A425" s="58"/>
      <c r="B425" s="58"/>
      <c r="C425" s="58"/>
      <c r="D425" s="58"/>
      <c r="E425" s="58"/>
      <c r="F425" s="58"/>
      <c r="G425" s="86"/>
      <c r="H425" s="58"/>
      <c r="I425" s="58"/>
      <c r="J425" s="58"/>
      <c r="K425" s="58"/>
      <c r="L425" s="58"/>
      <c r="M425" s="58"/>
      <c r="N425" s="58"/>
      <c r="O425" s="58"/>
      <c r="P425" s="58"/>
      <c r="Q425" s="58"/>
      <c r="R425" s="58"/>
      <c r="S425" s="58"/>
      <c r="T425" s="58"/>
      <c r="U425" s="58"/>
      <c r="V425" s="58"/>
      <c r="W425" s="58"/>
      <c r="X425" s="58"/>
      <c r="Y425" s="58"/>
      <c r="Z425" s="58"/>
    </row>
    <row r="426">
      <c r="A426" s="58"/>
      <c r="B426" s="58"/>
      <c r="C426" s="58"/>
      <c r="D426" s="58"/>
      <c r="E426" s="58"/>
      <c r="F426" s="58"/>
      <c r="G426" s="86"/>
      <c r="H426" s="58"/>
      <c r="I426" s="58"/>
      <c r="J426" s="58"/>
      <c r="K426" s="58"/>
      <c r="L426" s="58"/>
      <c r="M426" s="58"/>
      <c r="N426" s="58"/>
      <c r="O426" s="58"/>
      <c r="P426" s="58"/>
      <c r="Q426" s="58"/>
      <c r="R426" s="58"/>
      <c r="S426" s="58"/>
      <c r="T426" s="58"/>
      <c r="U426" s="58"/>
      <c r="V426" s="58"/>
      <c r="W426" s="58"/>
      <c r="X426" s="58"/>
      <c r="Y426" s="58"/>
      <c r="Z426" s="58"/>
    </row>
    <row r="427">
      <c r="A427" s="58"/>
      <c r="B427" s="58"/>
      <c r="C427" s="58"/>
      <c r="D427" s="58"/>
      <c r="E427" s="58"/>
      <c r="F427" s="58"/>
      <c r="G427" s="86"/>
      <c r="H427" s="58"/>
      <c r="I427" s="58"/>
      <c r="J427" s="58"/>
      <c r="K427" s="58"/>
      <c r="L427" s="58"/>
      <c r="M427" s="58"/>
      <c r="N427" s="58"/>
      <c r="O427" s="58"/>
      <c r="P427" s="58"/>
      <c r="Q427" s="58"/>
      <c r="R427" s="58"/>
      <c r="S427" s="58"/>
      <c r="T427" s="58"/>
      <c r="U427" s="58"/>
      <c r="V427" s="58"/>
      <c r="W427" s="58"/>
      <c r="X427" s="58"/>
      <c r="Y427" s="58"/>
      <c r="Z427" s="58"/>
    </row>
    <row r="428">
      <c r="A428" s="58"/>
      <c r="B428" s="58"/>
      <c r="C428" s="58"/>
      <c r="D428" s="58"/>
      <c r="E428" s="58"/>
      <c r="F428" s="58"/>
      <c r="G428" s="86"/>
      <c r="H428" s="58"/>
      <c r="I428" s="58"/>
      <c r="J428" s="58"/>
      <c r="K428" s="58"/>
      <c r="L428" s="58"/>
      <c r="M428" s="58"/>
      <c r="N428" s="58"/>
      <c r="O428" s="58"/>
      <c r="P428" s="58"/>
      <c r="Q428" s="58"/>
      <c r="R428" s="58"/>
      <c r="S428" s="58"/>
      <c r="T428" s="58"/>
      <c r="U428" s="58"/>
      <c r="V428" s="58"/>
      <c r="W428" s="58"/>
      <c r="X428" s="58"/>
      <c r="Y428" s="58"/>
      <c r="Z428" s="58"/>
    </row>
    <row r="429">
      <c r="A429" s="58"/>
      <c r="B429" s="58"/>
      <c r="C429" s="58"/>
      <c r="D429" s="58"/>
      <c r="E429" s="58"/>
      <c r="F429" s="58"/>
      <c r="G429" s="86"/>
      <c r="H429" s="58"/>
      <c r="I429" s="58"/>
      <c r="J429" s="58"/>
      <c r="K429" s="58"/>
      <c r="L429" s="58"/>
      <c r="M429" s="58"/>
      <c r="N429" s="58"/>
      <c r="O429" s="58"/>
      <c r="P429" s="58"/>
      <c r="Q429" s="58"/>
      <c r="R429" s="58"/>
      <c r="S429" s="58"/>
      <c r="T429" s="58"/>
      <c r="U429" s="58"/>
      <c r="V429" s="58"/>
      <c r="W429" s="58"/>
      <c r="X429" s="58"/>
      <c r="Y429" s="58"/>
      <c r="Z429" s="58"/>
    </row>
    <row r="430">
      <c r="A430" s="58"/>
      <c r="B430" s="58"/>
      <c r="C430" s="58"/>
      <c r="D430" s="58"/>
      <c r="E430" s="58"/>
      <c r="F430" s="58"/>
      <c r="G430" s="86"/>
      <c r="H430" s="58"/>
      <c r="I430" s="58"/>
      <c r="J430" s="58"/>
      <c r="K430" s="58"/>
      <c r="L430" s="58"/>
      <c r="M430" s="58"/>
      <c r="N430" s="58"/>
      <c r="O430" s="58"/>
      <c r="P430" s="58"/>
      <c r="Q430" s="58"/>
      <c r="R430" s="58"/>
      <c r="S430" s="58"/>
      <c r="T430" s="58"/>
      <c r="U430" s="58"/>
      <c r="V430" s="58"/>
      <c r="W430" s="58"/>
      <c r="X430" s="58"/>
      <c r="Y430" s="58"/>
      <c r="Z430" s="58"/>
    </row>
    <row r="431">
      <c r="A431" s="58"/>
      <c r="B431" s="58"/>
      <c r="C431" s="58"/>
      <c r="D431" s="58"/>
      <c r="E431" s="58"/>
      <c r="F431" s="58"/>
      <c r="G431" s="86"/>
      <c r="H431" s="58"/>
      <c r="I431" s="58"/>
      <c r="J431" s="58"/>
      <c r="K431" s="58"/>
      <c r="L431" s="58"/>
      <c r="M431" s="58"/>
      <c r="N431" s="58"/>
      <c r="O431" s="58"/>
      <c r="P431" s="58"/>
      <c r="Q431" s="58"/>
      <c r="R431" s="58"/>
      <c r="S431" s="58"/>
      <c r="T431" s="58"/>
      <c r="U431" s="58"/>
      <c r="V431" s="58"/>
      <c r="W431" s="58"/>
      <c r="X431" s="58"/>
      <c r="Y431" s="58"/>
      <c r="Z431" s="58"/>
    </row>
    <row r="432">
      <c r="A432" s="58"/>
      <c r="B432" s="58"/>
      <c r="C432" s="58"/>
      <c r="D432" s="58"/>
      <c r="E432" s="58"/>
      <c r="F432" s="58"/>
      <c r="G432" s="86"/>
      <c r="H432" s="58"/>
      <c r="I432" s="58"/>
      <c r="J432" s="58"/>
      <c r="K432" s="58"/>
      <c r="L432" s="58"/>
      <c r="M432" s="58"/>
      <c r="N432" s="58"/>
      <c r="O432" s="58"/>
      <c r="P432" s="58"/>
      <c r="Q432" s="58"/>
      <c r="R432" s="58"/>
      <c r="S432" s="58"/>
      <c r="T432" s="58"/>
      <c r="U432" s="58"/>
      <c r="V432" s="58"/>
      <c r="W432" s="58"/>
      <c r="X432" s="58"/>
      <c r="Y432" s="58"/>
      <c r="Z432" s="58"/>
    </row>
    <row r="433">
      <c r="A433" s="58"/>
      <c r="B433" s="58"/>
      <c r="C433" s="58"/>
      <c r="D433" s="58"/>
      <c r="E433" s="58"/>
      <c r="F433" s="58"/>
      <c r="G433" s="86"/>
      <c r="H433" s="58"/>
      <c r="I433" s="58"/>
      <c r="J433" s="58"/>
      <c r="K433" s="58"/>
      <c r="L433" s="58"/>
      <c r="M433" s="58"/>
      <c r="N433" s="58"/>
      <c r="O433" s="58"/>
      <c r="P433" s="58"/>
      <c r="Q433" s="58"/>
      <c r="R433" s="58"/>
      <c r="S433" s="58"/>
      <c r="T433" s="58"/>
      <c r="U433" s="58"/>
      <c r="V433" s="58"/>
      <c r="W433" s="58"/>
      <c r="X433" s="58"/>
      <c r="Y433" s="58"/>
      <c r="Z433" s="58"/>
    </row>
    <row r="434">
      <c r="A434" s="58"/>
      <c r="B434" s="58"/>
      <c r="C434" s="58"/>
      <c r="D434" s="58"/>
      <c r="E434" s="58"/>
      <c r="F434" s="58"/>
      <c r="G434" s="86"/>
      <c r="H434" s="58"/>
      <c r="I434" s="58"/>
      <c r="J434" s="58"/>
      <c r="K434" s="58"/>
      <c r="L434" s="58"/>
      <c r="M434" s="58"/>
      <c r="N434" s="58"/>
      <c r="O434" s="58"/>
      <c r="P434" s="58"/>
      <c r="Q434" s="58"/>
      <c r="R434" s="58"/>
      <c r="S434" s="58"/>
      <c r="T434" s="58"/>
      <c r="U434" s="58"/>
      <c r="V434" s="58"/>
      <c r="W434" s="58"/>
      <c r="X434" s="58"/>
      <c r="Y434" s="58"/>
      <c r="Z434" s="58"/>
    </row>
    <row r="435">
      <c r="A435" s="58"/>
      <c r="B435" s="58"/>
      <c r="C435" s="58"/>
      <c r="D435" s="58"/>
      <c r="E435" s="58"/>
      <c r="F435" s="58"/>
      <c r="G435" s="86"/>
      <c r="H435" s="58"/>
      <c r="I435" s="58"/>
      <c r="J435" s="58"/>
      <c r="K435" s="58"/>
      <c r="L435" s="58"/>
      <c r="M435" s="58"/>
      <c r="N435" s="58"/>
      <c r="O435" s="58"/>
      <c r="P435" s="58"/>
      <c r="Q435" s="58"/>
      <c r="R435" s="58"/>
      <c r="S435" s="58"/>
      <c r="T435" s="58"/>
      <c r="U435" s="58"/>
      <c r="V435" s="58"/>
      <c r="W435" s="58"/>
      <c r="X435" s="58"/>
      <c r="Y435" s="58"/>
      <c r="Z435" s="58"/>
    </row>
    <row r="436">
      <c r="A436" s="58"/>
      <c r="B436" s="58"/>
      <c r="C436" s="58"/>
      <c r="D436" s="58"/>
      <c r="E436" s="58"/>
      <c r="F436" s="58"/>
      <c r="G436" s="86"/>
      <c r="H436" s="58"/>
      <c r="I436" s="58"/>
      <c r="J436" s="58"/>
      <c r="K436" s="58"/>
      <c r="L436" s="58"/>
      <c r="M436" s="58"/>
      <c r="N436" s="58"/>
      <c r="O436" s="58"/>
      <c r="P436" s="58"/>
      <c r="Q436" s="58"/>
      <c r="R436" s="58"/>
      <c r="S436" s="58"/>
      <c r="T436" s="58"/>
      <c r="U436" s="58"/>
      <c r="V436" s="58"/>
      <c r="W436" s="58"/>
      <c r="X436" s="58"/>
      <c r="Y436" s="58"/>
      <c r="Z436" s="58"/>
    </row>
    <row r="437">
      <c r="A437" s="58"/>
      <c r="B437" s="58"/>
      <c r="C437" s="58"/>
      <c r="D437" s="58"/>
      <c r="E437" s="58"/>
      <c r="F437" s="58"/>
      <c r="G437" s="86"/>
      <c r="H437" s="58"/>
      <c r="I437" s="58"/>
      <c r="J437" s="58"/>
      <c r="K437" s="58"/>
      <c r="L437" s="58"/>
      <c r="M437" s="58"/>
      <c r="N437" s="58"/>
      <c r="O437" s="58"/>
      <c r="P437" s="58"/>
      <c r="Q437" s="58"/>
      <c r="R437" s="58"/>
      <c r="S437" s="58"/>
      <c r="T437" s="58"/>
      <c r="U437" s="58"/>
      <c r="V437" s="58"/>
      <c r="W437" s="58"/>
      <c r="X437" s="58"/>
      <c r="Y437" s="58"/>
      <c r="Z437" s="58"/>
    </row>
    <row r="438">
      <c r="A438" s="58"/>
      <c r="B438" s="58"/>
      <c r="C438" s="58"/>
      <c r="D438" s="58"/>
      <c r="E438" s="58"/>
      <c r="F438" s="58"/>
      <c r="G438" s="86"/>
      <c r="H438" s="58"/>
      <c r="I438" s="58"/>
      <c r="J438" s="58"/>
      <c r="K438" s="58"/>
      <c r="L438" s="58"/>
      <c r="M438" s="58"/>
      <c r="N438" s="58"/>
      <c r="O438" s="58"/>
      <c r="P438" s="58"/>
      <c r="Q438" s="58"/>
      <c r="R438" s="58"/>
      <c r="S438" s="58"/>
      <c r="T438" s="58"/>
      <c r="U438" s="58"/>
      <c r="V438" s="58"/>
      <c r="W438" s="58"/>
      <c r="X438" s="58"/>
      <c r="Y438" s="58"/>
      <c r="Z438" s="58"/>
    </row>
    <row r="439">
      <c r="A439" s="58"/>
      <c r="B439" s="58"/>
      <c r="C439" s="58"/>
      <c r="D439" s="58"/>
      <c r="E439" s="58"/>
      <c r="F439" s="58"/>
      <c r="G439" s="86"/>
      <c r="H439" s="58"/>
      <c r="I439" s="58"/>
      <c r="J439" s="58"/>
      <c r="K439" s="58"/>
      <c r="L439" s="58"/>
      <c r="M439" s="58"/>
      <c r="N439" s="58"/>
      <c r="O439" s="58"/>
      <c r="P439" s="58"/>
      <c r="Q439" s="58"/>
      <c r="R439" s="58"/>
      <c r="S439" s="58"/>
      <c r="T439" s="58"/>
      <c r="U439" s="58"/>
      <c r="V439" s="58"/>
      <c r="W439" s="58"/>
      <c r="X439" s="58"/>
      <c r="Y439" s="58"/>
      <c r="Z439" s="58"/>
    </row>
    <row r="440">
      <c r="A440" s="58"/>
      <c r="B440" s="58"/>
      <c r="C440" s="58"/>
      <c r="D440" s="58"/>
      <c r="E440" s="58"/>
      <c r="F440" s="58"/>
      <c r="G440" s="86"/>
      <c r="H440" s="58"/>
      <c r="I440" s="58"/>
      <c r="J440" s="58"/>
      <c r="K440" s="58"/>
      <c r="L440" s="58"/>
      <c r="M440" s="58"/>
      <c r="N440" s="58"/>
      <c r="O440" s="58"/>
      <c r="P440" s="58"/>
      <c r="Q440" s="58"/>
      <c r="R440" s="58"/>
      <c r="S440" s="58"/>
      <c r="T440" s="58"/>
      <c r="U440" s="58"/>
      <c r="V440" s="58"/>
      <c r="W440" s="58"/>
      <c r="X440" s="58"/>
      <c r="Y440" s="58"/>
      <c r="Z440" s="58"/>
    </row>
    <row r="441">
      <c r="A441" s="58"/>
      <c r="B441" s="58"/>
      <c r="C441" s="58"/>
      <c r="D441" s="58"/>
      <c r="E441" s="58"/>
      <c r="F441" s="58"/>
      <c r="G441" s="86"/>
      <c r="H441" s="58"/>
      <c r="I441" s="58"/>
      <c r="J441" s="58"/>
      <c r="K441" s="58"/>
      <c r="L441" s="58"/>
      <c r="M441" s="58"/>
      <c r="N441" s="58"/>
      <c r="O441" s="58"/>
      <c r="P441" s="58"/>
      <c r="Q441" s="58"/>
      <c r="R441" s="58"/>
      <c r="S441" s="58"/>
      <c r="T441" s="58"/>
      <c r="U441" s="58"/>
      <c r="V441" s="58"/>
      <c r="W441" s="58"/>
      <c r="X441" s="58"/>
      <c r="Y441" s="58"/>
      <c r="Z441" s="58"/>
    </row>
    <row r="442">
      <c r="A442" s="58"/>
      <c r="B442" s="58"/>
      <c r="C442" s="58"/>
      <c r="D442" s="58"/>
      <c r="E442" s="58"/>
      <c r="F442" s="58"/>
      <c r="G442" s="86"/>
      <c r="H442" s="58"/>
      <c r="I442" s="58"/>
      <c r="J442" s="58"/>
      <c r="K442" s="58"/>
      <c r="L442" s="58"/>
      <c r="M442" s="58"/>
      <c r="N442" s="58"/>
      <c r="O442" s="58"/>
      <c r="P442" s="58"/>
      <c r="Q442" s="58"/>
      <c r="R442" s="58"/>
      <c r="S442" s="58"/>
      <c r="T442" s="58"/>
      <c r="U442" s="58"/>
      <c r="V442" s="58"/>
      <c r="W442" s="58"/>
      <c r="X442" s="58"/>
      <c r="Y442" s="58"/>
      <c r="Z442" s="58"/>
    </row>
    <row r="443">
      <c r="A443" s="58"/>
      <c r="B443" s="58"/>
      <c r="C443" s="58"/>
      <c r="D443" s="58"/>
      <c r="E443" s="58"/>
      <c r="F443" s="58"/>
      <c r="G443" s="86"/>
      <c r="H443" s="58"/>
      <c r="I443" s="58"/>
      <c r="J443" s="58"/>
      <c r="K443" s="58"/>
      <c r="L443" s="58"/>
      <c r="M443" s="58"/>
      <c r="N443" s="58"/>
      <c r="O443" s="58"/>
      <c r="P443" s="58"/>
      <c r="Q443" s="58"/>
      <c r="R443" s="58"/>
      <c r="S443" s="58"/>
      <c r="T443" s="58"/>
      <c r="U443" s="58"/>
      <c r="V443" s="58"/>
      <c r="W443" s="58"/>
      <c r="X443" s="58"/>
      <c r="Y443" s="58"/>
      <c r="Z443" s="58"/>
    </row>
    <row r="444">
      <c r="A444" s="58"/>
      <c r="B444" s="58"/>
      <c r="C444" s="58"/>
      <c r="D444" s="58"/>
      <c r="E444" s="58"/>
      <c r="F444" s="58"/>
      <c r="G444" s="86"/>
      <c r="H444" s="58"/>
      <c r="I444" s="58"/>
      <c r="J444" s="58"/>
      <c r="K444" s="58"/>
      <c r="L444" s="58"/>
      <c r="M444" s="58"/>
      <c r="N444" s="58"/>
      <c r="O444" s="58"/>
      <c r="P444" s="58"/>
      <c r="Q444" s="58"/>
      <c r="R444" s="58"/>
      <c r="S444" s="58"/>
      <c r="T444" s="58"/>
      <c r="U444" s="58"/>
      <c r="V444" s="58"/>
      <c r="W444" s="58"/>
      <c r="X444" s="58"/>
      <c r="Y444" s="58"/>
      <c r="Z444" s="58"/>
    </row>
    <row r="445">
      <c r="A445" s="58"/>
      <c r="B445" s="58"/>
      <c r="C445" s="58"/>
      <c r="D445" s="58"/>
      <c r="E445" s="58"/>
      <c r="F445" s="58"/>
      <c r="G445" s="86"/>
      <c r="H445" s="58"/>
      <c r="I445" s="58"/>
      <c r="J445" s="58"/>
      <c r="K445" s="58"/>
      <c r="L445" s="58"/>
      <c r="M445" s="58"/>
      <c r="N445" s="58"/>
      <c r="O445" s="58"/>
      <c r="P445" s="58"/>
      <c r="Q445" s="58"/>
      <c r="R445" s="58"/>
      <c r="S445" s="58"/>
      <c r="T445" s="58"/>
      <c r="U445" s="58"/>
      <c r="V445" s="58"/>
      <c r="W445" s="58"/>
      <c r="X445" s="58"/>
      <c r="Y445" s="58"/>
      <c r="Z445" s="58"/>
    </row>
    <row r="446">
      <c r="A446" s="58"/>
      <c r="B446" s="58"/>
      <c r="C446" s="58"/>
      <c r="D446" s="58"/>
      <c r="E446" s="58"/>
      <c r="F446" s="58"/>
      <c r="G446" s="86"/>
      <c r="H446" s="58"/>
      <c r="I446" s="58"/>
      <c r="J446" s="58"/>
      <c r="K446" s="58"/>
      <c r="L446" s="58"/>
      <c r="M446" s="58"/>
      <c r="N446" s="58"/>
      <c r="O446" s="58"/>
      <c r="P446" s="58"/>
      <c r="Q446" s="58"/>
      <c r="R446" s="58"/>
      <c r="S446" s="58"/>
      <c r="T446" s="58"/>
      <c r="U446" s="58"/>
      <c r="V446" s="58"/>
      <c r="W446" s="58"/>
      <c r="X446" s="58"/>
      <c r="Y446" s="58"/>
      <c r="Z446" s="58"/>
    </row>
    <row r="447">
      <c r="A447" s="58"/>
      <c r="B447" s="58"/>
      <c r="C447" s="58"/>
      <c r="D447" s="58"/>
      <c r="E447" s="58"/>
      <c r="F447" s="58"/>
      <c r="G447" s="86"/>
      <c r="H447" s="58"/>
      <c r="I447" s="58"/>
      <c r="J447" s="58"/>
      <c r="K447" s="58"/>
      <c r="L447" s="58"/>
      <c r="M447" s="58"/>
      <c r="N447" s="58"/>
      <c r="O447" s="58"/>
      <c r="P447" s="58"/>
      <c r="Q447" s="58"/>
      <c r="R447" s="58"/>
      <c r="S447" s="58"/>
      <c r="T447" s="58"/>
      <c r="U447" s="58"/>
      <c r="V447" s="58"/>
      <c r="W447" s="58"/>
      <c r="X447" s="58"/>
      <c r="Y447" s="58"/>
      <c r="Z447" s="58"/>
    </row>
    <row r="448">
      <c r="A448" s="58"/>
      <c r="B448" s="58"/>
      <c r="C448" s="58"/>
      <c r="D448" s="58"/>
      <c r="E448" s="58"/>
      <c r="F448" s="58"/>
      <c r="G448" s="86"/>
      <c r="H448" s="58"/>
      <c r="I448" s="58"/>
      <c r="J448" s="58"/>
      <c r="K448" s="58"/>
      <c r="L448" s="58"/>
      <c r="M448" s="58"/>
      <c r="N448" s="58"/>
      <c r="O448" s="58"/>
      <c r="P448" s="58"/>
      <c r="Q448" s="58"/>
      <c r="R448" s="58"/>
      <c r="S448" s="58"/>
      <c r="T448" s="58"/>
      <c r="U448" s="58"/>
      <c r="V448" s="58"/>
      <c r="W448" s="58"/>
      <c r="X448" s="58"/>
      <c r="Y448" s="58"/>
      <c r="Z448" s="58"/>
    </row>
    <row r="449">
      <c r="A449" s="58"/>
      <c r="B449" s="58"/>
      <c r="C449" s="58"/>
      <c r="D449" s="58"/>
      <c r="E449" s="58"/>
      <c r="F449" s="58"/>
      <c r="G449" s="86"/>
      <c r="H449" s="58"/>
      <c r="I449" s="58"/>
      <c r="J449" s="58"/>
      <c r="K449" s="58"/>
      <c r="L449" s="58"/>
      <c r="M449" s="58"/>
      <c r="N449" s="58"/>
      <c r="O449" s="58"/>
      <c r="P449" s="58"/>
      <c r="Q449" s="58"/>
      <c r="R449" s="58"/>
      <c r="S449" s="58"/>
      <c r="T449" s="58"/>
      <c r="U449" s="58"/>
      <c r="V449" s="58"/>
      <c r="W449" s="58"/>
      <c r="X449" s="58"/>
      <c r="Y449" s="58"/>
      <c r="Z449" s="58"/>
    </row>
    <row r="450">
      <c r="A450" s="58"/>
      <c r="B450" s="58"/>
      <c r="C450" s="58"/>
      <c r="D450" s="58"/>
      <c r="E450" s="58"/>
      <c r="F450" s="58"/>
      <c r="G450" s="86"/>
      <c r="H450" s="58"/>
      <c r="I450" s="58"/>
      <c r="J450" s="58"/>
      <c r="K450" s="58"/>
      <c r="L450" s="58"/>
      <c r="M450" s="58"/>
      <c r="N450" s="58"/>
      <c r="O450" s="58"/>
      <c r="P450" s="58"/>
      <c r="Q450" s="58"/>
      <c r="R450" s="58"/>
      <c r="S450" s="58"/>
      <c r="T450" s="58"/>
      <c r="U450" s="58"/>
      <c r="V450" s="58"/>
      <c r="W450" s="58"/>
      <c r="X450" s="58"/>
      <c r="Y450" s="58"/>
      <c r="Z450" s="58"/>
    </row>
    <row r="451">
      <c r="A451" s="58"/>
      <c r="B451" s="58"/>
      <c r="C451" s="58"/>
      <c r="D451" s="58"/>
      <c r="E451" s="58"/>
      <c r="F451" s="58"/>
      <c r="G451" s="86"/>
      <c r="H451" s="58"/>
      <c r="I451" s="58"/>
      <c r="J451" s="58"/>
      <c r="K451" s="58"/>
      <c r="L451" s="58"/>
      <c r="M451" s="58"/>
      <c r="N451" s="58"/>
      <c r="O451" s="58"/>
      <c r="P451" s="58"/>
      <c r="Q451" s="58"/>
      <c r="R451" s="58"/>
      <c r="S451" s="58"/>
      <c r="T451" s="58"/>
      <c r="U451" s="58"/>
      <c r="V451" s="58"/>
      <c r="W451" s="58"/>
      <c r="X451" s="58"/>
      <c r="Y451" s="58"/>
      <c r="Z451" s="58"/>
    </row>
    <row r="452">
      <c r="A452" s="58"/>
      <c r="B452" s="58"/>
      <c r="C452" s="58"/>
      <c r="D452" s="58"/>
      <c r="E452" s="58"/>
      <c r="F452" s="58"/>
      <c r="G452" s="86"/>
      <c r="H452" s="58"/>
      <c r="I452" s="58"/>
      <c r="J452" s="58"/>
      <c r="K452" s="58"/>
      <c r="L452" s="58"/>
      <c r="M452" s="58"/>
      <c r="N452" s="58"/>
      <c r="O452" s="58"/>
      <c r="P452" s="58"/>
      <c r="Q452" s="58"/>
      <c r="R452" s="58"/>
      <c r="S452" s="58"/>
      <c r="T452" s="58"/>
      <c r="U452" s="58"/>
      <c r="V452" s="58"/>
      <c r="W452" s="58"/>
      <c r="X452" s="58"/>
      <c r="Y452" s="58"/>
      <c r="Z452" s="58"/>
    </row>
    <row r="453">
      <c r="A453" s="58"/>
      <c r="B453" s="58"/>
      <c r="C453" s="58"/>
      <c r="D453" s="58"/>
      <c r="E453" s="58"/>
      <c r="F453" s="58"/>
      <c r="G453" s="86"/>
      <c r="H453" s="58"/>
      <c r="I453" s="58"/>
      <c r="J453" s="58"/>
      <c r="K453" s="58"/>
      <c r="L453" s="58"/>
      <c r="M453" s="58"/>
      <c r="N453" s="58"/>
      <c r="O453" s="58"/>
      <c r="P453" s="58"/>
      <c r="Q453" s="58"/>
      <c r="R453" s="58"/>
      <c r="S453" s="58"/>
      <c r="T453" s="58"/>
      <c r="U453" s="58"/>
      <c r="V453" s="58"/>
      <c r="W453" s="58"/>
      <c r="X453" s="58"/>
      <c r="Y453" s="58"/>
      <c r="Z453" s="58"/>
    </row>
    <row r="454">
      <c r="A454" s="58"/>
      <c r="B454" s="58"/>
      <c r="C454" s="58"/>
      <c r="D454" s="58"/>
      <c r="E454" s="58"/>
      <c r="F454" s="58"/>
      <c r="G454" s="86"/>
      <c r="H454" s="58"/>
      <c r="I454" s="58"/>
      <c r="J454" s="58"/>
      <c r="K454" s="58"/>
      <c r="L454" s="58"/>
      <c r="M454" s="58"/>
      <c r="N454" s="58"/>
      <c r="O454" s="58"/>
      <c r="P454" s="58"/>
      <c r="Q454" s="58"/>
      <c r="R454" s="58"/>
      <c r="S454" s="58"/>
      <c r="T454" s="58"/>
      <c r="U454" s="58"/>
      <c r="V454" s="58"/>
      <c r="W454" s="58"/>
      <c r="X454" s="58"/>
      <c r="Y454" s="58"/>
      <c r="Z454" s="58"/>
    </row>
    <row r="455">
      <c r="A455" s="58"/>
      <c r="B455" s="58"/>
      <c r="C455" s="58"/>
      <c r="D455" s="58"/>
      <c r="E455" s="58"/>
      <c r="F455" s="58"/>
      <c r="G455" s="86"/>
      <c r="H455" s="58"/>
      <c r="I455" s="58"/>
      <c r="J455" s="58"/>
      <c r="K455" s="58"/>
      <c r="L455" s="58"/>
      <c r="M455" s="58"/>
      <c r="N455" s="58"/>
      <c r="O455" s="58"/>
      <c r="P455" s="58"/>
      <c r="Q455" s="58"/>
      <c r="R455" s="58"/>
      <c r="S455" s="58"/>
      <c r="T455" s="58"/>
      <c r="U455" s="58"/>
      <c r="V455" s="58"/>
      <c r="W455" s="58"/>
      <c r="X455" s="58"/>
      <c r="Y455" s="58"/>
      <c r="Z455" s="58"/>
    </row>
    <row r="456">
      <c r="A456" s="58"/>
      <c r="B456" s="58"/>
      <c r="C456" s="58"/>
      <c r="D456" s="58"/>
      <c r="E456" s="58"/>
      <c r="F456" s="58"/>
      <c r="G456" s="86"/>
      <c r="H456" s="58"/>
      <c r="I456" s="58"/>
      <c r="J456" s="58"/>
      <c r="K456" s="58"/>
      <c r="L456" s="58"/>
      <c r="M456" s="58"/>
      <c r="N456" s="58"/>
      <c r="O456" s="58"/>
      <c r="P456" s="58"/>
      <c r="Q456" s="58"/>
      <c r="R456" s="58"/>
      <c r="S456" s="58"/>
      <c r="T456" s="58"/>
      <c r="U456" s="58"/>
      <c r="V456" s="58"/>
      <c r="W456" s="58"/>
      <c r="X456" s="58"/>
      <c r="Y456" s="58"/>
      <c r="Z456" s="58"/>
    </row>
    <row r="457">
      <c r="A457" s="58"/>
      <c r="B457" s="58"/>
      <c r="C457" s="58"/>
      <c r="D457" s="58"/>
      <c r="E457" s="58"/>
      <c r="F457" s="58"/>
      <c r="G457" s="86"/>
      <c r="H457" s="58"/>
      <c r="I457" s="58"/>
      <c r="J457" s="58"/>
      <c r="K457" s="58"/>
      <c r="L457" s="58"/>
      <c r="M457" s="58"/>
      <c r="N457" s="58"/>
      <c r="O457" s="58"/>
      <c r="P457" s="58"/>
      <c r="Q457" s="58"/>
      <c r="R457" s="58"/>
      <c r="S457" s="58"/>
      <c r="T457" s="58"/>
      <c r="U457" s="58"/>
      <c r="V457" s="58"/>
      <c r="W457" s="58"/>
      <c r="X457" s="58"/>
      <c r="Y457" s="58"/>
      <c r="Z457" s="58"/>
    </row>
    <row r="458">
      <c r="A458" s="58"/>
      <c r="B458" s="58"/>
      <c r="C458" s="58"/>
      <c r="D458" s="58"/>
      <c r="E458" s="58"/>
      <c r="F458" s="58"/>
      <c r="G458" s="86"/>
      <c r="H458" s="58"/>
      <c r="I458" s="58"/>
      <c r="J458" s="58"/>
      <c r="K458" s="58"/>
      <c r="L458" s="58"/>
      <c r="M458" s="58"/>
      <c r="N458" s="58"/>
      <c r="O458" s="58"/>
      <c r="P458" s="58"/>
      <c r="Q458" s="58"/>
      <c r="R458" s="58"/>
      <c r="S458" s="58"/>
      <c r="T458" s="58"/>
      <c r="U458" s="58"/>
      <c r="V458" s="58"/>
      <c r="W458" s="58"/>
      <c r="X458" s="58"/>
      <c r="Y458" s="58"/>
      <c r="Z458" s="58"/>
    </row>
    <row r="459">
      <c r="A459" s="58"/>
      <c r="B459" s="58"/>
      <c r="C459" s="58"/>
      <c r="D459" s="58"/>
      <c r="E459" s="58"/>
      <c r="F459" s="58"/>
      <c r="G459" s="86"/>
      <c r="H459" s="58"/>
      <c r="I459" s="58"/>
      <c r="J459" s="58"/>
      <c r="K459" s="58"/>
      <c r="L459" s="58"/>
      <c r="M459" s="58"/>
      <c r="N459" s="58"/>
      <c r="O459" s="58"/>
      <c r="P459" s="58"/>
      <c r="Q459" s="58"/>
      <c r="R459" s="58"/>
      <c r="S459" s="58"/>
      <c r="T459" s="58"/>
      <c r="U459" s="58"/>
      <c r="V459" s="58"/>
      <c r="W459" s="58"/>
      <c r="X459" s="58"/>
      <c r="Y459" s="58"/>
      <c r="Z459" s="58"/>
    </row>
    <row r="460">
      <c r="A460" s="58"/>
      <c r="B460" s="58"/>
      <c r="C460" s="58"/>
      <c r="D460" s="58"/>
      <c r="E460" s="58"/>
      <c r="F460" s="58"/>
      <c r="G460" s="86"/>
      <c r="H460" s="58"/>
      <c r="I460" s="58"/>
      <c r="J460" s="58"/>
      <c r="K460" s="58"/>
      <c r="L460" s="58"/>
      <c r="M460" s="58"/>
      <c r="N460" s="58"/>
      <c r="O460" s="58"/>
      <c r="P460" s="58"/>
      <c r="Q460" s="58"/>
      <c r="R460" s="58"/>
      <c r="S460" s="58"/>
      <c r="T460" s="58"/>
      <c r="U460" s="58"/>
      <c r="V460" s="58"/>
      <c r="W460" s="58"/>
      <c r="X460" s="58"/>
      <c r="Y460" s="58"/>
      <c r="Z460" s="58"/>
    </row>
    <row r="461">
      <c r="A461" s="58"/>
      <c r="B461" s="58"/>
      <c r="C461" s="58"/>
      <c r="D461" s="58"/>
      <c r="E461" s="58"/>
      <c r="F461" s="58"/>
      <c r="G461" s="86"/>
      <c r="H461" s="58"/>
      <c r="I461" s="58"/>
      <c r="J461" s="58"/>
      <c r="K461" s="58"/>
      <c r="L461" s="58"/>
      <c r="M461" s="58"/>
      <c r="N461" s="58"/>
      <c r="O461" s="58"/>
      <c r="P461" s="58"/>
      <c r="Q461" s="58"/>
      <c r="R461" s="58"/>
      <c r="S461" s="58"/>
      <c r="T461" s="58"/>
      <c r="U461" s="58"/>
      <c r="V461" s="58"/>
      <c r="W461" s="58"/>
      <c r="X461" s="58"/>
      <c r="Y461" s="58"/>
      <c r="Z461" s="58"/>
    </row>
    <row r="462">
      <c r="A462" s="58"/>
      <c r="B462" s="58"/>
      <c r="C462" s="58"/>
      <c r="D462" s="58"/>
      <c r="E462" s="58"/>
      <c r="F462" s="58"/>
      <c r="G462" s="86"/>
      <c r="H462" s="58"/>
      <c r="I462" s="58"/>
      <c r="J462" s="58"/>
      <c r="K462" s="58"/>
      <c r="L462" s="58"/>
      <c r="M462" s="58"/>
      <c r="N462" s="58"/>
      <c r="O462" s="58"/>
      <c r="P462" s="58"/>
      <c r="Q462" s="58"/>
      <c r="R462" s="58"/>
      <c r="S462" s="58"/>
      <c r="T462" s="58"/>
      <c r="U462" s="58"/>
      <c r="V462" s="58"/>
      <c r="W462" s="58"/>
      <c r="X462" s="58"/>
      <c r="Y462" s="58"/>
      <c r="Z462" s="58"/>
    </row>
    <row r="463">
      <c r="A463" s="58"/>
      <c r="B463" s="58"/>
      <c r="C463" s="58"/>
      <c r="D463" s="58"/>
      <c r="E463" s="58"/>
      <c r="F463" s="58"/>
      <c r="G463" s="86"/>
      <c r="H463" s="58"/>
      <c r="I463" s="58"/>
      <c r="J463" s="58"/>
      <c r="K463" s="58"/>
      <c r="L463" s="58"/>
      <c r="M463" s="58"/>
      <c r="N463" s="58"/>
      <c r="O463" s="58"/>
      <c r="P463" s="58"/>
      <c r="Q463" s="58"/>
      <c r="R463" s="58"/>
      <c r="S463" s="58"/>
      <c r="T463" s="58"/>
      <c r="U463" s="58"/>
      <c r="V463" s="58"/>
      <c r="W463" s="58"/>
      <c r="X463" s="58"/>
      <c r="Y463" s="58"/>
      <c r="Z463" s="58"/>
    </row>
    <row r="464">
      <c r="A464" s="58"/>
      <c r="B464" s="58"/>
      <c r="C464" s="58"/>
      <c r="D464" s="58"/>
      <c r="E464" s="58"/>
      <c r="F464" s="58"/>
      <c r="G464" s="86"/>
      <c r="H464" s="58"/>
      <c r="I464" s="58"/>
      <c r="J464" s="58"/>
      <c r="K464" s="58"/>
      <c r="L464" s="58"/>
      <c r="M464" s="58"/>
      <c r="N464" s="58"/>
      <c r="O464" s="58"/>
      <c r="P464" s="58"/>
      <c r="Q464" s="58"/>
      <c r="R464" s="58"/>
      <c r="S464" s="58"/>
      <c r="T464" s="58"/>
      <c r="U464" s="58"/>
      <c r="V464" s="58"/>
      <c r="W464" s="58"/>
      <c r="X464" s="58"/>
      <c r="Y464" s="58"/>
      <c r="Z464" s="58"/>
    </row>
    <row r="465">
      <c r="A465" s="58"/>
      <c r="B465" s="58"/>
      <c r="C465" s="58"/>
      <c r="D465" s="58"/>
      <c r="E465" s="58"/>
      <c r="F465" s="58"/>
      <c r="G465" s="86"/>
      <c r="H465" s="58"/>
      <c r="I465" s="58"/>
      <c r="J465" s="58"/>
      <c r="K465" s="58"/>
      <c r="L465" s="58"/>
      <c r="M465" s="58"/>
      <c r="N465" s="58"/>
      <c r="O465" s="58"/>
      <c r="P465" s="58"/>
      <c r="Q465" s="58"/>
      <c r="R465" s="58"/>
      <c r="S465" s="58"/>
      <c r="T465" s="58"/>
      <c r="U465" s="58"/>
      <c r="V465" s="58"/>
      <c r="W465" s="58"/>
      <c r="X465" s="58"/>
      <c r="Y465" s="58"/>
      <c r="Z465" s="58"/>
    </row>
    <row r="466">
      <c r="A466" s="58"/>
      <c r="B466" s="58"/>
      <c r="C466" s="58"/>
      <c r="D466" s="58"/>
      <c r="E466" s="58"/>
      <c r="F466" s="58"/>
      <c r="G466" s="86"/>
      <c r="H466" s="58"/>
      <c r="I466" s="58"/>
      <c r="J466" s="58"/>
      <c r="K466" s="58"/>
      <c r="L466" s="58"/>
      <c r="M466" s="58"/>
      <c r="N466" s="58"/>
      <c r="O466" s="58"/>
      <c r="P466" s="58"/>
      <c r="Q466" s="58"/>
      <c r="R466" s="58"/>
      <c r="S466" s="58"/>
      <c r="T466" s="58"/>
      <c r="U466" s="58"/>
      <c r="V466" s="58"/>
      <c r="W466" s="58"/>
      <c r="X466" s="58"/>
      <c r="Y466" s="58"/>
      <c r="Z466" s="58"/>
    </row>
    <row r="467">
      <c r="A467" s="58"/>
      <c r="B467" s="58"/>
      <c r="C467" s="58"/>
      <c r="D467" s="58"/>
      <c r="E467" s="58"/>
      <c r="F467" s="58"/>
      <c r="G467" s="86"/>
      <c r="H467" s="58"/>
      <c r="I467" s="58"/>
      <c r="J467" s="58"/>
      <c r="K467" s="58"/>
      <c r="L467" s="58"/>
      <c r="M467" s="58"/>
      <c r="N467" s="58"/>
      <c r="O467" s="58"/>
      <c r="P467" s="58"/>
      <c r="Q467" s="58"/>
      <c r="R467" s="58"/>
      <c r="S467" s="58"/>
      <c r="T467" s="58"/>
      <c r="U467" s="58"/>
      <c r="V467" s="58"/>
      <c r="W467" s="58"/>
      <c r="X467" s="58"/>
      <c r="Y467" s="58"/>
      <c r="Z467" s="58"/>
    </row>
    <row r="468">
      <c r="A468" s="58"/>
      <c r="B468" s="58"/>
      <c r="C468" s="58"/>
      <c r="D468" s="58"/>
      <c r="E468" s="58"/>
      <c r="F468" s="58"/>
      <c r="G468" s="86"/>
      <c r="H468" s="58"/>
      <c r="I468" s="58"/>
      <c r="J468" s="58"/>
      <c r="K468" s="58"/>
      <c r="L468" s="58"/>
      <c r="M468" s="58"/>
      <c r="N468" s="58"/>
      <c r="O468" s="58"/>
      <c r="P468" s="58"/>
      <c r="Q468" s="58"/>
      <c r="R468" s="58"/>
      <c r="S468" s="58"/>
      <c r="T468" s="58"/>
      <c r="U468" s="58"/>
      <c r="V468" s="58"/>
      <c r="W468" s="58"/>
      <c r="X468" s="58"/>
      <c r="Y468" s="58"/>
      <c r="Z468" s="58"/>
    </row>
    <row r="469">
      <c r="A469" s="58"/>
      <c r="B469" s="58"/>
      <c r="C469" s="58"/>
      <c r="D469" s="58"/>
      <c r="E469" s="58"/>
      <c r="F469" s="58"/>
      <c r="G469" s="86"/>
      <c r="H469" s="58"/>
      <c r="I469" s="58"/>
      <c r="J469" s="58"/>
      <c r="K469" s="58"/>
      <c r="L469" s="58"/>
      <c r="M469" s="58"/>
      <c r="N469" s="58"/>
      <c r="O469" s="58"/>
      <c r="P469" s="58"/>
      <c r="Q469" s="58"/>
      <c r="R469" s="58"/>
      <c r="S469" s="58"/>
      <c r="T469" s="58"/>
      <c r="U469" s="58"/>
      <c r="V469" s="58"/>
      <c r="W469" s="58"/>
      <c r="X469" s="58"/>
      <c r="Y469" s="58"/>
      <c r="Z469" s="58"/>
    </row>
    <row r="470">
      <c r="A470" s="58"/>
      <c r="B470" s="58"/>
      <c r="C470" s="58"/>
      <c r="D470" s="58"/>
      <c r="E470" s="58"/>
      <c r="F470" s="58"/>
      <c r="G470" s="86"/>
      <c r="H470" s="58"/>
      <c r="I470" s="58"/>
      <c r="J470" s="58"/>
      <c r="K470" s="58"/>
      <c r="L470" s="58"/>
      <c r="M470" s="58"/>
      <c r="N470" s="58"/>
      <c r="O470" s="58"/>
      <c r="P470" s="58"/>
      <c r="Q470" s="58"/>
      <c r="R470" s="58"/>
      <c r="S470" s="58"/>
      <c r="T470" s="58"/>
      <c r="U470" s="58"/>
      <c r="V470" s="58"/>
      <c r="W470" s="58"/>
      <c r="X470" s="58"/>
      <c r="Y470" s="58"/>
      <c r="Z470" s="58"/>
    </row>
    <row r="471">
      <c r="A471" s="58"/>
      <c r="B471" s="58"/>
      <c r="C471" s="58"/>
      <c r="D471" s="58"/>
      <c r="E471" s="58"/>
      <c r="F471" s="58"/>
      <c r="G471" s="86"/>
      <c r="H471" s="58"/>
      <c r="I471" s="58"/>
      <c r="J471" s="58"/>
      <c r="K471" s="58"/>
      <c r="L471" s="58"/>
      <c r="M471" s="58"/>
      <c r="N471" s="58"/>
      <c r="O471" s="58"/>
      <c r="P471" s="58"/>
      <c r="Q471" s="58"/>
      <c r="R471" s="58"/>
      <c r="S471" s="58"/>
      <c r="T471" s="58"/>
      <c r="U471" s="58"/>
      <c r="V471" s="58"/>
      <c r="W471" s="58"/>
      <c r="X471" s="58"/>
      <c r="Y471" s="58"/>
      <c r="Z471" s="58"/>
    </row>
    <row r="472">
      <c r="A472" s="58"/>
      <c r="B472" s="58"/>
      <c r="C472" s="58"/>
      <c r="D472" s="58"/>
      <c r="E472" s="58"/>
      <c r="F472" s="58"/>
      <c r="G472" s="86"/>
      <c r="H472" s="58"/>
      <c r="I472" s="58"/>
      <c r="J472" s="58"/>
      <c r="K472" s="58"/>
      <c r="L472" s="58"/>
      <c r="M472" s="58"/>
      <c r="N472" s="58"/>
      <c r="O472" s="58"/>
      <c r="P472" s="58"/>
      <c r="Q472" s="58"/>
      <c r="R472" s="58"/>
      <c r="S472" s="58"/>
      <c r="T472" s="58"/>
      <c r="U472" s="58"/>
      <c r="V472" s="58"/>
      <c r="W472" s="58"/>
      <c r="X472" s="58"/>
      <c r="Y472" s="58"/>
      <c r="Z472" s="58"/>
    </row>
    <row r="473">
      <c r="A473" s="58"/>
      <c r="B473" s="58"/>
      <c r="C473" s="58"/>
      <c r="D473" s="58"/>
      <c r="E473" s="58"/>
      <c r="F473" s="58"/>
      <c r="G473" s="86"/>
      <c r="H473" s="58"/>
      <c r="I473" s="58"/>
      <c r="J473" s="58"/>
      <c r="K473" s="58"/>
      <c r="L473" s="58"/>
      <c r="M473" s="58"/>
      <c r="N473" s="58"/>
      <c r="O473" s="58"/>
      <c r="P473" s="58"/>
      <c r="Q473" s="58"/>
      <c r="R473" s="58"/>
      <c r="S473" s="58"/>
      <c r="T473" s="58"/>
      <c r="U473" s="58"/>
      <c r="V473" s="58"/>
      <c r="W473" s="58"/>
      <c r="X473" s="58"/>
      <c r="Y473" s="58"/>
      <c r="Z473" s="58"/>
    </row>
    <row r="474">
      <c r="A474" s="58"/>
      <c r="B474" s="58"/>
      <c r="C474" s="58"/>
      <c r="D474" s="58"/>
      <c r="E474" s="58"/>
      <c r="F474" s="58"/>
      <c r="G474" s="86"/>
      <c r="H474" s="58"/>
      <c r="I474" s="58"/>
      <c r="J474" s="58"/>
      <c r="K474" s="58"/>
      <c r="L474" s="58"/>
      <c r="M474" s="58"/>
      <c r="N474" s="58"/>
      <c r="O474" s="58"/>
      <c r="P474" s="58"/>
      <c r="Q474" s="58"/>
      <c r="R474" s="58"/>
      <c r="S474" s="58"/>
      <c r="T474" s="58"/>
      <c r="U474" s="58"/>
      <c r="V474" s="58"/>
      <c r="W474" s="58"/>
      <c r="X474" s="58"/>
      <c r="Y474" s="58"/>
      <c r="Z474" s="58"/>
    </row>
    <row r="475">
      <c r="A475" s="58"/>
      <c r="B475" s="58"/>
      <c r="C475" s="58"/>
      <c r="D475" s="58"/>
      <c r="E475" s="58"/>
      <c r="F475" s="58"/>
      <c r="G475" s="86"/>
      <c r="H475" s="58"/>
      <c r="I475" s="58"/>
      <c r="J475" s="58"/>
      <c r="K475" s="58"/>
      <c r="L475" s="58"/>
      <c r="M475" s="58"/>
      <c r="N475" s="58"/>
      <c r="O475" s="58"/>
      <c r="P475" s="58"/>
      <c r="Q475" s="58"/>
      <c r="R475" s="58"/>
      <c r="S475" s="58"/>
      <c r="T475" s="58"/>
      <c r="U475" s="58"/>
      <c r="V475" s="58"/>
      <c r="W475" s="58"/>
      <c r="X475" s="58"/>
      <c r="Y475" s="58"/>
      <c r="Z475" s="58"/>
    </row>
    <row r="476">
      <c r="A476" s="58"/>
      <c r="B476" s="58"/>
      <c r="C476" s="58"/>
      <c r="D476" s="58"/>
      <c r="E476" s="58"/>
      <c r="F476" s="58"/>
      <c r="G476" s="86"/>
      <c r="H476" s="58"/>
      <c r="I476" s="58"/>
      <c r="J476" s="58"/>
      <c r="K476" s="58"/>
      <c r="L476" s="58"/>
      <c r="M476" s="58"/>
      <c r="N476" s="58"/>
      <c r="O476" s="58"/>
      <c r="P476" s="58"/>
      <c r="Q476" s="58"/>
      <c r="R476" s="58"/>
      <c r="S476" s="58"/>
      <c r="T476" s="58"/>
      <c r="U476" s="58"/>
      <c r="V476" s="58"/>
      <c r="W476" s="58"/>
      <c r="X476" s="58"/>
      <c r="Y476" s="58"/>
      <c r="Z476" s="58"/>
    </row>
    <row r="477">
      <c r="A477" s="58"/>
      <c r="B477" s="58"/>
      <c r="C477" s="58"/>
      <c r="D477" s="58"/>
      <c r="E477" s="58"/>
      <c r="F477" s="58"/>
      <c r="G477" s="86"/>
      <c r="H477" s="58"/>
      <c r="I477" s="58"/>
      <c r="J477" s="58"/>
      <c r="K477" s="58"/>
      <c r="L477" s="58"/>
      <c r="M477" s="58"/>
      <c r="N477" s="58"/>
      <c r="O477" s="58"/>
      <c r="P477" s="58"/>
      <c r="Q477" s="58"/>
      <c r="R477" s="58"/>
      <c r="S477" s="58"/>
      <c r="T477" s="58"/>
      <c r="U477" s="58"/>
      <c r="V477" s="58"/>
      <c r="W477" s="58"/>
      <c r="X477" s="58"/>
      <c r="Y477" s="58"/>
      <c r="Z477" s="58"/>
    </row>
    <row r="478">
      <c r="A478" s="58"/>
      <c r="B478" s="58"/>
      <c r="C478" s="58"/>
      <c r="D478" s="58"/>
      <c r="E478" s="58"/>
      <c r="F478" s="58"/>
      <c r="G478" s="86"/>
      <c r="H478" s="58"/>
      <c r="I478" s="58"/>
      <c r="J478" s="58"/>
      <c r="K478" s="58"/>
      <c r="L478" s="58"/>
      <c r="M478" s="58"/>
      <c r="N478" s="58"/>
      <c r="O478" s="58"/>
      <c r="P478" s="58"/>
      <c r="Q478" s="58"/>
      <c r="R478" s="58"/>
      <c r="S478" s="58"/>
      <c r="T478" s="58"/>
      <c r="U478" s="58"/>
      <c r="V478" s="58"/>
      <c r="W478" s="58"/>
      <c r="X478" s="58"/>
      <c r="Y478" s="58"/>
      <c r="Z478" s="58"/>
    </row>
    <row r="479">
      <c r="A479" s="58"/>
      <c r="B479" s="58"/>
      <c r="C479" s="58"/>
      <c r="D479" s="58"/>
      <c r="E479" s="58"/>
      <c r="F479" s="58"/>
      <c r="G479" s="86"/>
      <c r="H479" s="58"/>
      <c r="I479" s="58"/>
      <c r="J479" s="58"/>
      <c r="K479" s="58"/>
      <c r="L479" s="58"/>
      <c r="M479" s="58"/>
      <c r="N479" s="58"/>
      <c r="O479" s="58"/>
      <c r="P479" s="58"/>
      <c r="Q479" s="58"/>
      <c r="R479" s="58"/>
      <c r="S479" s="58"/>
      <c r="T479" s="58"/>
      <c r="U479" s="58"/>
      <c r="V479" s="58"/>
      <c r="W479" s="58"/>
      <c r="X479" s="58"/>
      <c r="Y479" s="58"/>
      <c r="Z479" s="58"/>
    </row>
    <row r="480">
      <c r="A480" s="58"/>
      <c r="B480" s="58"/>
      <c r="C480" s="58"/>
      <c r="D480" s="58"/>
      <c r="E480" s="58"/>
      <c r="F480" s="58"/>
      <c r="G480" s="86"/>
      <c r="H480" s="58"/>
      <c r="I480" s="58"/>
      <c r="J480" s="58"/>
      <c r="K480" s="58"/>
      <c r="L480" s="58"/>
      <c r="M480" s="58"/>
      <c r="N480" s="58"/>
      <c r="O480" s="58"/>
      <c r="P480" s="58"/>
      <c r="Q480" s="58"/>
      <c r="R480" s="58"/>
      <c r="S480" s="58"/>
      <c r="T480" s="58"/>
      <c r="U480" s="58"/>
      <c r="V480" s="58"/>
      <c r="W480" s="58"/>
      <c r="X480" s="58"/>
      <c r="Y480" s="58"/>
      <c r="Z480" s="58"/>
    </row>
    <row r="481">
      <c r="A481" s="58"/>
      <c r="B481" s="58"/>
      <c r="C481" s="58"/>
      <c r="D481" s="58"/>
      <c r="E481" s="58"/>
      <c r="F481" s="58"/>
      <c r="G481" s="86"/>
      <c r="H481" s="58"/>
      <c r="I481" s="58"/>
      <c r="J481" s="58"/>
      <c r="K481" s="58"/>
      <c r="L481" s="58"/>
      <c r="M481" s="58"/>
      <c r="N481" s="58"/>
      <c r="O481" s="58"/>
      <c r="P481" s="58"/>
      <c r="Q481" s="58"/>
      <c r="R481" s="58"/>
      <c r="S481" s="58"/>
      <c r="T481" s="58"/>
      <c r="U481" s="58"/>
      <c r="V481" s="58"/>
      <c r="W481" s="58"/>
      <c r="X481" s="58"/>
      <c r="Y481" s="58"/>
      <c r="Z481" s="58"/>
    </row>
    <row r="482">
      <c r="A482" s="58"/>
      <c r="B482" s="58"/>
      <c r="C482" s="58"/>
      <c r="D482" s="58"/>
      <c r="E482" s="58"/>
      <c r="F482" s="58"/>
      <c r="G482" s="86"/>
      <c r="H482" s="58"/>
      <c r="I482" s="58"/>
      <c r="J482" s="58"/>
      <c r="K482" s="58"/>
      <c r="L482" s="58"/>
      <c r="M482" s="58"/>
      <c r="N482" s="58"/>
      <c r="O482" s="58"/>
      <c r="P482" s="58"/>
      <c r="Q482" s="58"/>
      <c r="R482" s="58"/>
      <c r="S482" s="58"/>
      <c r="T482" s="58"/>
      <c r="U482" s="58"/>
      <c r="V482" s="58"/>
      <c r="W482" s="58"/>
      <c r="X482" s="58"/>
      <c r="Y482" s="58"/>
      <c r="Z482" s="58"/>
    </row>
    <row r="483">
      <c r="A483" s="58"/>
      <c r="B483" s="58"/>
      <c r="C483" s="58"/>
      <c r="D483" s="58"/>
      <c r="E483" s="58"/>
      <c r="F483" s="58"/>
      <c r="G483" s="86"/>
      <c r="H483" s="58"/>
      <c r="I483" s="58"/>
      <c r="J483" s="58"/>
      <c r="K483" s="58"/>
      <c r="L483" s="58"/>
      <c r="M483" s="58"/>
      <c r="N483" s="58"/>
      <c r="O483" s="58"/>
      <c r="P483" s="58"/>
      <c r="Q483" s="58"/>
      <c r="R483" s="58"/>
      <c r="S483" s="58"/>
      <c r="T483" s="58"/>
      <c r="U483" s="58"/>
      <c r="V483" s="58"/>
      <c r="W483" s="58"/>
      <c r="X483" s="58"/>
      <c r="Y483" s="58"/>
      <c r="Z483" s="58"/>
    </row>
    <row r="484">
      <c r="A484" s="58"/>
      <c r="B484" s="58"/>
      <c r="C484" s="58"/>
      <c r="D484" s="58"/>
      <c r="E484" s="58"/>
      <c r="F484" s="58"/>
      <c r="G484" s="86"/>
      <c r="H484" s="58"/>
      <c r="I484" s="58"/>
      <c r="J484" s="58"/>
      <c r="K484" s="58"/>
      <c r="L484" s="58"/>
      <c r="M484" s="58"/>
      <c r="N484" s="58"/>
      <c r="O484" s="58"/>
      <c r="P484" s="58"/>
      <c r="Q484" s="58"/>
      <c r="R484" s="58"/>
      <c r="S484" s="58"/>
      <c r="T484" s="58"/>
      <c r="U484" s="58"/>
      <c r="V484" s="58"/>
      <c r="W484" s="58"/>
      <c r="X484" s="58"/>
      <c r="Y484" s="58"/>
      <c r="Z484" s="58"/>
    </row>
    <row r="485">
      <c r="A485" s="58"/>
      <c r="B485" s="58"/>
      <c r="C485" s="58"/>
      <c r="D485" s="58"/>
      <c r="E485" s="58"/>
      <c r="F485" s="58"/>
      <c r="G485" s="86"/>
      <c r="H485" s="58"/>
      <c r="I485" s="58"/>
      <c r="J485" s="58"/>
      <c r="K485" s="58"/>
      <c r="L485" s="58"/>
      <c r="M485" s="58"/>
      <c r="N485" s="58"/>
      <c r="O485" s="58"/>
      <c r="P485" s="58"/>
      <c r="Q485" s="58"/>
      <c r="R485" s="58"/>
      <c r="S485" s="58"/>
      <c r="T485" s="58"/>
      <c r="U485" s="58"/>
      <c r="V485" s="58"/>
      <c r="W485" s="58"/>
      <c r="X485" s="58"/>
      <c r="Y485" s="58"/>
      <c r="Z485" s="58"/>
    </row>
    <row r="486">
      <c r="A486" s="58"/>
      <c r="B486" s="58"/>
      <c r="C486" s="58"/>
      <c r="D486" s="58"/>
      <c r="E486" s="58"/>
      <c r="F486" s="58"/>
      <c r="G486" s="86"/>
      <c r="H486" s="58"/>
      <c r="I486" s="58"/>
      <c r="J486" s="58"/>
      <c r="K486" s="58"/>
      <c r="L486" s="58"/>
      <c r="M486" s="58"/>
      <c r="N486" s="58"/>
      <c r="O486" s="58"/>
      <c r="P486" s="58"/>
      <c r="Q486" s="58"/>
      <c r="R486" s="58"/>
      <c r="S486" s="58"/>
      <c r="T486" s="58"/>
      <c r="U486" s="58"/>
      <c r="V486" s="58"/>
      <c r="W486" s="58"/>
      <c r="X486" s="58"/>
      <c r="Y486" s="58"/>
      <c r="Z486" s="58"/>
    </row>
    <row r="487">
      <c r="A487" s="58"/>
      <c r="B487" s="58"/>
      <c r="C487" s="58"/>
      <c r="D487" s="58"/>
      <c r="E487" s="58"/>
      <c r="F487" s="58"/>
      <c r="G487" s="86"/>
      <c r="H487" s="58"/>
      <c r="I487" s="58"/>
      <c r="J487" s="58"/>
      <c r="K487" s="58"/>
      <c r="L487" s="58"/>
      <c r="M487" s="58"/>
      <c r="N487" s="58"/>
      <c r="O487" s="58"/>
      <c r="P487" s="58"/>
      <c r="Q487" s="58"/>
      <c r="R487" s="58"/>
      <c r="S487" s="58"/>
      <c r="T487" s="58"/>
      <c r="U487" s="58"/>
      <c r="V487" s="58"/>
      <c r="W487" s="58"/>
      <c r="X487" s="58"/>
      <c r="Y487" s="58"/>
      <c r="Z487" s="58"/>
    </row>
    <row r="488">
      <c r="A488" s="58"/>
      <c r="B488" s="58"/>
      <c r="C488" s="58"/>
      <c r="D488" s="58"/>
      <c r="E488" s="58"/>
      <c r="F488" s="58"/>
      <c r="G488" s="86"/>
      <c r="H488" s="58"/>
      <c r="I488" s="58"/>
      <c r="J488" s="58"/>
      <c r="K488" s="58"/>
      <c r="L488" s="58"/>
      <c r="M488" s="58"/>
      <c r="N488" s="58"/>
      <c r="O488" s="58"/>
      <c r="P488" s="58"/>
      <c r="Q488" s="58"/>
      <c r="R488" s="58"/>
      <c r="S488" s="58"/>
      <c r="T488" s="58"/>
      <c r="U488" s="58"/>
      <c r="V488" s="58"/>
      <c r="W488" s="58"/>
      <c r="X488" s="58"/>
      <c r="Y488" s="58"/>
      <c r="Z488" s="58"/>
    </row>
    <row r="489">
      <c r="A489" s="58"/>
      <c r="B489" s="58"/>
      <c r="C489" s="58"/>
      <c r="D489" s="58"/>
      <c r="E489" s="58"/>
      <c r="F489" s="58"/>
      <c r="G489" s="86"/>
      <c r="H489" s="58"/>
      <c r="I489" s="58"/>
      <c r="J489" s="58"/>
      <c r="K489" s="58"/>
      <c r="L489" s="58"/>
      <c r="M489" s="58"/>
      <c r="N489" s="58"/>
      <c r="O489" s="58"/>
      <c r="P489" s="58"/>
      <c r="Q489" s="58"/>
      <c r="R489" s="58"/>
      <c r="S489" s="58"/>
      <c r="T489" s="58"/>
      <c r="U489" s="58"/>
      <c r="V489" s="58"/>
      <c r="W489" s="58"/>
      <c r="X489" s="58"/>
      <c r="Y489" s="58"/>
      <c r="Z489" s="58"/>
    </row>
    <row r="490">
      <c r="A490" s="58"/>
      <c r="B490" s="58"/>
      <c r="C490" s="58"/>
      <c r="D490" s="58"/>
      <c r="E490" s="58"/>
      <c r="F490" s="58"/>
      <c r="G490" s="86"/>
      <c r="H490" s="58"/>
      <c r="I490" s="58"/>
      <c r="J490" s="58"/>
      <c r="K490" s="58"/>
      <c r="L490" s="58"/>
      <c r="M490" s="58"/>
      <c r="N490" s="58"/>
      <c r="O490" s="58"/>
      <c r="P490" s="58"/>
      <c r="Q490" s="58"/>
      <c r="R490" s="58"/>
      <c r="S490" s="58"/>
      <c r="T490" s="58"/>
      <c r="U490" s="58"/>
      <c r="V490" s="58"/>
      <c r="W490" s="58"/>
      <c r="X490" s="58"/>
      <c r="Y490" s="58"/>
      <c r="Z490" s="58"/>
    </row>
    <row r="491">
      <c r="A491" s="58"/>
      <c r="B491" s="58"/>
      <c r="C491" s="58"/>
      <c r="D491" s="58"/>
      <c r="E491" s="58"/>
      <c r="F491" s="58"/>
      <c r="G491" s="86"/>
      <c r="H491" s="58"/>
      <c r="I491" s="58"/>
      <c r="J491" s="58"/>
      <c r="K491" s="58"/>
      <c r="L491" s="58"/>
      <c r="M491" s="58"/>
      <c r="N491" s="58"/>
      <c r="O491" s="58"/>
      <c r="P491" s="58"/>
      <c r="Q491" s="58"/>
      <c r="R491" s="58"/>
      <c r="S491" s="58"/>
      <c r="T491" s="58"/>
      <c r="U491" s="58"/>
      <c r="V491" s="58"/>
      <c r="W491" s="58"/>
      <c r="X491" s="58"/>
      <c r="Y491" s="58"/>
      <c r="Z491" s="58"/>
    </row>
    <row r="492">
      <c r="A492" s="58"/>
      <c r="B492" s="58"/>
      <c r="C492" s="58"/>
      <c r="D492" s="58"/>
      <c r="E492" s="58"/>
      <c r="F492" s="58"/>
      <c r="G492" s="86"/>
      <c r="H492" s="58"/>
      <c r="I492" s="58"/>
      <c r="J492" s="58"/>
      <c r="K492" s="58"/>
      <c r="L492" s="58"/>
      <c r="M492" s="58"/>
      <c r="N492" s="58"/>
      <c r="O492" s="58"/>
      <c r="P492" s="58"/>
      <c r="Q492" s="58"/>
      <c r="R492" s="58"/>
      <c r="S492" s="58"/>
      <c r="T492" s="58"/>
      <c r="U492" s="58"/>
      <c r="V492" s="58"/>
      <c r="W492" s="58"/>
      <c r="X492" s="58"/>
      <c r="Y492" s="58"/>
      <c r="Z492" s="58"/>
    </row>
    <row r="493">
      <c r="A493" s="58"/>
      <c r="B493" s="58"/>
      <c r="C493" s="58"/>
      <c r="D493" s="58"/>
      <c r="E493" s="58"/>
      <c r="F493" s="58"/>
      <c r="G493" s="86"/>
      <c r="H493" s="58"/>
      <c r="I493" s="58"/>
      <c r="J493" s="58"/>
      <c r="K493" s="58"/>
      <c r="L493" s="58"/>
      <c r="M493" s="58"/>
      <c r="N493" s="58"/>
      <c r="O493" s="58"/>
      <c r="P493" s="58"/>
      <c r="Q493" s="58"/>
      <c r="R493" s="58"/>
      <c r="S493" s="58"/>
      <c r="T493" s="58"/>
      <c r="U493" s="58"/>
      <c r="V493" s="58"/>
      <c r="W493" s="58"/>
      <c r="X493" s="58"/>
      <c r="Y493" s="58"/>
      <c r="Z493" s="58"/>
    </row>
    <row r="494">
      <c r="A494" s="58"/>
      <c r="B494" s="58"/>
      <c r="C494" s="58"/>
      <c r="D494" s="58"/>
      <c r="E494" s="58"/>
      <c r="F494" s="58"/>
      <c r="G494" s="86"/>
      <c r="H494" s="58"/>
      <c r="I494" s="58"/>
      <c r="J494" s="58"/>
      <c r="K494" s="58"/>
      <c r="L494" s="58"/>
      <c r="M494" s="58"/>
      <c r="N494" s="58"/>
      <c r="O494" s="58"/>
      <c r="P494" s="58"/>
      <c r="Q494" s="58"/>
      <c r="R494" s="58"/>
      <c r="S494" s="58"/>
      <c r="T494" s="58"/>
      <c r="U494" s="58"/>
      <c r="V494" s="58"/>
      <c r="W494" s="58"/>
      <c r="X494" s="58"/>
      <c r="Y494" s="58"/>
      <c r="Z494" s="58"/>
    </row>
    <row r="495">
      <c r="A495" s="58"/>
      <c r="B495" s="58"/>
      <c r="C495" s="58"/>
      <c r="D495" s="58"/>
      <c r="E495" s="58"/>
      <c r="F495" s="58"/>
      <c r="G495" s="86"/>
      <c r="H495" s="58"/>
      <c r="I495" s="58"/>
      <c r="J495" s="58"/>
      <c r="K495" s="58"/>
      <c r="L495" s="58"/>
      <c r="M495" s="58"/>
      <c r="N495" s="58"/>
      <c r="O495" s="58"/>
      <c r="P495" s="58"/>
      <c r="Q495" s="58"/>
      <c r="R495" s="58"/>
      <c r="S495" s="58"/>
      <c r="T495" s="58"/>
      <c r="U495" s="58"/>
      <c r="V495" s="58"/>
      <c r="W495" s="58"/>
      <c r="X495" s="58"/>
      <c r="Y495" s="58"/>
      <c r="Z495" s="58"/>
    </row>
    <row r="496">
      <c r="A496" s="58"/>
      <c r="B496" s="58"/>
      <c r="C496" s="58"/>
      <c r="D496" s="58"/>
      <c r="E496" s="58"/>
      <c r="F496" s="58"/>
      <c r="G496" s="86"/>
      <c r="H496" s="58"/>
      <c r="I496" s="58"/>
      <c r="J496" s="58"/>
      <c r="K496" s="58"/>
      <c r="L496" s="58"/>
      <c r="M496" s="58"/>
      <c r="N496" s="58"/>
      <c r="O496" s="58"/>
      <c r="P496" s="58"/>
      <c r="Q496" s="58"/>
      <c r="R496" s="58"/>
      <c r="S496" s="58"/>
      <c r="T496" s="58"/>
      <c r="U496" s="58"/>
      <c r="V496" s="58"/>
      <c r="W496" s="58"/>
      <c r="X496" s="58"/>
      <c r="Y496" s="58"/>
      <c r="Z496" s="58"/>
    </row>
    <row r="497">
      <c r="A497" s="58"/>
      <c r="B497" s="58"/>
      <c r="C497" s="58"/>
      <c r="D497" s="58"/>
      <c r="E497" s="58"/>
      <c r="F497" s="58"/>
      <c r="G497" s="86"/>
      <c r="H497" s="58"/>
      <c r="I497" s="58"/>
      <c r="J497" s="58"/>
      <c r="K497" s="58"/>
      <c r="L497" s="58"/>
      <c r="M497" s="58"/>
      <c r="N497" s="58"/>
      <c r="O497" s="58"/>
      <c r="P497" s="58"/>
      <c r="Q497" s="58"/>
      <c r="R497" s="58"/>
      <c r="S497" s="58"/>
      <c r="T497" s="58"/>
      <c r="U497" s="58"/>
      <c r="V497" s="58"/>
      <c r="W497" s="58"/>
      <c r="X497" s="58"/>
      <c r="Y497" s="58"/>
      <c r="Z497" s="58"/>
    </row>
    <row r="498">
      <c r="A498" s="58"/>
      <c r="B498" s="58"/>
      <c r="C498" s="58"/>
      <c r="D498" s="58"/>
      <c r="E498" s="58"/>
      <c r="F498" s="58"/>
      <c r="G498" s="86"/>
      <c r="H498" s="58"/>
      <c r="I498" s="58"/>
      <c r="J498" s="58"/>
      <c r="K498" s="58"/>
      <c r="L498" s="58"/>
      <c r="M498" s="58"/>
      <c r="N498" s="58"/>
      <c r="O498" s="58"/>
      <c r="P498" s="58"/>
      <c r="Q498" s="58"/>
      <c r="R498" s="58"/>
      <c r="S498" s="58"/>
      <c r="T498" s="58"/>
      <c r="U498" s="58"/>
      <c r="V498" s="58"/>
      <c r="W498" s="58"/>
      <c r="X498" s="58"/>
      <c r="Y498" s="58"/>
      <c r="Z498" s="58"/>
    </row>
    <row r="499">
      <c r="A499" s="58"/>
      <c r="B499" s="58"/>
      <c r="C499" s="58"/>
      <c r="D499" s="58"/>
      <c r="E499" s="58"/>
      <c r="F499" s="58"/>
      <c r="G499" s="86"/>
      <c r="H499" s="58"/>
      <c r="I499" s="58"/>
      <c r="J499" s="58"/>
      <c r="K499" s="58"/>
      <c r="L499" s="58"/>
      <c r="M499" s="58"/>
      <c r="N499" s="58"/>
      <c r="O499" s="58"/>
      <c r="P499" s="58"/>
      <c r="Q499" s="58"/>
      <c r="R499" s="58"/>
      <c r="S499" s="58"/>
      <c r="T499" s="58"/>
      <c r="U499" s="58"/>
      <c r="V499" s="58"/>
      <c r="W499" s="58"/>
      <c r="X499" s="58"/>
      <c r="Y499" s="58"/>
      <c r="Z499" s="58"/>
    </row>
    <row r="500">
      <c r="A500" s="58"/>
      <c r="B500" s="58"/>
      <c r="C500" s="58"/>
      <c r="D500" s="58"/>
      <c r="E500" s="58"/>
      <c r="F500" s="58"/>
      <c r="G500" s="86"/>
      <c r="H500" s="58"/>
      <c r="I500" s="58"/>
      <c r="J500" s="58"/>
      <c r="K500" s="58"/>
      <c r="L500" s="58"/>
      <c r="M500" s="58"/>
      <c r="N500" s="58"/>
      <c r="O500" s="58"/>
      <c r="P500" s="58"/>
      <c r="Q500" s="58"/>
      <c r="R500" s="58"/>
      <c r="S500" s="58"/>
      <c r="T500" s="58"/>
      <c r="U500" s="58"/>
      <c r="V500" s="58"/>
      <c r="W500" s="58"/>
      <c r="X500" s="58"/>
      <c r="Y500" s="58"/>
      <c r="Z500" s="58"/>
    </row>
    <row r="501">
      <c r="A501" s="58"/>
      <c r="B501" s="58"/>
      <c r="C501" s="58"/>
      <c r="D501" s="58"/>
      <c r="E501" s="58"/>
      <c r="F501" s="58"/>
      <c r="G501" s="86"/>
      <c r="H501" s="58"/>
      <c r="I501" s="58"/>
      <c r="J501" s="58"/>
      <c r="K501" s="58"/>
      <c r="L501" s="58"/>
      <c r="M501" s="58"/>
      <c r="N501" s="58"/>
      <c r="O501" s="58"/>
      <c r="P501" s="58"/>
      <c r="Q501" s="58"/>
      <c r="R501" s="58"/>
      <c r="S501" s="58"/>
      <c r="T501" s="58"/>
      <c r="U501" s="58"/>
      <c r="V501" s="58"/>
      <c r="W501" s="58"/>
      <c r="X501" s="58"/>
      <c r="Y501" s="58"/>
      <c r="Z501" s="58"/>
    </row>
    <row r="502">
      <c r="A502" s="58"/>
      <c r="B502" s="58"/>
      <c r="C502" s="58"/>
      <c r="D502" s="58"/>
      <c r="E502" s="58"/>
      <c r="F502" s="58"/>
      <c r="G502" s="86"/>
      <c r="H502" s="58"/>
      <c r="I502" s="58"/>
      <c r="J502" s="58"/>
      <c r="K502" s="58"/>
      <c r="L502" s="58"/>
      <c r="M502" s="58"/>
      <c r="N502" s="58"/>
      <c r="O502" s="58"/>
      <c r="P502" s="58"/>
      <c r="Q502" s="58"/>
      <c r="R502" s="58"/>
      <c r="S502" s="58"/>
      <c r="T502" s="58"/>
      <c r="U502" s="58"/>
      <c r="V502" s="58"/>
      <c r="W502" s="58"/>
      <c r="X502" s="58"/>
      <c r="Y502" s="58"/>
      <c r="Z502" s="58"/>
    </row>
    <row r="503">
      <c r="A503" s="58"/>
      <c r="B503" s="58"/>
      <c r="C503" s="58"/>
      <c r="D503" s="58"/>
      <c r="E503" s="58"/>
      <c r="F503" s="58"/>
      <c r="G503" s="86"/>
      <c r="H503" s="58"/>
      <c r="I503" s="58"/>
      <c r="J503" s="58"/>
      <c r="K503" s="58"/>
      <c r="L503" s="58"/>
      <c r="M503" s="58"/>
      <c r="N503" s="58"/>
      <c r="O503" s="58"/>
      <c r="P503" s="58"/>
      <c r="Q503" s="58"/>
      <c r="R503" s="58"/>
      <c r="S503" s="58"/>
      <c r="T503" s="58"/>
      <c r="U503" s="58"/>
      <c r="V503" s="58"/>
      <c r="W503" s="58"/>
      <c r="X503" s="58"/>
      <c r="Y503" s="58"/>
      <c r="Z503" s="58"/>
    </row>
    <row r="504">
      <c r="A504" s="58"/>
      <c r="B504" s="58"/>
      <c r="C504" s="58"/>
      <c r="D504" s="58"/>
      <c r="E504" s="58"/>
      <c r="F504" s="58"/>
      <c r="G504" s="86"/>
      <c r="H504" s="58"/>
      <c r="I504" s="58"/>
      <c r="J504" s="58"/>
      <c r="K504" s="58"/>
      <c r="L504" s="58"/>
      <c r="M504" s="58"/>
      <c r="N504" s="58"/>
      <c r="O504" s="58"/>
      <c r="P504" s="58"/>
      <c r="Q504" s="58"/>
      <c r="R504" s="58"/>
      <c r="S504" s="58"/>
      <c r="T504" s="58"/>
      <c r="U504" s="58"/>
      <c r="V504" s="58"/>
      <c r="W504" s="58"/>
      <c r="X504" s="58"/>
      <c r="Y504" s="58"/>
      <c r="Z504" s="58"/>
    </row>
    <row r="505">
      <c r="A505" s="58"/>
      <c r="B505" s="58"/>
      <c r="C505" s="58"/>
      <c r="D505" s="58"/>
      <c r="E505" s="58"/>
      <c r="F505" s="58"/>
      <c r="G505" s="86"/>
      <c r="H505" s="58"/>
      <c r="I505" s="58"/>
      <c r="J505" s="58"/>
      <c r="K505" s="58"/>
      <c r="L505" s="58"/>
      <c r="M505" s="58"/>
      <c r="N505" s="58"/>
      <c r="O505" s="58"/>
      <c r="P505" s="58"/>
      <c r="Q505" s="58"/>
      <c r="R505" s="58"/>
      <c r="S505" s="58"/>
      <c r="T505" s="58"/>
      <c r="U505" s="58"/>
      <c r="V505" s="58"/>
      <c r="W505" s="58"/>
      <c r="X505" s="58"/>
      <c r="Y505" s="58"/>
      <c r="Z505" s="58"/>
    </row>
    <row r="506">
      <c r="A506" s="58"/>
      <c r="B506" s="58"/>
      <c r="C506" s="58"/>
      <c r="D506" s="58"/>
      <c r="E506" s="58"/>
      <c r="F506" s="58"/>
      <c r="G506" s="86"/>
      <c r="H506" s="58"/>
      <c r="I506" s="58"/>
      <c r="J506" s="58"/>
      <c r="K506" s="58"/>
      <c r="L506" s="58"/>
      <c r="M506" s="58"/>
      <c r="N506" s="58"/>
      <c r="O506" s="58"/>
      <c r="P506" s="58"/>
      <c r="Q506" s="58"/>
      <c r="R506" s="58"/>
      <c r="S506" s="58"/>
      <c r="T506" s="58"/>
      <c r="U506" s="58"/>
      <c r="V506" s="58"/>
      <c r="W506" s="58"/>
      <c r="X506" s="58"/>
      <c r="Y506" s="58"/>
      <c r="Z506" s="58"/>
    </row>
    <row r="507">
      <c r="A507" s="58"/>
      <c r="B507" s="58"/>
      <c r="C507" s="58"/>
      <c r="D507" s="58"/>
      <c r="E507" s="58"/>
      <c r="F507" s="58"/>
      <c r="G507" s="86"/>
      <c r="H507" s="58"/>
      <c r="I507" s="58"/>
      <c r="J507" s="58"/>
      <c r="K507" s="58"/>
      <c r="L507" s="58"/>
      <c r="M507" s="58"/>
      <c r="N507" s="58"/>
      <c r="O507" s="58"/>
      <c r="P507" s="58"/>
      <c r="Q507" s="58"/>
      <c r="R507" s="58"/>
      <c r="S507" s="58"/>
      <c r="T507" s="58"/>
      <c r="U507" s="58"/>
      <c r="V507" s="58"/>
      <c r="W507" s="58"/>
      <c r="X507" s="58"/>
      <c r="Y507" s="58"/>
      <c r="Z507" s="58"/>
    </row>
    <row r="508">
      <c r="A508" s="58"/>
      <c r="B508" s="58"/>
      <c r="C508" s="58"/>
      <c r="D508" s="58"/>
      <c r="E508" s="58"/>
      <c r="F508" s="58"/>
      <c r="G508" s="86"/>
      <c r="H508" s="58"/>
      <c r="I508" s="58"/>
      <c r="J508" s="58"/>
      <c r="K508" s="58"/>
      <c r="L508" s="58"/>
      <c r="M508" s="58"/>
      <c r="N508" s="58"/>
      <c r="O508" s="58"/>
      <c r="P508" s="58"/>
      <c r="Q508" s="58"/>
      <c r="R508" s="58"/>
      <c r="S508" s="58"/>
      <c r="T508" s="58"/>
      <c r="U508" s="58"/>
      <c r="V508" s="58"/>
      <c r="W508" s="58"/>
      <c r="X508" s="58"/>
      <c r="Y508" s="58"/>
      <c r="Z508" s="58"/>
    </row>
    <row r="509">
      <c r="A509" s="58"/>
      <c r="B509" s="58"/>
      <c r="C509" s="58"/>
      <c r="D509" s="58"/>
      <c r="E509" s="58"/>
      <c r="F509" s="58"/>
      <c r="G509" s="86"/>
      <c r="H509" s="58"/>
      <c r="I509" s="58"/>
      <c r="J509" s="58"/>
      <c r="K509" s="58"/>
      <c r="L509" s="58"/>
      <c r="M509" s="58"/>
      <c r="N509" s="58"/>
      <c r="O509" s="58"/>
      <c r="P509" s="58"/>
      <c r="Q509" s="58"/>
      <c r="R509" s="58"/>
      <c r="S509" s="58"/>
      <c r="T509" s="58"/>
      <c r="U509" s="58"/>
      <c r="V509" s="58"/>
      <c r="W509" s="58"/>
      <c r="X509" s="58"/>
      <c r="Y509" s="58"/>
      <c r="Z509" s="58"/>
    </row>
    <row r="510">
      <c r="A510" s="58"/>
      <c r="B510" s="58"/>
      <c r="C510" s="58"/>
      <c r="D510" s="58"/>
      <c r="E510" s="58"/>
      <c r="F510" s="58"/>
      <c r="G510" s="86"/>
      <c r="H510" s="58"/>
      <c r="I510" s="58"/>
      <c r="J510" s="58"/>
      <c r="K510" s="58"/>
      <c r="L510" s="58"/>
      <c r="M510" s="58"/>
      <c r="N510" s="58"/>
      <c r="O510" s="58"/>
      <c r="P510" s="58"/>
      <c r="Q510" s="58"/>
      <c r="R510" s="58"/>
      <c r="S510" s="58"/>
      <c r="T510" s="58"/>
      <c r="U510" s="58"/>
      <c r="V510" s="58"/>
      <c r="W510" s="58"/>
      <c r="X510" s="58"/>
      <c r="Y510" s="58"/>
      <c r="Z510" s="58"/>
    </row>
    <row r="511">
      <c r="A511" s="58"/>
      <c r="B511" s="58"/>
      <c r="C511" s="58"/>
      <c r="D511" s="58"/>
      <c r="E511" s="58"/>
      <c r="F511" s="58"/>
      <c r="G511" s="86"/>
      <c r="H511" s="58"/>
      <c r="I511" s="58"/>
      <c r="J511" s="58"/>
      <c r="K511" s="58"/>
      <c r="L511" s="58"/>
      <c r="M511" s="58"/>
      <c r="N511" s="58"/>
      <c r="O511" s="58"/>
      <c r="P511" s="58"/>
      <c r="Q511" s="58"/>
      <c r="R511" s="58"/>
      <c r="S511" s="58"/>
      <c r="T511" s="58"/>
      <c r="U511" s="58"/>
      <c r="V511" s="58"/>
      <c r="W511" s="58"/>
      <c r="X511" s="58"/>
      <c r="Y511" s="58"/>
      <c r="Z511" s="58"/>
    </row>
    <row r="512">
      <c r="A512" s="58"/>
      <c r="B512" s="58"/>
      <c r="C512" s="58"/>
      <c r="D512" s="58"/>
      <c r="E512" s="58"/>
      <c r="F512" s="58"/>
      <c r="G512" s="86"/>
      <c r="H512" s="58"/>
      <c r="I512" s="58"/>
      <c r="J512" s="58"/>
      <c r="K512" s="58"/>
      <c r="L512" s="58"/>
      <c r="M512" s="58"/>
      <c r="N512" s="58"/>
      <c r="O512" s="58"/>
      <c r="P512" s="58"/>
      <c r="Q512" s="58"/>
      <c r="R512" s="58"/>
      <c r="S512" s="58"/>
      <c r="T512" s="58"/>
      <c r="U512" s="58"/>
      <c r="V512" s="58"/>
      <c r="W512" s="58"/>
      <c r="X512" s="58"/>
      <c r="Y512" s="58"/>
      <c r="Z512" s="58"/>
    </row>
    <row r="513">
      <c r="A513" s="58"/>
      <c r="B513" s="58"/>
      <c r="C513" s="58"/>
      <c r="D513" s="58"/>
      <c r="E513" s="58"/>
      <c r="F513" s="58"/>
      <c r="G513" s="86"/>
      <c r="H513" s="58"/>
      <c r="I513" s="58"/>
      <c r="J513" s="58"/>
      <c r="K513" s="58"/>
      <c r="L513" s="58"/>
      <c r="M513" s="58"/>
      <c r="N513" s="58"/>
      <c r="O513" s="58"/>
      <c r="P513" s="58"/>
      <c r="Q513" s="58"/>
      <c r="R513" s="58"/>
      <c r="S513" s="58"/>
      <c r="T513" s="58"/>
      <c r="U513" s="58"/>
      <c r="V513" s="58"/>
      <c r="W513" s="58"/>
      <c r="X513" s="58"/>
      <c r="Y513" s="58"/>
      <c r="Z513" s="58"/>
    </row>
    <row r="514">
      <c r="A514" s="58"/>
      <c r="B514" s="58"/>
      <c r="C514" s="58"/>
      <c r="D514" s="58"/>
      <c r="E514" s="58"/>
      <c r="F514" s="58"/>
      <c r="G514" s="86"/>
      <c r="H514" s="58"/>
      <c r="I514" s="58"/>
      <c r="J514" s="58"/>
      <c r="K514" s="58"/>
      <c r="L514" s="58"/>
      <c r="M514" s="58"/>
      <c r="N514" s="58"/>
      <c r="O514" s="58"/>
      <c r="P514" s="58"/>
      <c r="Q514" s="58"/>
      <c r="R514" s="58"/>
      <c r="S514" s="58"/>
      <c r="T514" s="58"/>
      <c r="U514" s="58"/>
      <c r="V514" s="58"/>
      <c r="W514" s="58"/>
      <c r="X514" s="58"/>
      <c r="Y514" s="58"/>
      <c r="Z514" s="58"/>
    </row>
    <row r="515">
      <c r="A515" s="58"/>
      <c r="B515" s="58"/>
      <c r="C515" s="58"/>
      <c r="D515" s="58"/>
      <c r="E515" s="58"/>
      <c r="F515" s="58"/>
      <c r="G515" s="86"/>
      <c r="H515" s="58"/>
      <c r="I515" s="58"/>
      <c r="J515" s="58"/>
      <c r="K515" s="58"/>
      <c r="L515" s="58"/>
      <c r="M515" s="58"/>
      <c r="N515" s="58"/>
      <c r="O515" s="58"/>
      <c r="P515" s="58"/>
      <c r="Q515" s="58"/>
      <c r="R515" s="58"/>
      <c r="S515" s="58"/>
      <c r="T515" s="58"/>
      <c r="U515" s="58"/>
      <c r="V515" s="58"/>
      <c r="W515" s="58"/>
      <c r="X515" s="58"/>
      <c r="Y515" s="58"/>
      <c r="Z515" s="58"/>
    </row>
    <row r="516">
      <c r="A516" s="58"/>
      <c r="B516" s="58"/>
      <c r="C516" s="58"/>
      <c r="D516" s="58"/>
      <c r="E516" s="58"/>
      <c r="F516" s="58"/>
      <c r="G516" s="86"/>
      <c r="H516" s="58"/>
      <c r="I516" s="58"/>
      <c r="J516" s="58"/>
      <c r="K516" s="58"/>
      <c r="L516" s="58"/>
      <c r="M516" s="58"/>
      <c r="N516" s="58"/>
      <c r="O516" s="58"/>
      <c r="P516" s="58"/>
      <c r="Q516" s="58"/>
      <c r="R516" s="58"/>
      <c r="S516" s="58"/>
      <c r="T516" s="58"/>
      <c r="U516" s="58"/>
      <c r="V516" s="58"/>
      <c r="W516" s="58"/>
      <c r="X516" s="58"/>
      <c r="Y516" s="58"/>
      <c r="Z516" s="58"/>
    </row>
    <row r="517">
      <c r="A517" s="58"/>
      <c r="B517" s="58"/>
      <c r="C517" s="58"/>
      <c r="D517" s="58"/>
      <c r="E517" s="58"/>
      <c r="F517" s="58"/>
      <c r="G517" s="86"/>
      <c r="H517" s="58"/>
      <c r="I517" s="58"/>
      <c r="J517" s="58"/>
      <c r="K517" s="58"/>
      <c r="L517" s="58"/>
      <c r="M517" s="58"/>
      <c r="N517" s="58"/>
      <c r="O517" s="58"/>
      <c r="P517" s="58"/>
      <c r="Q517" s="58"/>
      <c r="R517" s="58"/>
      <c r="S517" s="58"/>
      <c r="T517" s="58"/>
      <c r="U517" s="58"/>
      <c r="V517" s="58"/>
      <c r="W517" s="58"/>
      <c r="X517" s="58"/>
      <c r="Y517" s="58"/>
      <c r="Z517" s="58"/>
    </row>
    <row r="518">
      <c r="A518" s="58"/>
      <c r="B518" s="58"/>
      <c r="C518" s="58"/>
      <c r="D518" s="58"/>
      <c r="E518" s="58"/>
      <c r="F518" s="58"/>
      <c r="G518" s="86"/>
      <c r="H518" s="58"/>
      <c r="I518" s="58"/>
      <c r="J518" s="58"/>
      <c r="K518" s="58"/>
      <c r="L518" s="58"/>
      <c r="M518" s="58"/>
      <c r="N518" s="58"/>
      <c r="O518" s="58"/>
      <c r="P518" s="58"/>
      <c r="Q518" s="58"/>
      <c r="R518" s="58"/>
      <c r="S518" s="58"/>
      <c r="T518" s="58"/>
      <c r="U518" s="58"/>
      <c r="V518" s="58"/>
      <c r="W518" s="58"/>
      <c r="X518" s="58"/>
      <c r="Y518" s="58"/>
      <c r="Z518" s="58"/>
    </row>
    <row r="519">
      <c r="A519" s="58"/>
      <c r="B519" s="58"/>
      <c r="C519" s="58"/>
      <c r="D519" s="58"/>
      <c r="E519" s="58"/>
      <c r="F519" s="58"/>
      <c r="G519" s="86"/>
      <c r="H519" s="58"/>
      <c r="I519" s="58"/>
      <c r="J519" s="58"/>
      <c r="K519" s="58"/>
      <c r="L519" s="58"/>
      <c r="M519" s="58"/>
      <c r="N519" s="58"/>
      <c r="O519" s="58"/>
      <c r="P519" s="58"/>
      <c r="Q519" s="58"/>
      <c r="R519" s="58"/>
      <c r="S519" s="58"/>
      <c r="T519" s="58"/>
      <c r="U519" s="58"/>
      <c r="V519" s="58"/>
      <c r="W519" s="58"/>
      <c r="X519" s="58"/>
      <c r="Y519" s="58"/>
      <c r="Z519" s="58"/>
    </row>
    <row r="520">
      <c r="A520" s="58"/>
      <c r="B520" s="58"/>
      <c r="C520" s="58"/>
      <c r="D520" s="58"/>
      <c r="E520" s="58"/>
      <c r="F520" s="58"/>
      <c r="G520" s="86"/>
      <c r="H520" s="58"/>
      <c r="I520" s="58"/>
      <c r="J520" s="58"/>
      <c r="K520" s="58"/>
      <c r="L520" s="58"/>
      <c r="M520" s="58"/>
      <c r="N520" s="58"/>
      <c r="O520" s="58"/>
      <c r="P520" s="58"/>
      <c r="Q520" s="58"/>
      <c r="R520" s="58"/>
      <c r="S520" s="58"/>
      <c r="T520" s="58"/>
      <c r="U520" s="58"/>
      <c r="V520" s="58"/>
      <c r="W520" s="58"/>
      <c r="X520" s="58"/>
      <c r="Y520" s="58"/>
      <c r="Z520" s="58"/>
    </row>
    <row r="521">
      <c r="A521" s="58"/>
      <c r="B521" s="58"/>
      <c r="C521" s="58"/>
      <c r="D521" s="58"/>
      <c r="E521" s="58"/>
      <c r="F521" s="58"/>
      <c r="G521" s="86"/>
      <c r="H521" s="58"/>
      <c r="I521" s="58"/>
      <c r="J521" s="58"/>
      <c r="K521" s="58"/>
      <c r="L521" s="58"/>
      <c r="M521" s="58"/>
      <c r="N521" s="58"/>
      <c r="O521" s="58"/>
      <c r="P521" s="58"/>
      <c r="Q521" s="58"/>
      <c r="R521" s="58"/>
      <c r="S521" s="58"/>
      <c r="T521" s="58"/>
      <c r="U521" s="58"/>
      <c r="V521" s="58"/>
      <c r="W521" s="58"/>
      <c r="X521" s="58"/>
      <c r="Y521" s="58"/>
      <c r="Z521" s="58"/>
    </row>
    <row r="522">
      <c r="A522" s="58"/>
      <c r="B522" s="58"/>
      <c r="C522" s="58"/>
      <c r="D522" s="58"/>
      <c r="E522" s="58"/>
      <c r="F522" s="58"/>
      <c r="G522" s="86"/>
      <c r="H522" s="58"/>
      <c r="I522" s="58"/>
      <c r="J522" s="58"/>
      <c r="K522" s="58"/>
      <c r="L522" s="58"/>
      <c r="M522" s="58"/>
      <c r="N522" s="58"/>
      <c r="O522" s="58"/>
      <c r="P522" s="58"/>
      <c r="Q522" s="58"/>
      <c r="R522" s="58"/>
      <c r="S522" s="58"/>
      <c r="T522" s="58"/>
      <c r="U522" s="58"/>
      <c r="V522" s="58"/>
      <c r="W522" s="58"/>
      <c r="X522" s="58"/>
      <c r="Y522" s="58"/>
      <c r="Z522" s="58"/>
    </row>
    <row r="523">
      <c r="A523" s="58"/>
      <c r="B523" s="58"/>
      <c r="C523" s="58"/>
      <c r="D523" s="58"/>
      <c r="E523" s="58"/>
      <c r="F523" s="58"/>
      <c r="G523" s="86"/>
      <c r="H523" s="58"/>
      <c r="I523" s="58"/>
      <c r="J523" s="58"/>
      <c r="K523" s="58"/>
      <c r="L523" s="58"/>
      <c r="M523" s="58"/>
      <c r="N523" s="58"/>
      <c r="O523" s="58"/>
      <c r="P523" s="58"/>
      <c r="Q523" s="58"/>
      <c r="R523" s="58"/>
      <c r="S523" s="58"/>
      <c r="T523" s="58"/>
      <c r="U523" s="58"/>
      <c r="V523" s="58"/>
      <c r="W523" s="58"/>
      <c r="X523" s="58"/>
      <c r="Y523" s="58"/>
      <c r="Z523" s="58"/>
    </row>
    <row r="524">
      <c r="A524" s="58"/>
      <c r="B524" s="58"/>
      <c r="C524" s="58"/>
      <c r="D524" s="58"/>
      <c r="E524" s="58"/>
      <c r="F524" s="58"/>
      <c r="G524" s="86"/>
      <c r="H524" s="58"/>
      <c r="I524" s="58"/>
      <c r="J524" s="58"/>
      <c r="K524" s="58"/>
      <c r="L524" s="58"/>
      <c r="M524" s="58"/>
      <c r="N524" s="58"/>
      <c r="O524" s="58"/>
      <c r="P524" s="58"/>
      <c r="Q524" s="58"/>
      <c r="R524" s="58"/>
      <c r="S524" s="58"/>
      <c r="T524" s="58"/>
      <c r="U524" s="58"/>
      <c r="V524" s="58"/>
      <c r="W524" s="58"/>
      <c r="X524" s="58"/>
      <c r="Y524" s="58"/>
      <c r="Z524" s="58"/>
    </row>
    <row r="525">
      <c r="A525" s="58"/>
      <c r="B525" s="58"/>
      <c r="C525" s="58"/>
      <c r="D525" s="58"/>
      <c r="E525" s="58"/>
      <c r="F525" s="58"/>
      <c r="G525" s="86"/>
      <c r="H525" s="58"/>
      <c r="I525" s="58"/>
      <c r="J525" s="58"/>
      <c r="K525" s="58"/>
      <c r="L525" s="58"/>
      <c r="M525" s="58"/>
      <c r="N525" s="58"/>
      <c r="O525" s="58"/>
      <c r="P525" s="58"/>
      <c r="Q525" s="58"/>
      <c r="R525" s="58"/>
      <c r="S525" s="58"/>
      <c r="T525" s="58"/>
      <c r="U525" s="58"/>
      <c r="V525" s="58"/>
      <c r="W525" s="58"/>
      <c r="X525" s="58"/>
      <c r="Y525" s="58"/>
      <c r="Z525" s="58"/>
    </row>
    <row r="526">
      <c r="A526" s="58"/>
      <c r="B526" s="58"/>
      <c r="C526" s="58"/>
      <c r="D526" s="58"/>
      <c r="E526" s="58"/>
      <c r="F526" s="58"/>
      <c r="G526" s="86"/>
      <c r="H526" s="58"/>
      <c r="I526" s="58"/>
      <c r="J526" s="58"/>
      <c r="K526" s="58"/>
      <c r="L526" s="58"/>
      <c r="M526" s="58"/>
      <c r="N526" s="58"/>
      <c r="O526" s="58"/>
      <c r="P526" s="58"/>
      <c r="Q526" s="58"/>
      <c r="R526" s="58"/>
      <c r="S526" s="58"/>
      <c r="T526" s="58"/>
      <c r="U526" s="58"/>
      <c r="V526" s="58"/>
      <c r="W526" s="58"/>
      <c r="X526" s="58"/>
      <c r="Y526" s="58"/>
      <c r="Z526" s="58"/>
    </row>
    <row r="527">
      <c r="A527" s="58"/>
      <c r="B527" s="58"/>
      <c r="C527" s="58"/>
      <c r="D527" s="58"/>
      <c r="E527" s="58"/>
      <c r="F527" s="58"/>
      <c r="G527" s="86"/>
      <c r="H527" s="58"/>
      <c r="I527" s="58"/>
      <c r="J527" s="58"/>
      <c r="K527" s="58"/>
      <c r="L527" s="58"/>
      <c r="M527" s="58"/>
      <c r="N527" s="58"/>
      <c r="O527" s="58"/>
      <c r="P527" s="58"/>
      <c r="Q527" s="58"/>
      <c r="R527" s="58"/>
      <c r="S527" s="58"/>
      <c r="T527" s="58"/>
      <c r="U527" s="58"/>
      <c r="V527" s="58"/>
      <c r="W527" s="58"/>
      <c r="X527" s="58"/>
      <c r="Y527" s="58"/>
      <c r="Z527" s="58"/>
    </row>
    <row r="528">
      <c r="A528" s="58"/>
      <c r="B528" s="58"/>
      <c r="C528" s="58"/>
      <c r="D528" s="58"/>
      <c r="E528" s="58"/>
      <c r="F528" s="58"/>
      <c r="G528" s="86"/>
      <c r="H528" s="58"/>
      <c r="I528" s="58"/>
      <c r="J528" s="58"/>
      <c r="K528" s="58"/>
      <c r="L528" s="58"/>
      <c r="M528" s="58"/>
      <c r="N528" s="58"/>
      <c r="O528" s="58"/>
      <c r="P528" s="58"/>
      <c r="Q528" s="58"/>
      <c r="R528" s="58"/>
      <c r="S528" s="58"/>
      <c r="T528" s="58"/>
      <c r="U528" s="58"/>
      <c r="V528" s="58"/>
      <c r="W528" s="58"/>
      <c r="X528" s="58"/>
      <c r="Y528" s="58"/>
      <c r="Z528" s="58"/>
    </row>
    <row r="529">
      <c r="A529" s="58"/>
      <c r="B529" s="58"/>
      <c r="C529" s="58"/>
      <c r="D529" s="58"/>
      <c r="E529" s="58"/>
      <c r="F529" s="58"/>
      <c r="G529" s="86"/>
      <c r="H529" s="58"/>
      <c r="I529" s="58"/>
      <c r="J529" s="58"/>
      <c r="K529" s="58"/>
      <c r="L529" s="58"/>
      <c r="M529" s="58"/>
      <c r="N529" s="58"/>
      <c r="O529" s="58"/>
      <c r="P529" s="58"/>
      <c r="Q529" s="58"/>
      <c r="R529" s="58"/>
      <c r="S529" s="58"/>
      <c r="T529" s="58"/>
      <c r="U529" s="58"/>
      <c r="V529" s="58"/>
      <c r="W529" s="58"/>
      <c r="X529" s="58"/>
      <c r="Y529" s="58"/>
      <c r="Z529" s="58"/>
    </row>
    <row r="530">
      <c r="A530" s="58"/>
      <c r="B530" s="58"/>
      <c r="C530" s="58"/>
      <c r="D530" s="58"/>
      <c r="E530" s="58"/>
      <c r="F530" s="58"/>
      <c r="G530" s="86"/>
      <c r="H530" s="58"/>
      <c r="I530" s="58"/>
      <c r="J530" s="58"/>
      <c r="K530" s="58"/>
      <c r="L530" s="58"/>
      <c r="M530" s="58"/>
      <c r="N530" s="58"/>
      <c r="O530" s="58"/>
      <c r="P530" s="58"/>
      <c r="Q530" s="58"/>
      <c r="R530" s="58"/>
      <c r="S530" s="58"/>
      <c r="T530" s="58"/>
      <c r="U530" s="58"/>
      <c r="V530" s="58"/>
      <c r="W530" s="58"/>
      <c r="X530" s="58"/>
      <c r="Y530" s="58"/>
      <c r="Z530" s="58"/>
    </row>
    <row r="531">
      <c r="A531" s="58"/>
      <c r="B531" s="58"/>
      <c r="C531" s="58"/>
      <c r="D531" s="58"/>
      <c r="E531" s="58"/>
      <c r="F531" s="58"/>
      <c r="G531" s="86"/>
      <c r="H531" s="58"/>
      <c r="I531" s="58"/>
      <c r="J531" s="58"/>
      <c r="K531" s="58"/>
      <c r="L531" s="58"/>
      <c r="M531" s="58"/>
      <c r="N531" s="58"/>
      <c r="O531" s="58"/>
      <c r="P531" s="58"/>
      <c r="Q531" s="58"/>
      <c r="R531" s="58"/>
      <c r="S531" s="58"/>
      <c r="T531" s="58"/>
      <c r="U531" s="58"/>
      <c r="V531" s="58"/>
      <c r="W531" s="58"/>
      <c r="X531" s="58"/>
      <c r="Y531" s="58"/>
      <c r="Z531" s="58"/>
    </row>
    <row r="532">
      <c r="A532" s="58"/>
      <c r="B532" s="58"/>
      <c r="C532" s="58"/>
      <c r="D532" s="58"/>
      <c r="E532" s="58"/>
      <c r="F532" s="58"/>
      <c r="G532" s="86"/>
      <c r="H532" s="58"/>
      <c r="I532" s="58"/>
      <c r="J532" s="58"/>
      <c r="K532" s="58"/>
      <c r="L532" s="58"/>
      <c r="M532" s="58"/>
      <c r="N532" s="58"/>
      <c r="O532" s="58"/>
      <c r="P532" s="58"/>
      <c r="Q532" s="58"/>
      <c r="R532" s="58"/>
      <c r="S532" s="58"/>
      <c r="T532" s="58"/>
      <c r="U532" s="58"/>
      <c r="V532" s="58"/>
      <c r="W532" s="58"/>
      <c r="X532" s="58"/>
      <c r="Y532" s="58"/>
      <c r="Z532" s="58"/>
    </row>
    <row r="533">
      <c r="A533" s="58"/>
      <c r="B533" s="58"/>
      <c r="C533" s="58"/>
      <c r="D533" s="58"/>
      <c r="E533" s="58"/>
      <c r="F533" s="58"/>
      <c r="G533" s="86"/>
      <c r="H533" s="58"/>
      <c r="I533" s="58"/>
      <c r="J533" s="58"/>
      <c r="K533" s="58"/>
      <c r="L533" s="58"/>
      <c r="M533" s="58"/>
      <c r="N533" s="58"/>
      <c r="O533" s="58"/>
      <c r="P533" s="58"/>
      <c r="Q533" s="58"/>
      <c r="R533" s="58"/>
      <c r="S533" s="58"/>
      <c r="T533" s="58"/>
      <c r="U533" s="58"/>
      <c r="V533" s="58"/>
      <c r="W533" s="58"/>
      <c r="X533" s="58"/>
      <c r="Y533" s="58"/>
      <c r="Z533" s="58"/>
    </row>
    <row r="534">
      <c r="A534" s="58"/>
      <c r="B534" s="58"/>
      <c r="C534" s="58"/>
      <c r="D534" s="58"/>
      <c r="E534" s="58"/>
      <c r="F534" s="58"/>
      <c r="G534" s="86"/>
      <c r="H534" s="58"/>
      <c r="I534" s="58"/>
      <c r="J534" s="58"/>
      <c r="K534" s="58"/>
      <c r="L534" s="58"/>
      <c r="M534" s="58"/>
      <c r="N534" s="58"/>
      <c r="O534" s="58"/>
      <c r="P534" s="58"/>
      <c r="Q534" s="58"/>
      <c r="R534" s="58"/>
      <c r="S534" s="58"/>
      <c r="T534" s="58"/>
      <c r="U534" s="58"/>
      <c r="V534" s="58"/>
      <c r="W534" s="58"/>
      <c r="X534" s="58"/>
      <c r="Y534" s="58"/>
      <c r="Z534" s="58"/>
    </row>
    <row r="535">
      <c r="A535" s="58"/>
      <c r="B535" s="58"/>
      <c r="C535" s="58"/>
      <c r="D535" s="58"/>
      <c r="E535" s="58"/>
      <c r="F535" s="58"/>
      <c r="G535" s="86"/>
      <c r="H535" s="58"/>
      <c r="I535" s="58"/>
      <c r="J535" s="58"/>
      <c r="K535" s="58"/>
      <c r="L535" s="58"/>
      <c r="M535" s="58"/>
      <c r="N535" s="58"/>
      <c r="O535" s="58"/>
      <c r="P535" s="58"/>
      <c r="Q535" s="58"/>
      <c r="R535" s="58"/>
      <c r="S535" s="58"/>
      <c r="T535" s="58"/>
      <c r="U535" s="58"/>
      <c r="V535" s="58"/>
      <c r="W535" s="58"/>
      <c r="X535" s="58"/>
      <c r="Y535" s="58"/>
      <c r="Z535" s="58"/>
    </row>
    <row r="536">
      <c r="A536" s="58"/>
      <c r="B536" s="58"/>
      <c r="C536" s="58"/>
      <c r="D536" s="58"/>
      <c r="E536" s="58"/>
      <c r="F536" s="58"/>
      <c r="G536" s="86"/>
      <c r="H536" s="58"/>
      <c r="I536" s="58"/>
      <c r="J536" s="58"/>
      <c r="K536" s="58"/>
      <c r="L536" s="58"/>
      <c r="M536" s="58"/>
      <c r="N536" s="58"/>
      <c r="O536" s="58"/>
      <c r="P536" s="58"/>
      <c r="Q536" s="58"/>
      <c r="R536" s="58"/>
      <c r="S536" s="58"/>
      <c r="T536" s="58"/>
      <c r="U536" s="58"/>
      <c r="V536" s="58"/>
      <c r="W536" s="58"/>
      <c r="X536" s="58"/>
      <c r="Y536" s="58"/>
      <c r="Z536" s="58"/>
    </row>
    <row r="537">
      <c r="A537" s="58"/>
      <c r="B537" s="58"/>
      <c r="C537" s="58"/>
      <c r="D537" s="58"/>
      <c r="E537" s="58"/>
      <c r="F537" s="58"/>
      <c r="G537" s="86"/>
      <c r="H537" s="58"/>
      <c r="I537" s="58"/>
      <c r="J537" s="58"/>
      <c r="K537" s="58"/>
      <c r="L537" s="58"/>
      <c r="M537" s="58"/>
      <c r="N537" s="58"/>
      <c r="O537" s="58"/>
      <c r="P537" s="58"/>
      <c r="Q537" s="58"/>
      <c r="R537" s="58"/>
      <c r="S537" s="58"/>
      <c r="T537" s="58"/>
      <c r="U537" s="58"/>
      <c r="V537" s="58"/>
      <c r="W537" s="58"/>
      <c r="X537" s="58"/>
      <c r="Y537" s="58"/>
      <c r="Z537" s="58"/>
    </row>
    <row r="538">
      <c r="A538" s="58"/>
      <c r="B538" s="58"/>
      <c r="C538" s="58"/>
      <c r="D538" s="58"/>
      <c r="E538" s="58"/>
      <c r="F538" s="58"/>
      <c r="G538" s="86"/>
      <c r="H538" s="58"/>
      <c r="I538" s="58"/>
      <c r="J538" s="58"/>
      <c r="K538" s="58"/>
      <c r="L538" s="58"/>
      <c r="M538" s="58"/>
      <c r="N538" s="58"/>
      <c r="O538" s="58"/>
      <c r="P538" s="58"/>
      <c r="Q538" s="58"/>
      <c r="R538" s="58"/>
      <c r="S538" s="58"/>
      <c r="T538" s="58"/>
      <c r="U538" s="58"/>
      <c r="V538" s="58"/>
      <c r="W538" s="58"/>
      <c r="X538" s="58"/>
      <c r="Y538" s="58"/>
      <c r="Z538" s="58"/>
    </row>
    <row r="539">
      <c r="A539" s="58"/>
      <c r="B539" s="58"/>
      <c r="C539" s="58"/>
      <c r="D539" s="58"/>
      <c r="E539" s="58"/>
      <c r="F539" s="58"/>
      <c r="G539" s="86"/>
      <c r="H539" s="58"/>
      <c r="I539" s="58"/>
      <c r="J539" s="58"/>
      <c r="K539" s="58"/>
      <c r="L539" s="58"/>
      <c r="M539" s="58"/>
      <c r="N539" s="58"/>
      <c r="O539" s="58"/>
      <c r="P539" s="58"/>
      <c r="Q539" s="58"/>
      <c r="R539" s="58"/>
      <c r="S539" s="58"/>
      <c r="T539" s="58"/>
      <c r="U539" s="58"/>
      <c r="V539" s="58"/>
      <c r="W539" s="58"/>
      <c r="X539" s="58"/>
      <c r="Y539" s="58"/>
      <c r="Z539" s="58"/>
    </row>
    <row r="540">
      <c r="A540" s="58"/>
      <c r="B540" s="58"/>
      <c r="C540" s="58"/>
      <c r="D540" s="58"/>
      <c r="E540" s="58"/>
      <c r="F540" s="58"/>
      <c r="G540" s="86"/>
      <c r="H540" s="58"/>
      <c r="I540" s="58"/>
      <c r="J540" s="58"/>
      <c r="K540" s="58"/>
      <c r="L540" s="58"/>
      <c r="M540" s="58"/>
      <c r="N540" s="58"/>
      <c r="O540" s="58"/>
      <c r="P540" s="58"/>
      <c r="Q540" s="58"/>
      <c r="R540" s="58"/>
      <c r="S540" s="58"/>
      <c r="T540" s="58"/>
      <c r="U540" s="58"/>
      <c r="V540" s="58"/>
      <c r="W540" s="58"/>
      <c r="X540" s="58"/>
      <c r="Y540" s="58"/>
      <c r="Z540" s="58"/>
    </row>
    <row r="541">
      <c r="A541" s="58"/>
      <c r="B541" s="58"/>
      <c r="C541" s="58"/>
      <c r="D541" s="58"/>
      <c r="E541" s="58"/>
      <c r="F541" s="58"/>
      <c r="G541" s="86"/>
      <c r="H541" s="58"/>
      <c r="I541" s="58"/>
      <c r="J541" s="58"/>
      <c r="K541" s="58"/>
      <c r="L541" s="58"/>
      <c r="M541" s="58"/>
      <c r="N541" s="58"/>
      <c r="O541" s="58"/>
      <c r="P541" s="58"/>
      <c r="Q541" s="58"/>
      <c r="R541" s="58"/>
      <c r="S541" s="58"/>
      <c r="T541" s="58"/>
      <c r="U541" s="58"/>
      <c r="V541" s="58"/>
      <c r="W541" s="58"/>
      <c r="X541" s="58"/>
      <c r="Y541" s="58"/>
      <c r="Z541" s="58"/>
    </row>
    <row r="542">
      <c r="A542" s="58"/>
      <c r="B542" s="58"/>
      <c r="C542" s="58"/>
      <c r="D542" s="58"/>
      <c r="E542" s="58"/>
      <c r="F542" s="58"/>
      <c r="G542" s="86"/>
      <c r="H542" s="58"/>
      <c r="I542" s="58"/>
      <c r="J542" s="58"/>
      <c r="K542" s="58"/>
      <c r="L542" s="58"/>
      <c r="M542" s="58"/>
      <c r="N542" s="58"/>
      <c r="O542" s="58"/>
      <c r="P542" s="58"/>
      <c r="Q542" s="58"/>
      <c r="R542" s="58"/>
      <c r="S542" s="58"/>
      <c r="T542" s="58"/>
      <c r="U542" s="58"/>
      <c r="V542" s="58"/>
      <c r="W542" s="58"/>
      <c r="X542" s="58"/>
      <c r="Y542" s="58"/>
      <c r="Z542" s="58"/>
    </row>
    <row r="543">
      <c r="A543" s="58"/>
      <c r="B543" s="58"/>
      <c r="C543" s="58"/>
      <c r="D543" s="58"/>
      <c r="E543" s="58"/>
      <c r="F543" s="58"/>
      <c r="G543" s="86"/>
      <c r="H543" s="58"/>
      <c r="I543" s="58"/>
      <c r="J543" s="58"/>
      <c r="K543" s="58"/>
      <c r="L543" s="58"/>
      <c r="M543" s="58"/>
      <c r="N543" s="58"/>
      <c r="O543" s="58"/>
      <c r="P543" s="58"/>
      <c r="Q543" s="58"/>
      <c r="R543" s="58"/>
      <c r="S543" s="58"/>
      <c r="T543" s="58"/>
      <c r="U543" s="58"/>
      <c r="V543" s="58"/>
      <c r="W543" s="58"/>
      <c r="X543" s="58"/>
      <c r="Y543" s="58"/>
      <c r="Z543" s="58"/>
    </row>
    <row r="544">
      <c r="A544" s="58"/>
      <c r="B544" s="58"/>
      <c r="C544" s="58"/>
      <c r="D544" s="58"/>
      <c r="E544" s="58"/>
      <c r="F544" s="58"/>
      <c r="G544" s="86"/>
      <c r="H544" s="58"/>
      <c r="I544" s="58"/>
      <c r="J544" s="58"/>
      <c r="K544" s="58"/>
      <c r="L544" s="58"/>
      <c r="M544" s="58"/>
      <c r="N544" s="58"/>
      <c r="O544" s="58"/>
      <c r="P544" s="58"/>
      <c r="Q544" s="58"/>
      <c r="R544" s="58"/>
      <c r="S544" s="58"/>
      <c r="T544" s="58"/>
      <c r="U544" s="58"/>
      <c r="V544" s="58"/>
      <c r="W544" s="58"/>
      <c r="X544" s="58"/>
      <c r="Y544" s="58"/>
      <c r="Z544" s="58"/>
    </row>
    <row r="545">
      <c r="A545" s="58"/>
      <c r="B545" s="58"/>
      <c r="C545" s="58"/>
      <c r="D545" s="58"/>
      <c r="E545" s="58"/>
      <c r="F545" s="58"/>
      <c r="G545" s="86"/>
      <c r="H545" s="58"/>
      <c r="I545" s="58"/>
      <c r="J545" s="58"/>
      <c r="K545" s="58"/>
      <c r="L545" s="58"/>
      <c r="M545" s="58"/>
      <c r="N545" s="58"/>
      <c r="O545" s="58"/>
      <c r="P545" s="58"/>
      <c r="Q545" s="58"/>
      <c r="R545" s="58"/>
      <c r="S545" s="58"/>
      <c r="T545" s="58"/>
      <c r="U545" s="58"/>
      <c r="V545" s="58"/>
      <c r="W545" s="58"/>
      <c r="X545" s="58"/>
      <c r="Y545" s="58"/>
      <c r="Z545" s="58"/>
    </row>
    <row r="546">
      <c r="A546" s="58"/>
      <c r="B546" s="58"/>
      <c r="C546" s="58"/>
      <c r="D546" s="58"/>
      <c r="E546" s="58"/>
      <c r="F546" s="58"/>
      <c r="G546" s="86"/>
      <c r="H546" s="58"/>
      <c r="I546" s="58"/>
      <c r="J546" s="58"/>
      <c r="K546" s="58"/>
      <c r="L546" s="58"/>
      <c r="M546" s="58"/>
      <c r="N546" s="58"/>
      <c r="O546" s="58"/>
      <c r="P546" s="58"/>
      <c r="Q546" s="58"/>
      <c r="R546" s="58"/>
      <c r="S546" s="58"/>
      <c r="T546" s="58"/>
      <c r="U546" s="58"/>
      <c r="V546" s="58"/>
      <c r="W546" s="58"/>
      <c r="X546" s="58"/>
      <c r="Y546" s="58"/>
      <c r="Z546" s="58"/>
    </row>
    <row r="547">
      <c r="A547" s="58"/>
      <c r="B547" s="58"/>
      <c r="C547" s="58"/>
      <c r="D547" s="58"/>
      <c r="E547" s="58"/>
      <c r="F547" s="58"/>
      <c r="G547" s="86"/>
      <c r="H547" s="58"/>
      <c r="I547" s="58"/>
      <c r="J547" s="58"/>
      <c r="K547" s="58"/>
      <c r="L547" s="58"/>
      <c r="M547" s="58"/>
      <c r="N547" s="58"/>
      <c r="O547" s="58"/>
      <c r="P547" s="58"/>
      <c r="Q547" s="58"/>
      <c r="R547" s="58"/>
      <c r="S547" s="58"/>
      <c r="T547" s="58"/>
      <c r="U547" s="58"/>
      <c r="V547" s="58"/>
      <c r="W547" s="58"/>
      <c r="X547" s="58"/>
      <c r="Y547" s="58"/>
      <c r="Z547" s="58"/>
    </row>
    <row r="548">
      <c r="A548" s="58"/>
      <c r="B548" s="58"/>
      <c r="C548" s="58"/>
      <c r="D548" s="58"/>
      <c r="E548" s="58"/>
      <c r="F548" s="58"/>
      <c r="G548" s="86"/>
      <c r="H548" s="58"/>
      <c r="I548" s="58"/>
      <c r="J548" s="58"/>
      <c r="K548" s="58"/>
      <c r="L548" s="58"/>
      <c r="M548" s="58"/>
      <c r="N548" s="58"/>
      <c r="O548" s="58"/>
      <c r="P548" s="58"/>
      <c r="Q548" s="58"/>
      <c r="R548" s="58"/>
      <c r="S548" s="58"/>
      <c r="T548" s="58"/>
      <c r="U548" s="58"/>
      <c r="V548" s="58"/>
      <c r="W548" s="58"/>
      <c r="X548" s="58"/>
      <c r="Y548" s="58"/>
      <c r="Z548" s="58"/>
    </row>
    <row r="549">
      <c r="A549" s="58"/>
      <c r="B549" s="58"/>
      <c r="C549" s="58"/>
      <c r="D549" s="58"/>
      <c r="E549" s="58"/>
      <c r="F549" s="58"/>
      <c r="G549" s="86"/>
      <c r="H549" s="58"/>
      <c r="I549" s="58"/>
      <c r="J549" s="58"/>
      <c r="K549" s="58"/>
      <c r="L549" s="58"/>
      <c r="M549" s="58"/>
      <c r="N549" s="58"/>
      <c r="O549" s="58"/>
      <c r="P549" s="58"/>
      <c r="Q549" s="58"/>
      <c r="R549" s="58"/>
      <c r="S549" s="58"/>
      <c r="T549" s="58"/>
      <c r="U549" s="58"/>
      <c r="V549" s="58"/>
      <c r="W549" s="58"/>
      <c r="X549" s="58"/>
      <c r="Y549" s="58"/>
      <c r="Z549" s="58"/>
    </row>
    <row r="550">
      <c r="A550" s="58"/>
      <c r="B550" s="58"/>
      <c r="C550" s="58"/>
      <c r="D550" s="58"/>
      <c r="E550" s="58"/>
      <c r="F550" s="58"/>
      <c r="G550" s="86"/>
      <c r="H550" s="58"/>
      <c r="I550" s="58"/>
      <c r="J550" s="58"/>
      <c r="K550" s="58"/>
      <c r="L550" s="58"/>
      <c r="M550" s="58"/>
      <c r="N550" s="58"/>
      <c r="O550" s="58"/>
      <c r="P550" s="58"/>
      <c r="Q550" s="58"/>
      <c r="R550" s="58"/>
      <c r="S550" s="58"/>
      <c r="T550" s="58"/>
      <c r="U550" s="58"/>
      <c r="V550" s="58"/>
      <c r="W550" s="58"/>
      <c r="X550" s="58"/>
      <c r="Y550" s="58"/>
      <c r="Z550" s="58"/>
    </row>
    <row r="551">
      <c r="A551" s="58"/>
      <c r="B551" s="58"/>
      <c r="C551" s="58"/>
      <c r="D551" s="58"/>
      <c r="E551" s="58"/>
      <c r="F551" s="58"/>
      <c r="G551" s="86"/>
      <c r="H551" s="58"/>
      <c r="I551" s="58"/>
      <c r="J551" s="58"/>
      <c r="K551" s="58"/>
      <c r="L551" s="58"/>
      <c r="M551" s="58"/>
      <c r="N551" s="58"/>
      <c r="O551" s="58"/>
      <c r="P551" s="58"/>
      <c r="Q551" s="58"/>
      <c r="R551" s="58"/>
      <c r="S551" s="58"/>
      <c r="T551" s="58"/>
      <c r="U551" s="58"/>
      <c r="V551" s="58"/>
      <c r="W551" s="58"/>
      <c r="X551" s="58"/>
      <c r="Y551" s="58"/>
      <c r="Z551" s="58"/>
    </row>
    <row r="552">
      <c r="A552" s="58"/>
      <c r="B552" s="58"/>
      <c r="C552" s="58"/>
      <c r="D552" s="58"/>
      <c r="E552" s="58"/>
      <c r="F552" s="58"/>
      <c r="G552" s="86"/>
      <c r="H552" s="58"/>
      <c r="I552" s="58"/>
      <c r="J552" s="58"/>
      <c r="K552" s="58"/>
      <c r="L552" s="58"/>
      <c r="M552" s="58"/>
      <c r="N552" s="58"/>
      <c r="O552" s="58"/>
      <c r="P552" s="58"/>
      <c r="Q552" s="58"/>
      <c r="R552" s="58"/>
      <c r="S552" s="58"/>
      <c r="T552" s="58"/>
      <c r="U552" s="58"/>
      <c r="V552" s="58"/>
      <c r="W552" s="58"/>
      <c r="X552" s="58"/>
      <c r="Y552" s="58"/>
      <c r="Z552" s="58"/>
    </row>
    <row r="553">
      <c r="A553" s="58"/>
      <c r="B553" s="58"/>
      <c r="C553" s="58"/>
      <c r="D553" s="58"/>
      <c r="E553" s="58"/>
      <c r="F553" s="58"/>
      <c r="G553" s="86"/>
      <c r="H553" s="58"/>
      <c r="I553" s="58"/>
      <c r="J553" s="58"/>
      <c r="K553" s="58"/>
      <c r="L553" s="58"/>
      <c r="M553" s="58"/>
      <c r="N553" s="58"/>
      <c r="O553" s="58"/>
      <c r="P553" s="58"/>
      <c r="Q553" s="58"/>
      <c r="R553" s="58"/>
      <c r="S553" s="58"/>
      <c r="T553" s="58"/>
      <c r="U553" s="58"/>
      <c r="V553" s="58"/>
      <c r="W553" s="58"/>
      <c r="X553" s="58"/>
      <c r="Y553" s="58"/>
      <c r="Z553" s="58"/>
    </row>
    <row r="554">
      <c r="A554" s="58"/>
      <c r="B554" s="58"/>
      <c r="C554" s="58"/>
      <c r="D554" s="58"/>
      <c r="E554" s="58"/>
      <c r="F554" s="58"/>
      <c r="G554" s="86"/>
      <c r="H554" s="58"/>
      <c r="I554" s="58"/>
      <c r="J554" s="58"/>
      <c r="K554" s="58"/>
      <c r="L554" s="58"/>
      <c r="M554" s="58"/>
      <c r="N554" s="58"/>
      <c r="O554" s="58"/>
      <c r="P554" s="58"/>
      <c r="Q554" s="58"/>
      <c r="R554" s="58"/>
      <c r="S554" s="58"/>
      <c r="T554" s="58"/>
      <c r="U554" s="58"/>
      <c r="V554" s="58"/>
      <c r="W554" s="58"/>
      <c r="X554" s="58"/>
      <c r="Y554" s="58"/>
      <c r="Z554" s="58"/>
    </row>
    <row r="555">
      <c r="A555" s="58"/>
      <c r="B555" s="58"/>
      <c r="C555" s="58"/>
      <c r="D555" s="58"/>
      <c r="E555" s="58"/>
      <c r="F555" s="58"/>
      <c r="G555" s="86"/>
      <c r="H555" s="58"/>
      <c r="I555" s="58"/>
      <c r="J555" s="58"/>
      <c r="K555" s="58"/>
      <c r="L555" s="58"/>
      <c r="M555" s="58"/>
      <c r="N555" s="58"/>
      <c r="O555" s="58"/>
      <c r="P555" s="58"/>
      <c r="Q555" s="58"/>
      <c r="R555" s="58"/>
      <c r="S555" s="58"/>
      <c r="T555" s="58"/>
      <c r="U555" s="58"/>
      <c r="V555" s="58"/>
      <c r="W555" s="58"/>
      <c r="X555" s="58"/>
      <c r="Y555" s="58"/>
      <c r="Z555" s="58"/>
    </row>
    <row r="556">
      <c r="A556" s="58"/>
      <c r="B556" s="58"/>
      <c r="C556" s="58"/>
      <c r="D556" s="58"/>
      <c r="E556" s="58"/>
      <c r="F556" s="58"/>
      <c r="G556" s="86"/>
      <c r="H556" s="58"/>
      <c r="I556" s="58"/>
      <c r="J556" s="58"/>
      <c r="K556" s="58"/>
      <c r="L556" s="58"/>
      <c r="M556" s="58"/>
      <c r="N556" s="58"/>
      <c r="O556" s="58"/>
      <c r="P556" s="58"/>
      <c r="Q556" s="58"/>
      <c r="R556" s="58"/>
      <c r="S556" s="58"/>
      <c r="T556" s="58"/>
      <c r="U556" s="58"/>
      <c r="V556" s="58"/>
      <c r="W556" s="58"/>
      <c r="X556" s="58"/>
      <c r="Y556" s="58"/>
      <c r="Z556" s="58"/>
    </row>
    <row r="557">
      <c r="A557" s="58"/>
      <c r="B557" s="58"/>
      <c r="C557" s="58"/>
      <c r="D557" s="58"/>
      <c r="E557" s="58"/>
      <c r="F557" s="58"/>
      <c r="G557" s="86"/>
      <c r="H557" s="58"/>
      <c r="I557" s="58"/>
      <c r="J557" s="58"/>
      <c r="K557" s="58"/>
      <c r="L557" s="58"/>
      <c r="M557" s="58"/>
      <c r="N557" s="58"/>
      <c r="O557" s="58"/>
      <c r="P557" s="58"/>
      <c r="Q557" s="58"/>
      <c r="R557" s="58"/>
      <c r="S557" s="58"/>
      <c r="T557" s="58"/>
      <c r="U557" s="58"/>
      <c r="V557" s="58"/>
      <c r="W557" s="58"/>
      <c r="X557" s="58"/>
      <c r="Y557" s="58"/>
      <c r="Z557" s="58"/>
    </row>
    <row r="558">
      <c r="A558" s="58"/>
      <c r="B558" s="58"/>
      <c r="C558" s="58"/>
      <c r="D558" s="58"/>
      <c r="E558" s="58"/>
      <c r="F558" s="58"/>
      <c r="G558" s="86"/>
      <c r="H558" s="58"/>
      <c r="I558" s="58"/>
      <c r="J558" s="58"/>
      <c r="K558" s="58"/>
      <c r="L558" s="58"/>
      <c r="M558" s="58"/>
      <c r="N558" s="58"/>
      <c r="O558" s="58"/>
      <c r="P558" s="58"/>
      <c r="Q558" s="58"/>
      <c r="R558" s="58"/>
      <c r="S558" s="58"/>
      <c r="T558" s="58"/>
      <c r="U558" s="58"/>
      <c r="V558" s="58"/>
      <c r="W558" s="58"/>
      <c r="X558" s="58"/>
      <c r="Y558" s="58"/>
      <c r="Z558" s="58"/>
    </row>
    <row r="559">
      <c r="A559" s="58"/>
      <c r="B559" s="58"/>
      <c r="C559" s="58"/>
      <c r="D559" s="58"/>
      <c r="E559" s="58"/>
      <c r="F559" s="58"/>
      <c r="G559" s="86"/>
      <c r="H559" s="58"/>
      <c r="I559" s="58"/>
      <c r="J559" s="58"/>
      <c r="K559" s="58"/>
      <c r="L559" s="58"/>
      <c r="M559" s="58"/>
      <c r="N559" s="58"/>
      <c r="O559" s="58"/>
      <c r="P559" s="58"/>
      <c r="Q559" s="58"/>
      <c r="R559" s="58"/>
      <c r="S559" s="58"/>
      <c r="T559" s="58"/>
      <c r="U559" s="58"/>
      <c r="V559" s="58"/>
      <c r="W559" s="58"/>
      <c r="X559" s="58"/>
      <c r="Y559" s="58"/>
      <c r="Z559" s="58"/>
    </row>
    <row r="560">
      <c r="A560" s="58"/>
      <c r="B560" s="58"/>
      <c r="C560" s="58"/>
      <c r="D560" s="58"/>
      <c r="E560" s="58"/>
      <c r="F560" s="58"/>
      <c r="G560" s="86"/>
      <c r="H560" s="58"/>
      <c r="I560" s="58"/>
      <c r="J560" s="58"/>
      <c r="K560" s="58"/>
      <c r="L560" s="58"/>
      <c r="M560" s="58"/>
      <c r="N560" s="58"/>
      <c r="O560" s="58"/>
      <c r="P560" s="58"/>
      <c r="Q560" s="58"/>
      <c r="R560" s="58"/>
      <c r="S560" s="58"/>
      <c r="T560" s="58"/>
      <c r="U560" s="58"/>
      <c r="V560" s="58"/>
      <c r="W560" s="58"/>
      <c r="X560" s="58"/>
      <c r="Y560" s="58"/>
      <c r="Z560" s="58"/>
    </row>
    <row r="561">
      <c r="A561" s="58"/>
      <c r="B561" s="58"/>
      <c r="C561" s="58"/>
      <c r="D561" s="58"/>
      <c r="E561" s="58"/>
      <c r="F561" s="58"/>
      <c r="G561" s="86"/>
      <c r="H561" s="58"/>
      <c r="I561" s="58"/>
      <c r="J561" s="58"/>
      <c r="K561" s="58"/>
      <c r="L561" s="58"/>
      <c r="M561" s="58"/>
      <c r="N561" s="58"/>
      <c r="O561" s="58"/>
      <c r="P561" s="58"/>
      <c r="Q561" s="58"/>
      <c r="R561" s="58"/>
      <c r="S561" s="58"/>
      <c r="T561" s="58"/>
      <c r="U561" s="58"/>
      <c r="V561" s="58"/>
      <c r="W561" s="58"/>
      <c r="X561" s="58"/>
      <c r="Y561" s="58"/>
      <c r="Z561" s="58"/>
    </row>
    <row r="562">
      <c r="A562" s="58"/>
      <c r="B562" s="58"/>
      <c r="C562" s="58"/>
      <c r="D562" s="58"/>
      <c r="E562" s="58"/>
      <c r="F562" s="58"/>
      <c r="G562" s="86"/>
      <c r="H562" s="58"/>
      <c r="I562" s="58"/>
      <c r="J562" s="58"/>
      <c r="K562" s="58"/>
      <c r="L562" s="58"/>
      <c r="M562" s="58"/>
      <c r="N562" s="58"/>
      <c r="O562" s="58"/>
      <c r="P562" s="58"/>
      <c r="Q562" s="58"/>
      <c r="R562" s="58"/>
      <c r="S562" s="58"/>
      <c r="T562" s="58"/>
      <c r="U562" s="58"/>
      <c r="V562" s="58"/>
      <c r="W562" s="58"/>
      <c r="X562" s="58"/>
      <c r="Y562" s="58"/>
      <c r="Z562" s="58"/>
    </row>
    <row r="563">
      <c r="A563" s="58"/>
      <c r="B563" s="58"/>
      <c r="C563" s="58"/>
      <c r="D563" s="58"/>
      <c r="E563" s="58"/>
      <c r="F563" s="58"/>
      <c r="G563" s="86"/>
      <c r="H563" s="58"/>
      <c r="I563" s="58"/>
      <c r="J563" s="58"/>
      <c r="K563" s="58"/>
      <c r="L563" s="58"/>
      <c r="M563" s="58"/>
      <c r="N563" s="58"/>
      <c r="O563" s="58"/>
      <c r="P563" s="58"/>
      <c r="Q563" s="58"/>
      <c r="R563" s="58"/>
      <c r="S563" s="58"/>
      <c r="T563" s="58"/>
      <c r="U563" s="58"/>
      <c r="V563" s="58"/>
      <c r="W563" s="58"/>
      <c r="X563" s="58"/>
      <c r="Y563" s="58"/>
      <c r="Z563" s="58"/>
    </row>
    <row r="564">
      <c r="A564" s="58"/>
      <c r="B564" s="58"/>
      <c r="C564" s="58"/>
      <c r="D564" s="58"/>
      <c r="E564" s="58"/>
      <c r="F564" s="58"/>
      <c r="G564" s="86"/>
      <c r="H564" s="58"/>
      <c r="I564" s="58"/>
      <c r="J564" s="58"/>
      <c r="K564" s="58"/>
      <c r="L564" s="58"/>
      <c r="M564" s="58"/>
      <c r="N564" s="58"/>
      <c r="O564" s="58"/>
      <c r="P564" s="58"/>
      <c r="Q564" s="58"/>
      <c r="R564" s="58"/>
      <c r="S564" s="58"/>
      <c r="T564" s="58"/>
      <c r="U564" s="58"/>
      <c r="V564" s="58"/>
      <c r="W564" s="58"/>
      <c r="X564" s="58"/>
      <c r="Y564" s="58"/>
      <c r="Z564" s="58"/>
    </row>
    <row r="565">
      <c r="A565" s="58"/>
      <c r="B565" s="58"/>
      <c r="C565" s="58"/>
      <c r="D565" s="58"/>
      <c r="E565" s="58"/>
      <c r="F565" s="58"/>
      <c r="G565" s="86"/>
      <c r="H565" s="58"/>
      <c r="I565" s="58"/>
      <c r="J565" s="58"/>
      <c r="K565" s="58"/>
      <c r="L565" s="58"/>
      <c r="M565" s="58"/>
      <c r="N565" s="58"/>
      <c r="O565" s="58"/>
      <c r="P565" s="58"/>
      <c r="Q565" s="58"/>
      <c r="R565" s="58"/>
      <c r="S565" s="58"/>
      <c r="T565" s="58"/>
      <c r="U565" s="58"/>
      <c r="V565" s="58"/>
      <c r="W565" s="58"/>
      <c r="X565" s="58"/>
      <c r="Y565" s="58"/>
      <c r="Z565" s="58"/>
    </row>
    <row r="566">
      <c r="A566" s="58"/>
      <c r="B566" s="58"/>
      <c r="C566" s="58"/>
      <c r="D566" s="58"/>
      <c r="E566" s="58"/>
      <c r="F566" s="58"/>
      <c r="G566" s="86"/>
      <c r="H566" s="58"/>
      <c r="I566" s="58"/>
      <c r="J566" s="58"/>
      <c r="K566" s="58"/>
      <c r="L566" s="58"/>
      <c r="M566" s="58"/>
      <c r="N566" s="58"/>
      <c r="O566" s="58"/>
      <c r="P566" s="58"/>
      <c r="Q566" s="58"/>
      <c r="R566" s="58"/>
      <c r="S566" s="58"/>
      <c r="T566" s="58"/>
      <c r="U566" s="58"/>
      <c r="V566" s="58"/>
      <c r="W566" s="58"/>
      <c r="X566" s="58"/>
      <c r="Y566" s="58"/>
      <c r="Z566" s="58"/>
    </row>
    <row r="567">
      <c r="A567" s="58"/>
      <c r="B567" s="58"/>
      <c r="C567" s="58"/>
      <c r="D567" s="58"/>
      <c r="E567" s="58"/>
      <c r="F567" s="58"/>
      <c r="G567" s="86"/>
      <c r="H567" s="58"/>
      <c r="I567" s="58"/>
      <c r="J567" s="58"/>
      <c r="K567" s="58"/>
      <c r="L567" s="58"/>
      <c r="M567" s="58"/>
      <c r="N567" s="58"/>
      <c r="O567" s="58"/>
      <c r="P567" s="58"/>
      <c r="Q567" s="58"/>
      <c r="R567" s="58"/>
      <c r="S567" s="58"/>
      <c r="T567" s="58"/>
      <c r="U567" s="58"/>
      <c r="V567" s="58"/>
      <c r="W567" s="58"/>
      <c r="X567" s="58"/>
      <c r="Y567" s="58"/>
      <c r="Z567" s="58"/>
    </row>
    <row r="568">
      <c r="A568" s="58"/>
      <c r="B568" s="58"/>
      <c r="C568" s="58"/>
      <c r="D568" s="58"/>
      <c r="E568" s="58"/>
      <c r="F568" s="58"/>
      <c r="G568" s="86"/>
      <c r="H568" s="58"/>
      <c r="I568" s="58"/>
      <c r="J568" s="58"/>
      <c r="K568" s="58"/>
      <c r="L568" s="58"/>
      <c r="M568" s="58"/>
      <c r="N568" s="58"/>
      <c r="O568" s="58"/>
      <c r="P568" s="58"/>
      <c r="Q568" s="58"/>
      <c r="R568" s="58"/>
      <c r="S568" s="58"/>
      <c r="T568" s="58"/>
      <c r="U568" s="58"/>
      <c r="V568" s="58"/>
      <c r="W568" s="58"/>
      <c r="X568" s="58"/>
      <c r="Y568" s="58"/>
      <c r="Z568" s="58"/>
    </row>
    <row r="569">
      <c r="A569" s="58"/>
      <c r="B569" s="58"/>
      <c r="C569" s="58"/>
      <c r="D569" s="58"/>
      <c r="E569" s="58"/>
      <c r="F569" s="58"/>
      <c r="G569" s="86"/>
      <c r="H569" s="58"/>
      <c r="I569" s="58"/>
      <c r="J569" s="58"/>
      <c r="K569" s="58"/>
      <c r="L569" s="58"/>
      <c r="M569" s="58"/>
      <c r="N569" s="58"/>
      <c r="O569" s="58"/>
      <c r="P569" s="58"/>
      <c r="Q569" s="58"/>
      <c r="R569" s="58"/>
      <c r="S569" s="58"/>
      <c r="T569" s="58"/>
      <c r="U569" s="58"/>
      <c r="V569" s="58"/>
      <c r="W569" s="58"/>
      <c r="X569" s="58"/>
      <c r="Y569" s="58"/>
      <c r="Z569" s="58"/>
    </row>
    <row r="570">
      <c r="A570" s="58"/>
      <c r="B570" s="58"/>
      <c r="C570" s="58"/>
      <c r="D570" s="58"/>
      <c r="E570" s="58"/>
      <c r="F570" s="58"/>
      <c r="G570" s="86"/>
      <c r="H570" s="58"/>
      <c r="I570" s="58"/>
      <c r="J570" s="58"/>
      <c r="K570" s="58"/>
      <c r="L570" s="58"/>
      <c r="M570" s="58"/>
      <c r="N570" s="58"/>
      <c r="O570" s="58"/>
      <c r="P570" s="58"/>
      <c r="Q570" s="58"/>
      <c r="R570" s="58"/>
      <c r="S570" s="58"/>
      <c r="T570" s="58"/>
      <c r="U570" s="58"/>
      <c r="V570" s="58"/>
      <c r="W570" s="58"/>
      <c r="X570" s="58"/>
      <c r="Y570" s="58"/>
      <c r="Z570" s="58"/>
    </row>
    <row r="571">
      <c r="A571" s="58"/>
      <c r="B571" s="58"/>
      <c r="C571" s="58"/>
      <c r="D571" s="58"/>
      <c r="E571" s="58"/>
      <c r="F571" s="58"/>
      <c r="G571" s="86"/>
      <c r="H571" s="58"/>
      <c r="I571" s="58"/>
      <c r="J571" s="58"/>
      <c r="K571" s="58"/>
      <c r="L571" s="58"/>
      <c r="M571" s="58"/>
      <c r="N571" s="58"/>
      <c r="O571" s="58"/>
      <c r="P571" s="58"/>
      <c r="Q571" s="58"/>
      <c r="R571" s="58"/>
      <c r="S571" s="58"/>
      <c r="T571" s="58"/>
      <c r="U571" s="58"/>
      <c r="V571" s="58"/>
      <c r="W571" s="58"/>
      <c r="X571" s="58"/>
      <c r="Y571" s="58"/>
      <c r="Z571" s="58"/>
    </row>
    <row r="572">
      <c r="A572" s="58"/>
      <c r="B572" s="58"/>
      <c r="C572" s="58"/>
      <c r="D572" s="58"/>
      <c r="E572" s="58"/>
      <c r="F572" s="58"/>
      <c r="G572" s="86"/>
      <c r="H572" s="58"/>
      <c r="I572" s="58"/>
      <c r="J572" s="58"/>
      <c r="K572" s="58"/>
      <c r="L572" s="58"/>
      <c r="M572" s="58"/>
      <c r="N572" s="58"/>
      <c r="O572" s="58"/>
      <c r="P572" s="58"/>
      <c r="Q572" s="58"/>
      <c r="R572" s="58"/>
      <c r="S572" s="58"/>
      <c r="T572" s="58"/>
      <c r="U572" s="58"/>
      <c r="V572" s="58"/>
      <c r="W572" s="58"/>
      <c r="X572" s="58"/>
      <c r="Y572" s="58"/>
      <c r="Z572" s="58"/>
    </row>
    <row r="573">
      <c r="A573" s="58"/>
      <c r="B573" s="58"/>
      <c r="C573" s="58"/>
      <c r="D573" s="58"/>
      <c r="E573" s="58"/>
      <c r="F573" s="58"/>
      <c r="G573" s="86"/>
      <c r="H573" s="58"/>
      <c r="I573" s="58"/>
      <c r="J573" s="58"/>
      <c r="K573" s="58"/>
      <c r="L573" s="58"/>
      <c r="M573" s="58"/>
      <c r="N573" s="58"/>
      <c r="O573" s="58"/>
      <c r="P573" s="58"/>
      <c r="Q573" s="58"/>
      <c r="R573" s="58"/>
      <c r="S573" s="58"/>
      <c r="T573" s="58"/>
      <c r="U573" s="58"/>
      <c r="V573" s="58"/>
      <c r="W573" s="58"/>
      <c r="X573" s="58"/>
      <c r="Y573" s="58"/>
      <c r="Z573" s="58"/>
    </row>
    <row r="574">
      <c r="A574" s="58"/>
      <c r="B574" s="58"/>
      <c r="C574" s="58"/>
      <c r="D574" s="58"/>
      <c r="E574" s="58"/>
      <c r="F574" s="58"/>
      <c r="G574" s="86"/>
      <c r="H574" s="58"/>
      <c r="I574" s="58"/>
      <c r="J574" s="58"/>
      <c r="K574" s="58"/>
      <c r="L574" s="58"/>
      <c r="M574" s="58"/>
      <c r="N574" s="58"/>
      <c r="O574" s="58"/>
      <c r="P574" s="58"/>
      <c r="Q574" s="58"/>
      <c r="R574" s="58"/>
      <c r="S574" s="58"/>
      <c r="T574" s="58"/>
      <c r="U574" s="58"/>
      <c r="V574" s="58"/>
      <c r="W574" s="58"/>
      <c r="X574" s="58"/>
      <c r="Y574" s="58"/>
      <c r="Z574" s="58"/>
    </row>
    <row r="575">
      <c r="A575" s="58"/>
      <c r="B575" s="58"/>
      <c r="C575" s="58"/>
      <c r="D575" s="58"/>
      <c r="E575" s="58"/>
      <c r="F575" s="58"/>
      <c r="G575" s="86"/>
      <c r="H575" s="58"/>
      <c r="I575" s="58"/>
      <c r="J575" s="58"/>
      <c r="K575" s="58"/>
      <c r="L575" s="58"/>
      <c r="M575" s="58"/>
      <c r="N575" s="58"/>
      <c r="O575" s="58"/>
      <c r="P575" s="58"/>
      <c r="Q575" s="58"/>
      <c r="R575" s="58"/>
      <c r="S575" s="58"/>
      <c r="T575" s="58"/>
      <c r="U575" s="58"/>
      <c r="V575" s="58"/>
      <c r="W575" s="58"/>
      <c r="X575" s="58"/>
      <c r="Y575" s="58"/>
      <c r="Z575" s="58"/>
    </row>
    <row r="576">
      <c r="A576" s="58"/>
      <c r="B576" s="58"/>
      <c r="C576" s="58"/>
      <c r="D576" s="58"/>
      <c r="E576" s="58"/>
      <c r="F576" s="58"/>
      <c r="G576" s="86"/>
      <c r="H576" s="58"/>
      <c r="I576" s="58"/>
      <c r="J576" s="58"/>
      <c r="K576" s="58"/>
      <c r="L576" s="58"/>
      <c r="M576" s="58"/>
      <c r="N576" s="58"/>
      <c r="O576" s="58"/>
      <c r="P576" s="58"/>
      <c r="Q576" s="58"/>
      <c r="R576" s="58"/>
      <c r="S576" s="58"/>
      <c r="T576" s="58"/>
      <c r="U576" s="58"/>
      <c r="V576" s="58"/>
      <c r="W576" s="58"/>
      <c r="X576" s="58"/>
      <c r="Y576" s="58"/>
      <c r="Z576" s="58"/>
    </row>
    <row r="577">
      <c r="A577" s="58"/>
      <c r="B577" s="58"/>
      <c r="C577" s="58"/>
      <c r="D577" s="58"/>
      <c r="E577" s="58"/>
      <c r="F577" s="58"/>
      <c r="G577" s="86"/>
      <c r="H577" s="58"/>
      <c r="I577" s="58"/>
      <c r="J577" s="58"/>
      <c r="K577" s="58"/>
      <c r="L577" s="58"/>
      <c r="M577" s="58"/>
      <c r="N577" s="58"/>
      <c r="O577" s="58"/>
      <c r="P577" s="58"/>
      <c r="Q577" s="58"/>
      <c r="R577" s="58"/>
      <c r="S577" s="58"/>
      <c r="T577" s="58"/>
      <c r="U577" s="58"/>
      <c r="V577" s="58"/>
      <c r="W577" s="58"/>
      <c r="X577" s="58"/>
      <c r="Y577" s="58"/>
      <c r="Z577" s="58"/>
    </row>
    <row r="578">
      <c r="A578" s="58"/>
      <c r="B578" s="58"/>
      <c r="C578" s="58"/>
      <c r="D578" s="58"/>
      <c r="E578" s="58"/>
      <c r="F578" s="58"/>
      <c r="G578" s="86"/>
      <c r="H578" s="58"/>
      <c r="I578" s="58"/>
      <c r="J578" s="58"/>
      <c r="K578" s="58"/>
      <c r="L578" s="58"/>
      <c r="M578" s="58"/>
      <c r="N578" s="58"/>
      <c r="O578" s="58"/>
      <c r="P578" s="58"/>
      <c r="Q578" s="58"/>
      <c r="R578" s="58"/>
      <c r="S578" s="58"/>
      <c r="T578" s="58"/>
      <c r="U578" s="58"/>
      <c r="V578" s="58"/>
      <c r="W578" s="58"/>
      <c r="X578" s="58"/>
      <c r="Y578" s="58"/>
      <c r="Z578" s="58"/>
    </row>
    <row r="579">
      <c r="A579" s="58"/>
      <c r="B579" s="58"/>
      <c r="C579" s="58"/>
      <c r="D579" s="58"/>
      <c r="E579" s="58"/>
      <c r="F579" s="58"/>
      <c r="G579" s="86"/>
      <c r="H579" s="58"/>
      <c r="I579" s="58"/>
      <c r="J579" s="58"/>
      <c r="K579" s="58"/>
      <c r="L579" s="58"/>
      <c r="M579" s="58"/>
      <c r="N579" s="58"/>
      <c r="O579" s="58"/>
      <c r="P579" s="58"/>
      <c r="Q579" s="58"/>
      <c r="R579" s="58"/>
      <c r="S579" s="58"/>
      <c r="T579" s="58"/>
      <c r="U579" s="58"/>
      <c r="V579" s="58"/>
      <c r="W579" s="58"/>
      <c r="X579" s="58"/>
      <c r="Y579" s="58"/>
      <c r="Z579" s="58"/>
    </row>
    <row r="580">
      <c r="A580" s="58"/>
      <c r="B580" s="58"/>
      <c r="C580" s="58"/>
      <c r="D580" s="58"/>
      <c r="E580" s="58"/>
      <c r="F580" s="58"/>
      <c r="G580" s="86"/>
      <c r="H580" s="58"/>
      <c r="I580" s="58"/>
      <c r="J580" s="58"/>
      <c r="K580" s="58"/>
      <c r="L580" s="58"/>
      <c r="M580" s="58"/>
      <c r="N580" s="58"/>
      <c r="O580" s="58"/>
      <c r="P580" s="58"/>
      <c r="Q580" s="58"/>
      <c r="R580" s="58"/>
      <c r="S580" s="58"/>
      <c r="T580" s="58"/>
      <c r="U580" s="58"/>
      <c r="V580" s="58"/>
      <c r="W580" s="58"/>
      <c r="X580" s="58"/>
      <c r="Y580" s="58"/>
      <c r="Z580" s="58"/>
    </row>
    <row r="581">
      <c r="A581" s="58"/>
      <c r="B581" s="58"/>
      <c r="C581" s="58"/>
      <c r="D581" s="58"/>
      <c r="E581" s="58"/>
      <c r="F581" s="58"/>
      <c r="G581" s="86"/>
      <c r="H581" s="58"/>
      <c r="I581" s="58"/>
      <c r="J581" s="58"/>
      <c r="K581" s="58"/>
      <c r="L581" s="58"/>
      <c r="M581" s="58"/>
      <c r="N581" s="58"/>
      <c r="O581" s="58"/>
      <c r="P581" s="58"/>
      <c r="Q581" s="58"/>
      <c r="R581" s="58"/>
      <c r="S581" s="58"/>
      <c r="T581" s="58"/>
      <c r="U581" s="58"/>
      <c r="V581" s="58"/>
      <c r="W581" s="58"/>
      <c r="X581" s="58"/>
      <c r="Y581" s="58"/>
      <c r="Z581" s="58"/>
    </row>
    <row r="582">
      <c r="A582" s="58"/>
      <c r="B582" s="58"/>
      <c r="C582" s="58"/>
      <c r="D582" s="58"/>
      <c r="E582" s="58"/>
      <c r="F582" s="58"/>
      <c r="G582" s="86"/>
      <c r="H582" s="58"/>
      <c r="I582" s="58"/>
      <c r="J582" s="58"/>
      <c r="K582" s="58"/>
      <c r="L582" s="58"/>
      <c r="M582" s="58"/>
      <c r="N582" s="58"/>
      <c r="O582" s="58"/>
      <c r="P582" s="58"/>
      <c r="Q582" s="58"/>
      <c r="R582" s="58"/>
      <c r="S582" s="58"/>
      <c r="T582" s="58"/>
      <c r="U582" s="58"/>
      <c r="V582" s="58"/>
      <c r="W582" s="58"/>
      <c r="X582" s="58"/>
      <c r="Y582" s="58"/>
      <c r="Z582" s="58"/>
    </row>
    <row r="583">
      <c r="A583" s="58"/>
      <c r="B583" s="58"/>
      <c r="C583" s="58"/>
      <c r="D583" s="58"/>
      <c r="E583" s="58"/>
      <c r="F583" s="58"/>
      <c r="G583" s="86"/>
      <c r="H583" s="58"/>
      <c r="I583" s="58"/>
      <c r="J583" s="58"/>
      <c r="K583" s="58"/>
      <c r="L583" s="58"/>
      <c r="M583" s="58"/>
      <c r="N583" s="58"/>
      <c r="O583" s="58"/>
      <c r="P583" s="58"/>
      <c r="Q583" s="58"/>
      <c r="R583" s="58"/>
      <c r="S583" s="58"/>
      <c r="T583" s="58"/>
      <c r="U583" s="58"/>
      <c r="V583" s="58"/>
      <c r="W583" s="58"/>
      <c r="X583" s="58"/>
      <c r="Y583" s="58"/>
      <c r="Z583" s="58"/>
    </row>
    <row r="584">
      <c r="A584" s="58"/>
      <c r="B584" s="58"/>
      <c r="C584" s="58"/>
      <c r="D584" s="58"/>
      <c r="E584" s="58"/>
      <c r="F584" s="58"/>
      <c r="G584" s="86"/>
      <c r="H584" s="58"/>
      <c r="I584" s="58"/>
      <c r="J584" s="58"/>
      <c r="K584" s="58"/>
      <c r="L584" s="58"/>
      <c r="M584" s="58"/>
      <c r="N584" s="58"/>
      <c r="O584" s="58"/>
      <c r="P584" s="58"/>
      <c r="Q584" s="58"/>
      <c r="R584" s="58"/>
      <c r="S584" s="58"/>
      <c r="T584" s="58"/>
      <c r="U584" s="58"/>
      <c r="V584" s="58"/>
      <c r="W584" s="58"/>
      <c r="X584" s="58"/>
      <c r="Y584" s="58"/>
      <c r="Z584" s="58"/>
    </row>
    <row r="585">
      <c r="A585" s="58"/>
      <c r="B585" s="58"/>
      <c r="C585" s="58"/>
      <c r="D585" s="58"/>
      <c r="E585" s="58"/>
      <c r="F585" s="58"/>
      <c r="G585" s="86"/>
      <c r="H585" s="58"/>
      <c r="I585" s="58"/>
      <c r="J585" s="58"/>
      <c r="K585" s="58"/>
      <c r="L585" s="58"/>
      <c r="M585" s="58"/>
      <c r="N585" s="58"/>
      <c r="O585" s="58"/>
      <c r="P585" s="58"/>
      <c r="Q585" s="58"/>
      <c r="R585" s="58"/>
      <c r="S585" s="58"/>
      <c r="T585" s="58"/>
      <c r="U585" s="58"/>
      <c r="V585" s="58"/>
      <c r="W585" s="58"/>
      <c r="X585" s="58"/>
      <c r="Y585" s="58"/>
      <c r="Z585" s="58"/>
    </row>
    <row r="586">
      <c r="A586" s="58"/>
      <c r="B586" s="58"/>
      <c r="C586" s="58"/>
      <c r="D586" s="58"/>
      <c r="E586" s="58"/>
      <c r="F586" s="58"/>
      <c r="G586" s="86"/>
      <c r="H586" s="58"/>
      <c r="I586" s="58"/>
      <c r="J586" s="58"/>
      <c r="K586" s="58"/>
      <c r="L586" s="58"/>
      <c r="M586" s="58"/>
      <c r="N586" s="58"/>
      <c r="O586" s="58"/>
      <c r="P586" s="58"/>
      <c r="Q586" s="58"/>
      <c r="R586" s="58"/>
      <c r="S586" s="58"/>
      <c r="T586" s="58"/>
      <c r="U586" s="58"/>
      <c r="V586" s="58"/>
      <c r="W586" s="58"/>
      <c r="X586" s="58"/>
      <c r="Y586" s="58"/>
      <c r="Z586" s="58"/>
    </row>
    <row r="587">
      <c r="A587" s="58"/>
      <c r="B587" s="58"/>
      <c r="C587" s="58"/>
      <c r="D587" s="58"/>
      <c r="E587" s="58"/>
      <c r="F587" s="58"/>
      <c r="G587" s="86"/>
      <c r="H587" s="58"/>
      <c r="I587" s="58"/>
      <c r="J587" s="58"/>
      <c r="K587" s="58"/>
      <c r="L587" s="58"/>
      <c r="M587" s="58"/>
      <c r="N587" s="58"/>
      <c r="O587" s="58"/>
      <c r="P587" s="58"/>
      <c r="Q587" s="58"/>
      <c r="R587" s="58"/>
      <c r="S587" s="58"/>
      <c r="T587" s="58"/>
      <c r="U587" s="58"/>
      <c r="V587" s="58"/>
      <c r="W587" s="58"/>
      <c r="X587" s="58"/>
      <c r="Y587" s="58"/>
      <c r="Z587" s="58"/>
    </row>
    <row r="588">
      <c r="A588" s="58"/>
      <c r="B588" s="58"/>
      <c r="C588" s="58"/>
      <c r="D588" s="58"/>
      <c r="E588" s="58"/>
      <c r="F588" s="58"/>
      <c r="G588" s="86"/>
      <c r="H588" s="58"/>
      <c r="I588" s="58"/>
      <c r="J588" s="58"/>
      <c r="K588" s="58"/>
      <c r="L588" s="58"/>
      <c r="M588" s="58"/>
      <c r="N588" s="58"/>
      <c r="O588" s="58"/>
      <c r="P588" s="58"/>
      <c r="Q588" s="58"/>
      <c r="R588" s="58"/>
      <c r="S588" s="58"/>
      <c r="T588" s="58"/>
      <c r="U588" s="58"/>
      <c r="V588" s="58"/>
      <c r="W588" s="58"/>
      <c r="X588" s="58"/>
      <c r="Y588" s="58"/>
      <c r="Z588" s="58"/>
    </row>
    <row r="589">
      <c r="A589" s="58"/>
      <c r="B589" s="58"/>
      <c r="C589" s="58"/>
      <c r="D589" s="58"/>
      <c r="E589" s="58"/>
      <c r="F589" s="58"/>
      <c r="G589" s="86"/>
      <c r="H589" s="58"/>
      <c r="I589" s="58"/>
      <c r="J589" s="58"/>
      <c r="K589" s="58"/>
      <c r="L589" s="58"/>
      <c r="M589" s="58"/>
      <c r="N589" s="58"/>
      <c r="O589" s="58"/>
      <c r="P589" s="58"/>
      <c r="Q589" s="58"/>
      <c r="R589" s="58"/>
      <c r="S589" s="58"/>
      <c r="T589" s="58"/>
      <c r="U589" s="58"/>
      <c r="V589" s="58"/>
      <c r="W589" s="58"/>
      <c r="X589" s="58"/>
      <c r="Y589" s="58"/>
      <c r="Z589" s="58"/>
    </row>
    <row r="590">
      <c r="A590" s="58"/>
      <c r="B590" s="58"/>
      <c r="C590" s="58"/>
      <c r="D590" s="58"/>
      <c r="E590" s="58"/>
      <c r="F590" s="58"/>
      <c r="G590" s="86"/>
      <c r="H590" s="58"/>
      <c r="I590" s="58"/>
      <c r="J590" s="58"/>
      <c r="K590" s="58"/>
      <c r="L590" s="58"/>
      <c r="M590" s="58"/>
      <c r="N590" s="58"/>
      <c r="O590" s="58"/>
      <c r="P590" s="58"/>
      <c r="Q590" s="58"/>
      <c r="R590" s="58"/>
      <c r="S590" s="58"/>
      <c r="T590" s="58"/>
      <c r="U590" s="58"/>
      <c r="V590" s="58"/>
      <c r="W590" s="58"/>
      <c r="X590" s="58"/>
      <c r="Y590" s="58"/>
      <c r="Z590" s="58"/>
    </row>
    <row r="591">
      <c r="A591" s="58"/>
      <c r="B591" s="58"/>
      <c r="C591" s="58"/>
      <c r="D591" s="58"/>
      <c r="E591" s="58"/>
      <c r="F591" s="58"/>
      <c r="G591" s="86"/>
      <c r="H591" s="58"/>
      <c r="I591" s="58"/>
      <c r="J591" s="58"/>
      <c r="K591" s="58"/>
      <c r="L591" s="58"/>
      <c r="M591" s="58"/>
      <c r="N591" s="58"/>
      <c r="O591" s="58"/>
      <c r="P591" s="58"/>
      <c r="Q591" s="58"/>
      <c r="R591" s="58"/>
      <c r="S591" s="58"/>
      <c r="T591" s="58"/>
      <c r="U591" s="58"/>
      <c r="V591" s="58"/>
      <c r="W591" s="58"/>
      <c r="X591" s="58"/>
      <c r="Y591" s="58"/>
      <c r="Z591" s="58"/>
    </row>
    <row r="592">
      <c r="A592" s="58"/>
      <c r="B592" s="58"/>
      <c r="C592" s="58"/>
      <c r="D592" s="58"/>
      <c r="E592" s="58"/>
      <c r="F592" s="58"/>
      <c r="G592" s="86"/>
      <c r="H592" s="58"/>
      <c r="I592" s="58"/>
      <c r="J592" s="58"/>
      <c r="K592" s="58"/>
      <c r="L592" s="58"/>
      <c r="M592" s="58"/>
      <c r="N592" s="58"/>
      <c r="O592" s="58"/>
      <c r="P592" s="58"/>
      <c r="Q592" s="58"/>
      <c r="R592" s="58"/>
      <c r="S592" s="58"/>
      <c r="T592" s="58"/>
      <c r="U592" s="58"/>
      <c r="V592" s="58"/>
      <c r="W592" s="58"/>
      <c r="X592" s="58"/>
      <c r="Y592" s="58"/>
      <c r="Z592" s="58"/>
    </row>
    <row r="593">
      <c r="A593" s="58"/>
      <c r="B593" s="58"/>
      <c r="C593" s="58"/>
      <c r="D593" s="58"/>
      <c r="E593" s="58"/>
      <c r="F593" s="58"/>
      <c r="G593" s="86"/>
      <c r="H593" s="58"/>
      <c r="I593" s="58"/>
      <c r="J593" s="58"/>
      <c r="K593" s="58"/>
      <c r="L593" s="58"/>
      <c r="M593" s="58"/>
      <c r="N593" s="58"/>
      <c r="O593" s="58"/>
      <c r="P593" s="58"/>
      <c r="Q593" s="58"/>
      <c r="R593" s="58"/>
      <c r="S593" s="58"/>
      <c r="T593" s="58"/>
      <c r="U593" s="58"/>
      <c r="V593" s="58"/>
      <c r="W593" s="58"/>
      <c r="X593" s="58"/>
      <c r="Y593" s="58"/>
      <c r="Z593" s="58"/>
    </row>
    <row r="594">
      <c r="A594" s="58"/>
      <c r="B594" s="58"/>
      <c r="C594" s="58"/>
      <c r="D594" s="58"/>
      <c r="E594" s="58"/>
      <c r="F594" s="58"/>
      <c r="G594" s="86"/>
      <c r="H594" s="58"/>
      <c r="I594" s="58"/>
      <c r="J594" s="58"/>
      <c r="K594" s="58"/>
      <c r="L594" s="58"/>
      <c r="M594" s="58"/>
      <c r="N594" s="58"/>
      <c r="O594" s="58"/>
      <c r="P594" s="58"/>
      <c r="Q594" s="58"/>
      <c r="R594" s="58"/>
      <c r="S594" s="58"/>
      <c r="T594" s="58"/>
      <c r="U594" s="58"/>
      <c r="V594" s="58"/>
      <c r="W594" s="58"/>
      <c r="X594" s="58"/>
      <c r="Y594" s="58"/>
      <c r="Z594" s="58"/>
    </row>
    <row r="595">
      <c r="A595" s="58"/>
      <c r="B595" s="58"/>
      <c r="C595" s="58"/>
      <c r="D595" s="58"/>
      <c r="E595" s="58"/>
      <c r="F595" s="58"/>
      <c r="G595" s="86"/>
      <c r="H595" s="58"/>
      <c r="I595" s="58"/>
      <c r="J595" s="58"/>
      <c r="K595" s="58"/>
      <c r="L595" s="58"/>
      <c r="M595" s="58"/>
      <c r="N595" s="58"/>
      <c r="O595" s="58"/>
      <c r="P595" s="58"/>
      <c r="Q595" s="58"/>
      <c r="R595" s="58"/>
      <c r="S595" s="58"/>
      <c r="T595" s="58"/>
      <c r="U595" s="58"/>
      <c r="V595" s="58"/>
      <c r="W595" s="58"/>
      <c r="X595" s="58"/>
      <c r="Y595" s="58"/>
      <c r="Z595" s="58"/>
    </row>
    <row r="596">
      <c r="A596" s="58"/>
      <c r="B596" s="58"/>
      <c r="C596" s="58"/>
      <c r="D596" s="58"/>
      <c r="E596" s="58"/>
      <c r="F596" s="58"/>
      <c r="G596" s="86"/>
      <c r="H596" s="58"/>
      <c r="I596" s="58"/>
      <c r="J596" s="58"/>
      <c r="K596" s="58"/>
      <c r="L596" s="58"/>
      <c r="M596" s="58"/>
      <c r="N596" s="58"/>
      <c r="O596" s="58"/>
      <c r="P596" s="58"/>
      <c r="Q596" s="58"/>
      <c r="R596" s="58"/>
      <c r="S596" s="58"/>
      <c r="T596" s="58"/>
      <c r="U596" s="58"/>
      <c r="V596" s="58"/>
      <c r="W596" s="58"/>
      <c r="X596" s="58"/>
      <c r="Y596" s="58"/>
      <c r="Z596" s="58"/>
    </row>
    <row r="597">
      <c r="A597" s="58"/>
      <c r="B597" s="58"/>
      <c r="C597" s="58"/>
      <c r="D597" s="58"/>
      <c r="E597" s="58"/>
      <c r="F597" s="58"/>
      <c r="G597" s="86"/>
      <c r="H597" s="58"/>
      <c r="I597" s="58"/>
      <c r="J597" s="58"/>
      <c r="K597" s="58"/>
      <c r="L597" s="58"/>
      <c r="M597" s="58"/>
      <c r="N597" s="58"/>
      <c r="O597" s="58"/>
      <c r="P597" s="58"/>
      <c r="Q597" s="58"/>
      <c r="R597" s="58"/>
      <c r="S597" s="58"/>
      <c r="T597" s="58"/>
      <c r="U597" s="58"/>
      <c r="V597" s="58"/>
      <c r="W597" s="58"/>
      <c r="X597" s="58"/>
      <c r="Y597" s="58"/>
      <c r="Z597" s="58"/>
    </row>
    <row r="598">
      <c r="A598" s="58"/>
      <c r="B598" s="58"/>
      <c r="C598" s="58"/>
      <c r="D598" s="58"/>
      <c r="E598" s="58"/>
      <c r="F598" s="58"/>
      <c r="G598" s="86"/>
      <c r="H598" s="58"/>
      <c r="I598" s="58"/>
      <c r="J598" s="58"/>
      <c r="K598" s="58"/>
      <c r="L598" s="58"/>
      <c r="M598" s="58"/>
      <c r="N598" s="58"/>
      <c r="O598" s="58"/>
      <c r="P598" s="58"/>
      <c r="Q598" s="58"/>
      <c r="R598" s="58"/>
      <c r="S598" s="58"/>
      <c r="T598" s="58"/>
      <c r="U598" s="58"/>
      <c r="V598" s="58"/>
      <c r="W598" s="58"/>
      <c r="X598" s="58"/>
      <c r="Y598" s="58"/>
      <c r="Z598" s="58"/>
    </row>
    <row r="599">
      <c r="A599" s="58"/>
      <c r="B599" s="58"/>
      <c r="C599" s="58"/>
      <c r="D599" s="58"/>
      <c r="E599" s="58"/>
      <c r="F599" s="58"/>
      <c r="G599" s="86"/>
      <c r="H599" s="58"/>
      <c r="I599" s="58"/>
      <c r="J599" s="58"/>
      <c r="K599" s="58"/>
      <c r="L599" s="58"/>
      <c r="M599" s="58"/>
      <c r="N599" s="58"/>
      <c r="O599" s="58"/>
      <c r="P599" s="58"/>
      <c r="Q599" s="58"/>
      <c r="R599" s="58"/>
      <c r="S599" s="58"/>
      <c r="T599" s="58"/>
      <c r="U599" s="58"/>
      <c r="V599" s="58"/>
      <c r="W599" s="58"/>
      <c r="X599" s="58"/>
      <c r="Y599" s="58"/>
      <c r="Z599" s="58"/>
    </row>
    <row r="600">
      <c r="A600" s="58"/>
      <c r="B600" s="58"/>
      <c r="C600" s="58"/>
      <c r="D600" s="58"/>
      <c r="E600" s="58"/>
      <c r="F600" s="58"/>
      <c r="G600" s="86"/>
      <c r="H600" s="58"/>
      <c r="I600" s="58"/>
      <c r="J600" s="58"/>
      <c r="K600" s="58"/>
      <c r="L600" s="58"/>
      <c r="M600" s="58"/>
      <c r="N600" s="58"/>
      <c r="O600" s="58"/>
      <c r="P600" s="58"/>
      <c r="Q600" s="58"/>
      <c r="R600" s="58"/>
      <c r="S600" s="58"/>
      <c r="T600" s="58"/>
      <c r="U600" s="58"/>
      <c r="V600" s="58"/>
      <c r="W600" s="58"/>
      <c r="X600" s="58"/>
      <c r="Y600" s="58"/>
      <c r="Z600" s="58"/>
    </row>
    <row r="601">
      <c r="A601" s="58"/>
      <c r="B601" s="58"/>
      <c r="C601" s="58"/>
      <c r="D601" s="58"/>
      <c r="E601" s="58"/>
      <c r="F601" s="58"/>
      <c r="G601" s="86"/>
      <c r="H601" s="58"/>
      <c r="I601" s="58"/>
      <c r="J601" s="58"/>
      <c r="K601" s="58"/>
      <c r="L601" s="58"/>
      <c r="M601" s="58"/>
      <c r="N601" s="58"/>
      <c r="O601" s="58"/>
      <c r="P601" s="58"/>
      <c r="Q601" s="58"/>
      <c r="R601" s="58"/>
      <c r="S601" s="58"/>
      <c r="T601" s="58"/>
      <c r="U601" s="58"/>
      <c r="V601" s="58"/>
      <c r="W601" s="58"/>
      <c r="X601" s="58"/>
      <c r="Y601" s="58"/>
      <c r="Z601" s="58"/>
    </row>
    <row r="602">
      <c r="A602" s="58"/>
      <c r="B602" s="58"/>
      <c r="C602" s="58"/>
      <c r="D602" s="58"/>
      <c r="E602" s="58"/>
      <c r="F602" s="58"/>
      <c r="G602" s="86"/>
      <c r="H602" s="58"/>
      <c r="I602" s="58"/>
      <c r="J602" s="58"/>
      <c r="K602" s="58"/>
      <c r="L602" s="58"/>
      <c r="M602" s="58"/>
      <c r="N602" s="58"/>
      <c r="O602" s="58"/>
      <c r="P602" s="58"/>
      <c r="Q602" s="58"/>
      <c r="R602" s="58"/>
      <c r="S602" s="58"/>
      <c r="T602" s="58"/>
      <c r="U602" s="58"/>
      <c r="V602" s="58"/>
      <c r="W602" s="58"/>
      <c r="X602" s="58"/>
      <c r="Y602" s="58"/>
      <c r="Z602" s="58"/>
    </row>
    <row r="603">
      <c r="A603" s="58"/>
      <c r="B603" s="58"/>
      <c r="C603" s="58"/>
      <c r="D603" s="58"/>
      <c r="E603" s="58"/>
      <c r="F603" s="58"/>
      <c r="G603" s="86"/>
      <c r="H603" s="58"/>
      <c r="I603" s="58"/>
      <c r="J603" s="58"/>
      <c r="K603" s="58"/>
      <c r="L603" s="58"/>
      <c r="M603" s="58"/>
      <c r="N603" s="58"/>
      <c r="O603" s="58"/>
      <c r="P603" s="58"/>
      <c r="Q603" s="58"/>
      <c r="R603" s="58"/>
      <c r="S603" s="58"/>
      <c r="T603" s="58"/>
      <c r="U603" s="58"/>
      <c r="V603" s="58"/>
      <c r="W603" s="58"/>
      <c r="X603" s="58"/>
      <c r="Y603" s="58"/>
      <c r="Z603" s="58"/>
    </row>
    <row r="604">
      <c r="A604" s="58"/>
      <c r="B604" s="58"/>
      <c r="C604" s="58"/>
      <c r="D604" s="58"/>
      <c r="E604" s="58"/>
      <c r="F604" s="58"/>
      <c r="G604" s="86"/>
      <c r="H604" s="58"/>
      <c r="I604" s="58"/>
      <c r="J604" s="58"/>
      <c r="K604" s="58"/>
      <c r="L604" s="58"/>
      <c r="M604" s="58"/>
      <c r="N604" s="58"/>
      <c r="O604" s="58"/>
      <c r="P604" s="58"/>
      <c r="Q604" s="58"/>
      <c r="R604" s="58"/>
      <c r="S604" s="58"/>
      <c r="T604" s="58"/>
      <c r="U604" s="58"/>
      <c r="V604" s="58"/>
      <c r="W604" s="58"/>
      <c r="X604" s="58"/>
      <c r="Y604" s="58"/>
      <c r="Z604" s="58"/>
    </row>
    <row r="605">
      <c r="A605" s="58"/>
      <c r="B605" s="58"/>
      <c r="C605" s="58"/>
      <c r="D605" s="58"/>
      <c r="E605" s="58"/>
      <c r="F605" s="58"/>
      <c r="G605" s="86"/>
      <c r="H605" s="58"/>
      <c r="I605" s="58"/>
      <c r="J605" s="58"/>
      <c r="K605" s="58"/>
      <c r="L605" s="58"/>
      <c r="M605" s="58"/>
      <c r="N605" s="58"/>
      <c r="O605" s="58"/>
      <c r="P605" s="58"/>
      <c r="Q605" s="58"/>
      <c r="R605" s="58"/>
      <c r="S605" s="58"/>
      <c r="T605" s="58"/>
      <c r="U605" s="58"/>
      <c r="V605" s="58"/>
      <c r="W605" s="58"/>
      <c r="X605" s="58"/>
      <c r="Y605" s="58"/>
      <c r="Z605" s="58"/>
    </row>
    <row r="606">
      <c r="A606" s="58"/>
      <c r="B606" s="58"/>
      <c r="C606" s="58"/>
      <c r="D606" s="58"/>
      <c r="E606" s="58"/>
      <c r="F606" s="58"/>
      <c r="G606" s="86"/>
      <c r="H606" s="58"/>
      <c r="I606" s="58"/>
      <c r="J606" s="58"/>
      <c r="K606" s="58"/>
      <c r="L606" s="58"/>
      <c r="M606" s="58"/>
      <c r="N606" s="58"/>
      <c r="O606" s="58"/>
      <c r="P606" s="58"/>
      <c r="Q606" s="58"/>
      <c r="R606" s="58"/>
      <c r="S606" s="58"/>
      <c r="T606" s="58"/>
      <c r="U606" s="58"/>
      <c r="V606" s="58"/>
      <c r="W606" s="58"/>
      <c r="X606" s="58"/>
      <c r="Y606" s="58"/>
      <c r="Z606" s="58"/>
    </row>
    <row r="607">
      <c r="A607" s="58"/>
      <c r="B607" s="58"/>
      <c r="C607" s="58"/>
      <c r="D607" s="58"/>
      <c r="E607" s="58"/>
      <c r="F607" s="58"/>
      <c r="G607" s="86"/>
      <c r="H607" s="58"/>
      <c r="I607" s="58"/>
      <c r="J607" s="58"/>
      <c r="K607" s="58"/>
      <c r="L607" s="58"/>
      <c r="M607" s="58"/>
      <c r="N607" s="58"/>
      <c r="O607" s="58"/>
      <c r="P607" s="58"/>
      <c r="Q607" s="58"/>
      <c r="R607" s="58"/>
      <c r="S607" s="58"/>
      <c r="T607" s="58"/>
      <c r="U607" s="58"/>
      <c r="V607" s="58"/>
      <c r="W607" s="58"/>
      <c r="X607" s="58"/>
      <c r="Y607" s="58"/>
      <c r="Z607" s="58"/>
    </row>
    <row r="608">
      <c r="A608" s="58"/>
      <c r="B608" s="58"/>
      <c r="C608" s="58"/>
      <c r="D608" s="58"/>
      <c r="E608" s="58"/>
      <c r="F608" s="58"/>
      <c r="G608" s="86"/>
      <c r="H608" s="58"/>
      <c r="I608" s="58"/>
      <c r="J608" s="58"/>
      <c r="K608" s="58"/>
      <c r="L608" s="58"/>
      <c r="M608" s="58"/>
      <c r="N608" s="58"/>
      <c r="O608" s="58"/>
      <c r="P608" s="58"/>
      <c r="Q608" s="58"/>
      <c r="R608" s="58"/>
      <c r="S608" s="58"/>
      <c r="T608" s="58"/>
      <c r="U608" s="58"/>
      <c r="V608" s="58"/>
      <c r="W608" s="58"/>
      <c r="X608" s="58"/>
      <c r="Y608" s="58"/>
      <c r="Z608" s="58"/>
    </row>
    <row r="609">
      <c r="A609" s="58"/>
      <c r="B609" s="58"/>
      <c r="C609" s="58"/>
      <c r="D609" s="58"/>
      <c r="E609" s="58"/>
      <c r="F609" s="58"/>
      <c r="G609" s="86"/>
      <c r="H609" s="58"/>
      <c r="I609" s="58"/>
      <c r="J609" s="58"/>
      <c r="K609" s="58"/>
      <c r="L609" s="58"/>
      <c r="M609" s="58"/>
      <c r="N609" s="58"/>
      <c r="O609" s="58"/>
      <c r="P609" s="58"/>
      <c r="Q609" s="58"/>
      <c r="R609" s="58"/>
      <c r="S609" s="58"/>
      <c r="T609" s="58"/>
      <c r="U609" s="58"/>
      <c r="V609" s="58"/>
      <c r="W609" s="58"/>
      <c r="X609" s="58"/>
      <c r="Y609" s="58"/>
      <c r="Z609" s="58"/>
    </row>
    <row r="610">
      <c r="A610" s="58"/>
      <c r="B610" s="58"/>
      <c r="C610" s="58"/>
      <c r="D610" s="58"/>
      <c r="E610" s="58"/>
      <c r="F610" s="58"/>
      <c r="G610" s="86"/>
      <c r="H610" s="58"/>
      <c r="I610" s="58"/>
      <c r="J610" s="58"/>
      <c r="K610" s="58"/>
      <c r="L610" s="58"/>
      <c r="M610" s="58"/>
      <c r="N610" s="58"/>
      <c r="O610" s="58"/>
      <c r="P610" s="58"/>
      <c r="Q610" s="58"/>
      <c r="R610" s="58"/>
      <c r="S610" s="58"/>
      <c r="T610" s="58"/>
      <c r="U610" s="58"/>
      <c r="V610" s="58"/>
      <c r="W610" s="58"/>
      <c r="X610" s="58"/>
      <c r="Y610" s="58"/>
      <c r="Z610" s="58"/>
    </row>
    <row r="611">
      <c r="A611" s="58"/>
      <c r="B611" s="58"/>
      <c r="C611" s="58"/>
      <c r="D611" s="58"/>
      <c r="E611" s="58"/>
      <c r="F611" s="58"/>
      <c r="G611" s="86"/>
      <c r="H611" s="58"/>
      <c r="I611" s="58"/>
      <c r="J611" s="58"/>
      <c r="K611" s="58"/>
      <c r="L611" s="58"/>
      <c r="M611" s="58"/>
      <c r="N611" s="58"/>
      <c r="O611" s="58"/>
      <c r="P611" s="58"/>
      <c r="Q611" s="58"/>
      <c r="R611" s="58"/>
      <c r="S611" s="58"/>
      <c r="T611" s="58"/>
      <c r="U611" s="58"/>
      <c r="V611" s="58"/>
      <c r="W611" s="58"/>
      <c r="X611" s="58"/>
      <c r="Y611" s="58"/>
      <c r="Z611" s="58"/>
    </row>
    <row r="612">
      <c r="A612" s="58"/>
      <c r="B612" s="58"/>
      <c r="C612" s="58"/>
      <c r="D612" s="58"/>
      <c r="E612" s="58"/>
      <c r="F612" s="58"/>
      <c r="G612" s="86"/>
      <c r="H612" s="58"/>
      <c r="I612" s="58"/>
      <c r="J612" s="58"/>
      <c r="K612" s="58"/>
      <c r="L612" s="58"/>
      <c r="M612" s="58"/>
      <c r="N612" s="58"/>
      <c r="O612" s="58"/>
      <c r="P612" s="58"/>
      <c r="Q612" s="58"/>
      <c r="R612" s="58"/>
      <c r="S612" s="58"/>
      <c r="T612" s="58"/>
      <c r="U612" s="58"/>
      <c r="V612" s="58"/>
      <c r="W612" s="58"/>
      <c r="X612" s="58"/>
      <c r="Y612" s="58"/>
      <c r="Z612" s="58"/>
    </row>
    <row r="613">
      <c r="A613" s="58"/>
      <c r="B613" s="58"/>
      <c r="C613" s="58"/>
      <c r="D613" s="58"/>
      <c r="E613" s="58"/>
      <c r="F613" s="58"/>
      <c r="G613" s="86"/>
      <c r="H613" s="58"/>
      <c r="I613" s="58"/>
      <c r="J613" s="58"/>
      <c r="K613" s="58"/>
      <c r="L613" s="58"/>
      <c r="M613" s="58"/>
      <c r="N613" s="58"/>
      <c r="O613" s="58"/>
      <c r="P613" s="58"/>
      <c r="Q613" s="58"/>
      <c r="R613" s="58"/>
      <c r="S613" s="58"/>
      <c r="T613" s="58"/>
      <c r="U613" s="58"/>
      <c r="V613" s="58"/>
      <c r="W613" s="58"/>
      <c r="X613" s="58"/>
      <c r="Y613" s="58"/>
      <c r="Z613" s="58"/>
    </row>
    <row r="614">
      <c r="A614" s="58"/>
      <c r="B614" s="58"/>
      <c r="C614" s="58"/>
      <c r="D614" s="58"/>
      <c r="E614" s="58"/>
      <c r="F614" s="58"/>
      <c r="G614" s="86"/>
      <c r="H614" s="58"/>
      <c r="I614" s="58"/>
      <c r="J614" s="58"/>
      <c r="K614" s="58"/>
      <c r="L614" s="58"/>
      <c r="M614" s="58"/>
      <c r="N614" s="58"/>
      <c r="O614" s="58"/>
      <c r="P614" s="58"/>
      <c r="Q614" s="58"/>
      <c r="R614" s="58"/>
      <c r="S614" s="58"/>
      <c r="T614" s="58"/>
      <c r="U614" s="58"/>
      <c r="V614" s="58"/>
      <c r="W614" s="58"/>
      <c r="X614" s="58"/>
      <c r="Y614" s="58"/>
      <c r="Z614" s="58"/>
    </row>
    <row r="615">
      <c r="A615" s="58"/>
      <c r="B615" s="58"/>
      <c r="C615" s="58"/>
      <c r="D615" s="58"/>
      <c r="E615" s="58"/>
      <c r="F615" s="58"/>
      <c r="G615" s="86"/>
      <c r="H615" s="58"/>
      <c r="I615" s="58"/>
      <c r="J615" s="58"/>
      <c r="K615" s="58"/>
      <c r="L615" s="58"/>
      <c r="M615" s="58"/>
      <c r="N615" s="58"/>
      <c r="O615" s="58"/>
      <c r="P615" s="58"/>
      <c r="Q615" s="58"/>
      <c r="R615" s="58"/>
      <c r="S615" s="58"/>
      <c r="T615" s="58"/>
      <c r="U615" s="58"/>
      <c r="V615" s="58"/>
      <c r="W615" s="58"/>
      <c r="X615" s="58"/>
      <c r="Y615" s="58"/>
      <c r="Z615" s="58"/>
    </row>
    <row r="616">
      <c r="A616" s="58"/>
      <c r="B616" s="58"/>
      <c r="C616" s="58"/>
      <c r="D616" s="58"/>
      <c r="E616" s="58"/>
      <c r="F616" s="58"/>
      <c r="G616" s="86"/>
      <c r="H616" s="58"/>
      <c r="I616" s="58"/>
      <c r="J616" s="58"/>
      <c r="K616" s="58"/>
      <c r="L616" s="58"/>
      <c r="M616" s="58"/>
      <c r="N616" s="58"/>
      <c r="O616" s="58"/>
      <c r="P616" s="58"/>
      <c r="Q616" s="58"/>
      <c r="R616" s="58"/>
      <c r="S616" s="58"/>
      <c r="T616" s="58"/>
      <c r="U616" s="58"/>
      <c r="V616" s="58"/>
      <c r="W616" s="58"/>
      <c r="X616" s="58"/>
      <c r="Y616" s="58"/>
      <c r="Z616" s="58"/>
    </row>
    <row r="617">
      <c r="A617" s="58"/>
      <c r="B617" s="58"/>
      <c r="C617" s="58"/>
      <c r="D617" s="58"/>
      <c r="E617" s="58"/>
      <c r="F617" s="58"/>
      <c r="G617" s="86"/>
      <c r="H617" s="58"/>
      <c r="I617" s="58"/>
      <c r="J617" s="58"/>
      <c r="K617" s="58"/>
      <c r="L617" s="58"/>
      <c r="M617" s="58"/>
      <c r="N617" s="58"/>
      <c r="O617" s="58"/>
      <c r="P617" s="58"/>
      <c r="Q617" s="58"/>
      <c r="R617" s="58"/>
      <c r="S617" s="58"/>
      <c r="T617" s="58"/>
      <c r="U617" s="58"/>
      <c r="V617" s="58"/>
      <c r="W617" s="58"/>
      <c r="X617" s="58"/>
      <c r="Y617" s="58"/>
      <c r="Z617" s="58"/>
    </row>
    <row r="618">
      <c r="A618" s="58"/>
      <c r="B618" s="58"/>
      <c r="C618" s="58"/>
      <c r="D618" s="58"/>
      <c r="E618" s="58"/>
      <c r="F618" s="58"/>
      <c r="G618" s="86"/>
      <c r="H618" s="58"/>
      <c r="I618" s="58"/>
      <c r="J618" s="58"/>
      <c r="K618" s="58"/>
      <c r="L618" s="58"/>
      <c r="M618" s="58"/>
      <c r="N618" s="58"/>
      <c r="O618" s="58"/>
      <c r="P618" s="58"/>
      <c r="Q618" s="58"/>
      <c r="R618" s="58"/>
      <c r="S618" s="58"/>
      <c r="T618" s="58"/>
      <c r="U618" s="58"/>
      <c r="V618" s="58"/>
      <c r="W618" s="58"/>
      <c r="X618" s="58"/>
      <c r="Y618" s="58"/>
      <c r="Z618" s="58"/>
    </row>
    <row r="619">
      <c r="A619" s="58"/>
      <c r="B619" s="58"/>
      <c r="C619" s="58"/>
      <c r="D619" s="58"/>
      <c r="E619" s="58"/>
      <c r="F619" s="58"/>
      <c r="G619" s="86"/>
      <c r="H619" s="58"/>
      <c r="I619" s="58"/>
      <c r="J619" s="58"/>
      <c r="K619" s="58"/>
      <c r="L619" s="58"/>
      <c r="M619" s="58"/>
      <c r="N619" s="58"/>
      <c r="O619" s="58"/>
      <c r="P619" s="58"/>
      <c r="Q619" s="58"/>
      <c r="R619" s="58"/>
      <c r="S619" s="58"/>
      <c r="T619" s="58"/>
      <c r="U619" s="58"/>
      <c r="V619" s="58"/>
      <c r="W619" s="58"/>
      <c r="X619" s="58"/>
      <c r="Y619" s="58"/>
      <c r="Z619" s="58"/>
    </row>
    <row r="620">
      <c r="A620" s="58"/>
      <c r="B620" s="58"/>
      <c r="C620" s="58"/>
      <c r="D620" s="58"/>
      <c r="E620" s="58"/>
      <c r="F620" s="58"/>
      <c r="G620" s="86"/>
      <c r="H620" s="58"/>
      <c r="I620" s="58"/>
      <c r="J620" s="58"/>
      <c r="K620" s="58"/>
      <c r="L620" s="58"/>
      <c r="M620" s="58"/>
      <c r="N620" s="58"/>
      <c r="O620" s="58"/>
      <c r="P620" s="58"/>
      <c r="Q620" s="58"/>
      <c r="R620" s="58"/>
      <c r="S620" s="58"/>
      <c r="T620" s="58"/>
      <c r="U620" s="58"/>
      <c r="V620" s="58"/>
      <c r="W620" s="58"/>
      <c r="X620" s="58"/>
      <c r="Y620" s="58"/>
      <c r="Z620" s="58"/>
    </row>
    <row r="621">
      <c r="A621" s="58"/>
      <c r="B621" s="58"/>
      <c r="C621" s="58"/>
      <c r="D621" s="58"/>
      <c r="E621" s="58"/>
      <c r="F621" s="58"/>
      <c r="G621" s="86"/>
      <c r="H621" s="58"/>
      <c r="I621" s="58"/>
      <c r="J621" s="58"/>
      <c r="K621" s="58"/>
      <c r="L621" s="58"/>
      <c r="M621" s="58"/>
      <c r="N621" s="58"/>
      <c r="O621" s="58"/>
      <c r="P621" s="58"/>
      <c r="Q621" s="58"/>
      <c r="R621" s="58"/>
      <c r="S621" s="58"/>
      <c r="T621" s="58"/>
      <c r="U621" s="58"/>
      <c r="V621" s="58"/>
      <c r="W621" s="58"/>
      <c r="X621" s="58"/>
      <c r="Y621" s="58"/>
      <c r="Z621" s="58"/>
    </row>
    <row r="622">
      <c r="A622" s="58"/>
      <c r="B622" s="58"/>
      <c r="C622" s="58"/>
      <c r="D622" s="58"/>
      <c r="E622" s="58"/>
      <c r="F622" s="58"/>
      <c r="G622" s="86"/>
      <c r="H622" s="58"/>
      <c r="I622" s="58"/>
      <c r="J622" s="58"/>
      <c r="K622" s="58"/>
      <c r="L622" s="58"/>
      <c r="M622" s="58"/>
      <c r="N622" s="58"/>
      <c r="O622" s="58"/>
      <c r="P622" s="58"/>
      <c r="Q622" s="58"/>
      <c r="R622" s="58"/>
      <c r="S622" s="58"/>
      <c r="T622" s="58"/>
      <c r="U622" s="58"/>
      <c r="V622" s="58"/>
      <c r="W622" s="58"/>
      <c r="X622" s="58"/>
      <c r="Y622" s="58"/>
      <c r="Z622" s="58"/>
    </row>
    <row r="623">
      <c r="A623" s="58"/>
      <c r="B623" s="58"/>
      <c r="C623" s="58"/>
      <c r="D623" s="58"/>
      <c r="E623" s="58"/>
      <c r="F623" s="58"/>
      <c r="G623" s="86"/>
      <c r="H623" s="58"/>
      <c r="I623" s="58"/>
      <c r="J623" s="58"/>
      <c r="K623" s="58"/>
      <c r="L623" s="58"/>
      <c r="M623" s="58"/>
      <c r="N623" s="58"/>
      <c r="O623" s="58"/>
      <c r="P623" s="58"/>
      <c r="Q623" s="58"/>
      <c r="R623" s="58"/>
      <c r="S623" s="58"/>
      <c r="T623" s="58"/>
      <c r="U623" s="58"/>
      <c r="V623" s="58"/>
      <c r="W623" s="58"/>
      <c r="X623" s="58"/>
      <c r="Y623" s="58"/>
      <c r="Z623" s="58"/>
    </row>
    <row r="624">
      <c r="A624" s="58"/>
      <c r="B624" s="58"/>
      <c r="C624" s="58"/>
      <c r="D624" s="58"/>
      <c r="E624" s="58"/>
      <c r="F624" s="58"/>
      <c r="G624" s="86"/>
      <c r="H624" s="58"/>
      <c r="I624" s="58"/>
      <c r="J624" s="58"/>
      <c r="K624" s="58"/>
      <c r="L624" s="58"/>
      <c r="M624" s="58"/>
      <c r="N624" s="58"/>
      <c r="O624" s="58"/>
      <c r="P624" s="58"/>
      <c r="Q624" s="58"/>
      <c r="R624" s="58"/>
      <c r="S624" s="58"/>
      <c r="T624" s="58"/>
      <c r="U624" s="58"/>
      <c r="V624" s="58"/>
      <c r="W624" s="58"/>
      <c r="X624" s="58"/>
      <c r="Y624" s="58"/>
      <c r="Z624" s="58"/>
    </row>
    <row r="625">
      <c r="A625" s="58"/>
      <c r="B625" s="58"/>
      <c r="C625" s="58"/>
      <c r="D625" s="58"/>
      <c r="E625" s="58"/>
      <c r="F625" s="58"/>
      <c r="G625" s="86"/>
      <c r="H625" s="58"/>
      <c r="I625" s="58"/>
      <c r="J625" s="58"/>
      <c r="K625" s="58"/>
      <c r="L625" s="58"/>
      <c r="M625" s="58"/>
      <c r="N625" s="58"/>
      <c r="O625" s="58"/>
      <c r="P625" s="58"/>
      <c r="Q625" s="58"/>
      <c r="R625" s="58"/>
      <c r="S625" s="58"/>
      <c r="T625" s="58"/>
      <c r="U625" s="58"/>
      <c r="V625" s="58"/>
      <c r="W625" s="58"/>
      <c r="X625" s="58"/>
      <c r="Y625" s="58"/>
      <c r="Z625" s="58"/>
    </row>
    <row r="626">
      <c r="A626" s="58"/>
      <c r="B626" s="58"/>
      <c r="C626" s="58"/>
      <c r="D626" s="58"/>
      <c r="E626" s="58"/>
      <c r="F626" s="58"/>
      <c r="G626" s="86"/>
      <c r="H626" s="58"/>
      <c r="I626" s="58"/>
      <c r="J626" s="58"/>
      <c r="K626" s="58"/>
      <c r="L626" s="58"/>
      <c r="M626" s="58"/>
      <c r="N626" s="58"/>
      <c r="O626" s="58"/>
      <c r="P626" s="58"/>
      <c r="Q626" s="58"/>
      <c r="R626" s="58"/>
      <c r="S626" s="58"/>
      <c r="T626" s="58"/>
      <c r="U626" s="58"/>
      <c r="V626" s="58"/>
      <c r="W626" s="58"/>
      <c r="X626" s="58"/>
      <c r="Y626" s="58"/>
      <c r="Z626" s="58"/>
    </row>
    <row r="627">
      <c r="A627" s="58"/>
      <c r="B627" s="58"/>
      <c r="C627" s="58"/>
      <c r="D627" s="58"/>
      <c r="E627" s="58"/>
      <c r="F627" s="58"/>
      <c r="G627" s="86"/>
      <c r="H627" s="58"/>
      <c r="I627" s="58"/>
      <c r="J627" s="58"/>
      <c r="K627" s="58"/>
      <c r="L627" s="58"/>
      <c r="M627" s="58"/>
      <c r="N627" s="58"/>
      <c r="O627" s="58"/>
      <c r="P627" s="58"/>
      <c r="Q627" s="58"/>
      <c r="R627" s="58"/>
      <c r="S627" s="58"/>
      <c r="T627" s="58"/>
      <c r="U627" s="58"/>
      <c r="V627" s="58"/>
      <c r="W627" s="58"/>
      <c r="X627" s="58"/>
      <c r="Y627" s="58"/>
      <c r="Z627" s="58"/>
    </row>
    <row r="628">
      <c r="A628" s="58"/>
      <c r="B628" s="58"/>
      <c r="C628" s="58"/>
      <c r="D628" s="58"/>
      <c r="E628" s="58"/>
      <c r="F628" s="58"/>
      <c r="G628" s="86"/>
      <c r="H628" s="58"/>
      <c r="I628" s="58"/>
      <c r="J628" s="58"/>
      <c r="K628" s="58"/>
      <c r="L628" s="58"/>
      <c r="M628" s="58"/>
      <c r="N628" s="58"/>
      <c r="O628" s="58"/>
      <c r="P628" s="58"/>
      <c r="Q628" s="58"/>
      <c r="R628" s="58"/>
      <c r="S628" s="58"/>
      <c r="T628" s="58"/>
      <c r="U628" s="58"/>
      <c r="V628" s="58"/>
      <c r="W628" s="58"/>
      <c r="X628" s="58"/>
      <c r="Y628" s="58"/>
      <c r="Z628" s="58"/>
    </row>
    <row r="629">
      <c r="A629" s="58"/>
      <c r="B629" s="58"/>
      <c r="C629" s="58"/>
      <c r="D629" s="58"/>
      <c r="E629" s="58"/>
      <c r="F629" s="58"/>
      <c r="G629" s="86"/>
      <c r="H629" s="58"/>
      <c r="I629" s="58"/>
      <c r="J629" s="58"/>
      <c r="K629" s="58"/>
      <c r="L629" s="58"/>
      <c r="M629" s="58"/>
      <c r="N629" s="58"/>
      <c r="O629" s="58"/>
      <c r="P629" s="58"/>
      <c r="Q629" s="58"/>
      <c r="R629" s="58"/>
      <c r="S629" s="58"/>
      <c r="T629" s="58"/>
      <c r="U629" s="58"/>
      <c r="V629" s="58"/>
      <c r="W629" s="58"/>
      <c r="X629" s="58"/>
      <c r="Y629" s="58"/>
      <c r="Z629" s="58"/>
    </row>
    <row r="630">
      <c r="A630" s="58"/>
      <c r="B630" s="58"/>
      <c r="C630" s="58"/>
      <c r="D630" s="58"/>
      <c r="E630" s="58"/>
      <c r="F630" s="58"/>
      <c r="G630" s="86"/>
      <c r="H630" s="58"/>
      <c r="I630" s="58"/>
      <c r="J630" s="58"/>
      <c r="K630" s="58"/>
      <c r="L630" s="58"/>
      <c r="M630" s="58"/>
      <c r="N630" s="58"/>
      <c r="O630" s="58"/>
      <c r="P630" s="58"/>
      <c r="Q630" s="58"/>
      <c r="R630" s="58"/>
      <c r="S630" s="58"/>
      <c r="T630" s="58"/>
      <c r="U630" s="58"/>
      <c r="V630" s="58"/>
      <c r="W630" s="58"/>
      <c r="X630" s="58"/>
      <c r="Y630" s="58"/>
      <c r="Z630" s="58"/>
    </row>
    <row r="631">
      <c r="A631" s="58"/>
      <c r="B631" s="58"/>
      <c r="C631" s="58"/>
      <c r="D631" s="58"/>
      <c r="E631" s="58"/>
      <c r="F631" s="58"/>
      <c r="G631" s="86"/>
      <c r="H631" s="58"/>
      <c r="I631" s="58"/>
      <c r="J631" s="58"/>
      <c r="K631" s="58"/>
      <c r="L631" s="58"/>
      <c r="M631" s="58"/>
      <c r="N631" s="58"/>
      <c r="O631" s="58"/>
      <c r="P631" s="58"/>
      <c r="Q631" s="58"/>
      <c r="R631" s="58"/>
      <c r="S631" s="58"/>
      <c r="T631" s="58"/>
      <c r="U631" s="58"/>
      <c r="V631" s="58"/>
      <c r="W631" s="58"/>
      <c r="X631" s="58"/>
      <c r="Y631" s="58"/>
      <c r="Z631" s="58"/>
    </row>
    <row r="632">
      <c r="A632" s="58"/>
      <c r="B632" s="58"/>
      <c r="C632" s="58"/>
      <c r="D632" s="58"/>
      <c r="E632" s="58"/>
      <c r="F632" s="58"/>
      <c r="G632" s="86"/>
      <c r="H632" s="58"/>
      <c r="I632" s="58"/>
      <c r="J632" s="58"/>
      <c r="K632" s="58"/>
      <c r="L632" s="58"/>
      <c r="M632" s="58"/>
      <c r="N632" s="58"/>
      <c r="O632" s="58"/>
      <c r="P632" s="58"/>
      <c r="Q632" s="58"/>
      <c r="R632" s="58"/>
      <c r="S632" s="58"/>
      <c r="T632" s="58"/>
      <c r="U632" s="58"/>
      <c r="V632" s="58"/>
      <c r="W632" s="58"/>
      <c r="X632" s="58"/>
      <c r="Y632" s="58"/>
      <c r="Z632" s="58"/>
    </row>
    <row r="633">
      <c r="A633" s="58"/>
      <c r="B633" s="58"/>
      <c r="C633" s="58"/>
      <c r="D633" s="58"/>
      <c r="E633" s="58"/>
      <c r="F633" s="58"/>
      <c r="G633" s="86"/>
      <c r="H633" s="58"/>
      <c r="I633" s="58"/>
      <c r="J633" s="58"/>
      <c r="K633" s="58"/>
      <c r="L633" s="58"/>
      <c r="M633" s="58"/>
      <c r="N633" s="58"/>
      <c r="O633" s="58"/>
      <c r="P633" s="58"/>
      <c r="Q633" s="58"/>
      <c r="R633" s="58"/>
      <c r="S633" s="58"/>
      <c r="T633" s="58"/>
      <c r="U633" s="58"/>
      <c r="V633" s="58"/>
      <c r="W633" s="58"/>
      <c r="X633" s="58"/>
      <c r="Y633" s="58"/>
      <c r="Z633" s="58"/>
    </row>
    <row r="634">
      <c r="A634" s="58"/>
      <c r="B634" s="58"/>
      <c r="C634" s="58"/>
      <c r="D634" s="58"/>
      <c r="E634" s="58"/>
      <c r="F634" s="58"/>
      <c r="G634" s="86"/>
      <c r="H634" s="58"/>
      <c r="I634" s="58"/>
      <c r="J634" s="58"/>
      <c r="K634" s="58"/>
      <c r="L634" s="58"/>
      <c r="M634" s="58"/>
      <c r="N634" s="58"/>
      <c r="O634" s="58"/>
      <c r="P634" s="58"/>
      <c r="Q634" s="58"/>
      <c r="R634" s="58"/>
      <c r="S634" s="58"/>
      <c r="T634" s="58"/>
      <c r="U634" s="58"/>
      <c r="V634" s="58"/>
      <c r="W634" s="58"/>
      <c r="X634" s="58"/>
      <c r="Y634" s="58"/>
      <c r="Z634" s="58"/>
    </row>
    <row r="635">
      <c r="A635" s="58"/>
      <c r="B635" s="58"/>
      <c r="C635" s="58"/>
      <c r="D635" s="58"/>
      <c r="E635" s="58"/>
      <c r="F635" s="58"/>
      <c r="G635" s="86"/>
      <c r="H635" s="58"/>
      <c r="I635" s="58"/>
      <c r="J635" s="58"/>
      <c r="K635" s="58"/>
      <c r="L635" s="58"/>
      <c r="M635" s="58"/>
      <c r="N635" s="58"/>
      <c r="O635" s="58"/>
      <c r="P635" s="58"/>
      <c r="Q635" s="58"/>
      <c r="R635" s="58"/>
      <c r="S635" s="58"/>
      <c r="T635" s="58"/>
      <c r="U635" s="58"/>
      <c r="V635" s="58"/>
      <c r="W635" s="58"/>
      <c r="X635" s="58"/>
      <c r="Y635" s="58"/>
      <c r="Z635" s="58"/>
    </row>
    <row r="636">
      <c r="A636" s="58"/>
      <c r="B636" s="58"/>
      <c r="C636" s="58"/>
      <c r="D636" s="58"/>
      <c r="E636" s="58"/>
      <c r="F636" s="58"/>
      <c r="G636" s="86"/>
      <c r="H636" s="58"/>
      <c r="I636" s="58"/>
      <c r="J636" s="58"/>
      <c r="K636" s="58"/>
      <c r="L636" s="58"/>
      <c r="M636" s="58"/>
      <c r="N636" s="58"/>
      <c r="O636" s="58"/>
      <c r="P636" s="58"/>
      <c r="Q636" s="58"/>
      <c r="R636" s="58"/>
      <c r="S636" s="58"/>
      <c r="T636" s="58"/>
      <c r="U636" s="58"/>
      <c r="V636" s="58"/>
      <c r="W636" s="58"/>
      <c r="X636" s="58"/>
      <c r="Y636" s="58"/>
      <c r="Z636" s="58"/>
    </row>
    <row r="637">
      <c r="A637" s="58"/>
      <c r="B637" s="58"/>
      <c r="C637" s="58"/>
      <c r="D637" s="58"/>
      <c r="E637" s="58"/>
      <c r="F637" s="58"/>
      <c r="G637" s="86"/>
      <c r="H637" s="58"/>
      <c r="I637" s="58"/>
      <c r="J637" s="58"/>
      <c r="K637" s="58"/>
      <c r="L637" s="58"/>
      <c r="M637" s="58"/>
      <c r="N637" s="58"/>
      <c r="O637" s="58"/>
      <c r="P637" s="58"/>
      <c r="Q637" s="58"/>
      <c r="R637" s="58"/>
      <c r="S637" s="58"/>
      <c r="T637" s="58"/>
      <c r="U637" s="58"/>
      <c r="V637" s="58"/>
      <c r="W637" s="58"/>
      <c r="X637" s="58"/>
      <c r="Y637" s="58"/>
      <c r="Z637" s="58"/>
    </row>
    <row r="638">
      <c r="A638" s="58"/>
      <c r="B638" s="58"/>
      <c r="C638" s="58"/>
      <c r="D638" s="58"/>
      <c r="E638" s="58"/>
      <c r="F638" s="58"/>
      <c r="G638" s="86"/>
      <c r="H638" s="58"/>
      <c r="I638" s="58"/>
      <c r="J638" s="58"/>
      <c r="K638" s="58"/>
      <c r="L638" s="58"/>
      <c r="M638" s="58"/>
      <c r="N638" s="58"/>
      <c r="O638" s="58"/>
      <c r="P638" s="58"/>
      <c r="Q638" s="58"/>
      <c r="R638" s="58"/>
      <c r="S638" s="58"/>
      <c r="T638" s="58"/>
      <c r="U638" s="58"/>
      <c r="V638" s="58"/>
      <c r="W638" s="58"/>
      <c r="X638" s="58"/>
      <c r="Y638" s="58"/>
      <c r="Z638" s="58"/>
    </row>
    <row r="639">
      <c r="A639" s="58"/>
      <c r="B639" s="58"/>
      <c r="C639" s="58"/>
      <c r="D639" s="58"/>
      <c r="E639" s="58"/>
      <c r="F639" s="58"/>
      <c r="G639" s="86"/>
      <c r="H639" s="58"/>
      <c r="I639" s="58"/>
      <c r="J639" s="58"/>
      <c r="K639" s="58"/>
      <c r="L639" s="58"/>
      <c r="M639" s="58"/>
      <c r="N639" s="58"/>
      <c r="O639" s="58"/>
      <c r="P639" s="58"/>
      <c r="Q639" s="58"/>
      <c r="R639" s="58"/>
      <c r="S639" s="58"/>
      <c r="T639" s="58"/>
      <c r="U639" s="58"/>
      <c r="V639" s="58"/>
      <c r="W639" s="58"/>
      <c r="X639" s="58"/>
      <c r="Y639" s="58"/>
      <c r="Z639" s="58"/>
    </row>
    <row r="640">
      <c r="A640" s="58"/>
      <c r="B640" s="58"/>
      <c r="C640" s="58"/>
      <c r="D640" s="58"/>
      <c r="E640" s="58"/>
      <c r="F640" s="58"/>
      <c r="G640" s="86"/>
      <c r="H640" s="58"/>
      <c r="I640" s="58"/>
      <c r="J640" s="58"/>
      <c r="K640" s="58"/>
      <c r="L640" s="58"/>
      <c r="M640" s="58"/>
      <c r="N640" s="58"/>
      <c r="O640" s="58"/>
      <c r="P640" s="58"/>
      <c r="Q640" s="58"/>
      <c r="R640" s="58"/>
      <c r="S640" s="58"/>
      <c r="T640" s="58"/>
      <c r="U640" s="58"/>
      <c r="V640" s="58"/>
      <c r="W640" s="58"/>
      <c r="X640" s="58"/>
      <c r="Y640" s="58"/>
      <c r="Z640" s="58"/>
    </row>
    <row r="641">
      <c r="A641" s="58"/>
      <c r="B641" s="58"/>
      <c r="C641" s="58"/>
      <c r="D641" s="58"/>
      <c r="E641" s="58"/>
      <c r="F641" s="58"/>
      <c r="G641" s="86"/>
      <c r="H641" s="58"/>
      <c r="I641" s="58"/>
      <c r="J641" s="58"/>
      <c r="K641" s="58"/>
      <c r="L641" s="58"/>
      <c r="M641" s="58"/>
      <c r="N641" s="58"/>
      <c r="O641" s="58"/>
      <c r="P641" s="58"/>
      <c r="Q641" s="58"/>
      <c r="R641" s="58"/>
      <c r="S641" s="58"/>
      <c r="T641" s="58"/>
      <c r="U641" s="58"/>
      <c r="V641" s="58"/>
      <c r="W641" s="58"/>
      <c r="X641" s="58"/>
      <c r="Y641" s="58"/>
      <c r="Z641" s="58"/>
    </row>
    <row r="642">
      <c r="A642" s="58"/>
      <c r="B642" s="58"/>
      <c r="C642" s="58"/>
      <c r="D642" s="58"/>
      <c r="E642" s="58"/>
      <c r="F642" s="58"/>
      <c r="G642" s="86"/>
      <c r="H642" s="58"/>
      <c r="I642" s="58"/>
      <c r="J642" s="58"/>
      <c r="K642" s="58"/>
      <c r="L642" s="58"/>
      <c r="M642" s="58"/>
      <c r="N642" s="58"/>
      <c r="O642" s="58"/>
      <c r="P642" s="58"/>
      <c r="Q642" s="58"/>
      <c r="R642" s="58"/>
      <c r="S642" s="58"/>
      <c r="T642" s="58"/>
      <c r="U642" s="58"/>
      <c r="V642" s="58"/>
      <c r="W642" s="58"/>
      <c r="X642" s="58"/>
      <c r="Y642" s="58"/>
      <c r="Z642" s="58"/>
    </row>
    <row r="643">
      <c r="A643" s="58"/>
      <c r="B643" s="58"/>
      <c r="C643" s="58"/>
      <c r="D643" s="58"/>
      <c r="E643" s="58"/>
      <c r="F643" s="58"/>
      <c r="G643" s="86"/>
      <c r="H643" s="58"/>
      <c r="I643" s="58"/>
      <c r="J643" s="58"/>
      <c r="K643" s="58"/>
      <c r="L643" s="58"/>
      <c r="M643" s="58"/>
      <c r="N643" s="58"/>
      <c r="O643" s="58"/>
      <c r="P643" s="58"/>
      <c r="Q643" s="58"/>
      <c r="R643" s="58"/>
      <c r="S643" s="58"/>
      <c r="T643" s="58"/>
      <c r="U643" s="58"/>
      <c r="V643" s="58"/>
      <c r="W643" s="58"/>
      <c r="X643" s="58"/>
      <c r="Y643" s="58"/>
      <c r="Z643" s="58"/>
    </row>
    <row r="644">
      <c r="A644" s="58"/>
      <c r="B644" s="58"/>
      <c r="C644" s="58"/>
      <c r="D644" s="58"/>
      <c r="E644" s="58"/>
      <c r="F644" s="58"/>
      <c r="G644" s="86"/>
      <c r="H644" s="58"/>
      <c r="I644" s="58"/>
      <c r="J644" s="58"/>
      <c r="K644" s="58"/>
      <c r="L644" s="58"/>
      <c r="M644" s="58"/>
      <c r="N644" s="58"/>
      <c r="O644" s="58"/>
      <c r="P644" s="58"/>
      <c r="Q644" s="58"/>
      <c r="R644" s="58"/>
      <c r="S644" s="58"/>
      <c r="T644" s="58"/>
      <c r="U644" s="58"/>
      <c r="V644" s="58"/>
      <c r="W644" s="58"/>
      <c r="X644" s="58"/>
      <c r="Y644" s="58"/>
      <c r="Z644" s="58"/>
    </row>
    <row r="645">
      <c r="A645" s="58"/>
      <c r="B645" s="58"/>
      <c r="C645" s="58"/>
      <c r="D645" s="58"/>
      <c r="E645" s="58"/>
      <c r="F645" s="58"/>
      <c r="G645" s="86"/>
      <c r="H645" s="58"/>
      <c r="I645" s="58"/>
      <c r="J645" s="58"/>
      <c r="K645" s="58"/>
      <c r="L645" s="58"/>
      <c r="M645" s="58"/>
      <c r="N645" s="58"/>
      <c r="O645" s="58"/>
      <c r="P645" s="58"/>
      <c r="Q645" s="58"/>
      <c r="R645" s="58"/>
      <c r="S645" s="58"/>
      <c r="T645" s="58"/>
      <c r="U645" s="58"/>
      <c r="V645" s="58"/>
      <c r="W645" s="58"/>
      <c r="X645" s="58"/>
      <c r="Y645" s="58"/>
      <c r="Z645" s="58"/>
    </row>
    <row r="646">
      <c r="A646" s="58"/>
      <c r="B646" s="58"/>
      <c r="C646" s="58"/>
      <c r="D646" s="58"/>
      <c r="E646" s="58"/>
      <c r="F646" s="58"/>
      <c r="G646" s="86"/>
      <c r="H646" s="58"/>
      <c r="I646" s="58"/>
      <c r="J646" s="58"/>
      <c r="K646" s="58"/>
      <c r="L646" s="58"/>
      <c r="M646" s="58"/>
      <c r="N646" s="58"/>
      <c r="O646" s="58"/>
      <c r="P646" s="58"/>
      <c r="Q646" s="58"/>
      <c r="R646" s="58"/>
      <c r="S646" s="58"/>
      <c r="T646" s="58"/>
      <c r="U646" s="58"/>
      <c r="V646" s="58"/>
      <c r="W646" s="58"/>
      <c r="X646" s="58"/>
      <c r="Y646" s="58"/>
      <c r="Z646" s="58"/>
    </row>
    <row r="647">
      <c r="A647" s="58"/>
      <c r="B647" s="58"/>
      <c r="C647" s="58"/>
      <c r="D647" s="58"/>
      <c r="E647" s="58"/>
      <c r="F647" s="58"/>
      <c r="G647" s="86"/>
      <c r="H647" s="58"/>
      <c r="I647" s="58"/>
      <c r="J647" s="58"/>
      <c r="K647" s="58"/>
      <c r="L647" s="58"/>
      <c r="M647" s="58"/>
      <c r="N647" s="58"/>
      <c r="O647" s="58"/>
      <c r="P647" s="58"/>
      <c r="Q647" s="58"/>
      <c r="R647" s="58"/>
      <c r="S647" s="58"/>
      <c r="T647" s="58"/>
      <c r="U647" s="58"/>
      <c r="V647" s="58"/>
      <c r="W647" s="58"/>
      <c r="X647" s="58"/>
      <c r="Y647" s="58"/>
      <c r="Z647" s="58"/>
    </row>
    <row r="648">
      <c r="A648" s="58"/>
      <c r="B648" s="58"/>
      <c r="C648" s="58"/>
      <c r="D648" s="58"/>
      <c r="E648" s="58"/>
      <c r="F648" s="58"/>
      <c r="G648" s="86"/>
      <c r="H648" s="58"/>
      <c r="I648" s="58"/>
      <c r="J648" s="58"/>
      <c r="K648" s="58"/>
      <c r="L648" s="58"/>
      <c r="M648" s="58"/>
      <c r="N648" s="58"/>
      <c r="O648" s="58"/>
      <c r="P648" s="58"/>
      <c r="Q648" s="58"/>
      <c r="R648" s="58"/>
      <c r="S648" s="58"/>
      <c r="T648" s="58"/>
      <c r="U648" s="58"/>
      <c r="V648" s="58"/>
      <c r="W648" s="58"/>
      <c r="X648" s="58"/>
      <c r="Y648" s="58"/>
      <c r="Z648" s="58"/>
    </row>
    <row r="649">
      <c r="A649" s="58"/>
      <c r="B649" s="58"/>
      <c r="C649" s="58"/>
      <c r="D649" s="58"/>
      <c r="E649" s="58"/>
      <c r="F649" s="58"/>
      <c r="G649" s="86"/>
      <c r="H649" s="58"/>
      <c r="I649" s="58"/>
      <c r="J649" s="58"/>
      <c r="K649" s="58"/>
      <c r="L649" s="58"/>
      <c r="M649" s="58"/>
      <c r="N649" s="58"/>
      <c r="O649" s="58"/>
      <c r="P649" s="58"/>
      <c r="Q649" s="58"/>
      <c r="R649" s="58"/>
      <c r="S649" s="58"/>
      <c r="T649" s="58"/>
      <c r="U649" s="58"/>
      <c r="V649" s="58"/>
      <c r="W649" s="58"/>
      <c r="X649" s="58"/>
      <c r="Y649" s="58"/>
      <c r="Z649" s="58"/>
    </row>
    <row r="650">
      <c r="A650" s="58"/>
      <c r="B650" s="58"/>
      <c r="C650" s="58"/>
      <c r="D650" s="58"/>
      <c r="E650" s="58"/>
      <c r="F650" s="58"/>
      <c r="G650" s="86"/>
      <c r="H650" s="58"/>
      <c r="I650" s="58"/>
      <c r="J650" s="58"/>
      <c r="K650" s="58"/>
      <c r="L650" s="58"/>
      <c r="M650" s="58"/>
      <c r="N650" s="58"/>
      <c r="O650" s="58"/>
      <c r="P650" s="58"/>
      <c r="Q650" s="58"/>
      <c r="R650" s="58"/>
      <c r="S650" s="58"/>
      <c r="T650" s="58"/>
      <c r="U650" s="58"/>
      <c r="V650" s="58"/>
      <c r="W650" s="58"/>
      <c r="X650" s="58"/>
      <c r="Y650" s="58"/>
      <c r="Z650" s="58"/>
    </row>
    <row r="651">
      <c r="A651" s="58"/>
      <c r="B651" s="58"/>
      <c r="C651" s="58"/>
      <c r="D651" s="58"/>
      <c r="E651" s="58"/>
      <c r="F651" s="58"/>
      <c r="G651" s="86"/>
      <c r="H651" s="58"/>
      <c r="I651" s="58"/>
      <c r="J651" s="58"/>
      <c r="K651" s="58"/>
      <c r="L651" s="58"/>
      <c r="M651" s="58"/>
      <c r="N651" s="58"/>
      <c r="O651" s="58"/>
      <c r="P651" s="58"/>
      <c r="Q651" s="58"/>
      <c r="R651" s="58"/>
      <c r="S651" s="58"/>
      <c r="T651" s="58"/>
      <c r="U651" s="58"/>
      <c r="V651" s="58"/>
      <c r="W651" s="58"/>
      <c r="X651" s="58"/>
      <c r="Y651" s="58"/>
      <c r="Z651" s="58"/>
    </row>
    <row r="652">
      <c r="A652" s="58"/>
      <c r="B652" s="58"/>
      <c r="C652" s="58"/>
      <c r="D652" s="58"/>
      <c r="E652" s="58"/>
      <c r="F652" s="58"/>
      <c r="G652" s="86"/>
      <c r="H652" s="58"/>
      <c r="I652" s="58"/>
      <c r="J652" s="58"/>
      <c r="K652" s="58"/>
      <c r="L652" s="58"/>
      <c r="M652" s="58"/>
      <c r="N652" s="58"/>
      <c r="O652" s="58"/>
      <c r="P652" s="58"/>
      <c r="Q652" s="58"/>
      <c r="R652" s="58"/>
      <c r="S652" s="58"/>
      <c r="T652" s="58"/>
      <c r="U652" s="58"/>
      <c r="V652" s="58"/>
      <c r="W652" s="58"/>
      <c r="X652" s="58"/>
      <c r="Y652" s="58"/>
      <c r="Z652" s="58"/>
    </row>
    <row r="653">
      <c r="A653" s="58"/>
      <c r="B653" s="58"/>
      <c r="C653" s="58"/>
      <c r="D653" s="58"/>
      <c r="E653" s="58"/>
      <c r="F653" s="58"/>
      <c r="G653" s="86"/>
      <c r="H653" s="58"/>
      <c r="I653" s="58"/>
      <c r="J653" s="58"/>
      <c r="K653" s="58"/>
      <c r="L653" s="58"/>
      <c r="M653" s="58"/>
      <c r="N653" s="58"/>
      <c r="O653" s="58"/>
      <c r="P653" s="58"/>
      <c r="Q653" s="58"/>
      <c r="R653" s="58"/>
      <c r="S653" s="58"/>
      <c r="T653" s="58"/>
      <c r="U653" s="58"/>
      <c r="V653" s="58"/>
      <c r="W653" s="58"/>
      <c r="X653" s="58"/>
      <c r="Y653" s="58"/>
      <c r="Z653" s="58"/>
    </row>
    <row r="654">
      <c r="A654" s="58"/>
      <c r="B654" s="58"/>
      <c r="C654" s="58"/>
      <c r="D654" s="58"/>
      <c r="E654" s="58"/>
      <c r="F654" s="58"/>
      <c r="G654" s="86"/>
      <c r="H654" s="58"/>
      <c r="I654" s="58"/>
      <c r="J654" s="58"/>
      <c r="K654" s="58"/>
      <c r="L654" s="58"/>
      <c r="M654" s="58"/>
      <c r="N654" s="58"/>
      <c r="O654" s="58"/>
      <c r="P654" s="58"/>
      <c r="Q654" s="58"/>
      <c r="R654" s="58"/>
      <c r="S654" s="58"/>
      <c r="T654" s="58"/>
      <c r="U654" s="58"/>
      <c r="V654" s="58"/>
      <c r="W654" s="58"/>
      <c r="X654" s="58"/>
      <c r="Y654" s="58"/>
      <c r="Z654" s="58"/>
    </row>
    <row r="655">
      <c r="A655" s="58"/>
      <c r="B655" s="58"/>
      <c r="C655" s="58"/>
      <c r="D655" s="58"/>
      <c r="E655" s="58"/>
      <c r="F655" s="58"/>
      <c r="G655" s="86"/>
      <c r="H655" s="58"/>
      <c r="I655" s="58"/>
      <c r="J655" s="58"/>
      <c r="K655" s="58"/>
      <c r="L655" s="58"/>
      <c r="M655" s="58"/>
      <c r="N655" s="58"/>
      <c r="O655" s="58"/>
      <c r="P655" s="58"/>
      <c r="Q655" s="58"/>
      <c r="R655" s="58"/>
      <c r="S655" s="58"/>
      <c r="T655" s="58"/>
      <c r="U655" s="58"/>
      <c r="V655" s="58"/>
      <c r="W655" s="58"/>
      <c r="X655" s="58"/>
      <c r="Y655" s="58"/>
      <c r="Z655" s="58"/>
    </row>
    <row r="656">
      <c r="A656" s="58"/>
      <c r="B656" s="58"/>
      <c r="C656" s="58"/>
      <c r="D656" s="58"/>
      <c r="E656" s="58"/>
      <c r="F656" s="58"/>
      <c r="G656" s="86"/>
      <c r="H656" s="58"/>
      <c r="I656" s="58"/>
      <c r="J656" s="58"/>
      <c r="K656" s="58"/>
      <c r="L656" s="58"/>
      <c r="M656" s="58"/>
      <c r="N656" s="58"/>
      <c r="O656" s="58"/>
      <c r="P656" s="58"/>
      <c r="Q656" s="58"/>
      <c r="R656" s="58"/>
      <c r="S656" s="58"/>
      <c r="T656" s="58"/>
      <c r="U656" s="58"/>
      <c r="V656" s="58"/>
      <c r="W656" s="58"/>
      <c r="X656" s="58"/>
      <c r="Y656" s="58"/>
      <c r="Z656" s="58"/>
    </row>
    <row r="657">
      <c r="A657" s="58"/>
      <c r="B657" s="58"/>
      <c r="C657" s="58"/>
      <c r="D657" s="58"/>
      <c r="E657" s="58"/>
      <c r="F657" s="58"/>
      <c r="G657" s="86"/>
      <c r="H657" s="58"/>
      <c r="I657" s="58"/>
      <c r="J657" s="58"/>
      <c r="K657" s="58"/>
      <c r="L657" s="58"/>
      <c r="M657" s="58"/>
      <c r="N657" s="58"/>
      <c r="O657" s="58"/>
      <c r="P657" s="58"/>
      <c r="Q657" s="58"/>
      <c r="R657" s="58"/>
      <c r="S657" s="58"/>
      <c r="T657" s="58"/>
      <c r="U657" s="58"/>
      <c r="V657" s="58"/>
      <c r="W657" s="58"/>
      <c r="X657" s="58"/>
      <c r="Y657" s="58"/>
      <c r="Z657" s="58"/>
    </row>
    <row r="658">
      <c r="A658" s="58"/>
      <c r="B658" s="58"/>
      <c r="C658" s="58"/>
      <c r="D658" s="58"/>
      <c r="E658" s="58"/>
      <c r="F658" s="58"/>
      <c r="G658" s="86"/>
      <c r="H658" s="58"/>
      <c r="I658" s="58"/>
      <c r="J658" s="58"/>
      <c r="K658" s="58"/>
      <c r="L658" s="58"/>
      <c r="M658" s="58"/>
      <c r="N658" s="58"/>
      <c r="O658" s="58"/>
      <c r="P658" s="58"/>
      <c r="Q658" s="58"/>
      <c r="R658" s="58"/>
      <c r="S658" s="58"/>
      <c r="T658" s="58"/>
      <c r="U658" s="58"/>
      <c r="V658" s="58"/>
      <c r="W658" s="58"/>
      <c r="X658" s="58"/>
      <c r="Y658" s="58"/>
      <c r="Z658" s="58"/>
    </row>
    <row r="659">
      <c r="A659" s="58"/>
      <c r="B659" s="58"/>
      <c r="C659" s="58"/>
      <c r="D659" s="58"/>
      <c r="E659" s="58"/>
      <c r="F659" s="58"/>
      <c r="G659" s="86"/>
      <c r="H659" s="58"/>
      <c r="I659" s="58"/>
      <c r="J659" s="58"/>
      <c r="K659" s="58"/>
      <c r="L659" s="58"/>
      <c r="M659" s="58"/>
      <c r="N659" s="58"/>
      <c r="O659" s="58"/>
      <c r="P659" s="58"/>
      <c r="Q659" s="58"/>
      <c r="R659" s="58"/>
      <c r="S659" s="58"/>
      <c r="T659" s="58"/>
      <c r="U659" s="58"/>
      <c r="V659" s="58"/>
      <c r="W659" s="58"/>
      <c r="X659" s="58"/>
      <c r="Y659" s="58"/>
      <c r="Z659" s="58"/>
    </row>
    <row r="660">
      <c r="A660" s="58"/>
      <c r="B660" s="58"/>
      <c r="C660" s="58"/>
      <c r="D660" s="58"/>
      <c r="E660" s="58"/>
      <c r="F660" s="58"/>
      <c r="G660" s="86"/>
      <c r="H660" s="58"/>
      <c r="I660" s="58"/>
      <c r="J660" s="58"/>
      <c r="K660" s="58"/>
      <c r="L660" s="58"/>
      <c r="M660" s="58"/>
      <c r="N660" s="58"/>
      <c r="O660" s="58"/>
      <c r="P660" s="58"/>
      <c r="Q660" s="58"/>
      <c r="R660" s="58"/>
      <c r="S660" s="58"/>
      <c r="T660" s="58"/>
      <c r="U660" s="58"/>
      <c r="V660" s="58"/>
      <c r="W660" s="58"/>
      <c r="X660" s="58"/>
      <c r="Y660" s="58"/>
      <c r="Z660" s="58"/>
    </row>
    <row r="661">
      <c r="A661" s="58"/>
      <c r="B661" s="58"/>
      <c r="C661" s="58"/>
      <c r="D661" s="58"/>
      <c r="E661" s="58"/>
      <c r="F661" s="58"/>
      <c r="G661" s="86"/>
      <c r="H661" s="58"/>
      <c r="I661" s="58"/>
      <c r="J661" s="58"/>
      <c r="K661" s="58"/>
      <c r="L661" s="58"/>
      <c r="M661" s="58"/>
      <c r="N661" s="58"/>
      <c r="O661" s="58"/>
      <c r="P661" s="58"/>
      <c r="Q661" s="58"/>
      <c r="R661" s="58"/>
      <c r="S661" s="58"/>
      <c r="T661" s="58"/>
      <c r="U661" s="58"/>
      <c r="V661" s="58"/>
      <c r="W661" s="58"/>
      <c r="X661" s="58"/>
      <c r="Y661" s="58"/>
      <c r="Z661" s="58"/>
    </row>
    <row r="662">
      <c r="A662" s="58"/>
      <c r="B662" s="58"/>
      <c r="C662" s="58"/>
      <c r="D662" s="58"/>
      <c r="E662" s="58"/>
      <c r="F662" s="58"/>
      <c r="G662" s="86"/>
      <c r="H662" s="58"/>
      <c r="I662" s="58"/>
      <c r="J662" s="58"/>
      <c r="K662" s="58"/>
      <c r="L662" s="58"/>
      <c r="M662" s="58"/>
      <c r="N662" s="58"/>
      <c r="O662" s="58"/>
      <c r="P662" s="58"/>
      <c r="Q662" s="58"/>
      <c r="R662" s="58"/>
      <c r="S662" s="58"/>
      <c r="T662" s="58"/>
      <c r="U662" s="58"/>
      <c r="V662" s="58"/>
      <c r="W662" s="58"/>
      <c r="X662" s="58"/>
      <c r="Y662" s="58"/>
      <c r="Z662" s="58"/>
    </row>
    <row r="663">
      <c r="A663" s="58"/>
      <c r="B663" s="58"/>
      <c r="C663" s="58"/>
      <c r="D663" s="58"/>
      <c r="E663" s="58"/>
      <c r="F663" s="58"/>
      <c r="G663" s="86"/>
      <c r="H663" s="58"/>
      <c r="I663" s="58"/>
      <c r="J663" s="58"/>
      <c r="K663" s="58"/>
      <c r="L663" s="58"/>
      <c r="M663" s="58"/>
      <c r="N663" s="58"/>
      <c r="O663" s="58"/>
      <c r="P663" s="58"/>
      <c r="Q663" s="58"/>
      <c r="R663" s="58"/>
      <c r="S663" s="58"/>
      <c r="T663" s="58"/>
      <c r="U663" s="58"/>
      <c r="V663" s="58"/>
      <c r="W663" s="58"/>
      <c r="X663" s="58"/>
      <c r="Y663" s="58"/>
      <c r="Z663" s="58"/>
    </row>
    <row r="664">
      <c r="A664" s="58"/>
      <c r="B664" s="58"/>
      <c r="C664" s="58"/>
      <c r="D664" s="58"/>
      <c r="E664" s="58"/>
      <c r="F664" s="58"/>
      <c r="G664" s="86"/>
      <c r="H664" s="58"/>
      <c r="I664" s="58"/>
      <c r="J664" s="58"/>
      <c r="K664" s="58"/>
      <c r="L664" s="58"/>
      <c r="M664" s="58"/>
      <c r="N664" s="58"/>
      <c r="O664" s="58"/>
      <c r="P664" s="58"/>
      <c r="Q664" s="58"/>
      <c r="R664" s="58"/>
      <c r="S664" s="58"/>
      <c r="T664" s="58"/>
      <c r="U664" s="58"/>
      <c r="V664" s="58"/>
      <c r="W664" s="58"/>
      <c r="X664" s="58"/>
      <c r="Y664" s="58"/>
      <c r="Z664" s="58"/>
    </row>
    <row r="665">
      <c r="A665" s="58"/>
      <c r="B665" s="58"/>
      <c r="C665" s="58"/>
      <c r="D665" s="58"/>
      <c r="E665" s="58"/>
      <c r="F665" s="58"/>
      <c r="G665" s="86"/>
      <c r="H665" s="58"/>
      <c r="I665" s="58"/>
      <c r="J665" s="58"/>
      <c r="K665" s="58"/>
      <c r="L665" s="58"/>
      <c r="M665" s="58"/>
      <c r="N665" s="58"/>
      <c r="O665" s="58"/>
      <c r="P665" s="58"/>
      <c r="Q665" s="58"/>
      <c r="R665" s="58"/>
      <c r="S665" s="58"/>
      <c r="T665" s="58"/>
      <c r="U665" s="58"/>
      <c r="V665" s="58"/>
      <c r="W665" s="58"/>
      <c r="X665" s="58"/>
      <c r="Y665" s="58"/>
      <c r="Z665" s="58"/>
    </row>
    <row r="666">
      <c r="A666" s="58"/>
      <c r="B666" s="58"/>
      <c r="C666" s="58"/>
      <c r="D666" s="58"/>
      <c r="E666" s="58"/>
      <c r="F666" s="58"/>
      <c r="G666" s="86"/>
      <c r="H666" s="58"/>
      <c r="I666" s="58"/>
      <c r="J666" s="58"/>
      <c r="K666" s="58"/>
      <c r="L666" s="58"/>
      <c r="M666" s="58"/>
      <c r="N666" s="58"/>
      <c r="O666" s="58"/>
      <c r="P666" s="58"/>
      <c r="Q666" s="58"/>
      <c r="R666" s="58"/>
      <c r="S666" s="58"/>
      <c r="T666" s="58"/>
      <c r="U666" s="58"/>
      <c r="V666" s="58"/>
      <c r="W666" s="58"/>
      <c r="X666" s="58"/>
      <c r="Y666" s="58"/>
      <c r="Z666" s="58"/>
    </row>
    <row r="667">
      <c r="A667" s="58"/>
      <c r="B667" s="58"/>
      <c r="C667" s="58"/>
      <c r="D667" s="58"/>
      <c r="E667" s="58"/>
      <c r="F667" s="58"/>
      <c r="G667" s="86"/>
      <c r="H667" s="58"/>
      <c r="I667" s="58"/>
      <c r="J667" s="58"/>
      <c r="K667" s="58"/>
      <c r="L667" s="58"/>
      <c r="M667" s="58"/>
      <c r="N667" s="58"/>
      <c r="O667" s="58"/>
      <c r="P667" s="58"/>
      <c r="Q667" s="58"/>
      <c r="R667" s="58"/>
      <c r="S667" s="58"/>
      <c r="T667" s="58"/>
      <c r="U667" s="58"/>
      <c r="V667" s="58"/>
      <c r="W667" s="58"/>
      <c r="X667" s="58"/>
      <c r="Y667" s="58"/>
      <c r="Z667" s="58"/>
    </row>
    <row r="668">
      <c r="A668" s="58"/>
      <c r="B668" s="58"/>
      <c r="C668" s="58"/>
      <c r="D668" s="58"/>
      <c r="E668" s="58"/>
      <c r="F668" s="58"/>
      <c r="G668" s="86"/>
      <c r="H668" s="58"/>
      <c r="I668" s="58"/>
      <c r="J668" s="58"/>
      <c r="K668" s="58"/>
      <c r="L668" s="58"/>
      <c r="M668" s="58"/>
      <c r="N668" s="58"/>
      <c r="O668" s="58"/>
      <c r="P668" s="58"/>
      <c r="Q668" s="58"/>
      <c r="R668" s="58"/>
      <c r="S668" s="58"/>
      <c r="T668" s="58"/>
      <c r="U668" s="58"/>
      <c r="V668" s="58"/>
      <c r="W668" s="58"/>
      <c r="X668" s="58"/>
      <c r="Y668" s="58"/>
      <c r="Z668" s="58"/>
    </row>
    <row r="669">
      <c r="A669" s="58"/>
      <c r="B669" s="58"/>
      <c r="C669" s="58"/>
      <c r="D669" s="58"/>
      <c r="E669" s="58"/>
      <c r="F669" s="58"/>
      <c r="G669" s="86"/>
      <c r="H669" s="58"/>
      <c r="I669" s="58"/>
      <c r="J669" s="58"/>
      <c r="K669" s="58"/>
      <c r="L669" s="58"/>
      <c r="M669" s="58"/>
      <c r="N669" s="58"/>
      <c r="O669" s="58"/>
      <c r="P669" s="58"/>
      <c r="Q669" s="58"/>
      <c r="R669" s="58"/>
      <c r="S669" s="58"/>
      <c r="T669" s="58"/>
      <c r="U669" s="58"/>
      <c r="V669" s="58"/>
      <c r="W669" s="58"/>
      <c r="X669" s="58"/>
      <c r="Y669" s="58"/>
      <c r="Z669" s="58"/>
    </row>
    <row r="670">
      <c r="A670" s="58"/>
      <c r="B670" s="58"/>
      <c r="C670" s="58"/>
      <c r="D670" s="58"/>
      <c r="E670" s="58"/>
      <c r="F670" s="58"/>
      <c r="G670" s="86"/>
      <c r="H670" s="58"/>
      <c r="I670" s="58"/>
      <c r="J670" s="58"/>
      <c r="K670" s="58"/>
      <c r="L670" s="58"/>
      <c r="M670" s="58"/>
      <c r="N670" s="58"/>
      <c r="O670" s="58"/>
      <c r="P670" s="58"/>
      <c r="Q670" s="58"/>
      <c r="R670" s="58"/>
      <c r="S670" s="58"/>
      <c r="T670" s="58"/>
      <c r="U670" s="58"/>
      <c r="V670" s="58"/>
      <c r="W670" s="58"/>
      <c r="X670" s="58"/>
      <c r="Y670" s="58"/>
      <c r="Z670" s="58"/>
    </row>
    <row r="671">
      <c r="A671" s="58"/>
      <c r="B671" s="58"/>
      <c r="C671" s="58"/>
      <c r="D671" s="58"/>
      <c r="E671" s="58"/>
      <c r="F671" s="58"/>
      <c r="G671" s="86"/>
      <c r="H671" s="58"/>
      <c r="I671" s="58"/>
      <c r="J671" s="58"/>
      <c r="K671" s="58"/>
      <c r="L671" s="58"/>
      <c r="M671" s="58"/>
      <c r="N671" s="58"/>
      <c r="O671" s="58"/>
      <c r="P671" s="58"/>
      <c r="Q671" s="58"/>
      <c r="R671" s="58"/>
      <c r="S671" s="58"/>
      <c r="T671" s="58"/>
      <c r="U671" s="58"/>
      <c r="V671" s="58"/>
      <c r="W671" s="58"/>
      <c r="X671" s="58"/>
      <c r="Y671" s="58"/>
      <c r="Z671" s="58"/>
    </row>
    <row r="672">
      <c r="A672" s="58"/>
      <c r="B672" s="58"/>
      <c r="C672" s="58"/>
      <c r="D672" s="58"/>
      <c r="E672" s="58"/>
      <c r="F672" s="58"/>
      <c r="G672" s="86"/>
      <c r="H672" s="58"/>
      <c r="I672" s="58"/>
      <c r="J672" s="58"/>
      <c r="K672" s="58"/>
      <c r="L672" s="58"/>
      <c r="M672" s="58"/>
      <c r="N672" s="58"/>
      <c r="O672" s="58"/>
      <c r="P672" s="58"/>
      <c r="Q672" s="58"/>
      <c r="R672" s="58"/>
      <c r="S672" s="58"/>
      <c r="T672" s="58"/>
      <c r="U672" s="58"/>
      <c r="V672" s="58"/>
      <c r="W672" s="58"/>
      <c r="X672" s="58"/>
      <c r="Y672" s="58"/>
      <c r="Z672" s="58"/>
    </row>
    <row r="673">
      <c r="A673" s="58"/>
      <c r="B673" s="58"/>
      <c r="C673" s="58"/>
      <c r="D673" s="58"/>
      <c r="E673" s="58"/>
      <c r="F673" s="58"/>
      <c r="G673" s="86"/>
      <c r="H673" s="58"/>
      <c r="I673" s="58"/>
      <c r="J673" s="58"/>
      <c r="K673" s="58"/>
      <c r="L673" s="58"/>
      <c r="M673" s="58"/>
      <c r="N673" s="58"/>
      <c r="O673" s="58"/>
      <c r="P673" s="58"/>
      <c r="Q673" s="58"/>
      <c r="R673" s="58"/>
      <c r="S673" s="58"/>
      <c r="T673" s="58"/>
      <c r="U673" s="58"/>
      <c r="V673" s="58"/>
      <c r="W673" s="58"/>
      <c r="X673" s="58"/>
      <c r="Y673" s="58"/>
      <c r="Z673" s="58"/>
    </row>
    <row r="674">
      <c r="A674" s="58"/>
      <c r="B674" s="58"/>
      <c r="C674" s="58"/>
      <c r="D674" s="58"/>
      <c r="E674" s="58"/>
      <c r="F674" s="58"/>
      <c r="G674" s="86"/>
      <c r="H674" s="58"/>
      <c r="I674" s="58"/>
      <c r="J674" s="58"/>
      <c r="K674" s="58"/>
      <c r="L674" s="58"/>
      <c r="M674" s="58"/>
      <c r="N674" s="58"/>
      <c r="O674" s="58"/>
      <c r="P674" s="58"/>
      <c r="Q674" s="58"/>
      <c r="R674" s="58"/>
      <c r="S674" s="58"/>
      <c r="T674" s="58"/>
      <c r="U674" s="58"/>
      <c r="V674" s="58"/>
      <c r="W674" s="58"/>
      <c r="X674" s="58"/>
      <c r="Y674" s="58"/>
      <c r="Z674" s="58"/>
    </row>
    <row r="675">
      <c r="A675" s="58"/>
      <c r="B675" s="58"/>
      <c r="C675" s="58"/>
      <c r="D675" s="58"/>
      <c r="E675" s="58"/>
      <c r="F675" s="58"/>
      <c r="G675" s="86"/>
      <c r="H675" s="58"/>
      <c r="I675" s="58"/>
      <c r="J675" s="58"/>
      <c r="K675" s="58"/>
      <c r="L675" s="58"/>
      <c r="M675" s="58"/>
      <c r="N675" s="58"/>
      <c r="O675" s="58"/>
      <c r="P675" s="58"/>
      <c r="Q675" s="58"/>
      <c r="R675" s="58"/>
      <c r="S675" s="58"/>
      <c r="T675" s="58"/>
      <c r="U675" s="58"/>
      <c r="V675" s="58"/>
      <c r="W675" s="58"/>
      <c r="X675" s="58"/>
      <c r="Y675" s="58"/>
      <c r="Z675" s="58"/>
    </row>
    <row r="676">
      <c r="A676" s="58"/>
      <c r="B676" s="58"/>
      <c r="C676" s="58"/>
      <c r="D676" s="58"/>
      <c r="E676" s="58"/>
      <c r="F676" s="58"/>
      <c r="G676" s="86"/>
      <c r="H676" s="58"/>
      <c r="I676" s="58"/>
      <c r="J676" s="58"/>
      <c r="K676" s="58"/>
      <c r="L676" s="58"/>
      <c r="M676" s="58"/>
      <c r="N676" s="58"/>
      <c r="O676" s="58"/>
      <c r="P676" s="58"/>
      <c r="Q676" s="58"/>
      <c r="R676" s="58"/>
      <c r="S676" s="58"/>
      <c r="T676" s="58"/>
      <c r="U676" s="58"/>
      <c r="V676" s="58"/>
      <c r="W676" s="58"/>
      <c r="X676" s="58"/>
      <c r="Y676" s="58"/>
      <c r="Z676" s="58"/>
    </row>
    <row r="677">
      <c r="A677" s="58"/>
      <c r="B677" s="58"/>
      <c r="C677" s="58"/>
      <c r="D677" s="58"/>
      <c r="E677" s="58"/>
      <c r="F677" s="58"/>
      <c r="G677" s="86"/>
      <c r="H677" s="58"/>
      <c r="I677" s="58"/>
      <c r="J677" s="58"/>
      <c r="K677" s="58"/>
      <c r="L677" s="58"/>
      <c r="M677" s="58"/>
      <c r="N677" s="58"/>
      <c r="O677" s="58"/>
      <c r="P677" s="58"/>
      <c r="Q677" s="58"/>
      <c r="R677" s="58"/>
      <c r="S677" s="58"/>
      <c r="T677" s="58"/>
      <c r="U677" s="58"/>
      <c r="V677" s="58"/>
      <c r="W677" s="58"/>
      <c r="X677" s="58"/>
      <c r="Y677" s="58"/>
      <c r="Z677" s="58"/>
    </row>
    <row r="678">
      <c r="A678" s="58"/>
      <c r="B678" s="58"/>
      <c r="C678" s="58"/>
      <c r="D678" s="58"/>
      <c r="E678" s="58"/>
      <c r="F678" s="58"/>
      <c r="G678" s="86"/>
      <c r="H678" s="58"/>
      <c r="I678" s="58"/>
      <c r="J678" s="58"/>
      <c r="K678" s="58"/>
      <c r="L678" s="58"/>
      <c r="M678" s="58"/>
      <c r="N678" s="58"/>
      <c r="O678" s="58"/>
      <c r="P678" s="58"/>
      <c r="Q678" s="58"/>
      <c r="R678" s="58"/>
      <c r="S678" s="58"/>
      <c r="T678" s="58"/>
      <c r="U678" s="58"/>
      <c r="V678" s="58"/>
      <c r="W678" s="58"/>
      <c r="X678" s="58"/>
      <c r="Y678" s="58"/>
      <c r="Z678" s="58"/>
    </row>
    <row r="679">
      <c r="A679" s="58"/>
      <c r="B679" s="58"/>
      <c r="C679" s="58"/>
      <c r="D679" s="58"/>
      <c r="E679" s="58"/>
      <c r="F679" s="58"/>
      <c r="G679" s="86"/>
      <c r="H679" s="58"/>
      <c r="I679" s="58"/>
      <c r="J679" s="58"/>
      <c r="K679" s="58"/>
      <c r="L679" s="58"/>
      <c r="M679" s="58"/>
      <c r="N679" s="58"/>
      <c r="O679" s="58"/>
      <c r="P679" s="58"/>
      <c r="Q679" s="58"/>
      <c r="R679" s="58"/>
      <c r="S679" s="58"/>
      <c r="T679" s="58"/>
      <c r="U679" s="58"/>
      <c r="V679" s="58"/>
      <c r="W679" s="58"/>
      <c r="X679" s="58"/>
      <c r="Y679" s="58"/>
      <c r="Z679" s="58"/>
    </row>
    <row r="680">
      <c r="A680" s="58"/>
      <c r="B680" s="58"/>
      <c r="C680" s="58"/>
      <c r="D680" s="58"/>
      <c r="E680" s="58"/>
      <c r="F680" s="58"/>
      <c r="G680" s="86"/>
      <c r="H680" s="58"/>
      <c r="I680" s="58"/>
      <c r="J680" s="58"/>
      <c r="K680" s="58"/>
      <c r="L680" s="58"/>
      <c r="M680" s="58"/>
      <c r="N680" s="58"/>
      <c r="O680" s="58"/>
      <c r="P680" s="58"/>
      <c r="Q680" s="58"/>
      <c r="R680" s="58"/>
      <c r="S680" s="58"/>
      <c r="T680" s="58"/>
      <c r="U680" s="58"/>
      <c r="V680" s="58"/>
      <c r="W680" s="58"/>
      <c r="X680" s="58"/>
      <c r="Y680" s="58"/>
      <c r="Z680" s="58"/>
    </row>
    <row r="681">
      <c r="A681" s="58"/>
      <c r="B681" s="58"/>
      <c r="C681" s="58"/>
      <c r="D681" s="58"/>
      <c r="E681" s="58"/>
      <c r="F681" s="58"/>
      <c r="G681" s="86"/>
      <c r="H681" s="58"/>
      <c r="I681" s="58"/>
      <c r="J681" s="58"/>
      <c r="K681" s="58"/>
      <c r="L681" s="58"/>
      <c r="M681" s="58"/>
      <c r="N681" s="58"/>
      <c r="O681" s="58"/>
      <c r="P681" s="58"/>
      <c r="Q681" s="58"/>
      <c r="R681" s="58"/>
      <c r="S681" s="58"/>
      <c r="T681" s="58"/>
      <c r="U681" s="58"/>
      <c r="V681" s="58"/>
      <c r="W681" s="58"/>
      <c r="X681" s="58"/>
      <c r="Y681" s="58"/>
      <c r="Z681" s="58"/>
    </row>
    <row r="682">
      <c r="A682" s="58"/>
      <c r="B682" s="58"/>
      <c r="C682" s="58"/>
      <c r="D682" s="58"/>
      <c r="E682" s="58"/>
      <c r="F682" s="58"/>
      <c r="G682" s="86"/>
      <c r="H682" s="58"/>
      <c r="I682" s="58"/>
      <c r="J682" s="58"/>
      <c r="K682" s="58"/>
      <c r="L682" s="58"/>
      <c r="M682" s="58"/>
      <c r="N682" s="58"/>
      <c r="O682" s="58"/>
      <c r="P682" s="58"/>
      <c r="Q682" s="58"/>
      <c r="R682" s="58"/>
      <c r="S682" s="58"/>
      <c r="T682" s="58"/>
      <c r="U682" s="58"/>
      <c r="V682" s="58"/>
      <c r="W682" s="58"/>
      <c r="X682" s="58"/>
      <c r="Y682" s="58"/>
      <c r="Z682" s="58"/>
    </row>
    <row r="683">
      <c r="A683" s="58"/>
      <c r="B683" s="58"/>
      <c r="C683" s="58"/>
      <c r="D683" s="58"/>
      <c r="E683" s="58"/>
      <c r="F683" s="58"/>
      <c r="G683" s="86"/>
      <c r="H683" s="58"/>
      <c r="I683" s="58"/>
      <c r="J683" s="58"/>
      <c r="K683" s="58"/>
      <c r="L683" s="58"/>
      <c r="M683" s="58"/>
      <c r="N683" s="58"/>
      <c r="O683" s="58"/>
      <c r="P683" s="58"/>
      <c r="Q683" s="58"/>
      <c r="R683" s="58"/>
      <c r="S683" s="58"/>
      <c r="T683" s="58"/>
      <c r="U683" s="58"/>
      <c r="V683" s="58"/>
      <c r="W683" s="58"/>
      <c r="X683" s="58"/>
      <c r="Y683" s="58"/>
      <c r="Z683" s="58"/>
    </row>
    <row r="684">
      <c r="A684" s="58"/>
      <c r="B684" s="58"/>
      <c r="C684" s="58"/>
      <c r="D684" s="58"/>
      <c r="E684" s="58"/>
      <c r="F684" s="58"/>
      <c r="G684" s="86"/>
      <c r="H684" s="58"/>
      <c r="I684" s="58"/>
      <c r="J684" s="58"/>
      <c r="K684" s="58"/>
      <c r="L684" s="58"/>
      <c r="M684" s="58"/>
      <c r="N684" s="58"/>
      <c r="O684" s="58"/>
      <c r="P684" s="58"/>
      <c r="Q684" s="58"/>
      <c r="R684" s="58"/>
      <c r="S684" s="58"/>
      <c r="T684" s="58"/>
      <c r="U684" s="58"/>
      <c r="V684" s="58"/>
      <c r="W684" s="58"/>
      <c r="X684" s="58"/>
      <c r="Y684" s="58"/>
      <c r="Z684" s="58"/>
    </row>
    <row r="685">
      <c r="A685" s="58"/>
      <c r="B685" s="58"/>
      <c r="C685" s="58"/>
      <c r="D685" s="58"/>
      <c r="E685" s="58"/>
      <c r="F685" s="58"/>
      <c r="G685" s="86"/>
      <c r="H685" s="58"/>
      <c r="I685" s="58"/>
      <c r="J685" s="58"/>
      <c r="K685" s="58"/>
      <c r="L685" s="58"/>
      <c r="M685" s="58"/>
      <c r="N685" s="58"/>
      <c r="O685" s="58"/>
      <c r="P685" s="58"/>
      <c r="Q685" s="58"/>
      <c r="R685" s="58"/>
      <c r="S685" s="58"/>
      <c r="T685" s="58"/>
      <c r="U685" s="58"/>
      <c r="V685" s="58"/>
      <c r="W685" s="58"/>
      <c r="X685" s="58"/>
      <c r="Y685" s="58"/>
      <c r="Z685" s="58"/>
    </row>
    <row r="686">
      <c r="A686" s="58"/>
      <c r="B686" s="58"/>
      <c r="C686" s="58"/>
      <c r="D686" s="58"/>
      <c r="E686" s="58"/>
      <c r="F686" s="58"/>
      <c r="G686" s="86"/>
      <c r="H686" s="58"/>
      <c r="I686" s="58"/>
      <c r="J686" s="58"/>
      <c r="K686" s="58"/>
      <c r="L686" s="58"/>
      <c r="M686" s="58"/>
      <c r="N686" s="58"/>
      <c r="O686" s="58"/>
      <c r="P686" s="58"/>
      <c r="Q686" s="58"/>
      <c r="R686" s="58"/>
      <c r="S686" s="58"/>
      <c r="T686" s="58"/>
      <c r="U686" s="58"/>
      <c r="V686" s="58"/>
      <c r="W686" s="58"/>
      <c r="X686" s="58"/>
      <c r="Y686" s="58"/>
      <c r="Z686" s="58"/>
    </row>
    <row r="687">
      <c r="A687" s="58"/>
      <c r="B687" s="58"/>
      <c r="C687" s="58"/>
      <c r="D687" s="58"/>
      <c r="E687" s="58"/>
      <c r="F687" s="58"/>
      <c r="G687" s="86"/>
      <c r="H687" s="58"/>
      <c r="I687" s="58"/>
      <c r="J687" s="58"/>
      <c r="K687" s="58"/>
      <c r="L687" s="58"/>
      <c r="M687" s="58"/>
      <c r="N687" s="58"/>
      <c r="O687" s="58"/>
      <c r="P687" s="58"/>
      <c r="Q687" s="58"/>
      <c r="R687" s="58"/>
      <c r="S687" s="58"/>
      <c r="T687" s="58"/>
      <c r="U687" s="58"/>
      <c r="V687" s="58"/>
      <c r="W687" s="58"/>
      <c r="X687" s="58"/>
      <c r="Y687" s="58"/>
      <c r="Z687" s="58"/>
    </row>
    <row r="688">
      <c r="A688" s="58"/>
      <c r="B688" s="58"/>
      <c r="C688" s="58"/>
      <c r="D688" s="58"/>
      <c r="E688" s="58"/>
      <c r="F688" s="58"/>
      <c r="G688" s="86"/>
      <c r="H688" s="58"/>
      <c r="I688" s="58"/>
      <c r="J688" s="58"/>
      <c r="K688" s="58"/>
      <c r="L688" s="58"/>
      <c r="M688" s="58"/>
      <c r="N688" s="58"/>
      <c r="O688" s="58"/>
      <c r="P688" s="58"/>
      <c r="Q688" s="58"/>
      <c r="R688" s="58"/>
      <c r="S688" s="58"/>
      <c r="T688" s="58"/>
      <c r="U688" s="58"/>
      <c r="V688" s="58"/>
      <c r="W688" s="58"/>
      <c r="X688" s="58"/>
      <c r="Y688" s="58"/>
      <c r="Z688" s="58"/>
    </row>
    <row r="689">
      <c r="A689" s="58"/>
      <c r="B689" s="58"/>
      <c r="C689" s="58"/>
      <c r="D689" s="58"/>
      <c r="E689" s="58"/>
      <c r="F689" s="58"/>
      <c r="G689" s="86"/>
      <c r="H689" s="58"/>
      <c r="I689" s="58"/>
      <c r="J689" s="58"/>
      <c r="K689" s="58"/>
      <c r="L689" s="58"/>
      <c r="M689" s="58"/>
      <c r="N689" s="58"/>
      <c r="O689" s="58"/>
      <c r="P689" s="58"/>
      <c r="Q689" s="58"/>
      <c r="R689" s="58"/>
      <c r="S689" s="58"/>
      <c r="T689" s="58"/>
      <c r="U689" s="58"/>
      <c r="V689" s="58"/>
      <c r="W689" s="58"/>
      <c r="X689" s="58"/>
      <c r="Y689" s="58"/>
      <c r="Z689" s="58"/>
    </row>
    <row r="690">
      <c r="A690" s="58"/>
      <c r="B690" s="58"/>
      <c r="C690" s="58"/>
      <c r="D690" s="58"/>
      <c r="E690" s="58"/>
      <c r="F690" s="58"/>
      <c r="G690" s="86"/>
      <c r="H690" s="58"/>
      <c r="I690" s="58"/>
      <c r="J690" s="58"/>
      <c r="K690" s="58"/>
      <c r="L690" s="58"/>
      <c r="M690" s="58"/>
      <c r="N690" s="58"/>
      <c r="O690" s="58"/>
      <c r="P690" s="58"/>
      <c r="Q690" s="58"/>
      <c r="R690" s="58"/>
      <c r="S690" s="58"/>
      <c r="T690" s="58"/>
      <c r="U690" s="58"/>
      <c r="V690" s="58"/>
      <c r="W690" s="58"/>
      <c r="X690" s="58"/>
      <c r="Y690" s="58"/>
      <c r="Z690" s="58"/>
    </row>
    <row r="691">
      <c r="A691" s="58"/>
      <c r="B691" s="58"/>
      <c r="C691" s="58"/>
      <c r="D691" s="58"/>
      <c r="E691" s="58"/>
      <c r="F691" s="58"/>
      <c r="G691" s="86"/>
      <c r="H691" s="58"/>
      <c r="I691" s="58"/>
      <c r="J691" s="58"/>
      <c r="K691" s="58"/>
      <c r="L691" s="58"/>
      <c r="M691" s="58"/>
      <c r="N691" s="58"/>
      <c r="O691" s="58"/>
      <c r="P691" s="58"/>
      <c r="Q691" s="58"/>
      <c r="R691" s="58"/>
      <c r="S691" s="58"/>
      <c r="T691" s="58"/>
      <c r="U691" s="58"/>
      <c r="V691" s="58"/>
      <c r="W691" s="58"/>
      <c r="X691" s="58"/>
      <c r="Y691" s="58"/>
      <c r="Z691" s="58"/>
    </row>
    <row r="692">
      <c r="A692" s="58"/>
      <c r="B692" s="58"/>
      <c r="C692" s="58"/>
      <c r="D692" s="58"/>
      <c r="E692" s="58"/>
      <c r="F692" s="58"/>
      <c r="G692" s="86"/>
      <c r="H692" s="58"/>
      <c r="I692" s="58"/>
      <c r="J692" s="58"/>
      <c r="K692" s="58"/>
      <c r="L692" s="58"/>
      <c r="M692" s="58"/>
      <c r="N692" s="58"/>
      <c r="O692" s="58"/>
      <c r="P692" s="58"/>
      <c r="Q692" s="58"/>
      <c r="R692" s="58"/>
      <c r="S692" s="58"/>
      <c r="T692" s="58"/>
      <c r="U692" s="58"/>
      <c r="V692" s="58"/>
      <c r="W692" s="58"/>
      <c r="X692" s="58"/>
      <c r="Y692" s="58"/>
      <c r="Z692" s="58"/>
    </row>
    <row r="693">
      <c r="A693" s="58"/>
      <c r="B693" s="58"/>
      <c r="C693" s="58"/>
      <c r="D693" s="58"/>
      <c r="E693" s="58"/>
      <c r="F693" s="58"/>
      <c r="G693" s="86"/>
      <c r="H693" s="58"/>
      <c r="I693" s="58"/>
      <c r="J693" s="58"/>
      <c r="K693" s="58"/>
      <c r="L693" s="58"/>
      <c r="M693" s="58"/>
      <c r="N693" s="58"/>
      <c r="O693" s="58"/>
      <c r="P693" s="58"/>
      <c r="Q693" s="58"/>
      <c r="R693" s="58"/>
      <c r="S693" s="58"/>
      <c r="T693" s="58"/>
      <c r="U693" s="58"/>
      <c r="V693" s="58"/>
      <c r="W693" s="58"/>
      <c r="X693" s="58"/>
      <c r="Y693" s="58"/>
      <c r="Z693" s="58"/>
    </row>
    <row r="694">
      <c r="A694" s="58"/>
      <c r="B694" s="58"/>
      <c r="C694" s="58"/>
      <c r="D694" s="58"/>
      <c r="E694" s="58"/>
      <c r="F694" s="58"/>
      <c r="G694" s="86"/>
      <c r="H694" s="58"/>
      <c r="I694" s="58"/>
      <c r="J694" s="58"/>
      <c r="K694" s="58"/>
      <c r="L694" s="58"/>
      <c r="M694" s="58"/>
      <c r="N694" s="58"/>
      <c r="O694" s="58"/>
      <c r="P694" s="58"/>
      <c r="Q694" s="58"/>
      <c r="R694" s="58"/>
      <c r="S694" s="58"/>
      <c r="T694" s="58"/>
      <c r="U694" s="58"/>
      <c r="V694" s="58"/>
      <c r="W694" s="58"/>
      <c r="X694" s="58"/>
      <c r="Y694" s="58"/>
      <c r="Z694" s="58"/>
    </row>
    <row r="695">
      <c r="A695" s="58"/>
      <c r="B695" s="58"/>
      <c r="C695" s="58"/>
      <c r="D695" s="58"/>
      <c r="E695" s="58"/>
      <c r="F695" s="58"/>
      <c r="G695" s="86"/>
      <c r="H695" s="58"/>
      <c r="I695" s="58"/>
      <c r="J695" s="58"/>
      <c r="K695" s="58"/>
      <c r="L695" s="58"/>
      <c r="M695" s="58"/>
      <c r="N695" s="58"/>
      <c r="O695" s="58"/>
      <c r="P695" s="58"/>
      <c r="Q695" s="58"/>
      <c r="R695" s="58"/>
      <c r="S695" s="58"/>
      <c r="T695" s="58"/>
      <c r="U695" s="58"/>
      <c r="V695" s="58"/>
      <c r="W695" s="58"/>
      <c r="X695" s="58"/>
      <c r="Y695" s="58"/>
      <c r="Z695" s="58"/>
    </row>
    <row r="696">
      <c r="A696" s="58"/>
      <c r="B696" s="58"/>
      <c r="C696" s="58"/>
      <c r="D696" s="58"/>
      <c r="E696" s="58"/>
      <c r="F696" s="58"/>
      <c r="G696" s="86"/>
      <c r="H696" s="58"/>
      <c r="I696" s="58"/>
      <c r="J696" s="58"/>
      <c r="K696" s="58"/>
      <c r="L696" s="58"/>
      <c r="M696" s="58"/>
      <c r="N696" s="58"/>
      <c r="O696" s="58"/>
      <c r="P696" s="58"/>
      <c r="Q696" s="58"/>
      <c r="R696" s="58"/>
      <c r="S696" s="58"/>
      <c r="T696" s="58"/>
      <c r="U696" s="58"/>
      <c r="V696" s="58"/>
      <c r="W696" s="58"/>
      <c r="X696" s="58"/>
      <c r="Y696" s="58"/>
      <c r="Z696" s="58"/>
    </row>
    <row r="697">
      <c r="A697" s="58"/>
      <c r="B697" s="58"/>
      <c r="C697" s="58"/>
      <c r="D697" s="58"/>
      <c r="E697" s="58"/>
      <c r="F697" s="58"/>
      <c r="G697" s="86"/>
      <c r="H697" s="58"/>
      <c r="I697" s="58"/>
      <c r="J697" s="58"/>
      <c r="K697" s="58"/>
      <c r="L697" s="58"/>
      <c r="M697" s="58"/>
      <c r="N697" s="58"/>
      <c r="O697" s="58"/>
      <c r="P697" s="58"/>
      <c r="Q697" s="58"/>
      <c r="R697" s="58"/>
      <c r="S697" s="58"/>
      <c r="T697" s="58"/>
      <c r="U697" s="58"/>
      <c r="V697" s="58"/>
      <c r="W697" s="58"/>
      <c r="X697" s="58"/>
      <c r="Y697" s="58"/>
      <c r="Z697" s="58"/>
    </row>
    <row r="698">
      <c r="A698" s="58"/>
      <c r="B698" s="58"/>
      <c r="C698" s="58"/>
      <c r="D698" s="58"/>
      <c r="E698" s="58"/>
      <c r="F698" s="58"/>
      <c r="G698" s="86"/>
      <c r="H698" s="58"/>
      <c r="I698" s="58"/>
      <c r="J698" s="58"/>
      <c r="K698" s="58"/>
      <c r="L698" s="58"/>
      <c r="M698" s="58"/>
      <c r="N698" s="58"/>
      <c r="O698" s="58"/>
      <c r="P698" s="58"/>
      <c r="Q698" s="58"/>
      <c r="R698" s="58"/>
      <c r="S698" s="58"/>
      <c r="T698" s="58"/>
      <c r="U698" s="58"/>
      <c r="V698" s="58"/>
      <c r="W698" s="58"/>
      <c r="X698" s="58"/>
      <c r="Y698" s="58"/>
      <c r="Z698" s="58"/>
    </row>
    <row r="699">
      <c r="A699" s="58"/>
      <c r="B699" s="58"/>
      <c r="C699" s="58"/>
      <c r="D699" s="58"/>
      <c r="E699" s="58"/>
      <c r="F699" s="58"/>
      <c r="G699" s="86"/>
      <c r="H699" s="58"/>
      <c r="I699" s="58"/>
      <c r="J699" s="58"/>
      <c r="K699" s="58"/>
      <c r="L699" s="58"/>
      <c r="M699" s="58"/>
      <c r="N699" s="58"/>
      <c r="O699" s="58"/>
      <c r="P699" s="58"/>
      <c r="Q699" s="58"/>
      <c r="R699" s="58"/>
      <c r="S699" s="58"/>
      <c r="T699" s="58"/>
      <c r="U699" s="58"/>
      <c r="V699" s="58"/>
      <c r="W699" s="58"/>
      <c r="X699" s="58"/>
      <c r="Y699" s="58"/>
      <c r="Z699" s="58"/>
    </row>
    <row r="700">
      <c r="A700" s="58"/>
      <c r="B700" s="58"/>
      <c r="C700" s="58"/>
      <c r="D700" s="58"/>
      <c r="E700" s="58"/>
      <c r="F700" s="58"/>
      <c r="G700" s="86"/>
      <c r="H700" s="58"/>
      <c r="I700" s="58"/>
      <c r="J700" s="58"/>
      <c r="K700" s="58"/>
      <c r="L700" s="58"/>
      <c r="M700" s="58"/>
      <c r="N700" s="58"/>
      <c r="O700" s="58"/>
      <c r="P700" s="58"/>
      <c r="Q700" s="58"/>
      <c r="R700" s="58"/>
      <c r="S700" s="58"/>
      <c r="T700" s="58"/>
      <c r="U700" s="58"/>
      <c r="V700" s="58"/>
      <c r="W700" s="58"/>
      <c r="X700" s="58"/>
      <c r="Y700" s="58"/>
      <c r="Z700" s="58"/>
    </row>
    <row r="701">
      <c r="A701" s="58"/>
      <c r="B701" s="58"/>
      <c r="C701" s="58"/>
      <c r="D701" s="58"/>
      <c r="E701" s="58"/>
      <c r="F701" s="58"/>
      <c r="G701" s="86"/>
      <c r="H701" s="58"/>
      <c r="I701" s="58"/>
      <c r="J701" s="58"/>
      <c r="K701" s="58"/>
      <c r="L701" s="58"/>
      <c r="M701" s="58"/>
      <c r="N701" s="58"/>
      <c r="O701" s="58"/>
      <c r="P701" s="58"/>
      <c r="Q701" s="58"/>
      <c r="R701" s="58"/>
      <c r="S701" s="58"/>
      <c r="T701" s="58"/>
      <c r="U701" s="58"/>
      <c r="V701" s="58"/>
      <c r="W701" s="58"/>
      <c r="X701" s="58"/>
      <c r="Y701" s="58"/>
      <c r="Z701" s="58"/>
    </row>
    <row r="702">
      <c r="A702" s="58"/>
      <c r="B702" s="58"/>
      <c r="C702" s="58"/>
      <c r="D702" s="58"/>
      <c r="E702" s="58"/>
      <c r="F702" s="58"/>
      <c r="G702" s="86"/>
      <c r="H702" s="58"/>
      <c r="I702" s="58"/>
      <c r="J702" s="58"/>
      <c r="K702" s="58"/>
      <c r="L702" s="58"/>
      <c r="M702" s="58"/>
      <c r="N702" s="58"/>
      <c r="O702" s="58"/>
      <c r="P702" s="58"/>
      <c r="Q702" s="58"/>
      <c r="R702" s="58"/>
      <c r="S702" s="58"/>
      <c r="T702" s="58"/>
      <c r="U702" s="58"/>
      <c r="V702" s="58"/>
      <c r="W702" s="58"/>
      <c r="X702" s="58"/>
      <c r="Y702" s="58"/>
      <c r="Z702" s="58"/>
    </row>
    <row r="703">
      <c r="A703" s="58"/>
      <c r="B703" s="58"/>
      <c r="C703" s="58"/>
      <c r="D703" s="58"/>
      <c r="E703" s="58"/>
      <c r="F703" s="58"/>
      <c r="G703" s="86"/>
      <c r="H703" s="58"/>
      <c r="I703" s="58"/>
      <c r="J703" s="58"/>
      <c r="K703" s="58"/>
      <c r="L703" s="58"/>
      <c r="M703" s="58"/>
      <c r="N703" s="58"/>
      <c r="O703" s="58"/>
      <c r="P703" s="58"/>
      <c r="Q703" s="58"/>
      <c r="R703" s="58"/>
      <c r="S703" s="58"/>
      <c r="T703" s="58"/>
      <c r="U703" s="58"/>
      <c r="V703" s="58"/>
      <c r="W703" s="58"/>
      <c r="X703" s="58"/>
      <c r="Y703" s="58"/>
      <c r="Z703" s="58"/>
    </row>
    <row r="704">
      <c r="A704" s="58"/>
      <c r="B704" s="58"/>
      <c r="C704" s="58"/>
      <c r="D704" s="58"/>
      <c r="E704" s="58"/>
      <c r="F704" s="58"/>
      <c r="G704" s="86"/>
      <c r="H704" s="58"/>
      <c r="I704" s="58"/>
      <c r="J704" s="58"/>
      <c r="K704" s="58"/>
      <c r="L704" s="58"/>
      <c r="M704" s="58"/>
      <c r="N704" s="58"/>
      <c r="O704" s="58"/>
      <c r="P704" s="58"/>
      <c r="Q704" s="58"/>
      <c r="R704" s="58"/>
      <c r="S704" s="58"/>
      <c r="T704" s="58"/>
      <c r="U704" s="58"/>
      <c r="V704" s="58"/>
      <c r="W704" s="58"/>
      <c r="X704" s="58"/>
      <c r="Y704" s="58"/>
      <c r="Z704" s="58"/>
    </row>
    <row r="705">
      <c r="A705" s="58"/>
      <c r="B705" s="58"/>
      <c r="C705" s="58"/>
      <c r="D705" s="58"/>
      <c r="E705" s="58"/>
      <c r="F705" s="58"/>
      <c r="G705" s="86"/>
      <c r="H705" s="58"/>
      <c r="I705" s="58"/>
      <c r="J705" s="58"/>
      <c r="K705" s="58"/>
      <c r="L705" s="58"/>
      <c r="M705" s="58"/>
      <c r="N705" s="58"/>
      <c r="O705" s="58"/>
      <c r="P705" s="58"/>
      <c r="Q705" s="58"/>
      <c r="R705" s="58"/>
      <c r="S705" s="58"/>
      <c r="T705" s="58"/>
      <c r="U705" s="58"/>
      <c r="V705" s="58"/>
      <c r="W705" s="58"/>
      <c r="X705" s="58"/>
      <c r="Y705" s="58"/>
      <c r="Z705" s="58"/>
    </row>
    <row r="706">
      <c r="A706" s="58"/>
      <c r="B706" s="58"/>
      <c r="C706" s="58"/>
      <c r="D706" s="58"/>
      <c r="E706" s="58"/>
      <c r="F706" s="58"/>
      <c r="G706" s="86"/>
      <c r="H706" s="58"/>
      <c r="I706" s="58"/>
      <c r="J706" s="58"/>
      <c r="K706" s="58"/>
      <c r="L706" s="58"/>
      <c r="M706" s="58"/>
      <c r="N706" s="58"/>
      <c r="O706" s="58"/>
      <c r="P706" s="58"/>
      <c r="Q706" s="58"/>
      <c r="R706" s="58"/>
      <c r="S706" s="58"/>
      <c r="T706" s="58"/>
      <c r="U706" s="58"/>
      <c r="V706" s="58"/>
      <c r="W706" s="58"/>
      <c r="X706" s="58"/>
      <c r="Y706" s="58"/>
      <c r="Z706" s="58"/>
    </row>
    <row r="707">
      <c r="A707" s="58"/>
      <c r="B707" s="58"/>
      <c r="C707" s="58"/>
      <c r="D707" s="58"/>
      <c r="E707" s="58"/>
      <c r="F707" s="58"/>
      <c r="G707" s="86"/>
      <c r="H707" s="58"/>
      <c r="I707" s="58"/>
      <c r="J707" s="58"/>
      <c r="K707" s="58"/>
      <c r="L707" s="58"/>
      <c r="M707" s="58"/>
      <c r="N707" s="58"/>
      <c r="O707" s="58"/>
      <c r="P707" s="58"/>
      <c r="Q707" s="58"/>
      <c r="R707" s="58"/>
      <c r="S707" s="58"/>
      <c r="T707" s="58"/>
      <c r="U707" s="58"/>
      <c r="V707" s="58"/>
      <c r="W707" s="58"/>
      <c r="X707" s="58"/>
      <c r="Y707" s="58"/>
      <c r="Z707" s="58"/>
    </row>
    <row r="708">
      <c r="A708" s="58"/>
      <c r="B708" s="58"/>
      <c r="C708" s="58"/>
      <c r="D708" s="58"/>
      <c r="E708" s="58"/>
      <c r="F708" s="58"/>
      <c r="G708" s="86"/>
      <c r="H708" s="58"/>
      <c r="I708" s="58"/>
      <c r="J708" s="58"/>
      <c r="K708" s="58"/>
      <c r="L708" s="58"/>
      <c r="M708" s="58"/>
      <c r="N708" s="58"/>
      <c r="O708" s="58"/>
      <c r="P708" s="58"/>
      <c r="Q708" s="58"/>
      <c r="R708" s="58"/>
      <c r="S708" s="58"/>
      <c r="T708" s="58"/>
      <c r="U708" s="58"/>
      <c r="V708" s="58"/>
      <c r="W708" s="58"/>
      <c r="X708" s="58"/>
      <c r="Y708" s="58"/>
      <c r="Z708" s="58"/>
    </row>
    <row r="709">
      <c r="A709" s="58"/>
      <c r="B709" s="58"/>
      <c r="C709" s="58"/>
      <c r="D709" s="58"/>
      <c r="E709" s="58"/>
      <c r="F709" s="58"/>
      <c r="G709" s="86"/>
      <c r="H709" s="58"/>
      <c r="I709" s="58"/>
      <c r="J709" s="58"/>
      <c r="K709" s="58"/>
      <c r="L709" s="58"/>
      <c r="M709" s="58"/>
      <c r="N709" s="58"/>
      <c r="O709" s="58"/>
      <c r="P709" s="58"/>
      <c r="Q709" s="58"/>
      <c r="R709" s="58"/>
      <c r="S709" s="58"/>
      <c r="T709" s="58"/>
      <c r="U709" s="58"/>
      <c r="V709" s="58"/>
      <c r="W709" s="58"/>
      <c r="X709" s="58"/>
      <c r="Y709" s="58"/>
      <c r="Z709" s="58"/>
    </row>
    <row r="710">
      <c r="A710" s="58"/>
      <c r="B710" s="58"/>
      <c r="C710" s="58"/>
      <c r="D710" s="58"/>
      <c r="E710" s="58"/>
      <c r="F710" s="58"/>
      <c r="G710" s="86"/>
      <c r="H710" s="58"/>
      <c r="I710" s="58"/>
      <c r="J710" s="58"/>
      <c r="K710" s="58"/>
      <c r="L710" s="58"/>
      <c r="M710" s="58"/>
      <c r="N710" s="58"/>
      <c r="O710" s="58"/>
      <c r="P710" s="58"/>
      <c r="Q710" s="58"/>
      <c r="R710" s="58"/>
      <c r="S710" s="58"/>
      <c r="T710" s="58"/>
      <c r="U710" s="58"/>
      <c r="V710" s="58"/>
      <c r="W710" s="58"/>
      <c r="X710" s="58"/>
      <c r="Y710" s="58"/>
      <c r="Z710" s="58"/>
    </row>
    <row r="711">
      <c r="A711" s="58"/>
      <c r="B711" s="58"/>
      <c r="C711" s="58"/>
      <c r="D711" s="58"/>
      <c r="E711" s="58"/>
      <c r="F711" s="58"/>
      <c r="G711" s="86"/>
      <c r="H711" s="58"/>
      <c r="I711" s="58"/>
      <c r="J711" s="58"/>
      <c r="K711" s="58"/>
      <c r="L711" s="58"/>
      <c r="M711" s="58"/>
      <c r="N711" s="58"/>
      <c r="O711" s="58"/>
      <c r="P711" s="58"/>
      <c r="Q711" s="58"/>
      <c r="R711" s="58"/>
      <c r="S711" s="58"/>
      <c r="T711" s="58"/>
      <c r="U711" s="58"/>
      <c r="V711" s="58"/>
      <c r="W711" s="58"/>
      <c r="X711" s="58"/>
      <c r="Y711" s="58"/>
      <c r="Z711" s="58"/>
    </row>
    <row r="712">
      <c r="A712" s="58"/>
      <c r="B712" s="58"/>
      <c r="C712" s="58"/>
      <c r="D712" s="58"/>
      <c r="E712" s="58"/>
      <c r="F712" s="58"/>
      <c r="G712" s="86"/>
      <c r="H712" s="58"/>
      <c r="I712" s="58"/>
      <c r="J712" s="58"/>
      <c r="K712" s="58"/>
      <c r="L712" s="58"/>
      <c r="M712" s="58"/>
      <c r="N712" s="58"/>
      <c r="O712" s="58"/>
      <c r="P712" s="58"/>
      <c r="Q712" s="58"/>
      <c r="R712" s="58"/>
      <c r="S712" s="58"/>
      <c r="T712" s="58"/>
      <c r="U712" s="58"/>
      <c r="V712" s="58"/>
      <c r="W712" s="58"/>
      <c r="X712" s="58"/>
      <c r="Y712" s="58"/>
      <c r="Z712" s="58"/>
    </row>
    <row r="713">
      <c r="A713" s="58"/>
      <c r="B713" s="58"/>
      <c r="C713" s="58"/>
      <c r="D713" s="58"/>
      <c r="E713" s="58"/>
      <c r="F713" s="58"/>
      <c r="G713" s="86"/>
      <c r="H713" s="58"/>
      <c r="I713" s="58"/>
      <c r="J713" s="58"/>
      <c r="K713" s="58"/>
      <c r="L713" s="58"/>
      <c r="M713" s="58"/>
      <c r="N713" s="58"/>
      <c r="O713" s="58"/>
      <c r="P713" s="58"/>
      <c r="Q713" s="58"/>
      <c r="R713" s="58"/>
      <c r="S713" s="58"/>
      <c r="T713" s="58"/>
      <c r="U713" s="58"/>
      <c r="V713" s="58"/>
      <c r="W713" s="58"/>
      <c r="X713" s="58"/>
      <c r="Y713" s="58"/>
      <c r="Z713" s="58"/>
    </row>
    <row r="714">
      <c r="A714" s="58"/>
      <c r="B714" s="58"/>
      <c r="C714" s="58"/>
      <c r="D714" s="58"/>
      <c r="E714" s="58"/>
      <c r="F714" s="58"/>
      <c r="G714" s="86"/>
      <c r="H714" s="58"/>
      <c r="I714" s="58"/>
      <c r="J714" s="58"/>
      <c r="K714" s="58"/>
      <c r="L714" s="58"/>
      <c r="M714" s="58"/>
      <c r="N714" s="58"/>
      <c r="O714" s="58"/>
      <c r="P714" s="58"/>
      <c r="Q714" s="58"/>
      <c r="R714" s="58"/>
      <c r="S714" s="58"/>
      <c r="T714" s="58"/>
      <c r="U714" s="58"/>
      <c r="V714" s="58"/>
      <c r="W714" s="58"/>
      <c r="X714" s="58"/>
      <c r="Y714" s="58"/>
      <c r="Z714" s="58"/>
    </row>
    <row r="715">
      <c r="A715" s="58"/>
      <c r="B715" s="58"/>
      <c r="C715" s="58"/>
      <c r="D715" s="58"/>
      <c r="E715" s="58"/>
      <c r="F715" s="58"/>
      <c r="G715" s="86"/>
      <c r="H715" s="58"/>
      <c r="I715" s="58"/>
      <c r="J715" s="58"/>
      <c r="K715" s="58"/>
      <c r="L715" s="58"/>
      <c r="M715" s="58"/>
      <c r="N715" s="58"/>
      <c r="O715" s="58"/>
      <c r="P715" s="58"/>
      <c r="Q715" s="58"/>
      <c r="R715" s="58"/>
      <c r="S715" s="58"/>
      <c r="T715" s="58"/>
      <c r="U715" s="58"/>
      <c r="V715" s="58"/>
      <c r="W715" s="58"/>
      <c r="X715" s="58"/>
      <c r="Y715" s="58"/>
      <c r="Z715" s="58"/>
    </row>
    <row r="716">
      <c r="A716" s="58"/>
      <c r="B716" s="58"/>
      <c r="C716" s="58"/>
      <c r="D716" s="58"/>
      <c r="E716" s="58"/>
      <c r="F716" s="58"/>
      <c r="G716" s="86"/>
      <c r="H716" s="58"/>
      <c r="I716" s="58"/>
      <c r="J716" s="58"/>
      <c r="K716" s="58"/>
      <c r="L716" s="58"/>
      <c r="M716" s="58"/>
      <c r="N716" s="58"/>
      <c r="O716" s="58"/>
      <c r="P716" s="58"/>
      <c r="Q716" s="58"/>
      <c r="R716" s="58"/>
      <c r="S716" s="58"/>
      <c r="T716" s="58"/>
      <c r="U716" s="58"/>
      <c r="V716" s="58"/>
      <c r="W716" s="58"/>
      <c r="X716" s="58"/>
      <c r="Y716" s="58"/>
      <c r="Z716" s="58"/>
    </row>
    <row r="717">
      <c r="A717" s="58"/>
      <c r="B717" s="58"/>
      <c r="C717" s="58"/>
      <c r="D717" s="58"/>
      <c r="E717" s="58"/>
      <c r="F717" s="58"/>
      <c r="G717" s="86"/>
      <c r="H717" s="58"/>
      <c r="I717" s="58"/>
      <c r="J717" s="58"/>
      <c r="K717" s="58"/>
      <c r="L717" s="58"/>
      <c r="M717" s="58"/>
      <c r="N717" s="58"/>
      <c r="O717" s="58"/>
      <c r="P717" s="58"/>
      <c r="Q717" s="58"/>
      <c r="R717" s="58"/>
      <c r="S717" s="58"/>
      <c r="T717" s="58"/>
      <c r="U717" s="58"/>
      <c r="V717" s="58"/>
      <c r="W717" s="58"/>
      <c r="X717" s="58"/>
      <c r="Y717" s="58"/>
      <c r="Z717" s="58"/>
    </row>
    <row r="718">
      <c r="A718" s="58"/>
      <c r="B718" s="58"/>
      <c r="C718" s="58"/>
      <c r="D718" s="58"/>
      <c r="E718" s="58"/>
      <c r="F718" s="58"/>
      <c r="G718" s="86"/>
      <c r="H718" s="58"/>
      <c r="I718" s="58"/>
      <c r="J718" s="58"/>
      <c r="K718" s="58"/>
      <c r="L718" s="58"/>
      <c r="M718" s="58"/>
      <c r="N718" s="58"/>
      <c r="O718" s="58"/>
      <c r="P718" s="58"/>
      <c r="Q718" s="58"/>
      <c r="R718" s="58"/>
      <c r="S718" s="58"/>
      <c r="T718" s="58"/>
      <c r="U718" s="58"/>
      <c r="V718" s="58"/>
      <c r="W718" s="58"/>
      <c r="X718" s="58"/>
      <c r="Y718" s="58"/>
      <c r="Z718" s="58"/>
    </row>
    <row r="719">
      <c r="A719" s="58"/>
      <c r="B719" s="58"/>
      <c r="C719" s="58"/>
      <c r="D719" s="58"/>
      <c r="E719" s="58"/>
      <c r="F719" s="58"/>
      <c r="G719" s="86"/>
      <c r="H719" s="58"/>
      <c r="I719" s="58"/>
      <c r="J719" s="58"/>
      <c r="K719" s="58"/>
      <c r="L719" s="58"/>
      <c r="M719" s="58"/>
      <c r="N719" s="58"/>
      <c r="O719" s="58"/>
      <c r="P719" s="58"/>
      <c r="Q719" s="58"/>
      <c r="R719" s="58"/>
      <c r="S719" s="58"/>
      <c r="T719" s="58"/>
      <c r="U719" s="58"/>
      <c r="V719" s="58"/>
      <c r="W719" s="58"/>
      <c r="X719" s="58"/>
      <c r="Y719" s="58"/>
      <c r="Z719" s="58"/>
    </row>
    <row r="720">
      <c r="A720" s="58"/>
      <c r="B720" s="58"/>
      <c r="C720" s="58"/>
      <c r="D720" s="58"/>
      <c r="E720" s="58"/>
      <c r="F720" s="58"/>
      <c r="G720" s="86"/>
      <c r="H720" s="58"/>
      <c r="I720" s="58"/>
      <c r="J720" s="58"/>
      <c r="K720" s="58"/>
      <c r="L720" s="58"/>
      <c r="M720" s="58"/>
      <c r="N720" s="58"/>
      <c r="O720" s="58"/>
      <c r="P720" s="58"/>
      <c r="Q720" s="58"/>
      <c r="R720" s="58"/>
      <c r="S720" s="58"/>
      <c r="T720" s="58"/>
      <c r="U720" s="58"/>
      <c r="V720" s="58"/>
      <c r="W720" s="58"/>
      <c r="X720" s="58"/>
      <c r="Y720" s="58"/>
      <c r="Z720" s="58"/>
    </row>
    <row r="721">
      <c r="A721" s="58"/>
      <c r="B721" s="58"/>
      <c r="C721" s="58"/>
      <c r="D721" s="58"/>
      <c r="E721" s="58"/>
      <c r="F721" s="58"/>
      <c r="G721" s="86"/>
      <c r="H721" s="58"/>
      <c r="I721" s="58"/>
      <c r="J721" s="58"/>
      <c r="K721" s="58"/>
      <c r="L721" s="58"/>
      <c r="M721" s="58"/>
      <c r="N721" s="58"/>
      <c r="O721" s="58"/>
      <c r="P721" s="58"/>
      <c r="Q721" s="58"/>
      <c r="R721" s="58"/>
      <c r="S721" s="58"/>
      <c r="T721" s="58"/>
      <c r="U721" s="58"/>
      <c r="V721" s="58"/>
      <c r="W721" s="58"/>
      <c r="X721" s="58"/>
      <c r="Y721" s="58"/>
      <c r="Z721" s="58"/>
    </row>
    <row r="722">
      <c r="A722" s="58"/>
      <c r="B722" s="58"/>
      <c r="C722" s="58"/>
      <c r="D722" s="58"/>
      <c r="E722" s="58"/>
      <c r="F722" s="58"/>
      <c r="G722" s="86"/>
      <c r="H722" s="58"/>
      <c r="I722" s="58"/>
      <c r="J722" s="58"/>
      <c r="K722" s="58"/>
      <c r="L722" s="58"/>
      <c r="M722" s="58"/>
      <c r="N722" s="58"/>
      <c r="O722" s="58"/>
      <c r="P722" s="58"/>
      <c r="Q722" s="58"/>
      <c r="R722" s="58"/>
      <c r="S722" s="58"/>
      <c r="T722" s="58"/>
      <c r="U722" s="58"/>
      <c r="V722" s="58"/>
      <c r="W722" s="58"/>
      <c r="X722" s="58"/>
      <c r="Y722" s="58"/>
      <c r="Z722" s="58"/>
    </row>
    <row r="723">
      <c r="A723" s="58"/>
      <c r="B723" s="58"/>
      <c r="C723" s="58"/>
      <c r="D723" s="58"/>
      <c r="E723" s="58"/>
      <c r="F723" s="58"/>
      <c r="G723" s="86"/>
      <c r="H723" s="58"/>
      <c r="I723" s="58"/>
      <c r="J723" s="58"/>
      <c r="K723" s="58"/>
      <c r="L723" s="58"/>
      <c r="M723" s="58"/>
      <c r="N723" s="58"/>
      <c r="O723" s="58"/>
      <c r="P723" s="58"/>
      <c r="Q723" s="58"/>
      <c r="R723" s="58"/>
      <c r="S723" s="58"/>
      <c r="T723" s="58"/>
      <c r="U723" s="58"/>
      <c r="V723" s="58"/>
      <c r="W723" s="58"/>
      <c r="X723" s="58"/>
      <c r="Y723" s="58"/>
      <c r="Z723" s="58"/>
    </row>
    <row r="724">
      <c r="A724" s="58"/>
      <c r="B724" s="58"/>
      <c r="C724" s="58"/>
      <c r="D724" s="58"/>
      <c r="E724" s="58"/>
      <c r="F724" s="58"/>
      <c r="G724" s="86"/>
      <c r="H724" s="58"/>
      <c r="I724" s="58"/>
      <c r="J724" s="58"/>
      <c r="K724" s="58"/>
      <c r="L724" s="58"/>
      <c r="M724" s="58"/>
      <c r="N724" s="58"/>
      <c r="O724" s="58"/>
      <c r="P724" s="58"/>
      <c r="Q724" s="58"/>
      <c r="R724" s="58"/>
      <c r="S724" s="58"/>
      <c r="T724" s="58"/>
      <c r="U724" s="58"/>
      <c r="V724" s="58"/>
      <c r="W724" s="58"/>
      <c r="X724" s="58"/>
      <c r="Y724" s="58"/>
      <c r="Z724" s="58"/>
    </row>
    <row r="725">
      <c r="A725" s="58"/>
      <c r="B725" s="58"/>
      <c r="C725" s="58"/>
      <c r="D725" s="58"/>
      <c r="E725" s="58"/>
      <c r="F725" s="58"/>
      <c r="G725" s="86"/>
      <c r="H725" s="58"/>
      <c r="I725" s="58"/>
      <c r="J725" s="58"/>
      <c r="K725" s="58"/>
      <c r="L725" s="58"/>
      <c r="M725" s="58"/>
      <c r="N725" s="58"/>
      <c r="O725" s="58"/>
      <c r="P725" s="58"/>
      <c r="Q725" s="58"/>
      <c r="R725" s="58"/>
      <c r="S725" s="58"/>
      <c r="T725" s="58"/>
      <c r="U725" s="58"/>
      <c r="V725" s="58"/>
      <c r="W725" s="58"/>
      <c r="X725" s="58"/>
      <c r="Y725" s="58"/>
      <c r="Z725" s="58"/>
    </row>
    <row r="726">
      <c r="A726" s="58"/>
      <c r="B726" s="58"/>
      <c r="C726" s="58"/>
      <c r="D726" s="58"/>
      <c r="E726" s="58"/>
      <c r="F726" s="58"/>
      <c r="G726" s="86"/>
      <c r="H726" s="58"/>
      <c r="I726" s="58"/>
      <c r="J726" s="58"/>
      <c r="K726" s="58"/>
      <c r="L726" s="58"/>
      <c r="M726" s="58"/>
      <c r="N726" s="58"/>
      <c r="O726" s="58"/>
      <c r="P726" s="58"/>
      <c r="Q726" s="58"/>
      <c r="R726" s="58"/>
      <c r="S726" s="58"/>
      <c r="T726" s="58"/>
      <c r="U726" s="58"/>
      <c r="V726" s="58"/>
      <c r="W726" s="58"/>
      <c r="X726" s="58"/>
      <c r="Y726" s="58"/>
      <c r="Z726" s="58"/>
    </row>
    <row r="727">
      <c r="A727" s="58"/>
      <c r="B727" s="58"/>
      <c r="C727" s="58"/>
      <c r="D727" s="58"/>
      <c r="E727" s="58"/>
      <c r="F727" s="58"/>
      <c r="G727" s="86"/>
      <c r="H727" s="58"/>
      <c r="I727" s="58"/>
      <c r="J727" s="58"/>
      <c r="K727" s="58"/>
      <c r="L727" s="58"/>
      <c r="M727" s="58"/>
      <c r="N727" s="58"/>
      <c r="O727" s="58"/>
      <c r="P727" s="58"/>
      <c r="Q727" s="58"/>
      <c r="R727" s="58"/>
      <c r="S727" s="58"/>
      <c r="T727" s="58"/>
      <c r="U727" s="58"/>
      <c r="V727" s="58"/>
      <c r="W727" s="58"/>
      <c r="X727" s="58"/>
      <c r="Y727" s="58"/>
      <c r="Z727" s="58"/>
    </row>
    <row r="728">
      <c r="A728" s="58"/>
      <c r="B728" s="58"/>
      <c r="C728" s="58"/>
      <c r="D728" s="58"/>
      <c r="E728" s="58"/>
      <c r="F728" s="58"/>
      <c r="G728" s="86"/>
      <c r="H728" s="58"/>
      <c r="I728" s="58"/>
      <c r="J728" s="58"/>
      <c r="K728" s="58"/>
      <c r="L728" s="58"/>
      <c r="M728" s="58"/>
      <c r="N728" s="58"/>
      <c r="O728" s="58"/>
      <c r="P728" s="58"/>
      <c r="Q728" s="58"/>
      <c r="R728" s="58"/>
      <c r="S728" s="58"/>
      <c r="T728" s="58"/>
      <c r="U728" s="58"/>
      <c r="V728" s="58"/>
      <c r="W728" s="58"/>
      <c r="X728" s="58"/>
      <c r="Y728" s="58"/>
      <c r="Z728" s="58"/>
    </row>
    <row r="729">
      <c r="A729" s="58"/>
      <c r="B729" s="58"/>
      <c r="C729" s="58"/>
      <c r="D729" s="58"/>
      <c r="E729" s="58"/>
      <c r="F729" s="58"/>
      <c r="G729" s="86"/>
      <c r="H729" s="58"/>
      <c r="I729" s="58"/>
      <c r="J729" s="58"/>
      <c r="K729" s="58"/>
      <c r="L729" s="58"/>
      <c r="M729" s="58"/>
      <c r="N729" s="58"/>
      <c r="O729" s="58"/>
      <c r="P729" s="58"/>
      <c r="Q729" s="58"/>
      <c r="R729" s="58"/>
      <c r="S729" s="58"/>
      <c r="T729" s="58"/>
      <c r="U729" s="58"/>
      <c r="V729" s="58"/>
      <c r="W729" s="58"/>
      <c r="X729" s="58"/>
      <c r="Y729" s="58"/>
      <c r="Z729" s="58"/>
    </row>
    <row r="730">
      <c r="A730" s="58"/>
      <c r="B730" s="58"/>
      <c r="C730" s="58"/>
      <c r="D730" s="58"/>
      <c r="E730" s="58"/>
      <c r="F730" s="58"/>
      <c r="G730" s="86"/>
      <c r="H730" s="58"/>
      <c r="I730" s="58"/>
      <c r="J730" s="58"/>
      <c r="K730" s="58"/>
      <c r="L730" s="58"/>
      <c r="M730" s="58"/>
      <c r="N730" s="58"/>
      <c r="O730" s="58"/>
      <c r="P730" s="58"/>
      <c r="Q730" s="58"/>
      <c r="R730" s="58"/>
      <c r="S730" s="58"/>
      <c r="T730" s="58"/>
      <c r="U730" s="58"/>
      <c r="V730" s="58"/>
      <c r="W730" s="58"/>
      <c r="X730" s="58"/>
      <c r="Y730" s="58"/>
      <c r="Z730" s="58"/>
    </row>
    <row r="731">
      <c r="A731" s="58"/>
      <c r="B731" s="58"/>
      <c r="C731" s="58"/>
      <c r="D731" s="58"/>
      <c r="E731" s="58"/>
      <c r="F731" s="58"/>
      <c r="G731" s="86"/>
      <c r="H731" s="58"/>
      <c r="I731" s="58"/>
      <c r="J731" s="58"/>
      <c r="K731" s="58"/>
      <c r="L731" s="58"/>
      <c r="M731" s="58"/>
      <c r="N731" s="58"/>
      <c r="O731" s="58"/>
      <c r="P731" s="58"/>
      <c r="Q731" s="58"/>
      <c r="R731" s="58"/>
      <c r="S731" s="58"/>
      <c r="T731" s="58"/>
      <c r="U731" s="58"/>
      <c r="V731" s="58"/>
      <c r="W731" s="58"/>
      <c r="X731" s="58"/>
      <c r="Y731" s="58"/>
      <c r="Z731" s="58"/>
    </row>
    <row r="732">
      <c r="A732" s="58"/>
      <c r="B732" s="58"/>
      <c r="C732" s="58"/>
      <c r="D732" s="58"/>
      <c r="E732" s="58"/>
      <c r="F732" s="58"/>
      <c r="G732" s="86"/>
      <c r="H732" s="58"/>
      <c r="I732" s="58"/>
      <c r="J732" s="58"/>
      <c r="K732" s="58"/>
      <c r="L732" s="58"/>
      <c r="M732" s="58"/>
      <c r="N732" s="58"/>
      <c r="O732" s="58"/>
      <c r="P732" s="58"/>
      <c r="Q732" s="58"/>
      <c r="R732" s="58"/>
      <c r="S732" s="58"/>
      <c r="T732" s="58"/>
      <c r="U732" s="58"/>
      <c r="V732" s="58"/>
      <c r="W732" s="58"/>
      <c r="X732" s="58"/>
      <c r="Y732" s="58"/>
      <c r="Z732" s="58"/>
    </row>
    <row r="733">
      <c r="A733" s="58"/>
      <c r="B733" s="58"/>
      <c r="C733" s="58"/>
      <c r="D733" s="58"/>
      <c r="E733" s="58"/>
      <c r="F733" s="58"/>
      <c r="G733" s="86"/>
      <c r="H733" s="58"/>
      <c r="I733" s="58"/>
      <c r="J733" s="58"/>
      <c r="K733" s="58"/>
      <c r="L733" s="58"/>
      <c r="M733" s="58"/>
      <c r="N733" s="58"/>
      <c r="O733" s="58"/>
      <c r="P733" s="58"/>
      <c r="Q733" s="58"/>
      <c r="R733" s="58"/>
      <c r="S733" s="58"/>
      <c r="T733" s="58"/>
      <c r="U733" s="58"/>
      <c r="V733" s="58"/>
      <c r="W733" s="58"/>
      <c r="X733" s="58"/>
      <c r="Y733" s="58"/>
      <c r="Z733" s="58"/>
    </row>
    <row r="734">
      <c r="A734" s="58"/>
      <c r="B734" s="58"/>
      <c r="C734" s="58"/>
      <c r="D734" s="58"/>
      <c r="E734" s="58"/>
      <c r="F734" s="58"/>
      <c r="G734" s="86"/>
      <c r="H734" s="58"/>
      <c r="I734" s="58"/>
      <c r="J734" s="58"/>
      <c r="K734" s="58"/>
      <c r="L734" s="58"/>
      <c r="M734" s="58"/>
      <c r="N734" s="58"/>
      <c r="O734" s="58"/>
      <c r="P734" s="58"/>
      <c r="Q734" s="58"/>
      <c r="R734" s="58"/>
      <c r="S734" s="58"/>
      <c r="T734" s="58"/>
      <c r="U734" s="58"/>
      <c r="V734" s="58"/>
      <c r="W734" s="58"/>
      <c r="X734" s="58"/>
      <c r="Y734" s="58"/>
      <c r="Z734" s="58"/>
    </row>
    <row r="735">
      <c r="A735" s="58"/>
      <c r="B735" s="58"/>
      <c r="C735" s="58"/>
      <c r="D735" s="58"/>
      <c r="E735" s="58"/>
      <c r="F735" s="58"/>
      <c r="G735" s="86"/>
      <c r="H735" s="58"/>
      <c r="I735" s="58"/>
      <c r="J735" s="58"/>
      <c r="K735" s="58"/>
      <c r="L735" s="58"/>
      <c r="M735" s="58"/>
      <c r="N735" s="58"/>
      <c r="O735" s="58"/>
      <c r="P735" s="58"/>
      <c r="Q735" s="58"/>
      <c r="R735" s="58"/>
      <c r="S735" s="58"/>
      <c r="T735" s="58"/>
      <c r="U735" s="58"/>
      <c r="V735" s="58"/>
      <c r="W735" s="58"/>
      <c r="X735" s="58"/>
      <c r="Y735" s="58"/>
      <c r="Z735" s="58"/>
    </row>
    <row r="736">
      <c r="A736" s="58"/>
      <c r="B736" s="58"/>
      <c r="C736" s="58"/>
      <c r="D736" s="58"/>
      <c r="E736" s="58"/>
      <c r="F736" s="58"/>
      <c r="G736" s="86"/>
      <c r="H736" s="58"/>
      <c r="I736" s="58"/>
      <c r="J736" s="58"/>
      <c r="K736" s="58"/>
      <c r="L736" s="58"/>
      <c r="M736" s="58"/>
      <c r="N736" s="58"/>
      <c r="O736" s="58"/>
      <c r="P736" s="58"/>
      <c r="Q736" s="58"/>
      <c r="R736" s="58"/>
      <c r="S736" s="58"/>
      <c r="T736" s="58"/>
      <c r="U736" s="58"/>
      <c r="V736" s="58"/>
      <c r="W736" s="58"/>
      <c r="X736" s="58"/>
      <c r="Y736" s="58"/>
      <c r="Z736" s="58"/>
    </row>
    <row r="737">
      <c r="A737" s="58"/>
      <c r="B737" s="58"/>
      <c r="C737" s="58"/>
      <c r="D737" s="58"/>
      <c r="E737" s="58"/>
      <c r="F737" s="58"/>
      <c r="G737" s="86"/>
      <c r="H737" s="58"/>
      <c r="I737" s="58"/>
      <c r="J737" s="58"/>
      <c r="K737" s="58"/>
      <c r="L737" s="58"/>
      <c r="M737" s="58"/>
      <c r="N737" s="58"/>
      <c r="O737" s="58"/>
      <c r="P737" s="58"/>
      <c r="Q737" s="58"/>
      <c r="R737" s="58"/>
      <c r="S737" s="58"/>
      <c r="T737" s="58"/>
      <c r="U737" s="58"/>
      <c r="V737" s="58"/>
      <c r="W737" s="58"/>
      <c r="X737" s="58"/>
      <c r="Y737" s="58"/>
      <c r="Z737" s="58"/>
    </row>
    <row r="738">
      <c r="A738" s="58"/>
      <c r="B738" s="58"/>
      <c r="C738" s="58"/>
      <c r="D738" s="58"/>
      <c r="E738" s="58"/>
      <c r="F738" s="58"/>
      <c r="G738" s="86"/>
      <c r="H738" s="58"/>
      <c r="I738" s="58"/>
      <c r="J738" s="58"/>
      <c r="K738" s="58"/>
      <c r="L738" s="58"/>
      <c r="M738" s="58"/>
      <c r="N738" s="58"/>
      <c r="O738" s="58"/>
      <c r="P738" s="58"/>
      <c r="Q738" s="58"/>
      <c r="R738" s="58"/>
      <c r="S738" s="58"/>
      <c r="T738" s="58"/>
      <c r="U738" s="58"/>
      <c r="V738" s="58"/>
      <c r="W738" s="58"/>
      <c r="X738" s="58"/>
      <c r="Y738" s="58"/>
      <c r="Z738" s="58"/>
    </row>
    <row r="739">
      <c r="A739" s="58"/>
      <c r="B739" s="58"/>
      <c r="C739" s="58"/>
      <c r="D739" s="58"/>
      <c r="E739" s="58"/>
      <c r="F739" s="58"/>
      <c r="G739" s="86"/>
      <c r="H739" s="58"/>
      <c r="I739" s="58"/>
      <c r="J739" s="58"/>
      <c r="K739" s="58"/>
      <c r="L739" s="58"/>
      <c r="M739" s="58"/>
      <c r="N739" s="58"/>
      <c r="O739" s="58"/>
      <c r="P739" s="58"/>
      <c r="Q739" s="58"/>
      <c r="R739" s="58"/>
      <c r="S739" s="58"/>
      <c r="T739" s="58"/>
      <c r="U739" s="58"/>
      <c r="V739" s="58"/>
      <c r="W739" s="58"/>
      <c r="X739" s="58"/>
      <c r="Y739" s="58"/>
      <c r="Z739" s="58"/>
    </row>
    <row r="740">
      <c r="A740" s="58"/>
      <c r="B740" s="58"/>
      <c r="C740" s="58"/>
      <c r="D740" s="58"/>
      <c r="E740" s="58"/>
      <c r="F740" s="58"/>
      <c r="G740" s="86"/>
      <c r="H740" s="58"/>
      <c r="I740" s="58"/>
      <c r="J740" s="58"/>
      <c r="K740" s="58"/>
      <c r="L740" s="58"/>
      <c r="M740" s="58"/>
      <c r="N740" s="58"/>
      <c r="O740" s="58"/>
      <c r="P740" s="58"/>
      <c r="Q740" s="58"/>
      <c r="R740" s="58"/>
      <c r="S740" s="58"/>
      <c r="T740" s="58"/>
      <c r="U740" s="58"/>
      <c r="V740" s="58"/>
      <c r="W740" s="58"/>
      <c r="X740" s="58"/>
      <c r="Y740" s="58"/>
      <c r="Z740" s="58"/>
    </row>
    <row r="741">
      <c r="A741" s="58"/>
      <c r="B741" s="58"/>
      <c r="C741" s="58"/>
      <c r="D741" s="58"/>
      <c r="E741" s="58"/>
      <c r="F741" s="58"/>
      <c r="G741" s="86"/>
      <c r="H741" s="58"/>
      <c r="I741" s="58"/>
      <c r="J741" s="58"/>
      <c r="K741" s="58"/>
      <c r="L741" s="58"/>
      <c r="M741" s="58"/>
      <c r="N741" s="58"/>
      <c r="O741" s="58"/>
      <c r="P741" s="58"/>
      <c r="Q741" s="58"/>
      <c r="R741" s="58"/>
      <c r="S741" s="58"/>
      <c r="T741" s="58"/>
      <c r="U741" s="58"/>
      <c r="V741" s="58"/>
      <c r="W741" s="58"/>
      <c r="X741" s="58"/>
      <c r="Y741" s="58"/>
      <c r="Z741" s="58"/>
    </row>
    <row r="742">
      <c r="A742" s="58"/>
      <c r="B742" s="58"/>
      <c r="C742" s="58"/>
      <c r="D742" s="58"/>
      <c r="E742" s="58"/>
      <c r="F742" s="58"/>
      <c r="G742" s="86"/>
      <c r="H742" s="58"/>
      <c r="I742" s="58"/>
      <c r="J742" s="58"/>
      <c r="K742" s="58"/>
      <c r="L742" s="58"/>
      <c r="M742" s="58"/>
      <c r="N742" s="58"/>
      <c r="O742" s="58"/>
      <c r="P742" s="58"/>
      <c r="Q742" s="58"/>
      <c r="R742" s="58"/>
      <c r="S742" s="58"/>
      <c r="T742" s="58"/>
      <c r="U742" s="58"/>
      <c r="V742" s="58"/>
      <c r="W742" s="58"/>
      <c r="X742" s="58"/>
      <c r="Y742" s="58"/>
      <c r="Z742" s="58"/>
    </row>
    <row r="743">
      <c r="A743" s="58"/>
      <c r="B743" s="58"/>
      <c r="C743" s="58"/>
      <c r="D743" s="58"/>
      <c r="E743" s="58"/>
      <c r="F743" s="58"/>
      <c r="G743" s="86"/>
      <c r="H743" s="58"/>
      <c r="I743" s="58"/>
      <c r="J743" s="58"/>
      <c r="K743" s="58"/>
      <c r="L743" s="58"/>
      <c r="M743" s="58"/>
      <c r="N743" s="58"/>
      <c r="O743" s="58"/>
      <c r="P743" s="58"/>
      <c r="Q743" s="58"/>
      <c r="R743" s="58"/>
      <c r="S743" s="58"/>
      <c r="T743" s="58"/>
      <c r="U743" s="58"/>
      <c r="V743" s="58"/>
      <c r="W743" s="58"/>
      <c r="X743" s="58"/>
      <c r="Y743" s="58"/>
      <c r="Z743" s="58"/>
    </row>
    <row r="744">
      <c r="A744" s="58"/>
      <c r="B744" s="58"/>
      <c r="C744" s="58"/>
      <c r="D744" s="58"/>
      <c r="E744" s="58"/>
      <c r="F744" s="58"/>
      <c r="G744" s="86"/>
      <c r="H744" s="58"/>
      <c r="I744" s="58"/>
      <c r="J744" s="58"/>
      <c r="K744" s="58"/>
      <c r="L744" s="58"/>
      <c r="M744" s="58"/>
      <c r="N744" s="58"/>
      <c r="O744" s="58"/>
      <c r="P744" s="58"/>
      <c r="Q744" s="58"/>
      <c r="R744" s="58"/>
      <c r="S744" s="58"/>
      <c r="T744" s="58"/>
      <c r="U744" s="58"/>
      <c r="V744" s="58"/>
      <c r="W744" s="58"/>
      <c r="X744" s="58"/>
      <c r="Y744" s="58"/>
      <c r="Z744" s="58"/>
    </row>
    <row r="745">
      <c r="A745" s="58"/>
      <c r="B745" s="58"/>
      <c r="C745" s="58"/>
      <c r="D745" s="58"/>
      <c r="E745" s="58"/>
      <c r="F745" s="58"/>
      <c r="G745" s="86"/>
      <c r="H745" s="58"/>
      <c r="I745" s="58"/>
      <c r="J745" s="58"/>
      <c r="K745" s="58"/>
      <c r="L745" s="58"/>
      <c r="M745" s="58"/>
      <c r="N745" s="58"/>
      <c r="O745" s="58"/>
      <c r="P745" s="58"/>
      <c r="Q745" s="58"/>
      <c r="R745" s="58"/>
      <c r="S745" s="58"/>
      <c r="T745" s="58"/>
      <c r="U745" s="58"/>
      <c r="V745" s="58"/>
      <c r="W745" s="58"/>
      <c r="X745" s="58"/>
      <c r="Y745" s="58"/>
      <c r="Z745" s="58"/>
    </row>
    <row r="746">
      <c r="A746" s="58"/>
      <c r="B746" s="58"/>
      <c r="C746" s="58"/>
      <c r="D746" s="58"/>
      <c r="E746" s="58"/>
      <c r="F746" s="58"/>
      <c r="G746" s="86"/>
      <c r="H746" s="58"/>
      <c r="I746" s="58"/>
      <c r="J746" s="58"/>
      <c r="K746" s="58"/>
      <c r="L746" s="58"/>
      <c r="M746" s="58"/>
      <c r="N746" s="58"/>
      <c r="O746" s="58"/>
      <c r="P746" s="58"/>
      <c r="Q746" s="58"/>
      <c r="R746" s="58"/>
      <c r="S746" s="58"/>
      <c r="T746" s="58"/>
      <c r="U746" s="58"/>
      <c r="V746" s="58"/>
      <c r="W746" s="58"/>
      <c r="X746" s="58"/>
      <c r="Y746" s="58"/>
      <c r="Z746" s="58"/>
    </row>
    <row r="747">
      <c r="A747" s="58"/>
      <c r="B747" s="58"/>
      <c r="C747" s="58"/>
      <c r="D747" s="58"/>
      <c r="E747" s="58"/>
      <c r="F747" s="58"/>
      <c r="G747" s="86"/>
      <c r="H747" s="58"/>
      <c r="I747" s="58"/>
      <c r="J747" s="58"/>
      <c r="K747" s="58"/>
      <c r="L747" s="58"/>
      <c r="M747" s="58"/>
      <c r="N747" s="58"/>
      <c r="O747" s="58"/>
      <c r="P747" s="58"/>
      <c r="Q747" s="58"/>
      <c r="R747" s="58"/>
      <c r="S747" s="58"/>
      <c r="T747" s="58"/>
      <c r="U747" s="58"/>
      <c r="V747" s="58"/>
      <c r="W747" s="58"/>
      <c r="X747" s="58"/>
      <c r="Y747" s="58"/>
      <c r="Z747" s="58"/>
    </row>
    <row r="748">
      <c r="A748" s="58"/>
      <c r="B748" s="58"/>
      <c r="C748" s="58"/>
      <c r="D748" s="58"/>
      <c r="E748" s="58"/>
      <c r="F748" s="58"/>
      <c r="G748" s="86"/>
      <c r="H748" s="58"/>
      <c r="I748" s="58"/>
      <c r="J748" s="58"/>
      <c r="K748" s="58"/>
      <c r="L748" s="58"/>
      <c r="M748" s="58"/>
      <c r="N748" s="58"/>
      <c r="O748" s="58"/>
      <c r="P748" s="58"/>
      <c r="Q748" s="58"/>
      <c r="R748" s="58"/>
      <c r="S748" s="58"/>
      <c r="T748" s="58"/>
      <c r="U748" s="58"/>
      <c r="V748" s="58"/>
      <c r="W748" s="58"/>
      <c r="X748" s="58"/>
      <c r="Y748" s="58"/>
      <c r="Z748" s="58"/>
    </row>
    <row r="749">
      <c r="A749" s="58"/>
      <c r="B749" s="58"/>
      <c r="C749" s="58"/>
      <c r="D749" s="58"/>
      <c r="E749" s="58"/>
      <c r="F749" s="58"/>
      <c r="G749" s="86"/>
      <c r="H749" s="58"/>
      <c r="I749" s="58"/>
      <c r="J749" s="58"/>
      <c r="K749" s="58"/>
      <c r="L749" s="58"/>
      <c r="M749" s="58"/>
      <c r="N749" s="58"/>
      <c r="O749" s="58"/>
      <c r="P749" s="58"/>
      <c r="Q749" s="58"/>
      <c r="R749" s="58"/>
      <c r="S749" s="58"/>
      <c r="T749" s="58"/>
      <c r="U749" s="58"/>
      <c r="V749" s="58"/>
      <c r="W749" s="58"/>
      <c r="X749" s="58"/>
      <c r="Y749" s="58"/>
      <c r="Z749" s="58"/>
    </row>
    <row r="750">
      <c r="A750" s="58"/>
      <c r="B750" s="58"/>
      <c r="C750" s="58"/>
      <c r="D750" s="58"/>
      <c r="E750" s="58"/>
      <c r="F750" s="58"/>
      <c r="G750" s="86"/>
      <c r="H750" s="58"/>
      <c r="I750" s="58"/>
      <c r="J750" s="58"/>
      <c r="K750" s="58"/>
      <c r="L750" s="58"/>
      <c r="M750" s="58"/>
      <c r="N750" s="58"/>
      <c r="O750" s="58"/>
      <c r="P750" s="58"/>
      <c r="Q750" s="58"/>
      <c r="R750" s="58"/>
      <c r="S750" s="58"/>
      <c r="T750" s="58"/>
      <c r="U750" s="58"/>
      <c r="V750" s="58"/>
      <c r="W750" s="58"/>
      <c r="X750" s="58"/>
      <c r="Y750" s="58"/>
      <c r="Z750" s="58"/>
    </row>
    <row r="751">
      <c r="A751" s="58"/>
      <c r="B751" s="58"/>
      <c r="C751" s="58"/>
      <c r="D751" s="58"/>
      <c r="E751" s="58"/>
      <c r="F751" s="58"/>
      <c r="G751" s="86"/>
      <c r="H751" s="58"/>
      <c r="I751" s="58"/>
      <c r="J751" s="58"/>
      <c r="K751" s="58"/>
      <c r="L751" s="58"/>
      <c r="M751" s="58"/>
      <c r="N751" s="58"/>
      <c r="O751" s="58"/>
      <c r="P751" s="58"/>
      <c r="Q751" s="58"/>
      <c r="R751" s="58"/>
      <c r="S751" s="58"/>
      <c r="T751" s="58"/>
      <c r="U751" s="58"/>
      <c r="V751" s="58"/>
      <c r="W751" s="58"/>
      <c r="X751" s="58"/>
      <c r="Y751" s="58"/>
      <c r="Z751" s="58"/>
    </row>
    <row r="752">
      <c r="A752" s="58"/>
      <c r="B752" s="58"/>
      <c r="C752" s="58"/>
      <c r="D752" s="58"/>
      <c r="E752" s="58"/>
      <c r="F752" s="58"/>
      <c r="G752" s="86"/>
      <c r="H752" s="58"/>
      <c r="I752" s="58"/>
      <c r="J752" s="58"/>
      <c r="K752" s="58"/>
      <c r="L752" s="58"/>
      <c r="M752" s="58"/>
      <c r="N752" s="58"/>
      <c r="O752" s="58"/>
      <c r="P752" s="58"/>
      <c r="Q752" s="58"/>
      <c r="R752" s="58"/>
      <c r="S752" s="58"/>
      <c r="T752" s="58"/>
      <c r="U752" s="58"/>
      <c r="V752" s="58"/>
      <c r="W752" s="58"/>
      <c r="X752" s="58"/>
      <c r="Y752" s="58"/>
      <c r="Z752" s="58"/>
    </row>
    <row r="753">
      <c r="A753" s="58"/>
      <c r="B753" s="58"/>
      <c r="C753" s="58"/>
      <c r="D753" s="58"/>
      <c r="E753" s="58"/>
      <c r="F753" s="58"/>
      <c r="G753" s="86"/>
      <c r="H753" s="58"/>
      <c r="I753" s="58"/>
      <c r="J753" s="58"/>
      <c r="K753" s="58"/>
      <c r="L753" s="58"/>
      <c r="M753" s="58"/>
      <c r="N753" s="58"/>
      <c r="O753" s="58"/>
      <c r="P753" s="58"/>
      <c r="Q753" s="58"/>
      <c r="R753" s="58"/>
      <c r="S753" s="58"/>
      <c r="T753" s="58"/>
      <c r="U753" s="58"/>
      <c r="V753" s="58"/>
      <c r="W753" s="58"/>
      <c r="X753" s="58"/>
      <c r="Y753" s="58"/>
      <c r="Z753" s="58"/>
    </row>
    <row r="754">
      <c r="A754" s="58"/>
      <c r="B754" s="58"/>
      <c r="C754" s="58"/>
      <c r="D754" s="58"/>
      <c r="E754" s="58"/>
      <c r="F754" s="58"/>
      <c r="G754" s="86"/>
      <c r="H754" s="58"/>
      <c r="I754" s="58"/>
      <c r="J754" s="58"/>
      <c r="K754" s="58"/>
      <c r="L754" s="58"/>
      <c r="M754" s="58"/>
      <c r="N754" s="58"/>
      <c r="O754" s="58"/>
      <c r="P754" s="58"/>
      <c r="Q754" s="58"/>
      <c r="R754" s="58"/>
      <c r="S754" s="58"/>
      <c r="T754" s="58"/>
      <c r="U754" s="58"/>
      <c r="V754" s="58"/>
      <c r="W754" s="58"/>
      <c r="X754" s="58"/>
      <c r="Y754" s="58"/>
      <c r="Z754" s="58"/>
    </row>
    <row r="755">
      <c r="A755" s="58"/>
      <c r="B755" s="58"/>
      <c r="C755" s="58"/>
      <c r="D755" s="58"/>
      <c r="E755" s="58"/>
      <c r="F755" s="58"/>
      <c r="G755" s="86"/>
      <c r="H755" s="58"/>
      <c r="I755" s="58"/>
      <c r="J755" s="58"/>
      <c r="K755" s="58"/>
      <c r="L755" s="58"/>
      <c r="M755" s="58"/>
      <c r="N755" s="58"/>
      <c r="O755" s="58"/>
      <c r="P755" s="58"/>
      <c r="Q755" s="58"/>
      <c r="R755" s="58"/>
      <c r="S755" s="58"/>
      <c r="T755" s="58"/>
      <c r="U755" s="58"/>
      <c r="V755" s="58"/>
      <c r="W755" s="58"/>
      <c r="X755" s="58"/>
      <c r="Y755" s="58"/>
      <c r="Z755" s="58"/>
    </row>
    <row r="756">
      <c r="A756" s="58"/>
      <c r="B756" s="58"/>
      <c r="C756" s="58"/>
      <c r="D756" s="58"/>
      <c r="E756" s="58"/>
      <c r="F756" s="58"/>
      <c r="G756" s="86"/>
      <c r="H756" s="58"/>
      <c r="I756" s="58"/>
      <c r="J756" s="58"/>
      <c r="K756" s="58"/>
      <c r="L756" s="58"/>
      <c r="M756" s="58"/>
      <c r="N756" s="58"/>
      <c r="O756" s="58"/>
      <c r="P756" s="58"/>
      <c r="Q756" s="58"/>
      <c r="R756" s="58"/>
      <c r="S756" s="58"/>
      <c r="T756" s="58"/>
      <c r="U756" s="58"/>
      <c r="V756" s="58"/>
      <c r="W756" s="58"/>
      <c r="X756" s="58"/>
      <c r="Y756" s="58"/>
      <c r="Z756" s="58"/>
    </row>
    <row r="757">
      <c r="A757" s="58"/>
      <c r="B757" s="58"/>
      <c r="C757" s="58"/>
      <c r="D757" s="58"/>
      <c r="E757" s="58"/>
      <c r="F757" s="58"/>
      <c r="G757" s="86"/>
      <c r="H757" s="58"/>
      <c r="I757" s="58"/>
      <c r="J757" s="58"/>
      <c r="K757" s="58"/>
      <c r="L757" s="58"/>
      <c r="M757" s="58"/>
      <c r="N757" s="58"/>
      <c r="O757" s="58"/>
      <c r="P757" s="58"/>
      <c r="Q757" s="58"/>
      <c r="R757" s="58"/>
      <c r="S757" s="58"/>
      <c r="T757" s="58"/>
      <c r="U757" s="58"/>
      <c r="V757" s="58"/>
      <c r="W757" s="58"/>
      <c r="X757" s="58"/>
      <c r="Y757" s="58"/>
      <c r="Z757" s="58"/>
    </row>
    <row r="758">
      <c r="A758" s="58"/>
      <c r="B758" s="58"/>
      <c r="C758" s="58"/>
      <c r="D758" s="58"/>
      <c r="E758" s="58"/>
      <c r="F758" s="58"/>
      <c r="G758" s="86"/>
      <c r="H758" s="58"/>
      <c r="I758" s="58"/>
      <c r="J758" s="58"/>
      <c r="K758" s="58"/>
      <c r="L758" s="58"/>
      <c r="M758" s="58"/>
      <c r="N758" s="58"/>
      <c r="O758" s="58"/>
      <c r="P758" s="58"/>
      <c r="Q758" s="58"/>
      <c r="R758" s="58"/>
      <c r="S758" s="58"/>
      <c r="T758" s="58"/>
      <c r="U758" s="58"/>
      <c r="V758" s="58"/>
      <c r="W758" s="58"/>
      <c r="X758" s="58"/>
      <c r="Y758" s="58"/>
      <c r="Z758" s="58"/>
    </row>
    <row r="759">
      <c r="A759" s="58"/>
      <c r="B759" s="58"/>
      <c r="C759" s="58"/>
      <c r="D759" s="58"/>
      <c r="E759" s="58"/>
      <c r="F759" s="58"/>
      <c r="G759" s="86"/>
      <c r="H759" s="58"/>
      <c r="I759" s="58"/>
      <c r="J759" s="58"/>
      <c r="K759" s="58"/>
      <c r="L759" s="58"/>
      <c r="M759" s="58"/>
      <c r="N759" s="58"/>
      <c r="O759" s="58"/>
      <c r="P759" s="58"/>
      <c r="Q759" s="58"/>
      <c r="R759" s="58"/>
      <c r="S759" s="58"/>
      <c r="T759" s="58"/>
      <c r="U759" s="58"/>
      <c r="V759" s="58"/>
      <c r="W759" s="58"/>
      <c r="X759" s="58"/>
      <c r="Y759" s="58"/>
      <c r="Z759" s="58"/>
    </row>
    <row r="760">
      <c r="A760" s="58"/>
      <c r="B760" s="58"/>
      <c r="C760" s="58"/>
      <c r="D760" s="58"/>
      <c r="E760" s="58"/>
      <c r="F760" s="58"/>
      <c r="G760" s="86"/>
      <c r="H760" s="58"/>
      <c r="I760" s="58"/>
      <c r="J760" s="58"/>
      <c r="K760" s="58"/>
      <c r="L760" s="58"/>
      <c r="M760" s="58"/>
      <c r="N760" s="58"/>
      <c r="O760" s="58"/>
      <c r="P760" s="58"/>
      <c r="Q760" s="58"/>
      <c r="R760" s="58"/>
      <c r="S760" s="58"/>
      <c r="T760" s="58"/>
      <c r="U760" s="58"/>
      <c r="V760" s="58"/>
      <c r="W760" s="58"/>
      <c r="X760" s="58"/>
      <c r="Y760" s="58"/>
      <c r="Z760" s="58"/>
    </row>
    <row r="761">
      <c r="A761" s="58"/>
      <c r="B761" s="58"/>
      <c r="C761" s="58"/>
      <c r="D761" s="58"/>
      <c r="E761" s="58"/>
      <c r="F761" s="58"/>
      <c r="G761" s="86"/>
      <c r="H761" s="58"/>
      <c r="I761" s="58"/>
      <c r="J761" s="58"/>
      <c r="K761" s="58"/>
      <c r="L761" s="58"/>
      <c r="M761" s="58"/>
      <c r="N761" s="58"/>
      <c r="O761" s="58"/>
      <c r="P761" s="58"/>
      <c r="Q761" s="58"/>
      <c r="R761" s="58"/>
      <c r="S761" s="58"/>
      <c r="T761" s="58"/>
      <c r="U761" s="58"/>
      <c r="V761" s="58"/>
      <c r="W761" s="58"/>
      <c r="X761" s="58"/>
      <c r="Y761" s="58"/>
      <c r="Z761" s="58"/>
    </row>
    <row r="762">
      <c r="A762" s="58"/>
      <c r="B762" s="58"/>
      <c r="C762" s="58"/>
      <c r="D762" s="58"/>
      <c r="E762" s="58"/>
      <c r="F762" s="58"/>
      <c r="G762" s="86"/>
      <c r="H762" s="58"/>
      <c r="I762" s="58"/>
      <c r="J762" s="58"/>
      <c r="K762" s="58"/>
      <c r="L762" s="58"/>
      <c r="M762" s="58"/>
      <c r="N762" s="58"/>
      <c r="O762" s="58"/>
      <c r="P762" s="58"/>
      <c r="Q762" s="58"/>
      <c r="R762" s="58"/>
      <c r="S762" s="58"/>
      <c r="T762" s="58"/>
      <c r="U762" s="58"/>
      <c r="V762" s="58"/>
      <c r="W762" s="58"/>
      <c r="X762" s="58"/>
      <c r="Y762" s="58"/>
      <c r="Z762" s="58"/>
    </row>
    <row r="763">
      <c r="A763" s="58"/>
      <c r="B763" s="58"/>
      <c r="C763" s="58"/>
      <c r="D763" s="58"/>
      <c r="E763" s="58"/>
      <c r="F763" s="58"/>
      <c r="G763" s="86"/>
      <c r="H763" s="58"/>
      <c r="I763" s="58"/>
      <c r="J763" s="58"/>
      <c r="K763" s="58"/>
      <c r="L763" s="58"/>
      <c r="M763" s="58"/>
      <c r="N763" s="58"/>
      <c r="O763" s="58"/>
      <c r="P763" s="58"/>
      <c r="Q763" s="58"/>
      <c r="R763" s="58"/>
      <c r="S763" s="58"/>
      <c r="T763" s="58"/>
      <c r="U763" s="58"/>
      <c r="V763" s="58"/>
      <c r="W763" s="58"/>
      <c r="X763" s="58"/>
      <c r="Y763" s="58"/>
      <c r="Z763" s="58"/>
    </row>
    <row r="764">
      <c r="A764" s="58"/>
      <c r="B764" s="58"/>
      <c r="C764" s="58"/>
      <c r="D764" s="58"/>
      <c r="E764" s="58"/>
      <c r="F764" s="58"/>
      <c r="G764" s="86"/>
      <c r="H764" s="58"/>
      <c r="I764" s="58"/>
      <c r="J764" s="58"/>
      <c r="K764" s="58"/>
      <c r="L764" s="58"/>
      <c r="M764" s="58"/>
      <c r="N764" s="58"/>
      <c r="O764" s="58"/>
      <c r="P764" s="58"/>
      <c r="Q764" s="58"/>
      <c r="R764" s="58"/>
      <c r="S764" s="58"/>
      <c r="T764" s="58"/>
      <c r="U764" s="58"/>
      <c r="V764" s="58"/>
      <c r="W764" s="58"/>
      <c r="X764" s="58"/>
      <c r="Y764" s="58"/>
      <c r="Z764" s="58"/>
    </row>
    <row r="765">
      <c r="A765" s="58"/>
      <c r="B765" s="58"/>
      <c r="C765" s="58"/>
      <c r="D765" s="58"/>
      <c r="E765" s="58"/>
      <c r="F765" s="58"/>
      <c r="G765" s="86"/>
      <c r="H765" s="58"/>
      <c r="I765" s="58"/>
      <c r="J765" s="58"/>
      <c r="K765" s="58"/>
      <c r="L765" s="58"/>
      <c r="M765" s="58"/>
      <c r="N765" s="58"/>
      <c r="O765" s="58"/>
      <c r="P765" s="58"/>
      <c r="Q765" s="58"/>
      <c r="R765" s="58"/>
      <c r="S765" s="58"/>
      <c r="T765" s="58"/>
      <c r="U765" s="58"/>
      <c r="V765" s="58"/>
      <c r="W765" s="58"/>
      <c r="X765" s="58"/>
      <c r="Y765" s="58"/>
      <c r="Z765" s="58"/>
    </row>
    <row r="766">
      <c r="A766" s="58"/>
      <c r="B766" s="58"/>
      <c r="C766" s="58"/>
      <c r="D766" s="58"/>
      <c r="E766" s="58"/>
      <c r="F766" s="58"/>
      <c r="G766" s="86"/>
      <c r="H766" s="58"/>
      <c r="I766" s="58"/>
      <c r="J766" s="58"/>
      <c r="K766" s="58"/>
      <c r="L766" s="58"/>
      <c r="M766" s="58"/>
      <c r="N766" s="58"/>
      <c r="O766" s="58"/>
      <c r="P766" s="58"/>
      <c r="Q766" s="58"/>
      <c r="R766" s="58"/>
      <c r="S766" s="58"/>
      <c r="T766" s="58"/>
      <c r="U766" s="58"/>
      <c r="V766" s="58"/>
      <c r="W766" s="58"/>
      <c r="X766" s="58"/>
      <c r="Y766" s="58"/>
      <c r="Z766" s="58"/>
    </row>
    <row r="767">
      <c r="A767" s="58"/>
      <c r="B767" s="58"/>
      <c r="C767" s="58"/>
      <c r="D767" s="58"/>
      <c r="E767" s="58"/>
      <c r="F767" s="58"/>
      <c r="G767" s="86"/>
      <c r="H767" s="58"/>
      <c r="I767" s="58"/>
      <c r="J767" s="58"/>
      <c r="K767" s="58"/>
      <c r="L767" s="58"/>
      <c r="M767" s="58"/>
      <c r="N767" s="58"/>
      <c r="O767" s="58"/>
      <c r="P767" s="58"/>
      <c r="Q767" s="58"/>
      <c r="R767" s="58"/>
      <c r="S767" s="58"/>
      <c r="T767" s="58"/>
      <c r="U767" s="58"/>
      <c r="V767" s="58"/>
      <c r="W767" s="58"/>
      <c r="X767" s="58"/>
      <c r="Y767" s="58"/>
      <c r="Z767" s="58"/>
    </row>
    <row r="768">
      <c r="A768" s="58"/>
      <c r="B768" s="58"/>
      <c r="C768" s="58"/>
      <c r="D768" s="58"/>
      <c r="E768" s="58"/>
      <c r="F768" s="58"/>
      <c r="G768" s="86"/>
      <c r="H768" s="58"/>
      <c r="I768" s="58"/>
      <c r="J768" s="58"/>
      <c r="K768" s="58"/>
      <c r="L768" s="58"/>
      <c r="M768" s="58"/>
      <c r="N768" s="58"/>
      <c r="O768" s="58"/>
      <c r="P768" s="58"/>
      <c r="Q768" s="58"/>
      <c r="R768" s="58"/>
      <c r="S768" s="58"/>
      <c r="T768" s="58"/>
      <c r="U768" s="58"/>
      <c r="V768" s="58"/>
      <c r="W768" s="58"/>
      <c r="X768" s="58"/>
      <c r="Y768" s="58"/>
      <c r="Z768" s="58"/>
    </row>
    <row r="769">
      <c r="A769" s="58"/>
      <c r="B769" s="58"/>
      <c r="C769" s="58"/>
      <c r="D769" s="58"/>
      <c r="E769" s="58"/>
      <c r="F769" s="58"/>
      <c r="G769" s="86"/>
      <c r="H769" s="58"/>
      <c r="I769" s="58"/>
      <c r="J769" s="58"/>
      <c r="K769" s="58"/>
      <c r="L769" s="58"/>
      <c r="M769" s="58"/>
      <c r="N769" s="58"/>
      <c r="O769" s="58"/>
      <c r="P769" s="58"/>
      <c r="Q769" s="58"/>
      <c r="R769" s="58"/>
      <c r="S769" s="58"/>
      <c r="T769" s="58"/>
      <c r="U769" s="58"/>
      <c r="V769" s="58"/>
      <c r="W769" s="58"/>
      <c r="X769" s="58"/>
      <c r="Y769" s="58"/>
      <c r="Z769" s="58"/>
    </row>
    <row r="770">
      <c r="A770" s="58"/>
      <c r="B770" s="58"/>
      <c r="C770" s="58"/>
      <c r="D770" s="58"/>
      <c r="E770" s="58"/>
      <c r="F770" s="58"/>
      <c r="G770" s="86"/>
      <c r="H770" s="58"/>
      <c r="I770" s="58"/>
      <c r="J770" s="58"/>
      <c r="K770" s="58"/>
      <c r="L770" s="58"/>
      <c r="M770" s="58"/>
      <c r="N770" s="58"/>
      <c r="O770" s="58"/>
      <c r="P770" s="58"/>
      <c r="Q770" s="58"/>
      <c r="R770" s="58"/>
      <c r="S770" s="58"/>
      <c r="T770" s="58"/>
      <c r="U770" s="58"/>
      <c r="V770" s="58"/>
      <c r="W770" s="58"/>
      <c r="X770" s="58"/>
      <c r="Y770" s="58"/>
      <c r="Z770" s="58"/>
    </row>
    <row r="771">
      <c r="A771" s="58"/>
      <c r="B771" s="58"/>
      <c r="C771" s="58"/>
      <c r="D771" s="58"/>
      <c r="E771" s="58"/>
      <c r="F771" s="58"/>
      <c r="G771" s="86"/>
      <c r="H771" s="58"/>
      <c r="I771" s="58"/>
      <c r="J771" s="58"/>
      <c r="K771" s="58"/>
      <c r="L771" s="58"/>
      <c r="M771" s="58"/>
      <c r="N771" s="58"/>
      <c r="O771" s="58"/>
      <c r="P771" s="58"/>
      <c r="Q771" s="58"/>
      <c r="R771" s="58"/>
      <c r="S771" s="58"/>
      <c r="T771" s="58"/>
      <c r="U771" s="58"/>
      <c r="V771" s="58"/>
      <c r="W771" s="58"/>
      <c r="X771" s="58"/>
      <c r="Y771" s="58"/>
      <c r="Z771" s="58"/>
    </row>
    <row r="772">
      <c r="A772" s="58"/>
      <c r="B772" s="58"/>
      <c r="C772" s="58"/>
      <c r="D772" s="58"/>
      <c r="E772" s="58"/>
      <c r="F772" s="58"/>
      <c r="G772" s="86"/>
      <c r="H772" s="58"/>
      <c r="I772" s="58"/>
      <c r="J772" s="58"/>
      <c r="K772" s="58"/>
      <c r="L772" s="58"/>
      <c r="M772" s="58"/>
      <c r="N772" s="58"/>
      <c r="O772" s="58"/>
      <c r="P772" s="58"/>
      <c r="Q772" s="58"/>
      <c r="R772" s="58"/>
      <c r="S772" s="58"/>
      <c r="T772" s="58"/>
      <c r="U772" s="58"/>
      <c r="V772" s="58"/>
      <c r="W772" s="58"/>
      <c r="X772" s="58"/>
      <c r="Y772" s="58"/>
      <c r="Z772" s="58"/>
    </row>
    <row r="773">
      <c r="A773" s="58"/>
      <c r="B773" s="58"/>
      <c r="C773" s="58"/>
      <c r="D773" s="58"/>
      <c r="E773" s="58"/>
      <c r="F773" s="58"/>
      <c r="G773" s="86"/>
      <c r="H773" s="58"/>
      <c r="I773" s="58"/>
      <c r="J773" s="58"/>
      <c r="K773" s="58"/>
      <c r="L773" s="58"/>
      <c r="M773" s="58"/>
      <c r="N773" s="58"/>
      <c r="O773" s="58"/>
      <c r="P773" s="58"/>
      <c r="Q773" s="58"/>
      <c r="R773" s="58"/>
      <c r="S773" s="58"/>
      <c r="T773" s="58"/>
      <c r="U773" s="58"/>
      <c r="V773" s="58"/>
      <c r="W773" s="58"/>
      <c r="X773" s="58"/>
      <c r="Y773" s="58"/>
      <c r="Z773" s="58"/>
    </row>
    <row r="774">
      <c r="A774" s="58"/>
      <c r="B774" s="58"/>
      <c r="C774" s="58"/>
      <c r="D774" s="58"/>
      <c r="E774" s="58"/>
      <c r="F774" s="58"/>
      <c r="G774" s="86"/>
      <c r="H774" s="58"/>
      <c r="I774" s="58"/>
      <c r="J774" s="58"/>
      <c r="K774" s="58"/>
      <c r="L774" s="58"/>
      <c r="M774" s="58"/>
      <c r="N774" s="58"/>
      <c r="O774" s="58"/>
      <c r="P774" s="58"/>
      <c r="Q774" s="58"/>
      <c r="R774" s="58"/>
      <c r="S774" s="58"/>
      <c r="T774" s="58"/>
      <c r="U774" s="58"/>
      <c r="V774" s="58"/>
      <c r="W774" s="58"/>
      <c r="X774" s="58"/>
      <c r="Y774" s="58"/>
      <c r="Z774" s="58"/>
    </row>
    <row r="775">
      <c r="A775" s="58"/>
      <c r="B775" s="58"/>
      <c r="C775" s="58"/>
      <c r="D775" s="58"/>
      <c r="E775" s="58"/>
      <c r="F775" s="58"/>
      <c r="G775" s="86"/>
      <c r="H775" s="58"/>
      <c r="I775" s="58"/>
      <c r="J775" s="58"/>
      <c r="K775" s="58"/>
      <c r="L775" s="58"/>
      <c r="M775" s="58"/>
      <c r="N775" s="58"/>
      <c r="O775" s="58"/>
      <c r="P775" s="58"/>
      <c r="Q775" s="58"/>
      <c r="R775" s="58"/>
      <c r="S775" s="58"/>
      <c r="T775" s="58"/>
      <c r="U775" s="58"/>
      <c r="V775" s="58"/>
      <c r="W775" s="58"/>
      <c r="X775" s="58"/>
      <c r="Y775" s="58"/>
      <c r="Z775" s="58"/>
    </row>
    <row r="776">
      <c r="A776" s="58"/>
      <c r="B776" s="58"/>
      <c r="C776" s="58"/>
      <c r="D776" s="58"/>
      <c r="E776" s="58"/>
      <c r="F776" s="58"/>
      <c r="G776" s="86"/>
      <c r="H776" s="58"/>
      <c r="I776" s="58"/>
      <c r="J776" s="58"/>
      <c r="K776" s="58"/>
      <c r="L776" s="58"/>
      <c r="M776" s="58"/>
      <c r="N776" s="58"/>
      <c r="O776" s="58"/>
      <c r="P776" s="58"/>
      <c r="Q776" s="58"/>
      <c r="R776" s="58"/>
      <c r="S776" s="58"/>
      <c r="T776" s="58"/>
      <c r="U776" s="58"/>
      <c r="V776" s="58"/>
      <c r="W776" s="58"/>
      <c r="X776" s="58"/>
      <c r="Y776" s="58"/>
      <c r="Z776" s="58"/>
    </row>
    <row r="777">
      <c r="A777" s="58"/>
      <c r="B777" s="58"/>
      <c r="C777" s="58"/>
      <c r="D777" s="58"/>
      <c r="E777" s="58"/>
      <c r="F777" s="58"/>
      <c r="G777" s="86"/>
      <c r="H777" s="58"/>
      <c r="I777" s="58"/>
      <c r="J777" s="58"/>
      <c r="K777" s="58"/>
      <c r="L777" s="58"/>
      <c r="M777" s="58"/>
      <c r="N777" s="58"/>
      <c r="O777" s="58"/>
      <c r="P777" s="58"/>
      <c r="Q777" s="58"/>
      <c r="R777" s="58"/>
      <c r="S777" s="58"/>
      <c r="T777" s="58"/>
      <c r="U777" s="58"/>
      <c r="V777" s="58"/>
      <c r="W777" s="58"/>
      <c r="X777" s="58"/>
      <c r="Y777" s="58"/>
      <c r="Z777" s="58"/>
    </row>
    <row r="778">
      <c r="A778" s="58"/>
      <c r="B778" s="58"/>
      <c r="C778" s="58"/>
      <c r="D778" s="58"/>
      <c r="E778" s="58"/>
      <c r="F778" s="58"/>
      <c r="G778" s="86"/>
      <c r="H778" s="58"/>
      <c r="I778" s="58"/>
      <c r="J778" s="58"/>
      <c r="K778" s="58"/>
      <c r="L778" s="58"/>
      <c r="M778" s="58"/>
      <c r="N778" s="58"/>
      <c r="O778" s="58"/>
      <c r="P778" s="58"/>
      <c r="Q778" s="58"/>
      <c r="R778" s="58"/>
      <c r="S778" s="58"/>
      <c r="T778" s="58"/>
      <c r="U778" s="58"/>
      <c r="V778" s="58"/>
      <c r="W778" s="58"/>
      <c r="X778" s="58"/>
      <c r="Y778" s="58"/>
      <c r="Z778" s="58"/>
    </row>
    <row r="779">
      <c r="A779" s="58"/>
      <c r="B779" s="58"/>
      <c r="C779" s="58"/>
      <c r="D779" s="58"/>
      <c r="E779" s="58"/>
      <c r="F779" s="58"/>
      <c r="G779" s="86"/>
      <c r="H779" s="58"/>
      <c r="I779" s="58"/>
      <c r="J779" s="58"/>
      <c r="K779" s="58"/>
      <c r="L779" s="58"/>
      <c r="M779" s="58"/>
      <c r="N779" s="58"/>
      <c r="O779" s="58"/>
      <c r="P779" s="58"/>
      <c r="Q779" s="58"/>
      <c r="R779" s="58"/>
      <c r="S779" s="58"/>
      <c r="T779" s="58"/>
      <c r="U779" s="58"/>
      <c r="V779" s="58"/>
      <c r="W779" s="58"/>
      <c r="X779" s="58"/>
      <c r="Y779" s="58"/>
      <c r="Z779" s="58"/>
    </row>
    <row r="780">
      <c r="A780" s="58"/>
      <c r="B780" s="58"/>
      <c r="C780" s="58"/>
      <c r="D780" s="58"/>
      <c r="E780" s="58"/>
      <c r="F780" s="58"/>
      <c r="G780" s="86"/>
      <c r="H780" s="58"/>
      <c r="I780" s="58"/>
      <c r="J780" s="58"/>
      <c r="K780" s="58"/>
      <c r="L780" s="58"/>
      <c r="M780" s="58"/>
      <c r="N780" s="58"/>
      <c r="O780" s="58"/>
      <c r="P780" s="58"/>
      <c r="Q780" s="58"/>
      <c r="R780" s="58"/>
      <c r="S780" s="58"/>
      <c r="T780" s="58"/>
      <c r="U780" s="58"/>
      <c r="V780" s="58"/>
      <c r="W780" s="58"/>
      <c r="X780" s="58"/>
      <c r="Y780" s="58"/>
      <c r="Z780" s="58"/>
    </row>
    <row r="781">
      <c r="A781" s="58"/>
      <c r="B781" s="58"/>
      <c r="C781" s="58"/>
      <c r="D781" s="58"/>
      <c r="E781" s="58"/>
      <c r="F781" s="58"/>
      <c r="G781" s="86"/>
      <c r="H781" s="58"/>
      <c r="I781" s="58"/>
      <c r="J781" s="58"/>
      <c r="K781" s="58"/>
      <c r="L781" s="58"/>
      <c r="M781" s="58"/>
      <c r="N781" s="58"/>
      <c r="O781" s="58"/>
      <c r="P781" s="58"/>
      <c r="Q781" s="58"/>
      <c r="R781" s="58"/>
      <c r="S781" s="58"/>
      <c r="T781" s="58"/>
      <c r="U781" s="58"/>
      <c r="V781" s="58"/>
      <c r="W781" s="58"/>
      <c r="X781" s="58"/>
      <c r="Y781" s="58"/>
      <c r="Z781" s="58"/>
    </row>
    <row r="782">
      <c r="A782" s="58"/>
      <c r="B782" s="58"/>
      <c r="C782" s="58"/>
      <c r="D782" s="58"/>
      <c r="E782" s="58"/>
      <c r="F782" s="58"/>
      <c r="G782" s="86"/>
      <c r="H782" s="58"/>
      <c r="I782" s="58"/>
      <c r="J782" s="58"/>
      <c r="K782" s="58"/>
      <c r="L782" s="58"/>
      <c r="M782" s="58"/>
      <c r="N782" s="58"/>
      <c r="O782" s="58"/>
      <c r="P782" s="58"/>
      <c r="Q782" s="58"/>
      <c r="R782" s="58"/>
      <c r="S782" s="58"/>
      <c r="T782" s="58"/>
      <c r="U782" s="58"/>
      <c r="V782" s="58"/>
      <c r="W782" s="58"/>
      <c r="X782" s="58"/>
      <c r="Y782" s="58"/>
      <c r="Z782" s="58"/>
    </row>
    <row r="783">
      <c r="A783" s="58"/>
      <c r="B783" s="58"/>
      <c r="C783" s="58"/>
      <c r="D783" s="58"/>
      <c r="E783" s="58"/>
      <c r="F783" s="58"/>
      <c r="G783" s="86"/>
      <c r="H783" s="58"/>
      <c r="I783" s="58"/>
      <c r="J783" s="58"/>
      <c r="K783" s="58"/>
      <c r="L783" s="58"/>
      <c r="M783" s="58"/>
      <c r="N783" s="58"/>
      <c r="O783" s="58"/>
      <c r="P783" s="58"/>
      <c r="Q783" s="58"/>
      <c r="R783" s="58"/>
      <c r="S783" s="58"/>
      <c r="T783" s="58"/>
      <c r="U783" s="58"/>
      <c r="V783" s="58"/>
      <c r="W783" s="58"/>
      <c r="X783" s="58"/>
      <c r="Y783" s="58"/>
      <c r="Z783" s="58"/>
    </row>
    <row r="784">
      <c r="A784" s="58"/>
      <c r="B784" s="58"/>
      <c r="C784" s="58"/>
      <c r="D784" s="58"/>
      <c r="E784" s="58"/>
      <c r="F784" s="58"/>
      <c r="G784" s="86"/>
      <c r="H784" s="58"/>
      <c r="I784" s="58"/>
      <c r="J784" s="58"/>
      <c r="K784" s="58"/>
      <c r="L784" s="58"/>
      <c r="M784" s="58"/>
      <c r="N784" s="58"/>
      <c r="O784" s="58"/>
      <c r="P784" s="58"/>
      <c r="Q784" s="58"/>
      <c r="R784" s="58"/>
      <c r="S784" s="58"/>
      <c r="T784" s="58"/>
      <c r="U784" s="58"/>
      <c r="V784" s="58"/>
      <c r="W784" s="58"/>
      <c r="X784" s="58"/>
      <c r="Y784" s="58"/>
      <c r="Z784" s="58"/>
    </row>
    <row r="785">
      <c r="A785" s="58"/>
      <c r="B785" s="58"/>
      <c r="C785" s="58"/>
      <c r="D785" s="58"/>
      <c r="E785" s="58"/>
      <c r="F785" s="58"/>
      <c r="G785" s="86"/>
      <c r="H785" s="58"/>
      <c r="I785" s="58"/>
      <c r="J785" s="58"/>
      <c r="K785" s="58"/>
      <c r="L785" s="58"/>
      <c r="M785" s="58"/>
      <c r="N785" s="58"/>
      <c r="O785" s="58"/>
      <c r="P785" s="58"/>
      <c r="Q785" s="58"/>
      <c r="R785" s="58"/>
      <c r="S785" s="58"/>
      <c r="T785" s="58"/>
      <c r="U785" s="58"/>
      <c r="V785" s="58"/>
      <c r="W785" s="58"/>
      <c r="X785" s="58"/>
      <c r="Y785" s="58"/>
      <c r="Z785" s="58"/>
    </row>
    <row r="786">
      <c r="A786" s="58"/>
      <c r="B786" s="58"/>
      <c r="C786" s="58"/>
      <c r="D786" s="58"/>
      <c r="E786" s="58"/>
      <c r="F786" s="58"/>
      <c r="G786" s="86"/>
      <c r="H786" s="58"/>
      <c r="I786" s="58"/>
      <c r="J786" s="58"/>
      <c r="K786" s="58"/>
      <c r="L786" s="58"/>
      <c r="M786" s="58"/>
      <c r="N786" s="58"/>
      <c r="O786" s="58"/>
      <c r="P786" s="58"/>
      <c r="Q786" s="58"/>
      <c r="R786" s="58"/>
      <c r="S786" s="58"/>
      <c r="T786" s="58"/>
      <c r="U786" s="58"/>
      <c r="V786" s="58"/>
      <c r="W786" s="58"/>
      <c r="X786" s="58"/>
      <c r="Y786" s="58"/>
      <c r="Z786" s="58"/>
    </row>
    <row r="787">
      <c r="A787" s="58"/>
      <c r="B787" s="58"/>
      <c r="C787" s="58"/>
      <c r="D787" s="58"/>
      <c r="E787" s="58"/>
      <c r="F787" s="58"/>
      <c r="G787" s="86"/>
      <c r="H787" s="58"/>
      <c r="I787" s="58"/>
      <c r="J787" s="58"/>
      <c r="K787" s="58"/>
      <c r="L787" s="58"/>
      <c r="M787" s="58"/>
      <c r="N787" s="58"/>
      <c r="O787" s="58"/>
      <c r="P787" s="58"/>
      <c r="Q787" s="58"/>
      <c r="R787" s="58"/>
      <c r="S787" s="58"/>
      <c r="T787" s="58"/>
      <c r="U787" s="58"/>
      <c r="V787" s="58"/>
      <c r="W787" s="58"/>
      <c r="X787" s="58"/>
      <c r="Y787" s="58"/>
      <c r="Z787" s="58"/>
    </row>
    <row r="788">
      <c r="A788" s="58"/>
      <c r="B788" s="58"/>
      <c r="C788" s="58"/>
      <c r="D788" s="58"/>
      <c r="E788" s="58"/>
      <c r="F788" s="58"/>
      <c r="G788" s="86"/>
      <c r="H788" s="58"/>
      <c r="I788" s="58"/>
      <c r="J788" s="58"/>
      <c r="K788" s="58"/>
      <c r="L788" s="58"/>
      <c r="M788" s="58"/>
      <c r="N788" s="58"/>
      <c r="O788" s="58"/>
      <c r="P788" s="58"/>
      <c r="Q788" s="58"/>
      <c r="R788" s="58"/>
      <c r="S788" s="58"/>
      <c r="T788" s="58"/>
      <c r="U788" s="58"/>
      <c r="V788" s="58"/>
      <c r="W788" s="58"/>
      <c r="X788" s="58"/>
      <c r="Y788" s="58"/>
      <c r="Z788" s="58"/>
    </row>
    <row r="789">
      <c r="A789" s="58"/>
      <c r="B789" s="58"/>
      <c r="C789" s="58"/>
      <c r="D789" s="58"/>
      <c r="E789" s="58"/>
      <c r="F789" s="58"/>
      <c r="G789" s="86"/>
      <c r="H789" s="58"/>
      <c r="I789" s="58"/>
      <c r="J789" s="58"/>
      <c r="K789" s="58"/>
      <c r="L789" s="58"/>
      <c r="M789" s="58"/>
      <c r="N789" s="58"/>
      <c r="O789" s="58"/>
      <c r="P789" s="58"/>
      <c r="Q789" s="58"/>
      <c r="R789" s="58"/>
      <c r="S789" s="58"/>
      <c r="T789" s="58"/>
      <c r="U789" s="58"/>
      <c r="V789" s="58"/>
      <c r="W789" s="58"/>
      <c r="X789" s="58"/>
      <c r="Y789" s="58"/>
      <c r="Z789" s="58"/>
    </row>
    <row r="790">
      <c r="A790" s="58"/>
      <c r="B790" s="58"/>
      <c r="C790" s="58"/>
      <c r="D790" s="58"/>
      <c r="E790" s="58"/>
      <c r="F790" s="58"/>
      <c r="G790" s="86"/>
      <c r="H790" s="58"/>
      <c r="I790" s="58"/>
      <c r="J790" s="58"/>
      <c r="K790" s="58"/>
      <c r="L790" s="58"/>
      <c r="M790" s="58"/>
      <c r="N790" s="58"/>
      <c r="O790" s="58"/>
      <c r="P790" s="58"/>
      <c r="Q790" s="58"/>
      <c r="R790" s="58"/>
      <c r="S790" s="58"/>
      <c r="T790" s="58"/>
      <c r="U790" s="58"/>
      <c r="V790" s="58"/>
      <c r="W790" s="58"/>
      <c r="X790" s="58"/>
      <c r="Y790" s="58"/>
      <c r="Z790" s="58"/>
    </row>
    <row r="791">
      <c r="A791" s="58"/>
      <c r="B791" s="58"/>
      <c r="C791" s="58"/>
      <c r="D791" s="58"/>
      <c r="E791" s="58"/>
      <c r="F791" s="58"/>
      <c r="G791" s="86"/>
      <c r="H791" s="58"/>
      <c r="I791" s="58"/>
      <c r="J791" s="58"/>
      <c r="K791" s="58"/>
      <c r="L791" s="58"/>
      <c r="M791" s="58"/>
      <c r="N791" s="58"/>
      <c r="O791" s="58"/>
      <c r="P791" s="58"/>
      <c r="Q791" s="58"/>
      <c r="R791" s="58"/>
      <c r="S791" s="58"/>
      <c r="T791" s="58"/>
      <c r="U791" s="58"/>
      <c r="V791" s="58"/>
      <c r="W791" s="58"/>
      <c r="X791" s="58"/>
      <c r="Y791" s="58"/>
      <c r="Z791" s="58"/>
    </row>
    <row r="792">
      <c r="A792" s="58"/>
      <c r="B792" s="58"/>
      <c r="C792" s="58"/>
      <c r="D792" s="58"/>
      <c r="E792" s="58"/>
      <c r="F792" s="58"/>
      <c r="G792" s="86"/>
      <c r="H792" s="58"/>
      <c r="I792" s="58"/>
      <c r="J792" s="58"/>
      <c r="K792" s="58"/>
      <c r="L792" s="58"/>
      <c r="M792" s="58"/>
      <c r="N792" s="58"/>
      <c r="O792" s="58"/>
      <c r="P792" s="58"/>
      <c r="Q792" s="58"/>
      <c r="R792" s="58"/>
      <c r="S792" s="58"/>
      <c r="T792" s="58"/>
      <c r="U792" s="58"/>
      <c r="V792" s="58"/>
      <c r="W792" s="58"/>
      <c r="X792" s="58"/>
      <c r="Y792" s="58"/>
      <c r="Z792" s="58"/>
    </row>
    <row r="793">
      <c r="A793" s="58"/>
      <c r="B793" s="58"/>
      <c r="C793" s="58"/>
      <c r="D793" s="58"/>
      <c r="E793" s="58"/>
      <c r="F793" s="58"/>
      <c r="G793" s="86"/>
      <c r="H793" s="58"/>
      <c r="I793" s="58"/>
      <c r="J793" s="58"/>
      <c r="K793" s="58"/>
      <c r="L793" s="58"/>
      <c r="M793" s="58"/>
      <c r="N793" s="58"/>
      <c r="O793" s="58"/>
      <c r="P793" s="58"/>
      <c r="Q793" s="58"/>
      <c r="R793" s="58"/>
      <c r="S793" s="58"/>
      <c r="T793" s="58"/>
      <c r="U793" s="58"/>
      <c r="V793" s="58"/>
      <c r="W793" s="58"/>
      <c r="X793" s="58"/>
      <c r="Y793" s="58"/>
      <c r="Z793" s="58"/>
    </row>
    <row r="794">
      <c r="A794" s="58"/>
      <c r="B794" s="58"/>
      <c r="C794" s="58"/>
      <c r="D794" s="58"/>
      <c r="E794" s="58"/>
      <c r="F794" s="58"/>
      <c r="G794" s="86"/>
      <c r="H794" s="58"/>
      <c r="I794" s="58"/>
      <c r="J794" s="58"/>
      <c r="K794" s="58"/>
      <c r="L794" s="58"/>
      <c r="M794" s="58"/>
      <c r="N794" s="58"/>
      <c r="O794" s="58"/>
      <c r="P794" s="58"/>
      <c r="Q794" s="58"/>
      <c r="R794" s="58"/>
      <c r="S794" s="58"/>
      <c r="T794" s="58"/>
      <c r="U794" s="58"/>
      <c r="V794" s="58"/>
      <c r="W794" s="58"/>
      <c r="X794" s="58"/>
      <c r="Y794" s="58"/>
      <c r="Z794" s="58"/>
    </row>
    <row r="795">
      <c r="A795" s="58"/>
      <c r="B795" s="58"/>
      <c r="C795" s="58"/>
      <c r="D795" s="58"/>
      <c r="E795" s="58"/>
      <c r="F795" s="58"/>
      <c r="G795" s="86"/>
      <c r="H795" s="58"/>
      <c r="I795" s="58"/>
      <c r="J795" s="58"/>
      <c r="K795" s="58"/>
      <c r="L795" s="58"/>
      <c r="M795" s="58"/>
      <c r="N795" s="58"/>
      <c r="O795" s="58"/>
      <c r="P795" s="58"/>
      <c r="Q795" s="58"/>
      <c r="R795" s="58"/>
      <c r="S795" s="58"/>
      <c r="T795" s="58"/>
      <c r="U795" s="58"/>
      <c r="V795" s="58"/>
      <c r="W795" s="58"/>
      <c r="X795" s="58"/>
      <c r="Y795" s="58"/>
      <c r="Z795" s="58"/>
    </row>
    <row r="796">
      <c r="A796" s="58"/>
      <c r="B796" s="58"/>
      <c r="C796" s="58"/>
      <c r="D796" s="58"/>
      <c r="E796" s="58"/>
      <c r="F796" s="58"/>
      <c r="G796" s="86"/>
      <c r="H796" s="58"/>
      <c r="I796" s="58"/>
      <c r="J796" s="58"/>
      <c r="K796" s="58"/>
      <c r="L796" s="58"/>
      <c r="M796" s="58"/>
      <c r="N796" s="58"/>
      <c r="O796" s="58"/>
      <c r="P796" s="58"/>
      <c r="Q796" s="58"/>
      <c r="R796" s="58"/>
      <c r="S796" s="58"/>
      <c r="T796" s="58"/>
      <c r="U796" s="58"/>
      <c r="V796" s="58"/>
      <c r="W796" s="58"/>
      <c r="X796" s="58"/>
      <c r="Y796" s="58"/>
      <c r="Z796" s="58"/>
    </row>
    <row r="797">
      <c r="A797" s="58"/>
      <c r="B797" s="58"/>
      <c r="C797" s="58"/>
      <c r="D797" s="58"/>
      <c r="E797" s="58"/>
      <c r="F797" s="58"/>
      <c r="G797" s="86"/>
      <c r="H797" s="58"/>
      <c r="I797" s="58"/>
      <c r="J797" s="58"/>
      <c r="K797" s="58"/>
      <c r="L797" s="58"/>
      <c r="M797" s="58"/>
      <c r="N797" s="58"/>
      <c r="O797" s="58"/>
      <c r="P797" s="58"/>
      <c r="Q797" s="58"/>
      <c r="R797" s="58"/>
      <c r="S797" s="58"/>
      <c r="T797" s="58"/>
      <c r="U797" s="58"/>
      <c r="V797" s="58"/>
      <c r="W797" s="58"/>
      <c r="X797" s="58"/>
      <c r="Y797" s="58"/>
      <c r="Z797" s="58"/>
    </row>
    <row r="798">
      <c r="A798" s="58"/>
      <c r="B798" s="58"/>
      <c r="C798" s="58"/>
      <c r="D798" s="58"/>
      <c r="E798" s="58"/>
      <c r="F798" s="58"/>
      <c r="G798" s="86"/>
      <c r="H798" s="58"/>
      <c r="I798" s="58"/>
      <c r="J798" s="58"/>
      <c r="K798" s="58"/>
      <c r="L798" s="58"/>
      <c r="M798" s="58"/>
      <c r="N798" s="58"/>
      <c r="O798" s="58"/>
      <c r="P798" s="58"/>
      <c r="Q798" s="58"/>
      <c r="R798" s="58"/>
      <c r="S798" s="58"/>
      <c r="T798" s="58"/>
      <c r="U798" s="58"/>
      <c r="V798" s="58"/>
      <c r="W798" s="58"/>
      <c r="X798" s="58"/>
      <c r="Y798" s="58"/>
      <c r="Z798" s="58"/>
    </row>
    <row r="799">
      <c r="A799" s="58"/>
      <c r="B799" s="58"/>
      <c r="C799" s="58"/>
      <c r="D799" s="58"/>
      <c r="E799" s="58"/>
      <c r="F799" s="58"/>
      <c r="G799" s="86"/>
      <c r="H799" s="58"/>
      <c r="I799" s="58"/>
      <c r="J799" s="58"/>
      <c r="K799" s="58"/>
      <c r="L799" s="58"/>
      <c r="M799" s="58"/>
      <c r="N799" s="58"/>
      <c r="O799" s="58"/>
      <c r="P799" s="58"/>
      <c r="Q799" s="58"/>
      <c r="R799" s="58"/>
      <c r="S799" s="58"/>
      <c r="T799" s="58"/>
      <c r="U799" s="58"/>
      <c r="V799" s="58"/>
      <c r="W799" s="58"/>
      <c r="X799" s="58"/>
      <c r="Y799" s="58"/>
      <c r="Z799" s="58"/>
    </row>
    <row r="800">
      <c r="A800" s="58"/>
      <c r="B800" s="58"/>
      <c r="C800" s="58"/>
      <c r="D800" s="58"/>
      <c r="E800" s="58"/>
      <c r="F800" s="58"/>
      <c r="G800" s="86"/>
      <c r="H800" s="58"/>
      <c r="I800" s="58"/>
      <c r="J800" s="58"/>
      <c r="K800" s="58"/>
      <c r="L800" s="58"/>
      <c r="M800" s="58"/>
      <c r="N800" s="58"/>
      <c r="O800" s="58"/>
      <c r="P800" s="58"/>
      <c r="Q800" s="58"/>
      <c r="R800" s="58"/>
      <c r="S800" s="58"/>
      <c r="T800" s="58"/>
      <c r="U800" s="58"/>
      <c r="V800" s="58"/>
      <c r="W800" s="58"/>
      <c r="X800" s="58"/>
      <c r="Y800" s="58"/>
      <c r="Z800" s="58"/>
    </row>
    <row r="801">
      <c r="A801" s="58"/>
      <c r="B801" s="58"/>
      <c r="C801" s="58"/>
      <c r="D801" s="58"/>
      <c r="E801" s="58"/>
      <c r="F801" s="58"/>
      <c r="G801" s="86"/>
      <c r="H801" s="58"/>
      <c r="I801" s="58"/>
      <c r="J801" s="58"/>
      <c r="K801" s="58"/>
      <c r="L801" s="58"/>
      <c r="M801" s="58"/>
      <c r="N801" s="58"/>
      <c r="O801" s="58"/>
      <c r="P801" s="58"/>
      <c r="Q801" s="58"/>
      <c r="R801" s="58"/>
      <c r="S801" s="58"/>
      <c r="T801" s="58"/>
      <c r="U801" s="58"/>
      <c r="V801" s="58"/>
      <c r="W801" s="58"/>
      <c r="X801" s="58"/>
      <c r="Y801" s="58"/>
      <c r="Z801" s="58"/>
    </row>
    <row r="802">
      <c r="A802" s="58"/>
      <c r="B802" s="58"/>
      <c r="C802" s="58"/>
      <c r="D802" s="58"/>
      <c r="E802" s="58"/>
      <c r="F802" s="58"/>
      <c r="G802" s="86"/>
      <c r="H802" s="58"/>
      <c r="I802" s="58"/>
      <c r="J802" s="58"/>
      <c r="K802" s="58"/>
      <c r="L802" s="58"/>
      <c r="M802" s="58"/>
      <c r="N802" s="58"/>
      <c r="O802" s="58"/>
      <c r="P802" s="58"/>
      <c r="Q802" s="58"/>
      <c r="R802" s="58"/>
      <c r="S802" s="58"/>
      <c r="T802" s="58"/>
      <c r="U802" s="58"/>
      <c r="V802" s="58"/>
      <c r="W802" s="58"/>
      <c r="X802" s="58"/>
      <c r="Y802" s="58"/>
      <c r="Z802" s="58"/>
    </row>
    <row r="803">
      <c r="A803" s="58"/>
      <c r="B803" s="58"/>
      <c r="C803" s="58"/>
      <c r="D803" s="58"/>
      <c r="E803" s="58"/>
      <c r="F803" s="58"/>
      <c r="G803" s="86"/>
      <c r="H803" s="58"/>
      <c r="I803" s="58"/>
      <c r="J803" s="58"/>
      <c r="K803" s="58"/>
      <c r="L803" s="58"/>
      <c r="M803" s="58"/>
      <c r="N803" s="58"/>
      <c r="O803" s="58"/>
      <c r="P803" s="58"/>
      <c r="Q803" s="58"/>
      <c r="R803" s="58"/>
      <c r="S803" s="58"/>
      <c r="T803" s="58"/>
      <c r="U803" s="58"/>
      <c r="V803" s="58"/>
      <c r="W803" s="58"/>
      <c r="X803" s="58"/>
      <c r="Y803" s="58"/>
      <c r="Z803" s="58"/>
    </row>
    <row r="804">
      <c r="A804" s="58"/>
      <c r="B804" s="58"/>
      <c r="C804" s="58"/>
      <c r="D804" s="58"/>
      <c r="E804" s="58"/>
      <c r="F804" s="58"/>
      <c r="G804" s="86"/>
      <c r="H804" s="58"/>
      <c r="I804" s="58"/>
      <c r="J804" s="58"/>
      <c r="K804" s="58"/>
      <c r="L804" s="58"/>
      <c r="M804" s="58"/>
      <c r="N804" s="58"/>
      <c r="O804" s="58"/>
      <c r="P804" s="58"/>
      <c r="Q804" s="58"/>
      <c r="R804" s="58"/>
      <c r="S804" s="58"/>
      <c r="T804" s="58"/>
      <c r="U804" s="58"/>
      <c r="V804" s="58"/>
      <c r="W804" s="58"/>
      <c r="X804" s="58"/>
      <c r="Y804" s="58"/>
      <c r="Z804" s="58"/>
    </row>
    <row r="805">
      <c r="A805" s="58"/>
      <c r="B805" s="58"/>
      <c r="C805" s="58"/>
      <c r="D805" s="58"/>
      <c r="E805" s="58"/>
      <c r="F805" s="58"/>
      <c r="G805" s="86"/>
      <c r="H805" s="58"/>
      <c r="I805" s="58"/>
      <c r="J805" s="58"/>
      <c r="K805" s="58"/>
      <c r="L805" s="58"/>
      <c r="M805" s="58"/>
      <c r="N805" s="58"/>
      <c r="O805" s="58"/>
      <c r="P805" s="58"/>
      <c r="Q805" s="58"/>
      <c r="R805" s="58"/>
      <c r="S805" s="58"/>
      <c r="T805" s="58"/>
      <c r="U805" s="58"/>
      <c r="V805" s="58"/>
      <c r="W805" s="58"/>
      <c r="X805" s="58"/>
      <c r="Y805" s="58"/>
      <c r="Z805" s="58"/>
    </row>
    <row r="806">
      <c r="A806" s="58"/>
      <c r="B806" s="58"/>
      <c r="C806" s="58"/>
      <c r="D806" s="58"/>
      <c r="E806" s="58"/>
      <c r="F806" s="58"/>
      <c r="G806" s="86"/>
      <c r="H806" s="58"/>
      <c r="I806" s="58"/>
      <c r="J806" s="58"/>
      <c r="K806" s="58"/>
      <c r="L806" s="58"/>
      <c r="M806" s="58"/>
      <c r="N806" s="58"/>
      <c r="O806" s="58"/>
      <c r="P806" s="58"/>
      <c r="Q806" s="58"/>
      <c r="R806" s="58"/>
      <c r="S806" s="58"/>
      <c r="T806" s="58"/>
      <c r="U806" s="58"/>
      <c r="V806" s="58"/>
      <c r="W806" s="58"/>
      <c r="X806" s="58"/>
      <c r="Y806" s="58"/>
      <c r="Z806" s="58"/>
    </row>
    <row r="807">
      <c r="A807" s="58"/>
      <c r="B807" s="58"/>
      <c r="C807" s="58"/>
      <c r="D807" s="58"/>
      <c r="E807" s="58"/>
      <c r="F807" s="58"/>
      <c r="G807" s="86"/>
      <c r="H807" s="58"/>
      <c r="I807" s="58"/>
      <c r="J807" s="58"/>
      <c r="K807" s="58"/>
      <c r="L807" s="58"/>
      <c r="M807" s="58"/>
      <c r="N807" s="58"/>
      <c r="O807" s="58"/>
      <c r="P807" s="58"/>
      <c r="Q807" s="58"/>
      <c r="R807" s="58"/>
      <c r="S807" s="58"/>
      <c r="T807" s="58"/>
      <c r="U807" s="58"/>
      <c r="V807" s="58"/>
      <c r="W807" s="58"/>
      <c r="X807" s="58"/>
      <c r="Y807" s="58"/>
      <c r="Z807" s="58"/>
    </row>
    <row r="808">
      <c r="A808" s="58"/>
      <c r="B808" s="58"/>
      <c r="C808" s="58"/>
      <c r="D808" s="58"/>
      <c r="E808" s="58"/>
      <c r="F808" s="58"/>
      <c r="G808" s="86"/>
      <c r="H808" s="58"/>
      <c r="I808" s="58"/>
      <c r="J808" s="58"/>
      <c r="K808" s="58"/>
      <c r="L808" s="58"/>
      <c r="M808" s="58"/>
      <c r="N808" s="58"/>
      <c r="O808" s="58"/>
      <c r="P808" s="58"/>
      <c r="Q808" s="58"/>
      <c r="R808" s="58"/>
      <c r="S808" s="58"/>
      <c r="T808" s="58"/>
      <c r="U808" s="58"/>
      <c r="V808" s="58"/>
      <c r="W808" s="58"/>
      <c r="X808" s="58"/>
      <c r="Y808" s="58"/>
      <c r="Z808" s="58"/>
    </row>
    <row r="809">
      <c r="A809" s="58"/>
      <c r="B809" s="58"/>
      <c r="C809" s="58"/>
      <c r="D809" s="58"/>
      <c r="E809" s="58"/>
      <c r="F809" s="58"/>
      <c r="G809" s="86"/>
      <c r="H809" s="58"/>
      <c r="I809" s="58"/>
      <c r="J809" s="58"/>
      <c r="K809" s="58"/>
      <c r="L809" s="58"/>
      <c r="M809" s="58"/>
      <c r="N809" s="58"/>
      <c r="O809" s="58"/>
      <c r="P809" s="58"/>
      <c r="Q809" s="58"/>
      <c r="R809" s="58"/>
      <c r="S809" s="58"/>
      <c r="T809" s="58"/>
      <c r="U809" s="58"/>
      <c r="V809" s="58"/>
      <c r="W809" s="58"/>
      <c r="X809" s="58"/>
      <c r="Y809" s="58"/>
      <c r="Z809" s="58"/>
    </row>
    <row r="810">
      <c r="A810" s="58"/>
      <c r="B810" s="58"/>
      <c r="C810" s="58"/>
      <c r="D810" s="58"/>
      <c r="E810" s="58"/>
      <c r="F810" s="58"/>
      <c r="G810" s="86"/>
      <c r="H810" s="58"/>
      <c r="I810" s="58"/>
      <c r="J810" s="58"/>
      <c r="K810" s="58"/>
      <c r="L810" s="58"/>
      <c r="M810" s="58"/>
      <c r="N810" s="58"/>
      <c r="O810" s="58"/>
      <c r="P810" s="58"/>
      <c r="Q810" s="58"/>
      <c r="R810" s="58"/>
      <c r="S810" s="58"/>
      <c r="T810" s="58"/>
      <c r="U810" s="58"/>
      <c r="V810" s="58"/>
      <c r="W810" s="58"/>
      <c r="X810" s="58"/>
      <c r="Y810" s="58"/>
      <c r="Z810" s="58"/>
    </row>
    <row r="811">
      <c r="A811" s="58"/>
      <c r="B811" s="58"/>
      <c r="C811" s="58"/>
      <c r="D811" s="58"/>
      <c r="E811" s="58"/>
      <c r="F811" s="58"/>
      <c r="G811" s="86"/>
      <c r="H811" s="58"/>
      <c r="I811" s="58"/>
      <c r="J811" s="58"/>
      <c r="K811" s="58"/>
      <c r="L811" s="58"/>
      <c r="M811" s="58"/>
      <c r="N811" s="58"/>
      <c r="O811" s="58"/>
      <c r="P811" s="58"/>
      <c r="Q811" s="58"/>
      <c r="R811" s="58"/>
      <c r="S811" s="58"/>
      <c r="T811" s="58"/>
      <c r="U811" s="58"/>
      <c r="V811" s="58"/>
      <c r="W811" s="58"/>
      <c r="X811" s="58"/>
      <c r="Y811" s="58"/>
      <c r="Z811" s="58"/>
    </row>
    <row r="812">
      <c r="A812" s="58"/>
      <c r="B812" s="58"/>
      <c r="C812" s="58"/>
      <c r="D812" s="58"/>
      <c r="E812" s="58"/>
      <c r="F812" s="58"/>
      <c r="G812" s="86"/>
      <c r="H812" s="58"/>
      <c r="I812" s="58"/>
      <c r="J812" s="58"/>
      <c r="K812" s="58"/>
      <c r="L812" s="58"/>
      <c r="M812" s="58"/>
      <c r="N812" s="58"/>
      <c r="O812" s="58"/>
      <c r="P812" s="58"/>
      <c r="Q812" s="58"/>
      <c r="R812" s="58"/>
      <c r="S812" s="58"/>
      <c r="T812" s="58"/>
      <c r="U812" s="58"/>
      <c r="V812" s="58"/>
      <c r="W812" s="58"/>
      <c r="X812" s="58"/>
      <c r="Y812" s="58"/>
      <c r="Z812" s="58"/>
    </row>
    <row r="813">
      <c r="A813" s="58"/>
      <c r="B813" s="58"/>
      <c r="C813" s="58"/>
      <c r="D813" s="58"/>
      <c r="E813" s="58"/>
      <c r="F813" s="58"/>
      <c r="G813" s="86"/>
      <c r="H813" s="58"/>
      <c r="I813" s="58"/>
      <c r="J813" s="58"/>
      <c r="K813" s="58"/>
      <c r="L813" s="58"/>
      <c r="M813" s="58"/>
      <c r="N813" s="58"/>
      <c r="O813" s="58"/>
      <c r="P813" s="58"/>
      <c r="Q813" s="58"/>
      <c r="R813" s="58"/>
      <c r="S813" s="58"/>
      <c r="T813" s="58"/>
      <c r="U813" s="58"/>
      <c r="V813" s="58"/>
      <c r="W813" s="58"/>
      <c r="X813" s="58"/>
      <c r="Y813" s="58"/>
      <c r="Z813" s="58"/>
    </row>
    <row r="814">
      <c r="A814" s="58"/>
      <c r="B814" s="58"/>
      <c r="C814" s="58"/>
      <c r="D814" s="58"/>
      <c r="E814" s="58"/>
      <c r="F814" s="58"/>
      <c r="G814" s="86"/>
      <c r="H814" s="58"/>
      <c r="I814" s="58"/>
      <c r="J814" s="58"/>
      <c r="K814" s="58"/>
      <c r="L814" s="58"/>
      <c r="M814" s="58"/>
      <c r="N814" s="58"/>
      <c r="O814" s="58"/>
      <c r="P814" s="58"/>
      <c r="Q814" s="58"/>
      <c r="R814" s="58"/>
      <c r="S814" s="58"/>
      <c r="T814" s="58"/>
      <c r="U814" s="58"/>
      <c r="V814" s="58"/>
      <c r="W814" s="58"/>
      <c r="X814" s="58"/>
      <c r="Y814" s="58"/>
      <c r="Z814" s="58"/>
    </row>
    <row r="815">
      <c r="A815" s="58"/>
      <c r="B815" s="58"/>
      <c r="C815" s="58"/>
      <c r="D815" s="58"/>
      <c r="E815" s="58"/>
      <c r="F815" s="58"/>
      <c r="G815" s="86"/>
      <c r="H815" s="58"/>
      <c r="I815" s="58"/>
      <c r="J815" s="58"/>
      <c r="K815" s="58"/>
      <c r="L815" s="58"/>
      <c r="M815" s="58"/>
      <c r="N815" s="58"/>
      <c r="O815" s="58"/>
      <c r="P815" s="58"/>
      <c r="Q815" s="58"/>
      <c r="R815" s="58"/>
      <c r="S815" s="58"/>
      <c r="T815" s="58"/>
      <c r="U815" s="58"/>
      <c r="V815" s="58"/>
      <c r="W815" s="58"/>
      <c r="X815" s="58"/>
      <c r="Y815" s="58"/>
      <c r="Z815" s="58"/>
    </row>
    <row r="816">
      <c r="A816" s="58"/>
      <c r="B816" s="58"/>
      <c r="C816" s="58"/>
      <c r="D816" s="58"/>
      <c r="E816" s="58"/>
      <c r="F816" s="58"/>
      <c r="G816" s="86"/>
      <c r="H816" s="58"/>
      <c r="I816" s="58"/>
      <c r="J816" s="58"/>
      <c r="K816" s="58"/>
      <c r="L816" s="58"/>
      <c r="M816" s="58"/>
      <c r="N816" s="58"/>
      <c r="O816" s="58"/>
      <c r="P816" s="58"/>
      <c r="Q816" s="58"/>
      <c r="R816" s="58"/>
      <c r="S816" s="58"/>
      <c r="T816" s="58"/>
      <c r="U816" s="58"/>
      <c r="V816" s="58"/>
      <c r="W816" s="58"/>
      <c r="X816" s="58"/>
      <c r="Y816" s="58"/>
      <c r="Z816" s="58"/>
    </row>
    <row r="817">
      <c r="A817" s="58"/>
      <c r="B817" s="58"/>
      <c r="C817" s="58"/>
      <c r="D817" s="58"/>
      <c r="E817" s="58"/>
      <c r="F817" s="58"/>
      <c r="G817" s="86"/>
      <c r="H817" s="58"/>
      <c r="I817" s="58"/>
      <c r="J817" s="58"/>
      <c r="K817" s="58"/>
      <c r="L817" s="58"/>
      <c r="M817" s="58"/>
      <c r="N817" s="58"/>
      <c r="O817" s="58"/>
      <c r="P817" s="58"/>
      <c r="Q817" s="58"/>
      <c r="R817" s="58"/>
      <c r="S817" s="58"/>
      <c r="T817" s="58"/>
      <c r="U817" s="58"/>
      <c r="V817" s="58"/>
      <c r="W817" s="58"/>
      <c r="X817" s="58"/>
      <c r="Y817" s="58"/>
      <c r="Z817" s="58"/>
    </row>
    <row r="818">
      <c r="A818" s="58"/>
      <c r="B818" s="58"/>
      <c r="C818" s="58"/>
      <c r="D818" s="58"/>
      <c r="E818" s="58"/>
      <c r="F818" s="58"/>
      <c r="G818" s="86"/>
      <c r="H818" s="58"/>
      <c r="I818" s="58"/>
      <c r="J818" s="58"/>
      <c r="K818" s="58"/>
      <c r="L818" s="58"/>
      <c r="M818" s="58"/>
      <c r="N818" s="58"/>
      <c r="O818" s="58"/>
      <c r="P818" s="58"/>
      <c r="Q818" s="58"/>
      <c r="R818" s="58"/>
      <c r="S818" s="58"/>
      <c r="T818" s="58"/>
      <c r="U818" s="58"/>
      <c r="V818" s="58"/>
      <c r="W818" s="58"/>
      <c r="X818" s="58"/>
      <c r="Y818" s="58"/>
      <c r="Z818" s="58"/>
    </row>
    <row r="819">
      <c r="A819" s="58"/>
      <c r="B819" s="58"/>
      <c r="C819" s="58"/>
      <c r="D819" s="58"/>
      <c r="E819" s="58"/>
      <c r="F819" s="58"/>
      <c r="G819" s="86"/>
      <c r="H819" s="58"/>
      <c r="I819" s="58"/>
      <c r="J819" s="58"/>
      <c r="K819" s="58"/>
      <c r="L819" s="58"/>
      <c r="M819" s="58"/>
      <c r="N819" s="58"/>
      <c r="O819" s="58"/>
      <c r="P819" s="58"/>
      <c r="Q819" s="58"/>
      <c r="R819" s="58"/>
      <c r="S819" s="58"/>
      <c r="T819" s="58"/>
      <c r="U819" s="58"/>
      <c r="V819" s="58"/>
      <c r="W819" s="58"/>
      <c r="X819" s="58"/>
      <c r="Y819" s="58"/>
      <c r="Z819" s="58"/>
    </row>
    <row r="820">
      <c r="A820" s="58"/>
      <c r="B820" s="58"/>
      <c r="C820" s="58"/>
      <c r="D820" s="58"/>
      <c r="E820" s="58"/>
      <c r="F820" s="58"/>
      <c r="G820" s="86"/>
      <c r="H820" s="58"/>
      <c r="I820" s="58"/>
      <c r="J820" s="58"/>
      <c r="K820" s="58"/>
      <c r="L820" s="58"/>
      <c r="M820" s="58"/>
      <c r="N820" s="58"/>
      <c r="O820" s="58"/>
      <c r="P820" s="58"/>
      <c r="Q820" s="58"/>
      <c r="R820" s="58"/>
      <c r="S820" s="58"/>
      <c r="T820" s="58"/>
      <c r="U820" s="58"/>
      <c r="V820" s="58"/>
      <c r="W820" s="58"/>
      <c r="X820" s="58"/>
      <c r="Y820" s="58"/>
      <c r="Z820" s="58"/>
    </row>
    <row r="821">
      <c r="A821" s="58"/>
      <c r="B821" s="58"/>
      <c r="C821" s="58"/>
      <c r="D821" s="58"/>
      <c r="E821" s="58"/>
      <c r="F821" s="58"/>
      <c r="G821" s="86"/>
      <c r="H821" s="58"/>
      <c r="I821" s="58"/>
      <c r="J821" s="58"/>
      <c r="K821" s="58"/>
      <c r="L821" s="58"/>
      <c r="M821" s="58"/>
      <c r="N821" s="58"/>
      <c r="O821" s="58"/>
      <c r="P821" s="58"/>
      <c r="Q821" s="58"/>
      <c r="R821" s="58"/>
      <c r="S821" s="58"/>
      <c r="T821" s="58"/>
      <c r="U821" s="58"/>
      <c r="V821" s="58"/>
      <c r="W821" s="58"/>
      <c r="X821" s="58"/>
      <c r="Y821" s="58"/>
      <c r="Z821" s="58"/>
    </row>
    <row r="822">
      <c r="A822" s="58"/>
      <c r="B822" s="58"/>
      <c r="C822" s="58"/>
      <c r="D822" s="58"/>
      <c r="E822" s="58"/>
      <c r="F822" s="58"/>
      <c r="G822" s="86"/>
      <c r="H822" s="58"/>
      <c r="I822" s="58"/>
      <c r="J822" s="58"/>
      <c r="K822" s="58"/>
      <c r="L822" s="58"/>
      <c r="M822" s="58"/>
      <c r="N822" s="58"/>
      <c r="O822" s="58"/>
      <c r="P822" s="58"/>
      <c r="Q822" s="58"/>
      <c r="R822" s="58"/>
      <c r="S822" s="58"/>
      <c r="T822" s="58"/>
      <c r="U822" s="58"/>
      <c r="V822" s="58"/>
      <c r="W822" s="58"/>
      <c r="X822" s="58"/>
      <c r="Y822" s="58"/>
      <c r="Z822" s="58"/>
    </row>
    <row r="823">
      <c r="A823" s="58"/>
      <c r="B823" s="58"/>
      <c r="C823" s="58"/>
      <c r="D823" s="58"/>
      <c r="E823" s="58"/>
      <c r="F823" s="58"/>
      <c r="G823" s="86"/>
      <c r="H823" s="58"/>
      <c r="I823" s="58"/>
      <c r="J823" s="58"/>
      <c r="K823" s="58"/>
      <c r="L823" s="58"/>
      <c r="M823" s="58"/>
      <c r="N823" s="58"/>
      <c r="O823" s="58"/>
      <c r="P823" s="58"/>
      <c r="Q823" s="58"/>
      <c r="R823" s="58"/>
      <c r="S823" s="58"/>
      <c r="T823" s="58"/>
      <c r="U823" s="58"/>
      <c r="V823" s="58"/>
      <c r="W823" s="58"/>
      <c r="X823" s="58"/>
      <c r="Y823" s="58"/>
      <c r="Z823" s="58"/>
    </row>
    <row r="824">
      <c r="A824" s="58"/>
      <c r="B824" s="58"/>
      <c r="C824" s="58"/>
      <c r="D824" s="58"/>
      <c r="E824" s="58"/>
      <c r="F824" s="58"/>
      <c r="G824" s="86"/>
      <c r="H824" s="58"/>
      <c r="I824" s="58"/>
      <c r="J824" s="58"/>
      <c r="K824" s="58"/>
      <c r="L824" s="58"/>
      <c r="M824" s="58"/>
      <c r="N824" s="58"/>
      <c r="O824" s="58"/>
      <c r="P824" s="58"/>
      <c r="Q824" s="58"/>
      <c r="R824" s="58"/>
      <c r="S824" s="58"/>
      <c r="T824" s="58"/>
      <c r="U824" s="58"/>
      <c r="V824" s="58"/>
      <c r="W824" s="58"/>
      <c r="X824" s="58"/>
      <c r="Y824" s="58"/>
      <c r="Z824" s="58"/>
    </row>
    <row r="825">
      <c r="A825" s="58"/>
      <c r="B825" s="58"/>
      <c r="C825" s="58"/>
      <c r="D825" s="58"/>
      <c r="E825" s="58"/>
      <c r="F825" s="58"/>
      <c r="G825" s="86"/>
      <c r="H825" s="58"/>
      <c r="I825" s="58"/>
      <c r="J825" s="58"/>
      <c r="K825" s="58"/>
      <c r="L825" s="58"/>
      <c r="M825" s="58"/>
      <c r="N825" s="58"/>
      <c r="O825" s="58"/>
      <c r="P825" s="58"/>
      <c r="Q825" s="58"/>
      <c r="R825" s="58"/>
      <c r="S825" s="58"/>
      <c r="T825" s="58"/>
      <c r="U825" s="58"/>
      <c r="V825" s="58"/>
      <c r="W825" s="58"/>
      <c r="X825" s="58"/>
      <c r="Y825" s="58"/>
      <c r="Z825" s="58"/>
    </row>
    <row r="826">
      <c r="A826" s="58"/>
      <c r="B826" s="58"/>
      <c r="C826" s="58"/>
      <c r="D826" s="58"/>
      <c r="E826" s="58"/>
      <c r="F826" s="58"/>
      <c r="G826" s="86"/>
      <c r="H826" s="58"/>
      <c r="I826" s="58"/>
      <c r="J826" s="58"/>
      <c r="K826" s="58"/>
      <c r="L826" s="58"/>
      <c r="M826" s="58"/>
      <c r="N826" s="58"/>
      <c r="O826" s="58"/>
      <c r="P826" s="58"/>
      <c r="Q826" s="58"/>
      <c r="R826" s="58"/>
      <c r="S826" s="58"/>
      <c r="T826" s="58"/>
      <c r="U826" s="58"/>
      <c r="V826" s="58"/>
      <c r="W826" s="58"/>
      <c r="X826" s="58"/>
      <c r="Y826" s="58"/>
      <c r="Z826" s="58"/>
    </row>
    <row r="827">
      <c r="A827" s="58"/>
      <c r="B827" s="58"/>
      <c r="C827" s="58"/>
      <c r="D827" s="58"/>
      <c r="E827" s="58"/>
      <c r="F827" s="58"/>
      <c r="G827" s="86"/>
      <c r="H827" s="58"/>
      <c r="I827" s="58"/>
      <c r="J827" s="58"/>
      <c r="K827" s="58"/>
      <c r="L827" s="58"/>
      <c r="M827" s="58"/>
      <c r="N827" s="58"/>
      <c r="O827" s="58"/>
      <c r="P827" s="58"/>
      <c r="Q827" s="58"/>
      <c r="R827" s="58"/>
      <c r="S827" s="58"/>
      <c r="T827" s="58"/>
      <c r="U827" s="58"/>
      <c r="V827" s="58"/>
      <c r="W827" s="58"/>
      <c r="X827" s="58"/>
      <c r="Y827" s="58"/>
      <c r="Z827" s="58"/>
    </row>
    <row r="828">
      <c r="A828" s="58"/>
      <c r="B828" s="58"/>
      <c r="C828" s="58"/>
      <c r="D828" s="58"/>
      <c r="E828" s="58"/>
      <c r="F828" s="58"/>
      <c r="G828" s="86"/>
      <c r="H828" s="58"/>
      <c r="I828" s="58"/>
      <c r="J828" s="58"/>
      <c r="K828" s="58"/>
      <c r="L828" s="58"/>
      <c r="M828" s="58"/>
      <c r="N828" s="58"/>
      <c r="O828" s="58"/>
      <c r="P828" s="58"/>
      <c r="Q828" s="58"/>
      <c r="R828" s="58"/>
      <c r="S828" s="58"/>
      <c r="T828" s="58"/>
      <c r="U828" s="58"/>
      <c r="V828" s="58"/>
      <c r="W828" s="58"/>
      <c r="X828" s="58"/>
      <c r="Y828" s="58"/>
      <c r="Z828" s="58"/>
    </row>
    <row r="829">
      <c r="A829" s="58"/>
      <c r="B829" s="58"/>
      <c r="C829" s="58"/>
      <c r="D829" s="58"/>
      <c r="E829" s="58"/>
      <c r="F829" s="58"/>
      <c r="G829" s="86"/>
      <c r="H829" s="58"/>
      <c r="I829" s="58"/>
      <c r="J829" s="58"/>
      <c r="K829" s="58"/>
      <c r="L829" s="58"/>
      <c r="M829" s="58"/>
      <c r="N829" s="58"/>
      <c r="O829" s="58"/>
      <c r="P829" s="58"/>
      <c r="Q829" s="58"/>
      <c r="R829" s="58"/>
      <c r="S829" s="58"/>
      <c r="T829" s="58"/>
      <c r="U829" s="58"/>
      <c r="V829" s="58"/>
      <c r="W829" s="58"/>
      <c r="X829" s="58"/>
      <c r="Y829" s="58"/>
      <c r="Z829" s="58"/>
    </row>
    <row r="830">
      <c r="A830" s="58"/>
      <c r="B830" s="58"/>
      <c r="C830" s="58"/>
      <c r="D830" s="58"/>
      <c r="E830" s="58"/>
      <c r="F830" s="58"/>
      <c r="G830" s="86"/>
      <c r="H830" s="58"/>
      <c r="I830" s="58"/>
      <c r="J830" s="58"/>
      <c r="K830" s="58"/>
      <c r="L830" s="58"/>
      <c r="M830" s="58"/>
      <c r="N830" s="58"/>
      <c r="O830" s="58"/>
      <c r="P830" s="58"/>
      <c r="Q830" s="58"/>
      <c r="R830" s="58"/>
      <c r="S830" s="58"/>
      <c r="T830" s="58"/>
      <c r="U830" s="58"/>
      <c r="V830" s="58"/>
      <c r="W830" s="58"/>
      <c r="X830" s="58"/>
      <c r="Y830" s="58"/>
      <c r="Z830" s="58"/>
    </row>
    <row r="831">
      <c r="A831" s="58"/>
      <c r="B831" s="58"/>
      <c r="C831" s="58"/>
      <c r="D831" s="58"/>
      <c r="E831" s="58"/>
      <c r="F831" s="58"/>
      <c r="G831" s="86"/>
      <c r="H831" s="58"/>
      <c r="I831" s="58"/>
      <c r="J831" s="58"/>
      <c r="K831" s="58"/>
      <c r="L831" s="58"/>
      <c r="M831" s="58"/>
      <c r="N831" s="58"/>
      <c r="O831" s="58"/>
      <c r="P831" s="58"/>
      <c r="Q831" s="58"/>
      <c r="R831" s="58"/>
      <c r="S831" s="58"/>
      <c r="T831" s="58"/>
      <c r="U831" s="58"/>
      <c r="V831" s="58"/>
      <c r="W831" s="58"/>
      <c r="X831" s="58"/>
      <c r="Y831" s="58"/>
      <c r="Z831" s="58"/>
    </row>
    <row r="832">
      <c r="A832" s="58"/>
      <c r="B832" s="58"/>
      <c r="C832" s="58"/>
      <c r="D832" s="58"/>
      <c r="E832" s="58"/>
      <c r="F832" s="58"/>
      <c r="G832" s="86"/>
      <c r="H832" s="58"/>
      <c r="I832" s="58"/>
      <c r="J832" s="58"/>
      <c r="K832" s="58"/>
      <c r="L832" s="58"/>
      <c r="M832" s="58"/>
      <c r="N832" s="58"/>
      <c r="O832" s="58"/>
      <c r="P832" s="58"/>
      <c r="Q832" s="58"/>
      <c r="R832" s="58"/>
      <c r="S832" s="58"/>
      <c r="T832" s="58"/>
      <c r="U832" s="58"/>
      <c r="V832" s="58"/>
      <c r="W832" s="58"/>
      <c r="X832" s="58"/>
      <c r="Y832" s="58"/>
      <c r="Z832" s="58"/>
    </row>
    <row r="833">
      <c r="A833" s="58"/>
      <c r="B833" s="58"/>
      <c r="C833" s="58"/>
      <c r="D833" s="58"/>
      <c r="E833" s="58"/>
      <c r="F833" s="58"/>
      <c r="G833" s="86"/>
      <c r="H833" s="58"/>
      <c r="I833" s="58"/>
      <c r="J833" s="58"/>
      <c r="K833" s="58"/>
      <c r="L833" s="58"/>
      <c r="M833" s="58"/>
      <c r="N833" s="58"/>
      <c r="O833" s="58"/>
      <c r="P833" s="58"/>
      <c r="Q833" s="58"/>
      <c r="R833" s="58"/>
      <c r="S833" s="58"/>
      <c r="T833" s="58"/>
      <c r="U833" s="58"/>
      <c r="V833" s="58"/>
      <c r="W833" s="58"/>
      <c r="X833" s="58"/>
      <c r="Y833" s="58"/>
      <c r="Z833" s="58"/>
    </row>
    <row r="834">
      <c r="A834" s="58"/>
      <c r="B834" s="58"/>
      <c r="C834" s="58"/>
      <c r="D834" s="58"/>
      <c r="E834" s="58"/>
      <c r="F834" s="58"/>
      <c r="G834" s="86"/>
      <c r="H834" s="58"/>
      <c r="I834" s="58"/>
      <c r="J834" s="58"/>
      <c r="K834" s="58"/>
      <c r="L834" s="58"/>
      <c r="M834" s="58"/>
      <c r="N834" s="58"/>
      <c r="O834" s="58"/>
      <c r="P834" s="58"/>
      <c r="Q834" s="58"/>
      <c r="R834" s="58"/>
      <c r="S834" s="58"/>
      <c r="T834" s="58"/>
      <c r="U834" s="58"/>
      <c r="V834" s="58"/>
      <c r="W834" s="58"/>
      <c r="X834" s="58"/>
      <c r="Y834" s="58"/>
      <c r="Z834" s="58"/>
    </row>
    <row r="835">
      <c r="A835" s="58"/>
      <c r="B835" s="58"/>
      <c r="C835" s="58"/>
      <c r="D835" s="58"/>
      <c r="E835" s="58"/>
      <c r="F835" s="58"/>
      <c r="G835" s="86"/>
      <c r="H835" s="58"/>
      <c r="I835" s="58"/>
      <c r="J835" s="58"/>
      <c r="K835" s="58"/>
      <c r="L835" s="58"/>
      <c r="M835" s="58"/>
      <c r="N835" s="58"/>
      <c r="O835" s="58"/>
      <c r="P835" s="58"/>
      <c r="Q835" s="58"/>
      <c r="R835" s="58"/>
      <c r="S835" s="58"/>
      <c r="T835" s="58"/>
      <c r="U835" s="58"/>
      <c r="V835" s="58"/>
      <c r="W835" s="58"/>
      <c r="X835" s="58"/>
      <c r="Y835" s="58"/>
      <c r="Z835" s="58"/>
    </row>
    <row r="836">
      <c r="A836" s="58"/>
      <c r="B836" s="58"/>
      <c r="C836" s="58"/>
      <c r="D836" s="58"/>
      <c r="E836" s="58"/>
      <c r="F836" s="58"/>
      <c r="G836" s="86"/>
      <c r="H836" s="58"/>
      <c r="I836" s="58"/>
      <c r="J836" s="58"/>
      <c r="K836" s="58"/>
      <c r="L836" s="58"/>
      <c r="M836" s="58"/>
      <c r="N836" s="58"/>
      <c r="O836" s="58"/>
      <c r="P836" s="58"/>
      <c r="Q836" s="58"/>
      <c r="R836" s="58"/>
      <c r="S836" s="58"/>
      <c r="T836" s="58"/>
      <c r="U836" s="58"/>
      <c r="V836" s="58"/>
      <c r="W836" s="58"/>
      <c r="X836" s="58"/>
      <c r="Y836" s="58"/>
      <c r="Z836" s="58"/>
    </row>
    <row r="837">
      <c r="A837" s="58"/>
      <c r="B837" s="58"/>
      <c r="C837" s="58"/>
      <c r="D837" s="58"/>
      <c r="E837" s="58"/>
      <c r="F837" s="58"/>
      <c r="G837" s="86"/>
      <c r="H837" s="58"/>
      <c r="I837" s="58"/>
      <c r="J837" s="58"/>
      <c r="K837" s="58"/>
      <c r="L837" s="58"/>
      <c r="M837" s="58"/>
      <c r="N837" s="58"/>
      <c r="O837" s="58"/>
      <c r="P837" s="58"/>
      <c r="Q837" s="58"/>
      <c r="R837" s="58"/>
      <c r="S837" s="58"/>
      <c r="T837" s="58"/>
      <c r="U837" s="58"/>
      <c r="V837" s="58"/>
      <c r="W837" s="58"/>
      <c r="X837" s="58"/>
      <c r="Y837" s="58"/>
      <c r="Z837" s="58"/>
    </row>
    <row r="838">
      <c r="A838" s="58"/>
      <c r="B838" s="58"/>
      <c r="C838" s="58"/>
      <c r="D838" s="58"/>
      <c r="E838" s="58"/>
      <c r="F838" s="58"/>
      <c r="G838" s="86"/>
      <c r="H838" s="58"/>
      <c r="I838" s="58"/>
      <c r="J838" s="58"/>
      <c r="K838" s="58"/>
      <c r="L838" s="58"/>
      <c r="M838" s="58"/>
      <c r="N838" s="58"/>
      <c r="O838" s="58"/>
      <c r="P838" s="58"/>
      <c r="Q838" s="58"/>
      <c r="R838" s="58"/>
      <c r="S838" s="58"/>
      <c r="T838" s="58"/>
      <c r="U838" s="58"/>
      <c r="V838" s="58"/>
      <c r="W838" s="58"/>
      <c r="X838" s="58"/>
      <c r="Y838" s="58"/>
      <c r="Z838" s="58"/>
    </row>
    <row r="839">
      <c r="A839" s="58"/>
      <c r="B839" s="58"/>
      <c r="C839" s="58"/>
      <c r="D839" s="58"/>
      <c r="E839" s="58"/>
      <c r="F839" s="58"/>
      <c r="G839" s="86"/>
      <c r="H839" s="58"/>
      <c r="I839" s="58"/>
      <c r="J839" s="58"/>
      <c r="K839" s="58"/>
      <c r="L839" s="58"/>
      <c r="M839" s="58"/>
      <c r="N839" s="58"/>
      <c r="O839" s="58"/>
      <c r="P839" s="58"/>
      <c r="Q839" s="58"/>
      <c r="R839" s="58"/>
      <c r="S839" s="58"/>
      <c r="T839" s="58"/>
      <c r="U839" s="58"/>
      <c r="V839" s="58"/>
      <c r="W839" s="58"/>
      <c r="X839" s="58"/>
      <c r="Y839" s="58"/>
      <c r="Z839" s="58"/>
    </row>
    <row r="840">
      <c r="A840" s="58"/>
      <c r="B840" s="58"/>
      <c r="C840" s="58"/>
      <c r="D840" s="58"/>
      <c r="E840" s="58"/>
      <c r="F840" s="58"/>
      <c r="G840" s="86"/>
      <c r="H840" s="58"/>
      <c r="I840" s="58"/>
      <c r="J840" s="58"/>
      <c r="K840" s="58"/>
      <c r="L840" s="58"/>
      <c r="M840" s="58"/>
      <c r="N840" s="58"/>
      <c r="O840" s="58"/>
      <c r="P840" s="58"/>
      <c r="Q840" s="58"/>
      <c r="R840" s="58"/>
      <c r="S840" s="58"/>
      <c r="T840" s="58"/>
      <c r="U840" s="58"/>
      <c r="V840" s="58"/>
      <c r="W840" s="58"/>
      <c r="X840" s="58"/>
      <c r="Y840" s="58"/>
      <c r="Z840" s="58"/>
    </row>
    <row r="841">
      <c r="A841" s="58"/>
      <c r="B841" s="58"/>
      <c r="C841" s="58"/>
      <c r="D841" s="58"/>
      <c r="E841" s="58"/>
      <c r="F841" s="58"/>
      <c r="G841" s="86"/>
      <c r="H841" s="58"/>
      <c r="I841" s="58"/>
      <c r="J841" s="58"/>
      <c r="K841" s="58"/>
      <c r="L841" s="58"/>
      <c r="M841" s="58"/>
      <c r="N841" s="58"/>
      <c r="O841" s="58"/>
      <c r="P841" s="58"/>
      <c r="Q841" s="58"/>
      <c r="R841" s="58"/>
      <c r="S841" s="58"/>
      <c r="T841" s="58"/>
      <c r="U841" s="58"/>
      <c r="V841" s="58"/>
      <c r="W841" s="58"/>
      <c r="X841" s="58"/>
      <c r="Y841" s="58"/>
      <c r="Z841" s="58"/>
    </row>
    <row r="842">
      <c r="A842" s="58"/>
      <c r="B842" s="58"/>
      <c r="C842" s="58"/>
      <c r="D842" s="58"/>
      <c r="E842" s="58"/>
      <c r="F842" s="58"/>
      <c r="G842" s="86"/>
      <c r="H842" s="58"/>
      <c r="I842" s="58"/>
      <c r="J842" s="58"/>
      <c r="K842" s="58"/>
      <c r="L842" s="58"/>
      <c r="M842" s="58"/>
      <c r="N842" s="58"/>
      <c r="O842" s="58"/>
      <c r="P842" s="58"/>
      <c r="Q842" s="58"/>
      <c r="R842" s="58"/>
      <c r="S842" s="58"/>
      <c r="T842" s="58"/>
      <c r="U842" s="58"/>
      <c r="V842" s="58"/>
      <c r="W842" s="58"/>
      <c r="X842" s="58"/>
      <c r="Y842" s="58"/>
      <c r="Z842" s="58"/>
    </row>
    <row r="843">
      <c r="A843" s="58"/>
      <c r="B843" s="58"/>
      <c r="C843" s="58"/>
      <c r="D843" s="58"/>
      <c r="E843" s="58"/>
      <c r="F843" s="58"/>
      <c r="G843" s="86"/>
      <c r="H843" s="58"/>
      <c r="I843" s="58"/>
      <c r="J843" s="58"/>
      <c r="K843" s="58"/>
      <c r="L843" s="58"/>
      <c r="M843" s="58"/>
      <c r="N843" s="58"/>
      <c r="O843" s="58"/>
      <c r="P843" s="58"/>
      <c r="Q843" s="58"/>
      <c r="R843" s="58"/>
      <c r="S843" s="58"/>
      <c r="T843" s="58"/>
      <c r="U843" s="58"/>
      <c r="V843" s="58"/>
      <c r="W843" s="58"/>
      <c r="X843" s="58"/>
      <c r="Y843" s="58"/>
      <c r="Z843" s="58"/>
    </row>
    <row r="844">
      <c r="A844" s="58"/>
      <c r="B844" s="58"/>
      <c r="C844" s="58"/>
      <c r="D844" s="58"/>
      <c r="E844" s="58"/>
      <c r="F844" s="58"/>
      <c r="G844" s="86"/>
      <c r="H844" s="58"/>
      <c r="I844" s="58"/>
      <c r="J844" s="58"/>
      <c r="K844" s="58"/>
      <c r="L844" s="58"/>
      <c r="M844" s="58"/>
      <c r="N844" s="58"/>
      <c r="O844" s="58"/>
      <c r="P844" s="58"/>
      <c r="Q844" s="58"/>
      <c r="R844" s="58"/>
      <c r="S844" s="58"/>
      <c r="T844" s="58"/>
      <c r="U844" s="58"/>
      <c r="V844" s="58"/>
      <c r="W844" s="58"/>
      <c r="X844" s="58"/>
      <c r="Y844" s="58"/>
      <c r="Z844" s="58"/>
    </row>
    <row r="845">
      <c r="A845" s="58"/>
      <c r="B845" s="58"/>
      <c r="C845" s="58"/>
      <c r="D845" s="58"/>
      <c r="E845" s="58"/>
      <c r="F845" s="58"/>
      <c r="G845" s="86"/>
      <c r="H845" s="58"/>
      <c r="I845" s="58"/>
      <c r="J845" s="58"/>
      <c r="K845" s="58"/>
      <c r="L845" s="58"/>
      <c r="M845" s="58"/>
      <c r="N845" s="58"/>
      <c r="O845" s="58"/>
      <c r="P845" s="58"/>
      <c r="Q845" s="58"/>
      <c r="R845" s="58"/>
      <c r="S845" s="58"/>
      <c r="T845" s="58"/>
      <c r="U845" s="58"/>
      <c r="V845" s="58"/>
      <c r="W845" s="58"/>
      <c r="X845" s="58"/>
      <c r="Y845" s="58"/>
      <c r="Z845" s="58"/>
    </row>
    <row r="846">
      <c r="A846" s="58"/>
      <c r="B846" s="58"/>
      <c r="C846" s="58"/>
      <c r="D846" s="58"/>
      <c r="E846" s="58"/>
      <c r="F846" s="58"/>
      <c r="G846" s="86"/>
      <c r="H846" s="58"/>
      <c r="I846" s="58"/>
      <c r="J846" s="58"/>
      <c r="K846" s="58"/>
      <c r="L846" s="58"/>
      <c r="M846" s="58"/>
      <c r="N846" s="58"/>
      <c r="O846" s="58"/>
      <c r="P846" s="58"/>
      <c r="Q846" s="58"/>
      <c r="R846" s="58"/>
      <c r="S846" s="58"/>
      <c r="T846" s="58"/>
      <c r="U846" s="58"/>
      <c r="V846" s="58"/>
      <c r="W846" s="58"/>
      <c r="X846" s="58"/>
      <c r="Y846" s="58"/>
      <c r="Z846" s="58"/>
    </row>
    <row r="847">
      <c r="A847" s="58"/>
      <c r="B847" s="58"/>
      <c r="C847" s="58"/>
      <c r="D847" s="58"/>
      <c r="E847" s="58"/>
      <c r="F847" s="58"/>
      <c r="G847" s="86"/>
      <c r="H847" s="58"/>
      <c r="I847" s="58"/>
      <c r="J847" s="58"/>
      <c r="K847" s="58"/>
      <c r="L847" s="58"/>
      <c r="M847" s="58"/>
      <c r="N847" s="58"/>
      <c r="O847" s="58"/>
      <c r="P847" s="58"/>
      <c r="Q847" s="58"/>
      <c r="R847" s="58"/>
      <c r="S847" s="58"/>
      <c r="T847" s="58"/>
      <c r="U847" s="58"/>
      <c r="V847" s="58"/>
      <c r="W847" s="58"/>
      <c r="X847" s="58"/>
      <c r="Y847" s="58"/>
      <c r="Z847" s="58"/>
    </row>
    <row r="848">
      <c r="A848" s="58"/>
      <c r="B848" s="58"/>
      <c r="C848" s="58"/>
      <c r="D848" s="58"/>
      <c r="E848" s="58"/>
      <c r="F848" s="58"/>
      <c r="G848" s="86"/>
      <c r="H848" s="58"/>
      <c r="I848" s="58"/>
      <c r="J848" s="58"/>
      <c r="K848" s="58"/>
      <c r="L848" s="58"/>
      <c r="M848" s="58"/>
      <c r="N848" s="58"/>
      <c r="O848" s="58"/>
      <c r="P848" s="58"/>
      <c r="Q848" s="58"/>
      <c r="R848" s="58"/>
      <c r="S848" s="58"/>
      <c r="T848" s="58"/>
      <c r="U848" s="58"/>
      <c r="V848" s="58"/>
      <c r="W848" s="58"/>
      <c r="X848" s="58"/>
      <c r="Y848" s="58"/>
      <c r="Z848" s="58"/>
    </row>
    <row r="849">
      <c r="A849" s="58"/>
      <c r="B849" s="58"/>
      <c r="C849" s="58"/>
      <c r="D849" s="58"/>
      <c r="E849" s="58"/>
      <c r="F849" s="58"/>
      <c r="G849" s="86"/>
      <c r="H849" s="58"/>
      <c r="I849" s="58"/>
      <c r="J849" s="58"/>
      <c r="K849" s="58"/>
      <c r="L849" s="58"/>
      <c r="M849" s="58"/>
      <c r="N849" s="58"/>
      <c r="O849" s="58"/>
      <c r="P849" s="58"/>
      <c r="Q849" s="58"/>
      <c r="R849" s="58"/>
      <c r="S849" s="58"/>
      <c r="T849" s="58"/>
      <c r="U849" s="58"/>
      <c r="V849" s="58"/>
      <c r="W849" s="58"/>
      <c r="X849" s="58"/>
      <c r="Y849" s="58"/>
      <c r="Z849" s="58"/>
    </row>
    <row r="850">
      <c r="A850" s="58"/>
      <c r="B850" s="58"/>
      <c r="C850" s="58"/>
      <c r="D850" s="58"/>
      <c r="E850" s="58"/>
      <c r="F850" s="58"/>
      <c r="G850" s="86"/>
      <c r="H850" s="58"/>
      <c r="I850" s="58"/>
      <c r="J850" s="58"/>
      <c r="K850" s="58"/>
      <c r="L850" s="58"/>
      <c r="M850" s="58"/>
      <c r="N850" s="58"/>
      <c r="O850" s="58"/>
      <c r="P850" s="58"/>
      <c r="Q850" s="58"/>
      <c r="R850" s="58"/>
      <c r="S850" s="58"/>
      <c r="T850" s="58"/>
      <c r="U850" s="58"/>
      <c r="V850" s="58"/>
      <c r="W850" s="58"/>
      <c r="X850" s="58"/>
      <c r="Y850" s="58"/>
      <c r="Z850" s="58"/>
    </row>
    <row r="851">
      <c r="A851" s="58"/>
      <c r="B851" s="58"/>
      <c r="C851" s="58"/>
      <c r="D851" s="58"/>
      <c r="E851" s="58"/>
      <c r="F851" s="58"/>
      <c r="G851" s="86"/>
      <c r="H851" s="58"/>
      <c r="I851" s="58"/>
      <c r="J851" s="58"/>
      <c r="K851" s="58"/>
      <c r="L851" s="58"/>
      <c r="M851" s="58"/>
      <c r="N851" s="58"/>
      <c r="O851" s="58"/>
      <c r="P851" s="58"/>
      <c r="Q851" s="58"/>
      <c r="R851" s="58"/>
      <c r="S851" s="58"/>
      <c r="T851" s="58"/>
      <c r="U851" s="58"/>
      <c r="V851" s="58"/>
      <c r="W851" s="58"/>
      <c r="X851" s="58"/>
      <c r="Y851" s="58"/>
      <c r="Z851" s="58"/>
    </row>
    <row r="852">
      <c r="A852" s="58"/>
      <c r="B852" s="58"/>
      <c r="C852" s="58"/>
      <c r="D852" s="58"/>
      <c r="E852" s="58"/>
      <c r="F852" s="58"/>
      <c r="G852" s="86"/>
      <c r="H852" s="58"/>
      <c r="I852" s="58"/>
      <c r="J852" s="58"/>
      <c r="K852" s="58"/>
      <c r="L852" s="58"/>
      <c r="M852" s="58"/>
      <c r="N852" s="58"/>
      <c r="O852" s="58"/>
      <c r="P852" s="58"/>
      <c r="Q852" s="58"/>
      <c r="R852" s="58"/>
      <c r="S852" s="58"/>
      <c r="T852" s="58"/>
      <c r="U852" s="58"/>
      <c r="V852" s="58"/>
      <c r="W852" s="58"/>
      <c r="X852" s="58"/>
      <c r="Y852" s="58"/>
      <c r="Z852" s="58"/>
    </row>
    <row r="853">
      <c r="A853" s="58"/>
      <c r="B853" s="58"/>
      <c r="C853" s="58"/>
      <c r="D853" s="58"/>
      <c r="E853" s="58"/>
      <c r="F853" s="58"/>
      <c r="G853" s="86"/>
      <c r="H853" s="58"/>
      <c r="I853" s="58"/>
      <c r="J853" s="58"/>
      <c r="K853" s="58"/>
      <c r="L853" s="58"/>
      <c r="M853" s="58"/>
      <c r="N853" s="58"/>
      <c r="O853" s="58"/>
      <c r="P853" s="58"/>
      <c r="Q853" s="58"/>
      <c r="R853" s="58"/>
      <c r="S853" s="58"/>
      <c r="T853" s="58"/>
      <c r="U853" s="58"/>
      <c r="V853" s="58"/>
      <c r="W853" s="58"/>
      <c r="X853" s="58"/>
      <c r="Y853" s="58"/>
      <c r="Z853" s="58"/>
    </row>
    <row r="854">
      <c r="A854" s="58"/>
      <c r="B854" s="58"/>
      <c r="C854" s="58"/>
      <c r="D854" s="58"/>
      <c r="E854" s="58"/>
      <c r="F854" s="58"/>
      <c r="G854" s="86"/>
      <c r="H854" s="58"/>
      <c r="I854" s="58"/>
      <c r="J854" s="58"/>
      <c r="K854" s="58"/>
      <c r="L854" s="58"/>
      <c r="M854" s="58"/>
      <c r="N854" s="58"/>
      <c r="O854" s="58"/>
      <c r="P854" s="58"/>
      <c r="Q854" s="58"/>
      <c r="R854" s="58"/>
      <c r="S854" s="58"/>
      <c r="T854" s="58"/>
      <c r="U854" s="58"/>
      <c r="V854" s="58"/>
      <c r="W854" s="58"/>
      <c r="X854" s="58"/>
      <c r="Y854" s="58"/>
      <c r="Z854" s="58"/>
    </row>
    <row r="855">
      <c r="A855" s="58"/>
      <c r="B855" s="58"/>
      <c r="C855" s="58"/>
      <c r="D855" s="58"/>
      <c r="E855" s="58"/>
      <c r="F855" s="58"/>
      <c r="G855" s="86"/>
      <c r="H855" s="58"/>
      <c r="I855" s="58"/>
      <c r="J855" s="58"/>
      <c r="K855" s="58"/>
      <c r="L855" s="58"/>
      <c r="M855" s="58"/>
      <c r="N855" s="58"/>
      <c r="O855" s="58"/>
      <c r="P855" s="58"/>
      <c r="Q855" s="58"/>
      <c r="R855" s="58"/>
      <c r="S855" s="58"/>
      <c r="T855" s="58"/>
      <c r="U855" s="58"/>
      <c r="V855" s="58"/>
      <c r="W855" s="58"/>
      <c r="X855" s="58"/>
      <c r="Y855" s="58"/>
      <c r="Z855" s="58"/>
    </row>
    <row r="856">
      <c r="A856" s="58"/>
      <c r="B856" s="58"/>
      <c r="C856" s="58"/>
      <c r="D856" s="58"/>
      <c r="E856" s="58"/>
      <c r="F856" s="58"/>
      <c r="G856" s="86"/>
      <c r="H856" s="58"/>
      <c r="I856" s="58"/>
      <c r="J856" s="58"/>
      <c r="K856" s="58"/>
      <c r="L856" s="58"/>
      <c r="M856" s="58"/>
      <c r="N856" s="58"/>
      <c r="O856" s="58"/>
      <c r="P856" s="58"/>
      <c r="Q856" s="58"/>
      <c r="R856" s="58"/>
      <c r="S856" s="58"/>
      <c r="T856" s="58"/>
      <c r="U856" s="58"/>
      <c r="V856" s="58"/>
      <c r="W856" s="58"/>
      <c r="X856" s="58"/>
      <c r="Y856" s="58"/>
      <c r="Z856" s="58"/>
    </row>
    <row r="857">
      <c r="A857" s="58"/>
      <c r="B857" s="58"/>
      <c r="C857" s="58"/>
      <c r="D857" s="58"/>
      <c r="E857" s="58"/>
      <c r="F857" s="58"/>
      <c r="G857" s="86"/>
      <c r="H857" s="58"/>
      <c r="I857" s="58"/>
      <c r="J857" s="58"/>
      <c r="K857" s="58"/>
      <c r="L857" s="58"/>
      <c r="M857" s="58"/>
      <c r="N857" s="58"/>
      <c r="O857" s="58"/>
      <c r="P857" s="58"/>
      <c r="Q857" s="58"/>
      <c r="R857" s="58"/>
      <c r="S857" s="58"/>
      <c r="T857" s="58"/>
      <c r="U857" s="58"/>
      <c r="V857" s="58"/>
      <c r="W857" s="58"/>
      <c r="X857" s="58"/>
      <c r="Y857" s="58"/>
      <c r="Z857" s="58"/>
    </row>
    <row r="858">
      <c r="A858" s="58"/>
      <c r="B858" s="58"/>
      <c r="C858" s="58"/>
      <c r="D858" s="58"/>
      <c r="E858" s="58"/>
      <c r="F858" s="58"/>
      <c r="G858" s="86"/>
      <c r="H858" s="58"/>
      <c r="I858" s="58"/>
      <c r="J858" s="58"/>
      <c r="K858" s="58"/>
      <c r="L858" s="58"/>
      <c r="M858" s="58"/>
      <c r="N858" s="58"/>
      <c r="O858" s="58"/>
      <c r="P858" s="58"/>
      <c r="Q858" s="58"/>
      <c r="R858" s="58"/>
      <c r="S858" s="58"/>
      <c r="T858" s="58"/>
      <c r="U858" s="58"/>
      <c r="V858" s="58"/>
      <c r="W858" s="58"/>
      <c r="X858" s="58"/>
      <c r="Y858" s="58"/>
      <c r="Z858" s="58"/>
    </row>
    <row r="859">
      <c r="A859" s="58"/>
      <c r="B859" s="58"/>
      <c r="C859" s="58"/>
      <c r="D859" s="58"/>
      <c r="E859" s="58"/>
      <c r="F859" s="58"/>
      <c r="G859" s="86"/>
      <c r="H859" s="58"/>
      <c r="I859" s="58"/>
      <c r="J859" s="58"/>
      <c r="K859" s="58"/>
      <c r="L859" s="58"/>
      <c r="M859" s="58"/>
      <c r="N859" s="58"/>
      <c r="O859" s="58"/>
      <c r="P859" s="58"/>
      <c r="Q859" s="58"/>
      <c r="R859" s="58"/>
      <c r="S859" s="58"/>
      <c r="T859" s="58"/>
      <c r="U859" s="58"/>
      <c r="V859" s="58"/>
      <c r="W859" s="58"/>
      <c r="X859" s="58"/>
      <c r="Y859" s="58"/>
      <c r="Z859" s="58"/>
    </row>
    <row r="860">
      <c r="A860" s="58"/>
      <c r="B860" s="58"/>
      <c r="C860" s="58"/>
      <c r="D860" s="58"/>
      <c r="E860" s="58"/>
      <c r="F860" s="58"/>
      <c r="G860" s="86"/>
      <c r="H860" s="58"/>
      <c r="I860" s="58"/>
      <c r="J860" s="58"/>
      <c r="K860" s="58"/>
      <c r="L860" s="58"/>
      <c r="M860" s="58"/>
      <c r="N860" s="58"/>
      <c r="O860" s="58"/>
      <c r="P860" s="58"/>
      <c r="Q860" s="58"/>
      <c r="R860" s="58"/>
      <c r="S860" s="58"/>
      <c r="T860" s="58"/>
      <c r="U860" s="58"/>
      <c r="V860" s="58"/>
      <c r="W860" s="58"/>
      <c r="X860" s="58"/>
      <c r="Y860" s="58"/>
      <c r="Z860" s="58"/>
    </row>
    <row r="861">
      <c r="A861" s="58"/>
      <c r="B861" s="58"/>
      <c r="C861" s="58"/>
      <c r="D861" s="58"/>
      <c r="E861" s="58"/>
      <c r="F861" s="58"/>
      <c r="G861" s="86"/>
      <c r="H861" s="58"/>
      <c r="I861" s="58"/>
      <c r="J861" s="58"/>
      <c r="K861" s="58"/>
      <c r="L861" s="58"/>
      <c r="M861" s="58"/>
      <c r="N861" s="58"/>
      <c r="O861" s="58"/>
      <c r="P861" s="58"/>
      <c r="Q861" s="58"/>
      <c r="R861" s="58"/>
      <c r="S861" s="58"/>
      <c r="T861" s="58"/>
      <c r="U861" s="58"/>
      <c r="V861" s="58"/>
      <c r="W861" s="58"/>
      <c r="X861" s="58"/>
      <c r="Y861" s="58"/>
      <c r="Z861" s="58"/>
    </row>
    <row r="862">
      <c r="A862" s="58"/>
      <c r="B862" s="58"/>
      <c r="C862" s="58"/>
      <c r="D862" s="58"/>
      <c r="E862" s="58"/>
      <c r="F862" s="58"/>
      <c r="G862" s="86"/>
      <c r="H862" s="58"/>
      <c r="I862" s="58"/>
      <c r="J862" s="58"/>
      <c r="K862" s="58"/>
      <c r="L862" s="58"/>
      <c r="M862" s="58"/>
      <c r="N862" s="58"/>
      <c r="O862" s="58"/>
      <c r="P862" s="58"/>
      <c r="Q862" s="58"/>
      <c r="R862" s="58"/>
      <c r="S862" s="58"/>
      <c r="T862" s="58"/>
      <c r="U862" s="58"/>
      <c r="V862" s="58"/>
      <c r="W862" s="58"/>
      <c r="X862" s="58"/>
      <c r="Y862" s="58"/>
      <c r="Z862" s="58"/>
    </row>
    <row r="863">
      <c r="A863" s="58"/>
      <c r="B863" s="58"/>
      <c r="C863" s="58"/>
      <c r="D863" s="58"/>
      <c r="E863" s="58"/>
      <c r="F863" s="58"/>
      <c r="G863" s="86"/>
      <c r="H863" s="58"/>
      <c r="I863" s="58"/>
      <c r="J863" s="58"/>
      <c r="K863" s="58"/>
      <c r="L863" s="58"/>
      <c r="M863" s="58"/>
      <c r="N863" s="58"/>
      <c r="O863" s="58"/>
      <c r="P863" s="58"/>
      <c r="Q863" s="58"/>
      <c r="R863" s="58"/>
      <c r="S863" s="58"/>
      <c r="T863" s="58"/>
      <c r="U863" s="58"/>
      <c r="V863" s="58"/>
      <c r="W863" s="58"/>
      <c r="X863" s="58"/>
      <c r="Y863" s="58"/>
      <c r="Z863" s="58"/>
    </row>
    <row r="864">
      <c r="A864" s="58"/>
      <c r="B864" s="58"/>
      <c r="C864" s="58"/>
      <c r="D864" s="58"/>
      <c r="E864" s="58"/>
      <c r="F864" s="58"/>
      <c r="G864" s="86"/>
      <c r="H864" s="58"/>
      <c r="I864" s="58"/>
      <c r="J864" s="58"/>
      <c r="K864" s="58"/>
      <c r="L864" s="58"/>
      <c r="M864" s="58"/>
      <c r="N864" s="58"/>
      <c r="O864" s="58"/>
      <c r="P864" s="58"/>
      <c r="Q864" s="58"/>
      <c r="R864" s="58"/>
      <c r="S864" s="58"/>
      <c r="T864" s="58"/>
      <c r="U864" s="58"/>
      <c r="V864" s="58"/>
      <c r="W864" s="58"/>
      <c r="X864" s="58"/>
      <c r="Y864" s="58"/>
      <c r="Z864" s="58"/>
    </row>
    <row r="865">
      <c r="A865" s="58"/>
      <c r="B865" s="58"/>
      <c r="C865" s="58"/>
      <c r="D865" s="58"/>
      <c r="E865" s="58"/>
      <c r="F865" s="58"/>
      <c r="G865" s="86"/>
      <c r="H865" s="58"/>
      <c r="I865" s="58"/>
      <c r="J865" s="58"/>
      <c r="K865" s="58"/>
      <c r="L865" s="58"/>
      <c r="M865" s="58"/>
      <c r="N865" s="58"/>
      <c r="O865" s="58"/>
      <c r="P865" s="58"/>
      <c r="Q865" s="58"/>
      <c r="R865" s="58"/>
      <c r="S865" s="58"/>
      <c r="T865" s="58"/>
      <c r="U865" s="58"/>
      <c r="V865" s="58"/>
      <c r="W865" s="58"/>
      <c r="X865" s="58"/>
      <c r="Y865" s="58"/>
      <c r="Z865" s="58"/>
    </row>
    <row r="866">
      <c r="A866" s="58"/>
      <c r="B866" s="58"/>
      <c r="C866" s="58"/>
      <c r="D866" s="58"/>
      <c r="E866" s="58"/>
      <c r="F866" s="58"/>
      <c r="G866" s="86"/>
      <c r="H866" s="58"/>
      <c r="I866" s="58"/>
      <c r="J866" s="58"/>
      <c r="K866" s="58"/>
      <c r="L866" s="58"/>
      <c r="M866" s="58"/>
      <c r="N866" s="58"/>
      <c r="O866" s="58"/>
      <c r="P866" s="58"/>
      <c r="Q866" s="58"/>
      <c r="R866" s="58"/>
      <c r="S866" s="58"/>
      <c r="T866" s="58"/>
      <c r="U866" s="58"/>
      <c r="V866" s="58"/>
      <c r="W866" s="58"/>
      <c r="X866" s="58"/>
      <c r="Y866" s="58"/>
      <c r="Z866" s="58"/>
    </row>
    <row r="867">
      <c r="A867" s="58"/>
      <c r="B867" s="58"/>
      <c r="C867" s="58"/>
      <c r="D867" s="58"/>
      <c r="E867" s="58"/>
      <c r="F867" s="58"/>
      <c r="G867" s="86"/>
      <c r="H867" s="58"/>
      <c r="I867" s="58"/>
      <c r="J867" s="58"/>
      <c r="K867" s="58"/>
      <c r="L867" s="58"/>
      <c r="M867" s="58"/>
      <c r="N867" s="58"/>
      <c r="O867" s="58"/>
      <c r="P867" s="58"/>
      <c r="Q867" s="58"/>
      <c r="R867" s="58"/>
      <c r="S867" s="58"/>
      <c r="T867" s="58"/>
      <c r="U867" s="58"/>
      <c r="V867" s="58"/>
      <c r="W867" s="58"/>
      <c r="X867" s="58"/>
      <c r="Y867" s="58"/>
      <c r="Z867" s="58"/>
    </row>
    <row r="868">
      <c r="A868" s="58"/>
      <c r="B868" s="58"/>
      <c r="C868" s="58"/>
      <c r="D868" s="58"/>
      <c r="E868" s="58"/>
      <c r="F868" s="58"/>
      <c r="G868" s="86"/>
      <c r="H868" s="58"/>
      <c r="I868" s="58"/>
      <c r="J868" s="58"/>
      <c r="K868" s="58"/>
      <c r="L868" s="58"/>
      <c r="M868" s="58"/>
      <c r="N868" s="58"/>
      <c r="O868" s="58"/>
      <c r="P868" s="58"/>
      <c r="Q868" s="58"/>
      <c r="R868" s="58"/>
      <c r="S868" s="58"/>
      <c r="T868" s="58"/>
      <c r="U868" s="58"/>
      <c r="V868" s="58"/>
      <c r="W868" s="58"/>
      <c r="X868" s="58"/>
      <c r="Y868" s="58"/>
      <c r="Z868" s="58"/>
    </row>
    <row r="869">
      <c r="A869" s="58"/>
      <c r="B869" s="58"/>
      <c r="C869" s="58"/>
      <c r="D869" s="58"/>
      <c r="E869" s="58"/>
      <c r="F869" s="58"/>
      <c r="G869" s="86"/>
      <c r="H869" s="58"/>
      <c r="I869" s="58"/>
      <c r="J869" s="58"/>
      <c r="K869" s="58"/>
      <c r="L869" s="58"/>
      <c r="M869" s="58"/>
      <c r="N869" s="58"/>
      <c r="O869" s="58"/>
      <c r="P869" s="58"/>
      <c r="Q869" s="58"/>
      <c r="R869" s="58"/>
      <c r="S869" s="58"/>
      <c r="T869" s="58"/>
      <c r="U869" s="58"/>
      <c r="V869" s="58"/>
      <c r="W869" s="58"/>
      <c r="X869" s="58"/>
      <c r="Y869" s="58"/>
      <c r="Z869" s="58"/>
    </row>
    <row r="870">
      <c r="A870" s="58"/>
      <c r="B870" s="58"/>
      <c r="C870" s="58"/>
      <c r="D870" s="58"/>
      <c r="E870" s="58"/>
      <c r="F870" s="58"/>
      <c r="G870" s="86"/>
      <c r="H870" s="58"/>
      <c r="I870" s="58"/>
      <c r="J870" s="58"/>
      <c r="K870" s="58"/>
      <c r="L870" s="58"/>
      <c r="M870" s="58"/>
      <c r="N870" s="58"/>
      <c r="O870" s="58"/>
      <c r="P870" s="58"/>
      <c r="Q870" s="58"/>
      <c r="R870" s="58"/>
      <c r="S870" s="58"/>
      <c r="T870" s="58"/>
      <c r="U870" s="58"/>
      <c r="V870" s="58"/>
      <c r="W870" s="58"/>
      <c r="X870" s="58"/>
      <c r="Y870" s="58"/>
      <c r="Z870" s="58"/>
    </row>
    <row r="871">
      <c r="A871" s="58"/>
      <c r="B871" s="58"/>
      <c r="C871" s="58"/>
      <c r="D871" s="58"/>
      <c r="E871" s="58"/>
      <c r="F871" s="58"/>
      <c r="G871" s="86"/>
      <c r="H871" s="58"/>
      <c r="I871" s="58"/>
      <c r="J871" s="58"/>
      <c r="K871" s="58"/>
      <c r="L871" s="58"/>
      <c r="M871" s="58"/>
      <c r="N871" s="58"/>
      <c r="O871" s="58"/>
      <c r="P871" s="58"/>
      <c r="Q871" s="58"/>
      <c r="R871" s="58"/>
      <c r="S871" s="58"/>
      <c r="T871" s="58"/>
      <c r="U871" s="58"/>
      <c r="V871" s="58"/>
      <c r="W871" s="58"/>
      <c r="X871" s="58"/>
      <c r="Y871" s="58"/>
      <c r="Z871" s="58"/>
    </row>
    <row r="872">
      <c r="A872" s="58"/>
      <c r="B872" s="58"/>
      <c r="C872" s="58"/>
      <c r="D872" s="58"/>
      <c r="E872" s="58"/>
      <c r="F872" s="58"/>
      <c r="G872" s="86"/>
      <c r="H872" s="58"/>
      <c r="I872" s="58"/>
      <c r="J872" s="58"/>
      <c r="K872" s="58"/>
      <c r="L872" s="58"/>
      <c r="M872" s="58"/>
      <c r="N872" s="58"/>
      <c r="O872" s="58"/>
      <c r="P872" s="58"/>
      <c r="Q872" s="58"/>
      <c r="R872" s="58"/>
      <c r="S872" s="58"/>
      <c r="T872" s="58"/>
      <c r="U872" s="58"/>
      <c r="V872" s="58"/>
      <c r="W872" s="58"/>
      <c r="X872" s="58"/>
      <c r="Y872" s="58"/>
      <c r="Z872" s="58"/>
    </row>
    <row r="873">
      <c r="A873" s="58"/>
      <c r="B873" s="58"/>
      <c r="C873" s="58"/>
      <c r="D873" s="58"/>
      <c r="E873" s="58"/>
      <c r="F873" s="58"/>
      <c r="G873" s="86"/>
      <c r="H873" s="58"/>
      <c r="I873" s="58"/>
      <c r="J873" s="58"/>
      <c r="K873" s="58"/>
      <c r="L873" s="58"/>
      <c r="M873" s="58"/>
      <c r="N873" s="58"/>
      <c r="O873" s="58"/>
      <c r="P873" s="58"/>
      <c r="Q873" s="58"/>
      <c r="R873" s="58"/>
      <c r="S873" s="58"/>
      <c r="T873" s="58"/>
      <c r="U873" s="58"/>
      <c r="V873" s="58"/>
      <c r="W873" s="58"/>
      <c r="X873" s="58"/>
      <c r="Y873" s="58"/>
      <c r="Z873" s="58"/>
    </row>
    <row r="874">
      <c r="A874" s="58"/>
      <c r="B874" s="58"/>
      <c r="C874" s="58"/>
      <c r="D874" s="58"/>
      <c r="E874" s="58"/>
      <c r="F874" s="58"/>
      <c r="G874" s="86"/>
      <c r="H874" s="58"/>
      <c r="I874" s="58"/>
      <c r="J874" s="58"/>
      <c r="K874" s="58"/>
      <c r="L874" s="58"/>
      <c r="M874" s="58"/>
      <c r="N874" s="58"/>
      <c r="O874" s="58"/>
      <c r="P874" s="58"/>
      <c r="Q874" s="58"/>
      <c r="R874" s="58"/>
      <c r="S874" s="58"/>
      <c r="T874" s="58"/>
      <c r="U874" s="58"/>
      <c r="V874" s="58"/>
      <c r="W874" s="58"/>
      <c r="X874" s="58"/>
      <c r="Y874" s="58"/>
      <c r="Z874" s="58"/>
    </row>
    <row r="875">
      <c r="A875" s="58"/>
      <c r="B875" s="58"/>
      <c r="C875" s="58"/>
      <c r="D875" s="58"/>
      <c r="E875" s="58"/>
      <c r="F875" s="58"/>
      <c r="G875" s="86"/>
      <c r="H875" s="58"/>
      <c r="I875" s="58"/>
      <c r="J875" s="58"/>
      <c r="K875" s="58"/>
      <c r="L875" s="58"/>
      <c r="M875" s="58"/>
      <c r="N875" s="58"/>
      <c r="O875" s="58"/>
      <c r="P875" s="58"/>
      <c r="Q875" s="58"/>
      <c r="R875" s="58"/>
      <c r="S875" s="58"/>
      <c r="T875" s="58"/>
      <c r="U875" s="58"/>
      <c r="V875" s="58"/>
      <c r="W875" s="58"/>
      <c r="X875" s="58"/>
      <c r="Y875" s="58"/>
      <c r="Z875" s="58"/>
    </row>
    <row r="876">
      <c r="A876" s="58"/>
      <c r="B876" s="58"/>
      <c r="C876" s="58"/>
      <c r="D876" s="58"/>
      <c r="E876" s="58"/>
      <c r="F876" s="58"/>
      <c r="G876" s="86"/>
      <c r="H876" s="58"/>
      <c r="I876" s="58"/>
      <c r="J876" s="58"/>
      <c r="K876" s="58"/>
      <c r="L876" s="58"/>
      <c r="M876" s="58"/>
      <c r="N876" s="58"/>
      <c r="O876" s="58"/>
      <c r="P876" s="58"/>
      <c r="Q876" s="58"/>
      <c r="R876" s="58"/>
      <c r="S876" s="58"/>
      <c r="T876" s="58"/>
      <c r="U876" s="58"/>
      <c r="V876" s="58"/>
      <c r="W876" s="58"/>
      <c r="X876" s="58"/>
      <c r="Y876" s="58"/>
      <c r="Z876" s="58"/>
    </row>
    <row r="877">
      <c r="A877" s="58"/>
      <c r="B877" s="58"/>
      <c r="C877" s="58"/>
      <c r="D877" s="58"/>
      <c r="E877" s="58"/>
      <c r="F877" s="58"/>
      <c r="G877" s="86"/>
      <c r="H877" s="58"/>
      <c r="I877" s="58"/>
      <c r="J877" s="58"/>
      <c r="K877" s="58"/>
      <c r="L877" s="58"/>
      <c r="M877" s="58"/>
      <c r="N877" s="58"/>
      <c r="O877" s="58"/>
      <c r="P877" s="58"/>
      <c r="Q877" s="58"/>
      <c r="R877" s="58"/>
      <c r="S877" s="58"/>
      <c r="T877" s="58"/>
      <c r="U877" s="58"/>
      <c r="V877" s="58"/>
      <c r="W877" s="58"/>
      <c r="X877" s="58"/>
      <c r="Y877" s="58"/>
      <c r="Z877" s="58"/>
    </row>
    <row r="878">
      <c r="A878" s="58"/>
      <c r="B878" s="58"/>
      <c r="C878" s="58"/>
      <c r="D878" s="58"/>
      <c r="E878" s="58"/>
      <c r="F878" s="58"/>
      <c r="G878" s="86"/>
      <c r="H878" s="58"/>
      <c r="I878" s="58"/>
      <c r="J878" s="58"/>
      <c r="K878" s="58"/>
      <c r="L878" s="58"/>
      <c r="M878" s="58"/>
      <c r="N878" s="58"/>
      <c r="O878" s="58"/>
      <c r="P878" s="58"/>
      <c r="Q878" s="58"/>
      <c r="R878" s="58"/>
      <c r="S878" s="58"/>
      <c r="T878" s="58"/>
      <c r="U878" s="58"/>
      <c r="V878" s="58"/>
      <c r="W878" s="58"/>
      <c r="X878" s="58"/>
      <c r="Y878" s="58"/>
      <c r="Z878" s="58"/>
    </row>
    <row r="879">
      <c r="A879" s="58"/>
      <c r="B879" s="58"/>
      <c r="C879" s="58"/>
      <c r="D879" s="58"/>
      <c r="E879" s="58"/>
      <c r="F879" s="58"/>
      <c r="G879" s="86"/>
      <c r="H879" s="58"/>
      <c r="I879" s="58"/>
      <c r="J879" s="58"/>
      <c r="K879" s="58"/>
      <c r="L879" s="58"/>
      <c r="M879" s="58"/>
      <c r="N879" s="58"/>
      <c r="O879" s="58"/>
      <c r="P879" s="58"/>
      <c r="Q879" s="58"/>
      <c r="R879" s="58"/>
      <c r="S879" s="58"/>
      <c r="T879" s="58"/>
      <c r="U879" s="58"/>
      <c r="V879" s="58"/>
      <c r="W879" s="58"/>
      <c r="X879" s="58"/>
      <c r="Y879" s="58"/>
      <c r="Z879" s="58"/>
    </row>
    <row r="880">
      <c r="A880" s="58"/>
      <c r="B880" s="58"/>
      <c r="C880" s="58"/>
      <c r="D880" s="58"/>
      <c r="E880" s="58"/>
      <c r="F880" s="58"/>
      <c r="G880" s="86"/>
      <c r="H880" s="58"/>
      <c r="I880" s="58"/>
      <c r="J880" s="58"/>
      <c r="K880" s="58"/>
      <c r="L880" s="58"/>
      <c r="M880" s="58"/>
      <c r="N880" s="58"/>
      <c r="O880" s="58"/>
      <c r="P880" s="58"/>
      <c r="Q880" s="58"/>
      <c r="R880" s="58"/>
      <c r="S880" s="58"/>
      <c r="T880" s="58"/>
      <c r="U880" s="58"/>
      <c r="V880" s="58"/>
      <c r="W880" s="58"/>
      <c r="X880" s="58"/>
      <c r="Y880" s="58"/>
      <c r="Z880" s="58"/>
    </row>
    <row r="881">
      <c r="A881" s="58"/>
      <c r="B881" s="58"/>
      <c r="C881" s="58"/>
      <c r="D881" s="58"/>
      <c r="E881" s="58"/>
      <c r="F881" s="58"/>
      <c r="G881" s="86"/>
      <c r="H881" s="58"/>
      <c r="I881" s="58"/>
      <c r="J881" s="58"/>
      <c r="K881" s="58"/>
      <c r="L881" s="58"/>
      <c r="M881" s="58"/>
      <c r="N881" s="58"/>
      <c r="O881" s="58"/>
      <c r="P881" s="58"/>
      <c r="Q881" s="58"/>
      <c r="R881" s="58"/>
      <c r="S881" s="58"/>
      <c r="T881" s="58"/>
      <c r="U881" s="58"/>
      <c r="V881" s="58"/>
      <c r="W881" s="58"/>
      <c r="X881" s="58"/>
      <c r="Y881" s="58"/>
      <c r="Z881" s="58"/>
    </row>
    <row r="882">
      <c r="A882" s="58"/>
      <c r="B882" s="58"/>
      <c r="C882" s="58"/>
      <c r="D882" s="58"/>
      <c r="E882" s="58"/>
      <c r="F882" s="58"/>
      <c r="G882" s="86"/>
      <c r="H882" s="58"/>
      <c r="I882" s="58"/>
      <c r="J882" s="58"/>
      <c r="K882" s="58"/>
      <c r="L882" s="58"/>
      <c r="M882" s="58"/>
      <c r="N882" s="58"/>
      <c r="O882" s="58"/>
      <c r="P882" s="58"/>
      <c r="Q882" s="58"/>
      <c r="R882" s="58"/>
      <c r="S882" s="58"/>
      <c r="T882" s="58"/>
      <c r="U882" s="58"/>
      <c r="V882" s="58"/>
      <c r="W882" s="58"/>
      <c r="X882" s="58"/>
      <c r="Y882" s="58"/>
      <c r="Z882" s="58"/>
    </row>
    <row r="883">
      <c r="A883" s="58"/>
      <c r="B883" s="58"/>
      <c r="C883" s="58"/>
      <c r="D883" s="58"/>
      <c r="E883" s="58"/>
      <c r="F883" s="58"/>
      <c r="G883" s="86"/>
      <c r="H883" s="58"/>
      <c r="I883" s="58"/>
      <c r="J883" s="58"/>
      <c r="K883" s="58"/>
      <c r="L883" s="58"/>
      <c r="M883" s="58"/>
      <c r="N883" s="58"/>
      <c r="O883" s="58"/>
      <c r="P883" s="58"/>
      <c r="Q883" s="58"/>
      <c r="R883" s="58"/>
      <c r="S883" s="58"/>
      <c r="T883" s="58"/>
      <c r="U883" s="58"/>
      <c r="V883" s="58"/>
      <c r="W883" s="58"/>
      <c r="X883" s="58"/>
      <c r="Y883" s="58"/>
      <c r="Z883" s="58"/>
    </row>
    <row r="884">
      <c r="A884" s="58"/>
      <c r="B884" s="58"/>
      <c r="C884" s="58"/>
      <c r="D884" s="58"/>
      <c r="E884" s="58"/>
      <c r="F884" s="58"/>
      <c r="G884" s="86"/>
      <c r="H884" s="58"/>
      <c r="I884" s="58"/>
      <c r="J884" s="58"/>
      <c r="K884" s="58"/>
      <c r="L884" s="58"/>
      <c r="M884" s="58"/>
      <c r="N884" s="58"/>
      <c r="O884" s="58"/>
      <c r="P884" s="58"/>
      <c r="Q884" s="58"/>
      <c r="R884" s="58"/>
      <c r="S884" s="58"/>
      <c r="T884" s="58"/>
      <c r="U884" s="58"/>
      <c r="V884" s="58"/>
      <c r="W884" s="58"/>
      <c r="X884" s="58"/>
      <c r="Y884" s="58"/>
      <c r="Z884" s="58"/>
    </row>
    <row r="885">
      <c r="A885" s="58"/>
      <c r="B885" s="58"/>
      <c r="C885" s="58"/>
      <c r="D885" s="58"/>
      <c r="E885" s="58"/>
      <c r="F885" s="58"/>
      <c r="G885" s="86"/>
      <c r="H885" s="58"/>
      <c r="I885" s="58"/>
      <c r="J885" s="58"/>
      <c r="K885" s="58"/>
      <c r="L885" s="58"/>
      <c r="M885" s="58"/>
      <c r="N885" s="58"/>
      <c r="O885" s="58"/>
      <c r="P885" s="58"/>
      <c r="Q885" s="58"/>
      <c r="R885" s="58"/>
      <c r="S885" s="58"/>
      <c r="T885" s="58"/>
      <c r="U885" s="58"/>
      <c r="V885" s="58"/>
      <c r="W885" s="58"/>
      <c r="X885" s="58"/>
      <c r="Y885" s="58"/>
      <c r="Z885" s="58"/>
    </row>
    <row r="886">
      <c r="A886" s="58"/>
      <c r="B886" s="58"/>
      <c r="C886" s="58"/>
      <c r="D886" s="58"/>
      <c r="E886" s="58"/>
      <c r="F886" s="58"/>
      <c r="G886" s="86"/>
      <c r="H886" s="58"/>
      <c r="I886" s="58"/>
      <c r="J886" s="58"/>
      <c r="K886" s="58"/>
      <c r="L886" s="58"/>
      <c r="M886" s="58"/>
      <c r="N886" s="58"/>
      <c r="O886" s="58"/>
      <c r="P886" s="58"/>
      <c r="Q886" s="58"/>
      <c r="R886" s="58"/>
      <c r="S886" s="58"/>
      <c r="T886" s="58"/>
      <c r="U886" s="58"/>
      <c r="V886" s="58"/>
      <c r="W886" s="58"/>
      <c r="X886" s="58"/>
      <c r="Y886" s="58"/>
      <c r="Z886" s="58"/>
    </row>
    <row r="887">
      <c r="A887" s="58"/>
      <c r="B887" s="58"/>
      <c r="C887" s="58"/>
      <c r="D887" s="58"/>
      <c r="E887" s="58"/>
      <c r="F887" s="58"/>
      <c r="G887" s="86"/>
      <c r="H887" s="58"/>
      <c r="I887" s="58"/>
      <c r="J887" s="58"/>
      <c r="K887" s="58"/>
      <c r="L887" s="58"/>
      <c r="M887" s="58"/>
      <c r="N887" s="58"/>
      <c r="O887" s="58"/>
      <c r="P887" s="58"/>
      <c r="Q887" s="58"/>
      <c r="R887" s="58"/>
      <c r="S887" s="58"/>
      <c r="T887" s="58"/>
      <c r="U887" s="58"/>
      <c r="V887" s="58"/>
      <c r="W887" s="58"/>
      <c r="X887" s="58"/>
      <c r="Y887" s="58"/>
      <c r="Z887" s="58"/>
    </row>
    <row r="888">
      <c r="A888" s="58"/>
      <c r="B888" s="58"/>
      <c r="C888" s="58"/>
      <c r="D888" s="58"/>
      <c r="E888" s="58"/>
      <c r="F888" s="58"/>
      <c r="G888" s="86"/>
      <c r="H888" s="58"/>
      <c r="I888" s="58"/>
      <c r="J888" s="58"/>
      <c r="K888" s="58"/>
      <c r="L888" s="58"/>
      <c r="M888" s="58"/>
      <c r="N888" s="58"/>
      <c r="O888" s="58"/>
      <c r="P888" s="58"/>
      <c r="Q888" s="58"/>
      <c r="R888" s="58"/>
      <c r="S888" s="58"/>
      <c r="T888" s="58"/>
      <c r="U888" s="58"/>
      <c r="V888" s="58"/>
      <c r="W888" s="58"/>
      <c r="X888" s="58"/>
      <c r="Y888" s="58"/>
      <c r="Z888" s="58"/>
    </row>
    <row r="889">
      <c r="A889" s="58"/>
      <c r="B889" s="58"/>
      <c r="C889" s="58"/>
      <c r="D889" s="58"/>
      <c r="E889" s="58"/>
      <c r="F889" s="58"/>
      <c r="G889" s="86"/>
      <c r="H889" s="58"/>
      <c r="I889" s="58"/>
      <c r="J889" s="58"/>
      <c r="K889" s="58"/>
      <c r="L889" s="58"/>
      <c r="M889" s="58"/>
      <c r="N889" s="58"/>
      <c r="O889" s="58"/>
      <c r="P889" s="58"/>
      <c r="Q889" s="58"/>
      <c r="R889" s="58"/>
      <c r="S889" s="58"/>
      <c r="T889" s="58"/>
      <c r="U889" s="58"/>
      <c r="V889" s="58"/>
      <c r="W889" s="58"/>
      <c r="X889" s="58"/>
      <c r="Y889" s="58"/>
      <c r="Z889" s="58"/>
    </row>
    <row r="890">
      <c r="A890" s="58"/>
      <c r="B890" s="58"/>
      <c r="C890" s="58"/>
      <c r="D890" s="58"/>
      <c r="E890" s="58"/>
      <c r="F890" s="58"/>
      <c r="G890" s="86"/>
      <c r="H890" s="58"/>
      <c r="I890" s="58"/>
      <c r="J890" s="58"/>
      <c r="K890" s="58"/>
      <c r="L890" s="58"/>
      <c r="M890" s="58"/>
      <c r="N890" s="58"/>
      <c r="O890" s="58"/>
      <c r="P890" s="58"/>
      <c r="Q890" s="58"/>
      <c r="R890" s="58"/>
      <c r="S890" s="58"/>
      <c r="T890" s="58"/>
      <c r="U890" s="58"/>
      <c r="V890" s="58"/>
      <c r="W890" s="58"/>
      <c r="X890" s="58"/>
      <c r="Y890" s="58"/>
      <c r="Z890" s="58"/>
    </row>
    <row r="891">
      <c r="A891" s="58"/>
      <c r="B891" s="58"/>
      <c r="C891" s="58"/>
      <c r="D891" s="58"/>
      <c r="E891" s="58"/>
      <c r="F891" s="58"/>
      <c r="G891" s="86"/>
      <c r="H891" s="58"/>
      <c r="I891" s="58"/>
      <c r="J891" s="58"/>
      <c r="K891" s="58"/>
      <c r="L891" s="58"/>
      <c r="M891" s="58"/>
      <c r="N891" s="58"/>
      <c r="O891" s="58"/>
      <c r="P891" s="58"/>
      <c r="Q891" s="58"/>
      <c r="R891" s="58"/>
      <c r="S891" s="58"/>
      <c r="T891" s="58"/>
      <c r="U891" s="58"/>
      <c r="V891" s="58"/>
      <c r="W891" s="58"/>
      <c r="X891" s="58"/>
      <c r="Y891" s="58"/>
      <c r="Z891" s="58"/>
    </row>
    <row r="892">
      <c r="A892" s="58"/>
      <c r="B892" s="58"/>
      <c r="C892" s="58"/>
      <c r="D892" s="58"/>
      <c r="E892" s="58"/>
      <c r="F892" s="58"/>
      <c r="G892" s="86"/>
      <c r="H892" s="58"/>
      <c r="I892" s="58"/>
      <c r="J892" s="58"/>
      <c r="K892" s="58"/>
      <c r="L892" s="58"/>
      <c r="M892" s="58"/>
      <c r="N892" s="58"/>
      <c r="O892" s="58"/>
      <c r="P892" s="58"/>
      <c r="Q892" s="58"/>
      <c r="R892" s="58"/>
      <c r="S892" s="58"/>
      <c r="T892" s="58"/>
      <c r="U892" s="58"/>
      <c r="V892" s="58"/>
      <c r="W892" s="58"/>
      <c r="X892" s="58"/>
      <c r="Y892" s="58"/>
      <c r="Z892" s="58"/>
    </row>
    <row r="893">
      <c r="A893" s="58"/>
      <c r="B893" s="58"/>
      <c r="C893" s="58"/>
      <c r="D893" s="58"/>
      <c r="E893" s="58"/>
      <c r="F893" s="58"/>
      <c r="G893" s="86"/>
      <c r="H893" s="58"/>
      <c r="I893" s="58"/>
      <c r="J893" s="58"/>
      <c r="K893" s="58"/>
      <c r="L893" s="58"/>
      <c r="M893" s="58"/>
      <c r="N893" s="58"/>
      <c r="O893" s="58"/>
      <c r="P893" s="58"/>
      <c r="Q893" s="58"/>
      <c r="R893" s="58"/>
      <c r="S893" s="58"/>
      <c r="T893" s="58"/>
      <c r="U893" s="58"/>
      <c r="V893" s="58"/>
      <c r="W893" s="58"/>
      <c r="X893" s="58"/>
      <c r="Y893" s="58"/>
      <c r="Z893" s="58"/>
    </row>
    <row r="894">
      <c r="A894" s="58"/>
      <c r="B894" s="58"/>
      <c r="C894" s="58"/>
      <c r="D894" s="58"/>
      <c r="E894" s="58"/>
      <c r="F894" s="58"/>
      <c r="G894" s="86"/>
      <c r="H894" s="58"/>
      <c r="I894" s="58"/>
      <c r="J894" s="58"/>
      <c r="K894" s="58"/>
      <c r="L894" s="58"/>
      <c r="M894" s="58"/>
      <c r="N894" s="58"/>
      <c r="O894" s="58"/>
      <c r="P894" s="58"/>
      <c r="Q894" s="58"/>
      <c r="R894" s="58"/>
      <c r="S894" s="58"/>
      <c r="T894" s="58"/>
      <c r="U894" s="58"/>
      <c r="V894" s="58"/>
      <c r="W894" s="58"/>
      <c r="X894" s="58"/>
      <c r="Y894" s="58"/>
      <c r="Z894" s="58"/>
    </row>
    <row r="895">
      <c r="A895" s="58"/>
      <c r="B895" s="58"/>
      <c r="C895" s="58"/>
      <c r="D895" s="58"/>
      <c r="E895" s="58"/>
      <c r="F895" s="58"/>
      <c r="G895" s="86"/>
      <c r="H895" s="58"/>
      <c r="I895" s="58"/>
      <c r="J895" s="58"/>
      <c r="K895" s="58"/>
      <c r="L895" s="58"/>
      <c r="M895" s="58"/>
      <c r="N895" s="58"/>
      <c r="O895" s="58"/>
      <c r="P895" s="58"/>
      <c r="Q895" s="58"/>
      <c r="R895" s="58"/>
      <c r="S895" s="58"/>
      <c r="T895" s="58"/>
      <c r="U895" s="58"/>
      <c r="V895" s="58"/>
      <c r="W895" s="58"/>
      <c r="X895" s="58"/>
      <c r="Y895" s="58"/>
      <c r="Z895" s="58"/>
    </row>
    <row r="896">
      <c r="A896" s="58"/>
      <c r="B896" s="58"/>
      <c r="C896" s="58"/>
      <c r="D896" s="58"/>
      <c r="E896" s="58"/>
      <c r="F896" s="58"/>
      <c r="G896" s="86"/>
      <c r="H896" s="58"/>
      <c r="I896" s="58"/>
      <c r="J896" s="58"/>
      <c r="K896" s="58"/>
      <c r="L896" s="58"/>
      <c r="M896" s="58"/>
      <c r="N896" s="58"/>
      <c r="O896" s="58"/>
      <c r="P896" s="58"/>
      <c r="Q896" s="58"/>
      <c r="R896" s="58"/>
      <c r="S896" s="58"/>
      <c r="T896" s="58"/>
      <c r="U896" s="58"/>
      <c r="V896" s="58"/>
      <c r="W896" s="58"/>
      <c r="X896" s="58"/>
      <c r="Y896" s="58"/>
      <c r="Z896" s="58"/>
    </row>
    <row r="897">
      <c r="A897" s="58"/>
      <c r="B897" s="58"/>
      <c r="C897" s="58"/>
      <c r="D897" s="58"/>
      <c r="E897" s="58"/>
      <c r="F897" s="58"/>
      <c r="G897" s="86"/>
      <c r="H897" s="58"/>
      <c r="I897" s="58"/>
      <c r="J897" s="58"/>
      <c r="K897" s="58"/>
      <c r="L897" s="58"/>
      <c r="M897" s="58"/>
      <c r="N897" s="58"/>
      <c r="O897" s="58"/>
      <c r="P897" s="58"/>
      <c r="Q897" s="58"/>
      <c r="R897" s="58"/>
      <c r="S897" s="58"/>
      <c r="T897" s="58"/>
      <c r="U897" s="58"/>
      <c r="V897" s="58"/>
      <c r="W897" s="58"/>
      <c r="X897" s="58"/>
      <c r="Y897" s="58"/>
      <c r="Z897" s="58"/>
    </row>
    <row r="898">
      <c r="A898" s="58"/>
      <c r="B898" s="58"/>
      <c r="C898" s="58"/>
      <c r="D898" s="58"/>
      <c r="E898" s="58"/>
      <c r="F898" s="58"/>
      <c r="G898" s="86"/>
      <c r="H898" s="58"/>
      <c r="I898" s="58"/>
      <c r="J898" s="58"/>
      <c r="K898" s="58"/>
      <c r="L898" s="58"/>
      <c r="M898" s="58"/>
      <c r="N898" s="58"/>
      <c r="O898" s="58"/>
      <c r="P898" s="58"/>
      <c r="Q898" s="58"/>
      <c r="R898" s="58"/>
      <c r="S898" s="58"/>
      <c r="T898" s="58"/>
      <c r="U898" s="58"/>
      <c r="V898" s="58"/>
      <c r="W898" s="58"/>
      <c r="X898" s="58"/>
      <c r="Y898" s="58"/>
      <c r="Z898" s="58"/>
    </row>
    <row r="899">
      <c r="A899" s="58"/>
      <c r="B899" s="58"/>
      <c r="C899" s="58"/>
      <c r="D899" s="58"/>
      <c r="E899" s="58"/>
      <c r="F899" s="58"/>
      <c r="G899" s="86"/>
      <c r="H899" s="58"/>
      <c r="I899" s="58"/>
      <c r="J899" s="58"/>
      <c r="K899" s="58"/>
      <c r="L899" s="58"/>
      <c r="M899" s="58"/>
      <c r="N899" s="58"/>
      <c r="O899" s="58"/>
      <c r="P899" s="58"/>
      <c r="Q899" s="58"/>
      <c r="R899" s="58"/>
      <c r="S899" s="58"/>
      <c r="T899" s="58"/>
      <c r="U899" s="58"/>
      <c r="V899" s="58"/>
      <c r="W899" s="58"/>
      <c r="X899" s="58"/>
      <c r="Y899" s="58"/>
      <c r="Z899" s="58"/>
    </row>
    <row r="900">
      <c r="A900" s="58"/>
      <c r="B900" s="58"/>
      <c r="C900" s="58"/>
      <c r="D900" s="58"/>
      <c r="E900" s="58"/>
      <c r="F900" s="58"/>
      <c r="G900" s="86"/>
      <c r="H900" s="58"/>
      <c r="I900" s="58"/>
      <c r="J900" s="58"/>
      <c r="K900" s="58"/>
      <c r="L900" s="58"/>
      <c r="M900" s="58"/>
      <c r="N900" s="58"/>
      <c r="O900" s="58"/>
      <c r="P900" s="58"/>
      <c r="Q900" s="58"/>
      <c r="R900" s="58"/>
      <c r="S900" s="58"/>
      <c r="T900" s="58"/>
      <c r="U900" s="58"/>
      <c r="V900" s="58"/>
      <c r="W900" s="58"/>
      <c r="X900" s="58"/>
      <c r="Y900" s="58"/>
      <c r="Z900" s="58"/>
    </row>
    <row r="901">
      <c r="A901" s="58"/>
      <c r="B901" s="58"/>
      <c r="C901" s="58"/>
      <c r="D901" s="58"/>
      <c r="E901" s="58"/>
      <c r="F901" s="58"/>
      <c r="G901" s="86"/>
      <c r="H901" s="58"/>
      <c r="I901" s="58"/>
      <c r="J901" s="58"/>
      <c r="K901" s="58"/>
      <c r="L901" s="58"/>
      <c r="M901" s="58"/>
      <c r="N901" s="58"/>
      <c r="O901" s="58"/>
      <c r="P901" s="58"/>
      <c r="Q901" s="58"/>
      <c r="R901" s="58"/>
      <c r="S901" s="58"/>
      <c r="T901" s="58"/>
      <c r="U901" s="58"/>
      <c r="V901" s="58"/>
      <c r="W901" s="58"/>
      <c r="X901" s="58"/>
      <c r="Y901" s="58"/>
      <c r="Z901" s="58"/>
    </row>
    <row r="902">
      <c r="A902" s="58"/>
      <c r="B902" s="58"/>
      <c r="C902" s="58"/>
      <c r="D902" s="58"/>
      <c r="E902" s="58"/>
      <c r="F902" s="58"/>
      <c r="G902" s="86"/>
      <c r="H902" s="58"/>
      <c r="I902" s="58"/>
      <c r="J902" s="58"/>
      <c r="K902" s="58"/>
      <c r="L902" s="58"/>
      <c r="M902" s="58"/>
      <c r="N902" s="58"/>
      <c r="O902" s="58"/>
      <c r="P902" s="58"/>
      <c r="Q902" s="58"/>
      <c r="R902" s="58"/>
      <c r="S902" s="58"/>
      <c r="T902" s="58"/>
      <c r="U902" s="58"/>
      <c r="V902" s="58"/>
      <c r="W902" s="58"/>
      <c r="X902" s="58"/>
      <c r="Y902" s="58"/>
      <c r="Z902" s="58"/>
    </row>
    <row r="903">
      <c r="A903" s="58"/>
      <c r="B903" s="58"/>
      <c r="C903" s="58"/>
      <c r="D903" s="58"/>
      <c r="E903" s="58"/>
      <c r="F903" s="58"/>
      <c r="G903" s="86"/>
      <c r="H903" s="58"/>
      <c r="I903" s="58"/>
      <c r="J903" s="58"/>
      <c r="K903" s="58"/>
      <c r="L903" s="58"/>
      <c r="M903" s="58"/>
      <c r="N903" s="58"/>
      <c r="O903" s="58"/>
      <c r="P903" s="58"/>
      <c r="Q903" s="58"/>
      <c r="R903" s="58"/>
      <c r="S903" s="58"/>
      <c r="T903" s="58"/>
      <c r="U903" s="58"/>
      <c r="V903" s="58"/>
      <c r="W903" s="58"/>
      <c r="X903" s="58"/>
      <c r="Y903" s="58"/>
      <c r="Z903" s="58"/>
    </row>
    <row r="904">
      <c r="A904" s="58"/>
      <c r="B904" s="58"/>
      <c r="C904" s="58"/>
      <c r="D904" s="58"/>
      <c r="E904" s="58"/>
      <c r="F904" s="58"/>
      <c r="G904" s="86"/>
      <c r="H904" s="58"/>
      <c r="I904" s="58"/>
      <c r="J904" s="58"/>
      <c r="K904" s="58"/>
      <c r="L904" s="58"/>
      <c r="M904" s="58"/>
      <c r="N904" s="58"/>
      <c r="O904" s="58"/>
      <c r="P904" s="58"/>
      <c r="Q904" s="58"/>
      <c r="R904" s="58"/>
      <c r="S904" s="58"/>
      <c r="T904" s="58"/>
      <c r="U904" s="58"/>
      <c r="V904" s="58"/>
      <c r="W904" s="58"/>
      <c r="X904" s="58"/>
      <c r="Y904" s="58"/>
      <c r="Z904" s="58"/>
    </row>
    <row r="905">
      <c r="A905" s="58"/>
      <c r="B905" s="58"/>
      <c r="C905" s="58"/>
      <c r="D905" s="58"/>
      <c r="E905" s="58"/>
      <c r="F905" s="58"/>
      <c r="G905" s="86"/>
      <c r="H905" s="58"/>
      <c r="I905" s="58"/>
      <c r="J905" s="58"/>
      <c r="K905" s="58"/>
      <c r="L905" s="58"/>
      <c r="M905" s="58"/>
      <c r="N905" s="58"/>
      <c r="O905" s="58"/>
      <c r="P905" s="58"/>
      <c r="Q905" s="58"/>
      <c r="R905" s="58"/>
      <c r="S905" s="58"/>
      <c r="T905" s="58"/>
      <c r="U905" s="58"/>
      <c r="V905" s="58"/>
      <c r="W905" s="58"/>
      <c r="X905" s="58"/>
      <c r="Y905" s="58"/>
      <c r="Z905" s="58"/>
    </row>
    <row r="906">
      <c r="A906" s="58"/>
      <c r="B906" s="58"/>
      <c r="C906" s="58"/>
      <c r="D906" s="58"/>
      <c r="E906" s="58"/>
      <c r="F906" s="58"/>
      <c r="G906" s="86"/>
      <c r="H906" s="58"/>
      <c r="I906" s="58"/>
      <c r="J906" s="58"/>
      <c r="K906" s="58"/>
      <c r="L906" s="58"/>
      <c r="M906" s="58"/>
      <c r="N906" s="58"/>
      <c r="O906" s="58"/>
      <c r="P906" s="58"/>
      <c r="Q906" s="58"/>
      <c r="R906" s="58"/>
      <c r="S906" s="58"/>
      <c r="T906" s="58"/>
      <c r="U906" s="58"/>
      <c r="V906" s="58"/>
      <c r="W906" s="58"/>
      <c r="X906" s="58"/>
      <c r="Y906" s="58"/>
      <c r="Z906" s="58"/>
    </row>
    <row r="907">
      <c r="A907" s="58"/>
      <c r="B907" s="58"/>
      <c r="C907" s="58"/>
      <c r="D907" s="58"/>
      <c r="E907" s="58"/>
      <c r="F907" s="58"/>
      <c r="G907" s="86"/>
      <c r="H907" s="58"/>
      <c r="I907" s="58"/>
      <c r="J907" s="58"/>
      <c r="K907" s="58"/>
      <c r="L907" s="58"/>
      <c r="M907" s="58"/>
      <c r="N907" s="58"/>
      <c r="O907" s="58"/>
      <c r="P907" s="58"/>
      <c r="Q907" s="58"/>
      <c r="R907" s="58"/>
      <c r="S907" s="58"/>
      <c r="T907" s="58"/>
      <c r="U907" s="58"/>
      <c r="V907" s="58"/>
      <c r="W907" s="58"/>
      <c r="X907" s="58"/>
      <c r="Y907" s="58"/>
      <c r="Z907" s="58"/>
    </row>
    <row r="908">
      <c r="A908" s="58"/>
      <c r="B908" s="58"/>
      <c r="C908" s="58"/>
      <c r="D908" s="58"/>
      <c r="E908" s="58"/>
      <c r="F908" s="58"/>
      <c r="G908" s="86"/>
      <c r="H908" s="58"/>
      <c r="I908" s="58"/>
      <c r="J908" s="58"/>
      <c r="K908" s="58"/>
      <c r="L908" s="58"/>
      <c r="M908" s="58"/>
      <c r="N908" s="58"/>
      <c r="O908" s="58"/>
      <c r="P908" s="58"/>
      <c r="Q908" s="58"/>
      <c r="R908" s="58"/>
      <c r="S908" s="58"/>
      <c r="T908" s="58"/>
      <c r="U908" s="58"/>
      <c r="V908" s="58"/>
      <c r="W908" s="58"/>
      <c r="X908" s="58"/>
      <c r="Y908" s="58"/>
      <c r="Z908" s="58"/>
    </row>
    <row r="909">
      <c r="A909" s="58"/>
      <c r="B909" s="58"/>
      <c r="C909" s="58"/>
      <c r="D909" s="58"/>
      <c r="E909" s="58"/>
      <c r="F909" s="58"/>
      <c r="G909" s="86"/>
      <c r="H909" s="58"/>
      <c r="I909" s="58"/>
      <c r="J909" s="58"/>
      <c r="K909" s="58"/>
      <c r="L909" s="58"/>
      <c r="M909" s="58"/>
      <c r="N909" s="58"/>
      <c r="O909" s="58"/>
      <c r="P909" s="58"/>
      <c r="Q909" s="58"/>
      <c r="R909" s="58"/>
      <c r="S909" s="58"/>
      <c r="T909" s="58"/>
      <c r="U909" s="58"/>
      <c r="V909" s="58"/>
      <c r="W909" s="58"/>
      <c r="X909" s="58"/>
      <c r="Y909" s="58"/>
      <c r="Z909" s="58"/>
    </row>
    <row r="910">
      <c r="A910" s="58"/>
      <c r="B910" s="58"/>
      <c r="C910" s="58"/>
      <c r="D910" s="58"/>
      <c r="E910" s="58"/>
      <c r="F910" s="58"/>
      <c r="G910" s="86"/>
      <c r="H910" s="58"/>
      <c r="I910" s="58"/>
      <c r="J910" s="58"/>
      <c r="K910" s="58"/>
      <c r="L910" s="58"/>
      <c r="M910" s="58"/>
      <c r="N910" s="58"/>
      <c r="O910" s="58"/>
      <c r="P910" s="58"/>
      <c r="Q910" s="58"/>
      <c r="R910" s="58"/>
      <c r="S910" s="58"/>
      <c r="T910" s="58"/>
      <c r="U910" s="58"/>
      <c r="V910" s="58"/>
      <c r="W910" s="58"/>
      <c r="X910" s="58"/>
      <c r="Y910" s="58"/>
      <c r="Z910" s="58"/>
    </row>
    <row r="911">
      <c r="A911" s="58"/>
      <c r="B911" s="58"/>
      <c r="C911" s="58"/>
      <c r="D911" s="58"/>
      <c r="E911" s="58"/>
      <c r="F911" s="58"/>
      <c r="G911" s="86"/>
      <c r="H911" s="58"/>
      <c r="I911" s="58"/>
      <c r="J911" s="58"/>
      <c r="K911" s="58"/>
      <c r="L911" s="58"/>
      <c r="M911" s="58"/>
      <c r="N911" s="58"/>
      <c r="O911" s="58"/>
      <c r="P911" s="58"/>
      <c r="Q911" s="58"/>
      <c r="R911" s="58"/>
      <c r="S911" s="58"/>
      <c r="T911" s="58"/>
      <c r="U911" s="58"/>
      <c r="V911" s="58"/>
      <c r="W911" s="58"/>
      <c r="X911" s="58"/>
      <c r="Y911" s="58"/>
      <c r="Z911" s="58"/>
    </row>
    <row r="912">
      <c r="A912" s="58"/>
      <c r="B912" s="58"/>
      <c r="C912" s="58"/>
      <c r="D912" s="58"/>
      <c r="E912" s="58"/>
      <c r="F912" s="58"/>
      <c r="G912" s="86"/>
      <c r="H912" s="58"/>
      <c r="I912" s="58"/>
      <c r="J912" s="58"/>
      <c r="K912" s="58"/>
      <c r="L912" s="58"/>
      <c r="M912" s="58"/>
      <c r="N912" s="58"/>
      <c r="O912" s="58"/>
      <c r="P912" s="58"/>
      <c r="Q912" s="58"/>
      <c r="R912" s="58"/>
      <c r="S912" s="58"/>
      <c r="T912" s="58"/>
      <c r="U912" s="58"/>
      <c r="V912" s="58"/>
      <c r="W912" s="58"/>
      <c r="X912" s="58"/>
      <c r="Y912" s="58"/>
      <c r="Z912" s="58"/>
    </row>
    <row r="913">
      <c r="A913" s="58"/>
      <c r="B913" s="58"/>
      <c r="C913" s="58"/>
      <c r="D913" s="58"/>
      <c r="E913" s="58"/>
      <c r="F913" s="58"/>
      <c r="G913" s="86"/>
      <c r="H913" s="58"/>
      <c r="I913" s="58"/>
      <c r="J913" s="58"/>
      <c r="K913" s="58"/>
      <c r="L913" s="58"/>
      <c r="M913" s="58"/>
      <c r="N913" s="58"/>
      <c r="O913" s="58"/>
      <c r="P913" s="58"/>
      <c r="Q913" s="58"/>
      <c r="R913" s="58"/>
      <c r="S913" s="58"/>
      <c r="T913" s="58"/>
      <c r="U913" s="58"/>
      <c r="V913" s="58"/>
      <c r="W913" s="58"/>
      <c r="X913" s="58"/>
      <c r="Y913" s="58"/>
      <c r="Z913" s="58"/>
    </row>
    <row r="914">
      <c r="A914" s="58"/>
      <c r="B914" s="58"/>
      <c r="C914" s="58"/>
      <c r="D914" s="58"/>
      <c r="E914" s="58"/>
      <c r="F914" s="58"/>
      <c r="G914" s="86"/>
      <c r="H914" s="58"/>
      <c r="I914" s="58"/>
      <c r="J914" s="58"/>
      <c r="K914" s="58"/>
      <c r="L914" s="58"/>
      <c r="M914" s="58"/>
      <c r="N914" s="58"/>
      <c r="O914" s="58"/>
      <c r="P914" s="58"/>
      <c r="Q914" s="58"/>
      <c r="R914" s="58"/>
      <c r="S914" s="58"/>
      <c r="T914" s="58"/>
      <c r="U914" s="58"/>
      <c r="V914" s="58"/>
      <c r="W914" s="58"/>
      <c r="X914" s="58"/>
      <c r="Y914" s="58"/>
      <c r="Z914" s="58"/>
    </row>
    <row r="915">
      <c r="A915" s="58"/>
      <c r="B915" s="58"/>
      <c r="C915" s="58"/>
      <c r="D915" s="58"/>
      <c r="E915" s="58"/>
      <c r="F915" s="58"/>
      <c r="G915" s="86"/>
      <c r="H915" s="58"/>
      <c r="I915" s="58"/>
      <c r="J915" s="58"/>
      <c r="K915" s="58"/>
      <c r="L915" s="58"/>
      <c r="M915" s="58"/>
      <c r="N915" s="58"/>
      <c r="O915" s="58"/>
      <c r="P915" s="58"/>
      <c r="Q915" s="58"/>
      <c r="R915" s="58"/>
      <c r="S915" s="58"/>
      <c r="T915" s="58"/>
      <c r="U915" s="58"/>
      <c r="V915" s="58"/>
      <c r="W915" s="58"/>
      <c r="X915" s="58"/>
      <c r="Y915" s="58"/>
      <c r="Z915" s="58"/>
    </row>
    <row r="916">
      <c r="A916" s="58"/>
      <c r="B916" s="58"/>
      <c r="C916" s="58"/>
      <c r="D916" s="58"/>
      <c r="E916" s="58"/>
      <c r="F916" s="58"/>
      <c r="G916" s="86"/>
      <c r="H916" s="58"/>
      <c r="I916" s="58"/>
      <c r="J916" s="58"/>
      <c r="K916" s="58"/>
      <c r="L916" s="58"/>
      <c r="M916" s="58"/>
      <c r="N916" s="58"/>
      <c r="O916" s="58"/>
      <c r="P916" s="58"/>
      <c r="Q916" s="58"/>
      <c r="R916" s="58"/>
      <c r="S916" s="58"/>
      <c r="T916" s="58"/>
      <c r="U916" s="58"/>
      <c r="V916" s="58"/>
      <c r="W916" s="58"/>
      <c r="X916" s="58"/>
      <c r="Y916" s="58"/>
      <c r="Z916" s="58"/>
    </row>
    <row r="917">
      <c r="A917" s="58"/>
      <c r="B917" s="58"/>
      <c r="C917" s="58"/>
      <c r="D917" s="58"/>
      <c r="E917" s="58"/>
      <c r="F917" s="58"/>
      <c r="G917" s="86"/>
      <c r="H917" s="58"/>
      <c r="I917" s="58"/>
      <c r="J917" s="58"/>
      <c r="K917" s="58"/>
      <c r="L917" s="58"/>
      <c r="M917" s="58"/>
      <c r="N917" s="58"/>
      <c r="O917" s="58"/>
      <c r="P917" s="58"/>
      <c r="Q917" s="58"/>
      <c r="R917" s="58"/>
      <c r="S917" s="58"/>
      <c r="T917" s="58"/>
      <c r="U917" s="58"/>
      <c r="V917" s="58"/>
      <c r="W917" s="58"/>
      <c r="X917" s="58"/>
      <c r="Y917" s="58"/>
      <c r="Z917" s="58"/>
    </row>
    <row r="918">
      <c r="A918" s="58"/>
      <c r="B918" s="58"/>
      <c r="C918" s="58"/>
      <c r="D918" s="58"/>
      <c r="E918" s="58"/>
      <c r="F918" s="58"/>
      <c r="G918" s="86"/>
      <c r="H918" s="58"/>
      <c r="I918" s="58"/>
      <c r="J918" s="58"/>
      <c r="K918" s="58"/>
      <c r="L918" s="58"/>
      <c r="M918" s="58"/>
      <c r="N918" s="58"/>
      <c r="O918" s="58"/>
      <c r="P918" s="58"/>
      <c r="Q918" s="58"/>
      <c r="R918" s="58"/>
      <c r="S918" s="58"/>
      <c r="T918" s="58"/>
      <c r="U918" s="58"/>
      <c r="V918" s="58"/>
      <c r="W918" s="58"/>
      <c r="X918" s="58"/>
      <c r="Y918" s="58"/>
      <c r="Z918" s="58"/>
    </row>
    <row r="919">
      <c r="A919" s="58"/>
      <c r="B919" s="58"/>
      <c r="C919" s="58"/>
      <c r="D919" s="58"/>
      <c r="E919" s="58"/>
      <c r="F919" s="58"/>
      <c r="G919" s="86"/>
      <c r="H919" s="58"/>
      <c r="I919" s="58"/>
      <c r="J919" s="58"/>
      <c r="K919" s="58"/>
      <c r="L919" s="58"/>
      <c r="M919" s="58"/>
      <c r="N919" s="58"/>
      <c r="O919" s="58"/>
      <c r="P919" s="58"/>
      <c r="Q919" s="58"/>
      <c r="R919" s="58"/>
      <c r="S919" s="58"/>
      <c r="T919" s="58"/>
      <c r="U919" s="58"/>
      <c r="V919" s="58"/>
      <c r="W919" s="58"/>
      <c r="X919" s="58"/>
      <c r="Y919" s="58"/>
      <c r="Z919" s="58"/>
    </row>
    <row r="920">
      <c r="A920" s="58"/>
      <c r="B920" s="58"/>
      <c r="C920" s="58"/>
      <c r="D920" s="58"/>
      <c r="E920" s="58"/>
      <c r="F920" s="58"/>
      <c r="G920" s="86"/>
      <c r="H920" s="58"/>
      <c r="I920" s="58"/>
      <c r="J920" s="58"/>
      <c r="K920" s="58"/>
      <c r="L920" s="58"/>
      <c r="M920" s="58"/>
      <c r="N920" s="58"/>
      <c r="O920" s="58"/>
      <c r="P920" s="58"/>
      <c r="Q920" s="58"/>
      <c r="R920" s="58"/>
      <c r="S920" s="58"/>
      <c r="T920" s="58"/>
      <c r="U920" s="58"/>
      <c r="V920" s="58"/>
      <c r="W920" s="58"/>
      <c r="X920" s="58"/>
      <c r="Y920" s="58"/>
      <c r="Z920" s="58"/>
    </row>
    <row r="921">
      <c r="A921" s="58"/>
      <c r="B921" s="58"/>
      <c r="C921" s="58"/>
      <c r="D921" s="58"/>
      <c r="E921" s="58"/>
      <c r="F921" s="58"/>
      <c r="G921" s="86"/>
      <c r="H921" s="58"/>
      <c r="I921" s="58"/>
      <c r="J921" s="58"/>
      <c r="K921" s="58"/>
      <c r="L921" s="58"/>
      <c r="M921" s="58"/>
      <c r="N921" s="58"/>
      <c r="O921" s="58"/>
      <c r="P921" s="58"/>
      <c r="Q921" s="58"/>
      <c r="R921" s="58"/>
      <c r="S921" s="58"/>
      <c r="T921" s="58"/>
      <c r="U921" s="58"/>
      <c r="V921" s="58"/>
      <c r="W921" s="58"/>
      <c r="X921" s="58"/>
      <c r="Y921" s="58"/>
      <c r="Z921" s="58"/>
    </row>
    <row r="922">
      <c r="A922" s="58"/>
      <c r="B922" s="58"/>
      <c r="C922" s="58"/>
      <c r="D922" s="58"/>
      <c r="E922" s="58"/>
      <c r="F922" s="58"/>
      <c r="G922" s="86"/>
      <c r="H922" s="58"/>
      <c r="I922" s="58"/>
      <c r="J922" s="58"/>
      <c r="K922" s="58"/>
      <c r="L922" s="58"/>
      <c r="M922" s="58"/>
      <c r="N922" s="58"/>
      <c r="O922" s="58"/>
      <c r="P922" s="58"/>
      <c r="Q922" s="58"/>
      <c r="R922" s="58"/>
      <c r="S922" s="58"/>
      <c r="T922" s="58"/>
      <c r="U922" s="58"/>
      <c r="V922" s="58"/>
      <c r="W922" s="58"/>
      <c r="X922" s="58"/>
      <c r="Y922" s="58"/>
      <c r="Z922" s="58"/>
    </row>
    <row r="923">
      <c r="A923" s="58"/>
      <c r="B923" s="58"/>
      <c r="C923" s="58"/>
      <c r="D923" s="58"/>
      <c r="E923" s="58"/>
      <c r="F923" s="58"/>
      <c r="G923" s="86"/>
      <c r="H923" s="58"/>
      <c r="I923" s="58"/>
      <c r="J923" s="58"/>
      <c r="K923" s="58"/>
      <c r="L923" s="58"/>
      <c r="M923" s="58"/>
      <c r="N923" s="58"/>
      <c r="O923" s="58"/>
      <c r="P923" s="58"/>
      <c r="Q923" s="58"/>
      <c r="R923" s="58"/>
      <c r="S923" s="58"/>
      <c r="T923" s="58"/>
      <c r="U923" s="58"/>
      <c r="V923" s="58"/>
      <c r="W923" s="58"/>
      <c r="X923" s="58"/>
      <c r="Y923" s="58"/>
      <c r="Z923" s="58"/>
    </row>
    <row r="924">
      <c r="A924" s="58"/>
      <c r="B924" s="58"/>
      <c r="C924" s="58"/>
      <c r="D924" s="58"/>
      <c r="E924" s="58"/>
      <c r="F924" s="58"/>
      <c r="G924" s="86"/>
      <c r="H924" s="58"/>
      <c r="I924" s="58"/>
      <c r="J924" s="58"/>
      <c r="K924" s="58"/>
      <c r="L924" s="58"/>
      <c r="M924" s="58"/>
      <c r="N924" s="58"/>
      <c r="O924" s="58"/>
      <c r="P924" s="58"/>
      <c r="Q924" s="58"/>
      <c r="R924" s="58"/>
      <c r="S924" s="58"/>
      <c r="T924" s="58"/>
      <c r="U924" s="58"/>
      <c r="V924" s="58"/>
      <c r="W924" s="58"/>
      <c r="X924" s="58"/>
      <c r="Y924" s="58"/>
      <c r="Z924" s="58"/>
    </row>
    <row r="925">
      <c r="A925" s="58"/>
      <c r="B925" s="58"/>
      <c r="C925" s="58"/>
      <c r="D925" s="58"/>
      <c r="E925" s="58"/>
      <c r="F925" s="58"/>
      <c r="G925" s="86"/>
      <c r="H925" s="58"/>
      <c r="I925" s="58"/>
      <c r="J925" s="58"/>
      <c r="K925" s="58"/>
      <c r="L925" s="58"/>
      <c r="M925" s="58"/>
      <c r="N925" s="58"/>
      <c r="O925" s="58"/>
      <c r="P925" s="58"/>
      <c r="Q925" s="58"/>
      <c r="R925" s="58"/>
      <c r="S925" s="58"/>
      <c r="T925" s="58"/>
      <c r="U925" s="58"/>
      <c r="V925" s="58"/>
      <c r="W925" s="58"/>
      <c r="X925" s="58"/>
      <c r="Y925" s="58"/>
      <c r="Z925" s="58"/>
    </row>
    <row r="926">
      <c r="A926" s="58"/>
      <c r="B926" s="58"/>
      <c r="C926" s="58"/>
      <c r="D926" s="58"/>
      <c r="E926" s="58"/>
      <c r="F926" s="58"/>
      <c r="G926" s="86"/>
      <c r="H926" s="58"/>
      <c r="I926" s="58"/>
      <c r="J926" s="58"/>
      <c r="K926" s="58"/>
      <c r="L926" s="58"/>
      <c r="M926" s="58"/>
      <c r="N926" s="58"/>
      <c r="O926" s="58"/>
      <c r="P926" s="58"/>
      <c r="Q926" s="58"/>
      <c r="R926" s="58"/>
      <c r="S926" s="58"/>
      <c r="T926" s="58"/>
      <c r="U926" s="58"/>
      <c r="V926" s="58"/>
      <c r="W926" s="58"/>
      <c r="X926" s="58"/>
      <c r="Y926" s="58"/>
      <c r="Z926" s="58"/>
    </row>
    <row r="927">
      <c r="A927" s="58"/>
      <c r="B927" s="58"/>
      <c r="C927" s="58"/>
      <c r="D927" s="58"/>
      <c r="E927" s="58"/>
      <c r="F927" s="58"/>
      <c r="G927" s="86"/>
      <c r="H927" s="58"/>
      <c r="I927" s="58"/>
      <c r="J927" s="58"/>
      <c r="K927" s="58"/>
      <c r="L927" s="58"/>
      <c r="M927" s="58"/>
      <c r="N927" s="58"/>
      <c r="O927" s="58"/>
      <c r="P927" s="58"/>
      <c r="Q927" s="58"/>
      <c r="R927" s="58"/>
      <c r="S927" s="58"/>
      <c r="T927" s="58"/>
      <c r="U927" s="58"/>
      <c r="V927" s="58"/>
      <c r="W927" s="58"/>
      <c r="X927" s="58"/>
      <c r="Y927" s="58"/>
      <c r="Z927" s="58"/>
    </row>
    <row r="928">
      <c r="A928" s="58"/>
      <c r="B928" s="58"/>
      <c r="C928" s="58"/>
      <c r="D928" s="58"/>
      <c r="E928" s="58"/>
      <c r="F928" s="58"/>
      <c r="G928" s="86"/>
      <c r="H928" s="58"/>
      <c r="I928" s="58"/>
      <c r="J928" s="58"/>
      <c r="K928" s="58"/>
      <c r="L928" s="58"/>
      <c r="M928" s="58"/>
      <c r="N928" s="58"/>
      <c r="O928" s="58"/>
      <c r="P928" s="58"/>
      <c r="Q928" s="58"/>
      <c r="R928" s="58"/>
      <c r="S928" s="58"/>
      <c r="T928" s="58"/>
      <c r="U928" s="58"/>
      <c r="V928" s="58"/>
      <c r="W928" s="58"/>
      <c r="X928" s="58"/>
      <c r="Y928" s="58"/>
      <c r="Z928" s="58"/>
    </row>
    <row r="929">
      <c r="A929" s="58"/>
      <c r="B929" s="58"/>
      <c r="C929" s="58"/>
      <c r="D929" s="58"/>
      <c r="E929" s="58"/>
      <c r="F929" s="58"/>
      <c r="G929" s="86"/>
      <c r="H929" s="58"/>
      <c r="I929" s="58"/>
      <c r="J929" s="58"/>
      <c r="K929" s="58"/>
      <c r="L929" s="58"/>
      <c r="M929" s="58"/>
      <c r="N929" s="58"/>
      <c r="O929" s="58"/>
      <c r="P929" s="58"/>
      <c r="Q929" s="58"/>
      <c r="R929" s="58"/>
      <c r="S929" s="58"/>
      <c r="T929" s="58"/>
      <c r="U929" s="58"/>
      <c r="V929" s="58"/>
      <c r="W929" s="58"/>
      <c r="X929" s="58"/>
      <c r="Y929" s="58"/>
      <c r="Z929" s="58"/>
    </row>
    <row r="930">
      <c r="A930" s="58"/>
      <c r="B930" s="58"/>
      <c r="C930" s="58"/>
      <c r="D930" s="58"/>
      <c r="E930" s="58"/>
      <c r="F930" s="58"/>
      <c r="G930" s="86"/>
      <c r="H930" s="58"/>
      <c r="I930" s="58"/>
      <c r="J930" s="58"/>
      <c r="K930" s="58"/>
      <c r="L930" s="58"/>
      <c r="M930" s="58"/>
      <c r="N930" s="58"/>
      <c r="O930" s="58"/>
      <c r="P930" s="58"/>
      <c r="Q930" s="58"/>
      <c r="R930" s="58"/>
      <c r="S930" s="58"/>
      <c r="T930" s="58"/>
      <c r="U930" s="58"/>
      <c r="V930" s="58"/>
      <c r="W930" s="58"/>
      <c r="X930" s="58"/>
      <c r="Y930" s="58"/>
      <c r="Z930" s="58"/>
    </row>
    <row r="931">
      <c r="A931" s="58"/>
      <c r="B931" s="58"/>
      <c r="C931" s="58"/>
      <c r="D931" s="58"/>
      <c r="E931" s="58"/>
      <c r="F931" s="58"/>
      <c r="G931" s="86"/>
      <c r="H931" s="58"/>
      <c r="I931" s="58"/>
      <c r="J931" s="58"/>
      <c r="K931" s="58"/>
      <c r="L931" s="58"/>
      <c r="M931" s="58"/>
      <c r="N931" s="58"/>
      <c r="O931" s="58"/>
      <c r="P931" s="58"/>
      <c r="Q931" s="58"/>
      <c r="R931" s="58"/>
      <c r="S931" s="58"/>
      <c r="T931" s="58"/>
      <c r="U931" s="58"/>
      <c r="V931" s="58"/>
      <c r="W931" s="58"/>
      <c r="X931" s="58"/>
      <c r="Y931" s="58"/>
      <c r="Z931" s="58"/>
    </row>
    <row r="932">
      <c r="A932" s="58"/>
      <c r="B932" s="58"/>
      <c r="C932" s="58"/>
      <c r="D932" s="58"/>
      <c r="E932" s="58"/>
      <c r="F932" s="58"/>
      <c r="G932" s="86"/>
      <c r="H932" s="58"/>
      <c r="I932" s="58"/>
      <c r="J932" s="58"/>
      <c r="K932" s="58"/>
      <c r="L932" s="58"/>
      <c r="M932" s="58"/>
      <c r="N932" s="58"/>
      <c r="O932" s="58"/>
      <c r="P932" s="58"/>
      <c r="Q932" s="58"/>
      <c r="R932" s="58"/>
      <c r="S932" s="58"/>
      <c r="T932" s="58"/>
      <c r="U932" s="58"/>
      <c r="V932" s="58"/>
      <c r="W932" s="58"/>
      <c r="X932" s="58"/>
      <c r="Y932" s="58"/>
      <c r="Z932" s="58"/>
    </row>
    <row r="933">
      <c r="A933" s="58"/>
      <c r="B933" s="58"/>
      <c r="C933" s="58"/>
      <c r="D933" s="58"/>
      <c r="E933" s="58"/>
      <c r="F933" s="58"/>
      <c r="G933" s="86"/>
      <c r="H933" s="58"/>
      <c r="I933" s="58"/>
      <c r="J933" s="58"/>
      <c r="K933" s="58"/>
      <c r="L933" s="58"/>
      <c r="M933" s="58"/>
      <c r="N933" s="58"/>
      <c r="O933" s="58"/>
      <c r="P933" s="58"/>
      <c r="Q933" s="58"/>
      <c r="R933" s="58"/>
      <c r="S933" s="58"/>
      <c r="T933" s="58"/>
      <c r="U933" s="58"/>
      <c r="V933" s="58"/>
      <c r="W933" s="58"/>
      <c r="X933" s="58"/>
      <c r="Y933" s="58"/>
      <c r="Z933" s="58"/>
    </row>
    <row r="934">
      <c r="A934" s="58"/>
      <c r="B934" s="58"/>
      <c r="C934" s="58"/>
      <c r="D934" s="58"/>
      <c r="E934" s="58"/>
      <c r="F934" s="58"/>
      <c r="G934" s="86"/>
      <c r="H934" s="58"/>
      <c r="I934" s="58"/>
      <c r="J934" s="58"/>
      <c r="K934" s="58"/>
      <c r="L934" s="58"/>
      <c r="M934" s="58"/>
      <c r="N934" s="58"/>
      <c r="O934" s="58"/>
      <c r="P934" s="58"/>
      <c r="Q934" s="58"/>
      <c r="R934" s="58"/>
      <c r="S934" s="58"/>
      <c r="T934" s="58"/>
      <c r="U934" s="58"/>
      <c r="V934" s="58"/>
      <c r="W934" s="58"/>
      <c r="X934" s="58"/>
      <c r="Y934" s="58"/>
      <c r="Z934" s="58"/>
    </row>
    <row r="935">
      <c r="A935" s="58"/>
      <c r="B935" s="58"/>
      <c r="C935" s="58"/>
      <c r="D935" s="58"/>
      <c r="E935" s="58"/>
      <c r="F935" s="58"/>
      <c r="G935" s="86"/>
      <c r="H935" s="58"/>
      <c r="I935" s="58"/>
      <c r="J935" s="58"/>
      <c r="K935" s="58"/>
      <c r="L935" s="58"/>
      <c r="M935" s="58"/>
      <c r="N935" s="58"/>
      <c r="O935" s="58"/>
      <c r="P935" s="58"/>
      <c r="Q935" s="58"/>
      <c r="R935" s="58"/>
      <c r="S935" s="58"/>
      <c r="T935" s="58"/>
      <c r="U935" s="58"/>
      <c r="V935" s="58"/>
      <c r="W935" s="58"/>
      <c r="X935" s="58"/>
      <c r="Y935" s="58"/>
      <c r="Z935" s="58"/>
    </row>
    <row r="936">
      <c r="A936" s="58"/>
      <c r="B936" s="58"/>
      <c r="C936" s="58"/>
      <c r="D936" s="58"/>
      <c r="E936" s="58"/>
      <c r="F936" s="58"/>
      <c r="G936" s="86"/>
      <c r="H936" s="58"/>
      <c r="I936" s="58"/>
      <c r="J936" s="58"/>
      <c r="K936" s="58"/>
      <c r="L936" s="58"/>
      <c r="M936" s="58"/>
      <c r="N936" s="58"/>
      <c r="O936" s="58"/>
      <c r="P936" s="58"/>
      <c r="Q936" s="58"/>
      <c r="R936" s="58"/>
      <c r="S936" s="58"/>
      <c r="T936" s="58"/>
      <c r="U936" s="58"/>
      <c r="V936" s="58"/>
      <c r="W936" s="58"/>
      <c r="X936" s="58"/>
      <c r="Y936" s="58"/>
      <c r="Z936" s="58"/>
    </row>
    <row r="937">
      <c r="A937" s="58"/>
      <c r="B937" s="58"/>
      <c r="C937" s="58"/>
      <c r="D937" s="58"/>
      <c r="E937" s="58"/>
      <c r="F937" s="58"/>
      <c r="G937" s="86"/>
      <c r="H937" s="58"/>
      <c r="I937" s="58"/>
      <c r="J937" s="58"/>
      <c r="K937" s="58"/>
      <c r="L937" s="58"/>
      <c r="M937" s="58"/>
      <c r="N937" s="58"/>
      <c r="O937" s="58"/>
      <c r="P937" s="58"/>
      <c r="Q937" s="58"/>
      <c r="R937" s="58"/>
      <c r="S937" s="58"/>
      <c r="T937" s="58"/>
      <c r="U937" s="58"/>
      <c r="V937" s="58"/>
      <c r="W937" s="58"/>
      <c r="X937" s="58"/>
      <c r="Y937" s="58"/>
      <c r="Z937" s="58"/>
    </row>
    <row r="938">
      <c r="A938" s="58"/>
      <c r="B938" s="58"/>
      <c r="C938" s="58"/>
      <c r="D938" s="58"/>
      <c r="E938" s="58"/>
      <c r="F938" s="58"/>
      <c r="G938" s="86"/>
      <c r="H938" s="58"/>
      <c r="I938" s="58"/>
      <c r="J938" s="58"/>
      <c r="K938" s="58"/>
      <c r="L938" s="58"/>
      <c r="M938" s="58"/>
      <c r="N938" s="58"/>
      <c r="O938" s="58"/>
      <c r="P938" s="58"/>
      <c r="Q938" s="58"/>
      <c r="R938" s="58"/>
      <c r="S938" s="58"/>
      <c r="T938" s="58"/>
      <c r="U938" s="58"/>
      <c r="V938" s="58"/>
      <c r="W938" s="58"/>
      <c r="X938" s="58"/>
      <c r="Y938" s="58"/>
      <c r="Z938" s="58"/>
    </row>
    <row r="939">
      <c r="A939" s="58"/>
      <c r="B939" s="58"/>
      <c r="C939" s="58"/>
      <c r="D939" s="58"/>
      <c r="E939" s="58"/>
      <c r="F939" s="58"/>
      <c r="G939" s="86"/>
      <c r="H939" s="58"/>
      <c r="I939" s="58"/>
      <c r="J939" s="58"/>
      <c r="K939" s="58"/>
      <c r="L939" s="58"/>
      <c r="M939" s="58"/>
      <c r="N939" s="58"/>
      <c r="O939" s="58"/>
      <c r="P939" s="58"/>
      <c r="Q939" s="58"/>
      <c r="R939" s="58"/>
      <c r="S939" s="58"/>
      <c r="T939" s="58"/>
      <c r="U939" s="58"/>
      <c r="V939" s="58"/>
      <c r="W939" s="58"/>
      <c r="X939" s="58"/>
      <c r="Y939" s="58"/>
      <c r="Z939" s="58"/>
    </row>
    <row r="940">
      <c r="A940" s="58"/>
      <c r="B940" s="58"/>
      <c r="C940" s="58"/>
      <c r="D940" s="58"/>
      <c r="E940" s="58"/>
      <c r="F940" s="58"/>
      <c r="G940" s="86"/>
      <c r="H940" s="58"/>
      <c r="I940" s="58"/>
      <c r="J940" s="58"/>
      <c r="K940" s="58"/>
      <c r="L940" s="58"/>
      <c r="M940" s="58"/>
      <c r="N940" s="58"/>
      <c r="O940" s="58"/>
      <c r="P940" s="58"/>
      <c r="Q940" s="58"/>
      <c r="R940" s="58"/>
      <c r="S940" s="58"/>
      <c r="T940" s="58"/>
      <c r="U940" s="58"/>
      <c r="V940" s="58"/>
      <c r="W940" s="58"/>
      <c r="X940" s="58"/>
      <c r="Y940" s="58"/>
      <c r="Z940" s="58"/>
    </row>
    <row r="941">
      <c r="A941" s="58"/>
      <c r="B941" s="58"/>
      <c r="C941" s="58"/>
      <c r="D941" s="58"/>
      <c r="E941" s="58"/>
      <c r="F941" s="58"/>
      <c r="G941" s="86"/>
      <c r="H941" s="58"/>
      <c r="I941" s="58"/>
      <c r="J941" s="58"/>
      <c r="K941" s="58"/>
      <c r="L941" s="58"/>
      <c r="M941" s="58"/>
      <c r="N941" s="58"/>
      <c r="O941" s="58"/>
      <c r="P941" s="58"/>
      <c r="Q941" s="58"/>
      <c r="R941" s="58"/>
      <c r="S941" s="58"/>
      <c r="T941" s="58"/>
      <c r="U941" s="58"/>
      <c r="V941" s="58"/>
      <c r="W941" s="58"/>
      <c r="X941" s="58"/>
      <c r="Y941" s="58"/>
      <c r="Z941" s="58"/>
    </row>
  </sheetData>
  <autoFilter ref="$H$1:$H$941"/>
  <mergeCells count="1">
    <mergeCell ref="F82:F8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4.13"/>
    <col customWidth="1" min="3" max="3" width="12.0"/>
    <col customWidth="1" min="4" max="4" width="14.25"/>
    <col customWidth="1" min="5" max="5" width="64.63"/>
    <col customWidth="1" min="6" max="6" width="24.38"/>
    <col customWidth="1" min="7" max="7" width="20.75"/>
    <col customWidth="1" min="8" max="8" width="24.25"/>
  </cols>
  <sheetData>
    <row r="1">
      <c r="A1" s="31" t="s">
        <v>78</v>
      </c>
      <c r="B1" s="32" t="s">
        <v>79</v>
      </c>
      <c r="C1" s="31" t="s">
        <v>80</v>
      </c>
      <c r="D1" s="31" t="s">
        <v>81</v>
      </c>
      <c r="E1" s="31" t="s">
        <v>82</v>
      </c>
      <c r="F1" s="31" t="s">
        <v>413</v>
      </c>
      <c r="G1" s="31" t="s">
        <v>414</v>
      </c>
      <c r="H1" s="31" t="s">
        <v>83</v>
      </c>
      <c r="I1" s="31" t="s">
        <v>971</v>
      </c>
      <c r="J1" s="106"/>
      <c r="K1" s="106"/>
      <c r="L1" s="106"/>
      <c r="M1" s="106"/>
      <c r="N1" s="106"/>
      <c r="O1" s="106"/>
      <c r="P1" s="106"/>
      <c r="Q1" s="106"/>
      <c r="R1" s="106"/>
      <c r="S1" s="106"/>
      <c r="T1" s="106"/>
      <c r="U1" s="106"/>
      <c r="V1" s="106"/>
      <c r="W1" s="106"/>
      <c r="X1" s="106"/>
      <c r="Y1" s="106"/>
      <c r="Z1" s="106"/>
    </row>
    <row r="2">
      <c r="A2" s="85" t="s">
        <v>84</v>
      </c>
      <c r="B2" s="72" t="s">
        <v>972</v>
      </c>
      <c r="C2" s="72" t="s">
        <v>973</v>
      </c>
      <c r="D2" s="72" t="s">
        <v>974</v>
      </c>
      <c r="E2" s="72" t="s">
        <v>975</v>
      </c>
      <c r="F2" s="72" t="s">
        <v>976</v>
      </c>
      <c r="G2" s="78"/>
      <c r="H2" s="72" t="s">
        <v>977</v>
      </c>
      <c r="I2" s="73" t="s">
        <v>13</v>
      </c>
      <c r="J2" s="58"/>
      <c r="K2" s="58"/>
      <c r="L2" s="76" t="s">
        <v>978</v>
      </c>
      <c r="M2" s="58">
        <f>COUNTA(I2:I212)</f>
        <v>211</v>
      </c>
      <c r="N2" s="58"/>
      <c r="O2" s="58"/>
      <c r="P2" s="58"/>
      <c r="Q2" s="58"/>
      <c r="R2" s="58"/>
      <c r="S2" s="58"/>
      <c r="T2" s="58"/>
      <c r="U2" s="58"/>
      <c r="V2" s="58"/>
      <c r="W2" s="58"/>
      <c r="X2" s="58"/>
      <c r="Y2" s="58"/>
      <c r="Z2" s="58"/>
    </row>
    <row r="3">
      <c r="A3" s="85" t="s">
        <v>92</v>
      </c>
      <c r="B3" s="72" t="s">
        <v>972</v>
      </c>
      <c r="C3" s="72" t="s">
        <v>973</v>
      </c>
      <c r="D3" s="72" t="s">
        <v>974</v>
      </c>
      <c r="E3" s="72" t="s">
        <v>979</v>
      </c>
      <c r="F3" s="72" t="s">
        <v>980</v>
      </c>
      <c r="G3" s="72" t="s">
        <v>981</v>
      </c>
      <c r="H3" s="72" t="s">
        <v>980</v>
      </c>
      <c r="I3" s="73" t="s">
        <v>13</v>
      </c>
      <c r="J3" s="58"/>
      <c r="K3" s="58"/>
      <c r="L3" s="58"/>
      <c r="M3" s="58"/>
      <c r="N3" s="58"/>
      <c r="O3" s="58"/>
      <c r="P3" s="58"/>
      <c r="Q3" s="58"/>
      <c r="R3" s="58"/>
      <c r="S3" s="58"/>
      <c r="T3" s="58"/>
      <c r="U3" s="58"/>
      <c r="V3" s="58"/>
      <c r="W3" s="58"/>
      <c r="X3" s="58"/>
      <c r="Y3" s="58"/>
      <c r="Z3" s="58"/>
    </row>
    <row r="4">
      <c r="A4" s="85" t="s">
        <v>96</v>
      </c>
      <c r="B4" s="72" t="s">
        <v>972</v>
      </c>
      <c r="C4" s="72" t="s">
        <v>973</v>
      </c>
      <c r="D4" s="72" t="s">
        <v>974</v>
      </c>
      <c r="E4" s="107" t="s">
        <v>982</v>
      </c>
      <c r="F4" s="72" t="s">
        <v>983</v>
      </c>
      <c r="G4" s="78"/>
      <c r="H4" s="72" t="s">
        <v>984</v>
      </c>
      <c r="I4" s="73" t="s">
        <v>13</v>
      </c>
      <c r="J4" s="58"/>
      <c r="K4" s="58"/>
      <c r="L4" s="58"/>
      <c r="M4" s="58"/>
      <c r="N4" s="58"/>
      <c r="O4" s="58"/>
      <c r="P4" s="58"/>
      <c r="Q4" s="58"/>
      <c r="R4" s="58"/>
      <c r="S4" s="58"/>
      <c r="T4" s="58"/>
      <c r="U4" s="58"/>
      <c r="V4" s="58"/>
      <c r="W4" s="58"/>
      <c r="X4" s="58"/>
      <c r="Y4" s="58"/>
      <c r="Z4" s="58"/>
    </row>
    <row r="5">
      <c r="A5" s="85" t="s">
        <v>101</v>
      </c>
      <c r="B5" s="72" t="s">
        <v>972</v>
      </c>
      <c r="C5" s="72" t="s">
        <v>973</v>
      </c>
      <c r="D5" s="72" t="s">
        <v>974</v>
      </c>
      <c r="E5" s="107" t="s">
        <v>985</v>
      </c>
      <c r="F5" s="72" t="s">
        <v>986</v>
      </c>
      <c r="G5" s="78"/>
      <c r="H5" s="72" t="s">
        <v>987</v>
      </c>
      <c r="I5" s="73" t="s">
        <v>13</v>
      </c>
      <c r="J5" s="58"/>
      <c r="K5" s="58"/>
      <c r="L5" s="58"/>
      <c r="M5" s="58"/>
      <c r="N5" s="58"/>
      <c r="O5" s="58"/>
      <c r="P5" s="58"/>
      <c r="Q5" s="58"/>
      <c r="R5" s="58"/>
      <c r="S5" s="58"/>
      <c r="T5" s="58"/>
      <c r="U5" s="58"/>
      <c r="V5" s="58"/>
      <c r="W5" s="58"/>
      <c r="X5" s="58"/>
      <c r="Y5" s="58"/>
      <c r="Z5" s="58"/>
    </row>
    <row r="6">
      <c r="A6" s="85" t="s">
        <v>106</v>
      </c>
      <c r="B6" s="72" t="s">
        <v>972</v>
      </c>
      <c r="C6" s="72" t="s">
        <v>973</v>
      </c>
      <c r="D6" s="72" t="s">
        <v>974</v>
      </c>
      <c r="E6" s="107" t="s">
        <v>988</v>
      </c>
      <c r="F6" s="72" t="s">
        <v>989</v>
      </c>
      <c r="G6" s="78"/>
      <c r="H6" s="72" t="s">
        <v>990</v>
      </c>
      <c r="I6" s="73" t="s">
        <v>13</v>
      </c>
      <c r="J6" s="58"/>
      <c r="K6" s="58"/>
      <c r="L6" s="58"/>
      <c r="M6" s="58"/>
      <c r="N6" s="58"/>
      <c r="O6" s="58"/>
      <c r="P6" s="58"/>
      <c r="Q6" s="58"/>
      <c r="R6" s="58"/>
      <c r="S6" s="58"/>
      <c r="T6" s="58"/>
      <c r="U6" s="58"/>
      <c r="V6" s="58"/>
      <c r="W6" s="58"/>
      <c r="X6" s="58"/>
      <c r="Y6" s="58"/>
      <c r="Z6" s="58"/>
    </row>
    <row r="7">
      <c r="A7" s="85" t="s">
        <v>110</v>
      </c>
      <c r="B7" s="72" t="s">
        <v>972</v>
      </c>
      <c r="C7" s="72" t="s">
        <v>991</v>
      </c>
      <c r="D7" s="72" t="s">
        <v>974</v>
      </c>
      <c r="E7" s="72" t="s">
        <v>992</v>
      </c>
      <c r="F7" s="72" t="s">
        <v>993</v>
      </c>
      <c r="G7" s="72" t="s">
        <v>994</v>
      </c>
      <c r="H7" s="72" t="s">
        <v>994</v>
      </c>
      <c r="I7" s="73" t="s">
        <v>13</v>
      </c>
      <c r="J7" s="58"/>
      <c r="K7" s="58"/>
      <c r="L7" s="58"/>
      <c r="M7" s="58"/>
      <c r="N7" s="58"/>
      <c r="O7" s="58"/>
      <c r="P7" s="58"/>
      <c r="Q7" s="58"/>
      <c r="R7" s="58"/>
      <c r="S7" s="58"/>
      <c r="T7" s="58"/>
      <c r="U7" s="58"/>
      <c r="V7" s="58"/>
      <c r="W7" s="58"/>
      <c r="X7" s="58"/>
      <c r="Y7" s="58"/>
      <c r="Z7" s="58"/>
    </row>
    <row r="8">
      <c r="A8" s="85" t="s">
        <v>115</v>
      </c>
      <c r="B8" s="72" t="s">
        <v>972</v>
      </c>
      <c r="C8" s="72" t="s">
        <v>991</v>
      </c>
      <c r="D8" s="72" t="s">
        <v>974</v>
      </c>
      <c r="E8" s="72" t="s">
        <v>995</v>
      </c>
      <c r="F8" s="72" t="s">
        <v>996</v>
      </c>
      <c r="G8" s="78"/>
      <c r="H8" s="72" t="s">
        <v>997</v>
      </c>
      <c r="I8" s="73" t="s">
        <v>13</v>
      </c>
      <c r="J8" s="58"/>
      <c r="K8" s="58"/>
      <c r="L8" s="58"/>
      <c r="M8" s="58"/>
      <c r="N8" s="58"/>
      <c r="O8" s="58"/>
      <c r="P8" s="58"/>
      <c r="Q8" s="58"/>
      <c r="R8" s="58"/>
      <c r="S8" s="58"/>
      <c r="T8" s="58"/>
      <c r="U8" s="58"/>
      <c r="V8" s="58"/>
      <c r="W8" s="58"/>
      <c r="X8" s="58"/>
      <c r="Y8" s="58"/>
      <c r="Z8" s="58"/>
    </row>
    <row r="9">
      <c r="A9" s="85" t="s">
        <v>120</v>
      </c>
      <c r="B9" s="72" t="s">
        <v>972</v>
      </c>
      <c r="C9" s="72" t="s">
        <v>991</v>
      </c>
      <c r="D9" s="72" t="s">
        <v>974</v>
      </c>
      <c r="E9" s="72" t="s">
        <v>998</v>
      </c>
      <c r="F9" s="72" t="s">
        <v>999</v>
      </c>
      <c r="G9" s="72" t="s">
        <v>1000</v>
      </c>
      <c r="H9" s="72" t="s">
        <v>1001</v>
      </c>
      <c r="I9" s="73" t="s">
        <v>13</v>
      </c>
      <c r="J9" s="58"/>
      <c r="K9" s="58"/>
      <c r="L9" s="58"/>
      <c r="M9" s="58"/>
      <c r="N9" s="58"/>
      <c r="O9" s="58"/>
      <c r="P9" s="58"/>
      <c r="Q9" s="58"/>
      <c r="R9" s="58"/>
      <c r="S9" s="58"/>
      <c r="T9" s="58"/>
      <c r="U9" s="58"/>
      <c r="V9" s="58"/>
      <c r="W9" s="58"/>
      <c r="X9" s="58"/>
      <c r="Y9" s="58"/>
      <c r="Z9" s="58"/>
    </row>
    <row r="10">
      <c r="A10" s="85" t="s">
        <v>125</v>
      </c>
      <c r="B10" s="72" t="s">
        <v>972</v>
      </c>
      <c r="C10" s="72" t="s">
        <v>1002</v>
      </c>
      <c r="D10" s="72" t="s">
        <v>1003</v>
      </c>
      <c r="E10" s="72" t="s">
        <v>1004</v>
      </c>
      <c r="F10" s="72" t="s">
        <v>1005</v>
      </c>
      <c r="G10" s="72" t="s">
        <v>1006</v>
      </c>
      <c r="H10" s="72" t="s">
        <v>1007</v>
      </c>
      <c r="I10" s="73" t="s">
        <v>13</v>
      </c>
      <c r="J10" s="58"/>
      <c r="K10" s="58"/>
      <c r="L10" s="58"/>
      <c r="M10" s="58"/>
      <c r="N10" s="58"/>
      <c r="O10" s="58"/>
      <c r="P10" s="58"/>
      <c r="Q10" s="58"/>
      <c r="R10" s="58"/>
      <c r="S10" s="58"/>
      <c r="T10" s="58"/>
      <c r="U10" s="58"/>
      <c r="V10" s="58"/>
      <c r="W10" s="58"/>
      <c r="X10" s="58"/>
      <c r="Y10" s="58"/>
      <c r="Z10" s="58"/>
    </row>
    <row r="11">
      <c r="A11" s="85" t="s">
        <v>129</v>
      </c>
      <c r="B11" s="72" t="s">
        <v>972</v>
      </c>
      <c r="C11" s="72" t="s">
        <v>1002</v>
      </c>
      <c r="D11" s="72" t="s">
        <v>1003</v>
      </c>
      <c r="E11" s="72" t="s">
        <v>1008</v>
      </c>
      <c r="F11" s="72" t="s">
        <v>1009</v>
      </c>
      <c r="G11" s="72" t="s">
        <v>1010</v>
      </c>
      <c r="H11" s="72" t="s">
        <v>1011</v>
      </c>
      <c r="I11" s="73" t="s">
        <v>13</v>
      </c>
      <c r="J11" s="58"/>
      <c r="K11" s="58"/>
      <c r="L11" s="58"/>
      <c r="M11" s="58"/>
      <c r="N11" s="58"/>
      <c r="O11" s="58"/>
      <c r="P11" s="58"/>
      <c r="Q11" s="58"/>
      <c r="R11" s="58"/>
      <c r="S11" s="58"/>
      <c r="T11" s="58"/>
      <c r="U11" s="58"/>
      <c r="V11" s="58"/>
      <c r="W11" s="58"/>
      <c r="X11" s="58"/>
      <c r="Y11" s="58"/>
      <c r="Z11" s="58"/>
    </row>
    <row r="12">
      <c r="A12" s="85" t="s">
        <v>134</v>
      </c>
      <c r="B12" s="72" t="s">
        <v>972</v>
      </c>
      <c r="C12" s="72" t="s">
        <v>1002</v>
      </c>
      <c r="D12" s="72" t="s">
        <v>1003</v>
      </c>
      <c r="E12" s="72" t="s">
        <v>1012</v>
      </c>
      <c r="F12" s="72" t="s">
        <v>1013</v>
      </c>
      <c r="G12" s="72" t="s">
        <v>1014</v>
      </c>
      <c r="H12" s="72" t="s">
        <v>1015</v>
      </c>
      <c r="I12" s="73" t="s">
        <v>13</v>
      </c>
      <c r="J12" s="58"/>
      <c r="K12" s="58"/>
      <c r="L12" s="58"/>
      <c r="M12" s="58"/>
      <c r="N12" s="58"/>
      <c r="O12" s="58"/>
      <c r="P12" s="58"/>
      <c r="Q12" s="58"/>
      <c r="R12" s="58"/>
      <c r="S12" s="58"/>
      <c r="T12" s="58"/>
      <c r="U12" s="58"/>
      <c r="V12" s="58"/>
      <c r="W12" s="58"/>
      <c r="X12" s="58"/>
      <c r="Y12" s="58"/>
      <c r="Z12" s="58"/>
    </row>
    <row r="13">
      <c r="A13" s="85" t="s">
        <v>139</v>
      </c>
      <c r="B13" s="72" t="s">
        <v>972</v>
      </c>
      <c r="C13" s="72" t="s">
        <v>1002</v>
      </c>
      <c r="D13" s="72" t="s">
        <v>1003</v>
      </c>
      <c r="E13" s="72" t="s">
        <v>1016</v>
      </c>
      <c r="F13" s="72" t="s">
        <v>1017</v>
      </c>
      <c r="G13" s="78"/>
      <c r="H13" s="72" t="s">
        <v>1018</v>
      </c>
      <c r="I13" s="73" t="s">
        <v>13</v>
      </c>
      <c r="J13" s="58"/>
      <c r="K13" s="58"/>
      <c r="L13" s="58"/>
      <c r="M13" s="58"/>
      <c r="N13" s="58"/>
      <c r="O13" s="58"/>
      <c r="P13" s="58"/>
      <c r="Q13" s="58"/>
      <c r="R13" s="58"/>
      <c r="S13" s="58"/>
      <c r="T13" s="58"/>
      <c r="U13" s="58"/>
      <c r="V13" s="58"/>
      <c r="W13" s="58"/>
      <c r="X13" s="58"/>
      <c r="Y13" s="58"/>
      <c r="Z13" s="58"/>
    </row>
    <row r="14">
      <c r="A14" s="85" t="s">
        <v>144</v>
      </c>
      <c r="B14" s="72" t="s">
        <v>972</v>
      </c>
      <c r="C14" s="72" t="s">
        <v>1002</v>
      </c>
      <c r="D14" s="72" t="s">
        <v>1003</v>
      </c>
      <c r="E14" s="72" t="s">
        <v>1019</v>
      </c>
      <c r="F14" s="72" t="s">
        <v>1020</v>
      </c>
      <c r="G14" s="78"/>
      <c r="H14" s="72" t="s">
        <v>1021</v>
      </c>
      <c r="I14" s="73" t="s">
        <v>13</v>
      </c>
      <c r="J14" s="58"/>
      <c r="K14" s="58"/>
      <c r="L14" s="58"/>
      <c r="M14" s="58"/>
      <c r="N14" s="58"/>
      <c r="O14" s="58"/>
      <c r="P14" s="58"/>
      <c r="Q14" s="58"/>
      <c r="R14" s="58"/>
      <c r="S14" s="58"/>
      <c r="T14" s="58"/>
      <c r="U14" s="58"/>
      <c r="V14" s="58"/>
      <c r="W14" s="58"/>
      <c r="X14" s="58"/>
      <c r="Y14" s="58"/>
      <c r="Z14" s="58"/>
    </row>
    <row r="15">
      <c r="A15" s="85" t="s">
        <v>149</v>
      </c>
      <c r="B15" s="72" t="s">
        <v>972</v>
      </c>
      <c r="C15" s="72" t="s">
        <v>1002</v>
      </c>
      <c r="D15" s="72" t="s">
        <v>1003</v>
      </c>
      <c r="E15" s="72" t="s">
        <v>1022</v>
      </c>
      <c r="F15" s="72" t="s">
        <v>1023</v>
      </c>
      <c r="G15" s="78"/>
      <c r="H15" s="72" t="s">
        <v>1024</v>
      </c>
      <c r="I15" s="73" t="s">
        <v>13</v>
      </c>
      <c r="J15" s="58"/>
      <c r="K15" s="58"/>
      <c r="L15" s="58"/>
      <c r="M15" s="58"/>
      <c r="N15" s="58"/>
      <c r="O15" s="58"/>
      <c r="P15" s="58"/>
      <c r="Q15" s="58"/>
      <c r="R15" s="58"/>
      <c r="S15" s="58"/>
      <c r="T15" s="58"/>
      <c r="U15" s="58"/>
      <c r="V15" s="58"/>
      <c r="W15" s="58"/>
      <c r="X15" s="58"/>
      <c r="Y15" s="58"/>
      <c r="Z15" s="58"/>
    </row>
    <row r="16">
      <c r="A16" s="85" t="s">
        <v>153</v>
      </c>
      <c r="B16" s="72" t="s">
        <v>972</v>
      </c>
      <c r="C16" s="72" t="s">
        <v>1002</v>
      </c>
      <c r="D16" s="72" t="s">
        <v>1003</v>
      </c>
      <c r="E16" s="72" t="s">
        <v>1025</v>
      </c>
      <c r="F16" s="72" t="s">
        <v>1026</v>
      </c>
      <c r="G16" s="78"/>
      <c r="H16" s="72" t="s">
        <v>1027</v>
      </c>
      <c r="I16" s="73" t="s">
        <v>13</v>
      </c>
      <c r="J16" s="58"/>
      <c r="K16" s="58"/>
      <c r="L16" s="58"/>
      <c r="M16" s="58"/>
      <c r="N16" s="58"/>
      <c r="O16" s="58"/>
      <c r="P16" s="58"/>
      <c r="Q16" s="58"/>
      <c r="R16" s="58"/>
      <c r="S16" s="58"/>
      <c r="T16" s="58"/>
      <c r="U16" s="58"/>
      <c r="V16" s="58"/>
      <c r="W16" s="58"/>
      <c r="X16" s="58"/>
      <c r="Y16" s="58"/>
      <c r="Z16" s="58"/>
    </row>
    <row r="17">
      <c r="A17" s="85" t="s">
        <v>158</v>
      </c>
      <c r="B17" s="72" t="s">
        <v>972</v>
      </c>
      <c r="C17" s="72" t="s">
        <v>1002</v>
      </c>
      <c r="D17" s="72" t="s">
        <v>1003</v>
      </c>
      <c r="E17" s="72" t="s">
        <v>1028</v>
      </c>
      <c r="F17" s="72" t="s">
        <v>1029</v>
      </c>
      <c r="G17" s="72" t="s">
        <v>1030</v>
      </c>
      <c r="H17" s="72" t="s">
        <v>1031</v>
      </c>
      <c r="I17" s="73" t="s">
        <v>13</v>
      </c>
      <c r="J17" s="58"/>
      <c r="K17" s="58"/>
      <c r="L17" s="58"/>
      <c r="M17" s="58"/>
      <c r="N17" s="58"/>
      <c r="O17" s="58"/>
      <c r="P17" s="58"/>
      <c r="Q17" s="58"/>
      <c r="R17" s="58"/>
      <c r="S17" s="58"/>
      <c r="T17" s="58"/>
      <c r="U17" s="58"/>
      <c r="V17" s="58"/>
      <c r="W17" s="58"/>
      <c r="X17" s="58"/>
      <c r="Y17" s="58"/>
      <c r="Z17" s="58"/>
    </row>
    <row r="18">
      <c r="A18" s="85" t="s">
        <v>162</v>
      </c>
      <c r="B18" s="72" t="s">
        <v>972</v>
      </c>
      <c r="C18" s="72" t="s">
        <v>1002</v>
      </c>
      <c r="D18" s="72" t="s">
        <v>1003</v>
      </c>
      <c r="E18" s="72" t="s">
        <v>1032</v>
      </c>
      <c r="F18" s="72" t="s">
        <v>1033</v>
      </c>
      <c r="G18" s="72" t="s">
        <v>1034</v>
      </c>
      <c r="H18" s="72" t="s">
        <v>1033</v>
      </c>
      <c r="I18" s="73" t="s">
        <v>13</v>
      </c>
      <c r="J18" s="58"/>
      <c r="K18" s="58"/>
      <c r="L18" s="58"/>
      <c r="M18" s="58"/>
      <c r="N18" s="58"/>
      <c r="O18" s="58"/>
      <c r="P18" s="58"/>
      <c r="Q18" s="58"/>
      <c r="R18" s="58"/>
      <c r="S18" s="58"/>
      <c r="T18" s="58"/>
      <c r="U18" s="58"/>
      <c r="V18" s="58"/>
      <c r="W18" s="58"/>
      <c r="X18" s="58"/>
      <c r="Y18" s="58"/>
      <c r="Z18" s="58"/>
    </row>
    <row r="19">
      <c r="A19" s="85" t="s">
        <v>165</v>
      </c>
      <c r="B19" s="72" t="s">
        <v>972</v>
      </c>
      <c r="C19" s="72" t="s">
        <v>1002</v>
      </c>
      <c r="D19" s="72" t="s">
        <v>1003</v>
      </c>
      <c r="E19" s="72" t="s">
        <v>1035</v>
      </c>
      <c r="F19" s="72" t="s">
        <v>1036</v>
      </c>
      <c r="G19" s="78"/>
      <c r="H19" s="72" t="s">
        <v>1036</v>
      </c>
      <c r="I19" s="73" t="s">
        <v>13</v>
      </c>
      <c r="J19" s="58"/>
      <c r="K19" s="58"/>
      <c r="L19" s="58"/>
      <c r="M19" s="58"/>
      <c r="N19" s="58"/>
      <c r="O19" s="58"/>
      <c r="P19" s="58"/>
      <c r="Q19" s="58"/>
      <c r="R19" s="58"/>
      <c r="S19" s="58"/>
      <c r="T19" s="58"/>
      <c r="U19" s="58"/>
      <c r="V19" s="58"/>
      <c r="W19" s="58"/>
      <c r="X19" s="58"/>
      <c r="Y19" s="58"/>
      <c r="Z19" s="58"/>
    </row>
    <row r="20">
      <c r="A20" s="85" t="s">
        <v>167</v>
      </c>
      <c r="B20" s="72" t="s">
        <v>972</v>
      </c>
      <c r="C20" s="72" t="s">
        <v>1002</v>
      </c>
      <c r="D20" s="72" t="s">
        <v>1003</v>
      </c>
      <c r="E20" s="72" t="s">
        <v>1037</v>
      </c>
      <c r="F20" s="72" t="s">
        <v>1038</v>
      </c>
      <c r="G20" s="78"/>
      <c r="H20" s="72" t="s">
        <v>1039</v>
      </c>
      <c r="I20" s="73" t="s">
        <v>13</v>
      </c>
      <c r="J20" s="58"/>
      <c r="K20" s="58"/>
      <c r="L20" s="58"/>
      <c r="M20" s="58"/>
      <c r="N20" s="58"/>
      <c r="O20" s="58"/>
      <c r="P20" s="58"/>
      <c r="Q20" s="58"/>
      <c r="R20" s="58"/>
      <c r="S20" s="58"/>
      <c r="T20" s="58"/>
      <c r="U20" s="58"/>
      <c r="V20" s="58"/>
      <c r="W20" s="58"/>
      <c r="X20" s="58"/>
      <c r="Y20" s="58"/>
      <c r="Z20" s="58"/>
    </row>
    <row r="21">
      <c r="A21" s="85" t="s">
        <v>170</v>
      </c>
      <c r="B21" s="72" t="s">
        <v>972</v>
      </c>
      <c r="C21" s="72" t="s">
        <v>1002</v>
      </c>
      <c r="D21" s="72" t="s">
        <v>1003</v>
      </c>
      <c r="E21" s="72" t="s">
        <v>1040</v>
      </c>
      <c r="F21" s="72" t="s">
        <v>1041</v>
      </c>
      <c r="G21" s="72" t="s">
        <v>1042</v>
      </c>
      <c r="H21" s="72" t="s">
        <v>1043</v>
      </c>
      <c r="I21" s="73" t="s">
        <v>13</v>
      </c>
      <c r="J21" s="58"/>
      <c r="K21" s="58"/>
      <c r="L21" s="58"/>
      <c r="M21" s="58"/>
      <c r="N21" s="58"/>
      <c r="O21" s="58"/>
      <c r="P21" s="58"/>
      <c r="Q21" s="58"/>
      <c r="R21" s="58"/>
      <c r="S21" s="58"/>
      <c r="T21" s="58"/>
      <c r="U21" s="58"/>
      <c r="V21" s="58"/>
      <c r="W21" s="58"/>
      <c r="X21" s="58"/>
      <c r="Y21" s="58"/>
      <c r="Z21" s="58"/>
    </row>
    <row r="22">
      <c r="A22" s="85" t="s">
        <v>175</v>
      </c>
      <c r="B22" s="72" t="s">
        <v>972</v>
      </c>
      <c r="C22" s="72" t="s">
        <v>1002</v>
      </c>
      <c r="D22" s="72" t="s">
        <v>1003</v>
      </c>
      <c r="E22" s="72" t="s">
        <v>1044</v>
      </c>
      <c r="F22" s="72" t="s">
        <v>1045</v>
      </c>
      <c r="G22" s="72" t="s">
        <v>1046</v>
      </c>
      <c r="H22" s="72" t="s">
        <v>1047</v>
      </c>
      <c r="I22" s="73" t="s">
        <v>13</v>
      </c>
      <c r="J22" s="58"/>
      <c r="K22" s="58"/>
      <c r="L22" s="58"/>
      <c r="M22" s="58"/>
      <c r="N22" s="58"/>
      <c r="O22" s="58"/>
      <c r="P22" s="58"/>
      <c r="Q22" s="58"/>
      <c r="R22" s="58"/>
      <c r="S22" s="58"/>
      <c r="T22" s="58"/>
      <c r="U22" s="58"/>
      <c r="V22" s="58"/>
      <c r="W22" s="58"/>
      <c r="X22" s="58"/>
      <c r="Y22" s="58"/>
      <c r="Z22" s="58"/>
    </row>
    <row r="23">
      <c r="A23" s="85" t="s">
        <v>180</v>
      </c>
      <c r="B23" s="72" t="s">
        <v>972</v>
      </c>
      <c r="C23" s="72" t="s">
        <v>1002</v>
      </c>
      <c r="D23" s="72" t="s">
        <v>1003</v>
      </c>
      <c r="E23" s="72" t="s">
        <v>1048</v>
      </c>
      <c r="F23" s="72" t="s">
        <v>1049</v>
      </c>
      <c r="G23" s="72" t="s">
        <v>1050</v>
      </c>
      <c r="H23" s="72" t="s">
        <v>1049</v>
      </c>
      <c r="I23" s="73" t="s">
        <v>13</v>
      </c>
      <c r="J23" s="58"/>
      <c r="K23" s="58"/>
      <c r="L23" s="58"/>
      <c r="M23" s="58"/>
      <c r="N23" s="58"/>
      <c r="O23" s="58"/>
      <c r="P23" s="58"/>
      <c r="Q23" s="58"/>
      <c r="R23" s="58"/>
      <c r="S23" s="58"/>
      <c r="T23" s="58"/>
      <c r="U23" s="58"/>
      <c r="V23" s="58"/>
      <c r="W23" s="58"/>
      <c r="X23" s="58"/>
      <c r="Y23" s="58"/>
      <c r="Z23" s="58"/>
    </row>
    <row r="24">
      <c r="A24" s="85" t="s">
        <v>185</v>
      </c>
      <c r="B24" s="72" t="s">
        <v>972</v>
      </c>
      <c r="C24" s="72" t="s">
        <v>1051</v>
      </c>
      <c r="D24" s="72" t="s">
        <v>1052</v>
      </c>
      <c r="E24" s="72" t="s">
        <v>1053</v>
      </c>
      <c r="F24" s="72" t="s">
        <v>1054</v>
      </c>
      <c r="G24" s="78"/>
      <c r="H24" s="72" t="s">
        <v>1055</v>
      </c>
      <c r="I24" s="73" t="s">
        <v>13</v>
      </c>
      <c r="J24" s="58"/>
      <c r="K24" s="58"/>
      <c r="L24" s="58"/>
      <c r="M24" s="58"/>
      <c r="N24" s="58"/>
      <c r="O24" s="58"/>
      <c r="P24" s="58"/>
      <c r="Q24" s="58"/>
      <c r="R24" s="58"/>
      <c r="S24" s="58"/>
      <c r="T24" s="58"/>
      <c r="U24" s="58"/>
      <c r="V24" s="58"/>
      <c r="W24" s="58"/>
      <c r="X24" s="58"/>
      <c r="Y24" s="58"/>
      <c r="Z24" s="58"/>
    </row>
    <row r="25">
      <c r="A25" s="85" t="s">
        <v>190</v>
      </c>
      <c r="B25" s="72" t="s">
        <v>972</v>
      </c>
      <c r="C25" s="72" t="s">
        <v>1051</v>
      </c>
      <c r="D25" s="72" t="s">
        <v>1052</v>
      </c>
      <c r="E25" s="72" t="s">
        <v>1056</v>
      </c>
      <c r="F25" s="72" t="s">
        <v>1057</v>
      </c>
      <c r="G25" s="72" t="s">
        <v>1058</v>
      </c>
      <c r="H25" s="72" t="s">
        <v>1059</v>
      </c>
      <c r="I25" s="73" t="s">
        <v>13</v>
      </c>
      <c r="J25" s="58"/>
      <c r="K25" s="58"/>
      <c r="L25" s="58"/>
      <c r="M25" s="58"/>
      <c r="N25" s="58"/>
      <c r="O25" s="58"/>
      <c r="P25" s="58"/>
      <c r="Q25" s="58"/>
      <c r="R25" s="58"/>
      <c r="S25" s="58"/>
      <c r="T25" s="58"/>
      <c r="U25" s="58"/>
      <c r="V25" s="58"/>
      <c r="W25" s="58"/>
      <c r="X25" s="58"/>
      <c r="Y25" s="58"/>
      <c r="Z25" s="58"/>
    </row>
    <row r="26">
      <c r="A26" s="85" t="s">
        <v>195</v>
      </c>
      <c r="B26" s="72" t="s">
        <v>972</v>
      </c>
      <c r="C26" s="72" t="s">
        <v>1051</v>
      </c>
      <c r="D26" s="72" t="s">
        <v>1052</v>
      </c>
      <c r="E26" s="72" t="s">
        <v>1060</v>
      </c>
      <c r="F26" s="72" t="s">
        <v>1061</v>
      </c>
      <c r="G26" s="72" t="s">
        <v>1062</v>
      </c>
      <c r="H26" s="72" t="s">
        <v>1059</v>
      </c>
      <c r="I26" s="73" t="s">
        <v>13</v>
      </c>
      <c r="J26" s="58"/>
      <c r="K26" s="58"/>
      <c r="L26" s="58"/>
      <c r="M26" s="58"/>
      <c r="N26" s="58"/>
      <c r="O26" s="58"/>
      <c r="P26" s="58"/>
      <c r="Q26" s="58"/>
      <c r="R26" s="58"/>
      <c r="S26" s="58"/>
      <c r="T26" s="58"/>
      <c r="U26" s="58"/>
      <c r="V26" s="58"/>
      <c r="W26" s="58"/>
      <c r="X26" s="58"/>
      <c r="Y26" s="58"/>
      <c r="Z26" s="58"/>
    </row>
    <row r="27">
      <c r="A27" s="85" t="s">
        <v>200</v>
      </c>
      <c r="B27" s="72" t="s">
        <v>972</v>
      </c>
      <c r="C27" s="72" t="s">
        <v>1051</v>
      </c>
      <c r="D27" s="72" t="s">
        <v>1052</v>
      </c>
      <c r="E27" s="72" t="s">
        <v>1063</v>
      </c>
      <c r="F27" s="72" t="s">
        <v>1064</v>
      </c>
      <c r="G27" s="78"/>
      <c r="H27" s="72" t="s">
        <v>1065</v>
      </c>
      <c r="I27" s="73" t="s">
        <v>13</v>
      </c>
      <c r="J27" s="58"/>
      <c r="K27" s="58"/>
      <c r="L27" s="58"/>
      <c r="M27" s="58"/>
      <c r="N27" s="58"/>
      <c r="O27" s="58"/>
      <c r="P27" s="58"/>
      <c r="Q27" s="58"/>
      <c r="R27" s="58"/>
      <c r="S27" s="58"/>
      <c r="T27" s="58"/>
      <c r="U27" s="58"/>
      <c r="V27" s="58"/>
      <c r="W27" s="58"/>
      <c r="X27" s="58"/>
      <c r="Y27" s="58"/>
      <c r="Z27" s="58"/>
    </row>
    <row r="28">
      <c r="A28" s="85" t="s">
        <v>205</v>
      </c>
      <c r="B28" s="72" t="s">
        <v>972</v>
      </c>
      <c r="C28" s="72" t="s">
        <v>1051</v>
      </c>
      <c r="D28" s="72" t="s">
        <v>1052</v>
      </c>
      <c r="E28" s="72" t="s">
        <v>1066</v>
      </c>
      <c r="F28" s="72" t="s">
        <v>1067</v>
      </c>
      <c r="G28" s="78"/>
      <c r="H28" s="72" t="s">
        <v>1067</v>
      </c>
      <c r="I28" s="73" t="s">
        <v>13</v>
      </c>
      <c r="J28" s="58"/>
      <c r="K28" s="58"/>
      <c r="L28" s="58"/>
      <c r="M28" s="58"/>
      <c r="N28" s="58"/>
      <c r="O28" s="58"/>
      <c r="P28" s="58"/>
      <c r="Q28" s="58"/>
      <c r="R28" s="58"/>
      <c r="S28" s="58"/>
      <c r="T28" s="58"/>
      <c r="U28" s="58"/>
      <c r="V28" s="58"/>
      <c r="W28" s="58"/>
      <c r="X28" s="58"/>
      <c r="Y28" s="58"/>
      <c r="Z28" s="58"/>
    </row>
    <row r="29">
      <c r="A29" s="85" t="s">
        <v>210</v>
      </c>
      <c r="B29" s="72" t="s">
        <v>972</v>
      </c>
      <c r="C29" s="72" t="s">
        <v>1051</v>
      </c>
      <c r="D29" s="72" t="s">
        <v>1052</v>
      </c>
      <c r="E29" s="72" t="s">
        <v>1068</v>
      </c>
      <c r="F29" s="72" t="s">
        <v>1069</v>
      </c>
      <c r="G29" s="78"/>
      <c r="H29" s="72" t="s">
        <v>1070</v>
      </c>
      <c r="I29" s="73" t="s">
        <v>13</v>
      </c>
      <c r="J29" s="58"/>
      <c r="K29" s="58"/>
      <c r="L29" s="58"/>
      <c r="M29" s="58"/>
      <c r="N29" s="58"/>
      <c r="O29" s="58"/>
      <c r="P29" s="58"/>
      <c r="Q29" s="58"/>
      <c r="R29" s="58"/>
      <c r="S29" s="58"/>
      <c r="T29" s="58"/>
      <c r="U29" s="58"/>
      <c r="V29" s="58"/>
      <c r="W29" s="58"/>
      <c r="X29" s="58"/>
      <c r="Y29" s="58"/>
      <c r="Z29" s="58"/>
    </row>
    <row r="30">
      <c r="A30" s="85" t="s">
        <v>215</v>
      </c>
      <c r="B30" s="72" t="s">
        <v>972</v>
      </c>
      <c r="C30" s="72" t="s">
        <v>1051</v>
      </c>
      <c r="D30" s="72" t="s">
        <v>1052</v>
      </c>
      <c r="E30" s="72" t="s">
        <v>1071</v>
      </c>
      <c r="F30" s="72" t="s">
        <v>1072</v>
      </c>
      <c r="G30" s="78"/>
      <c r="H30" s="72" t="s">
        <v>1073</v>
      </c>
      <c r="I30" s="73" t="s">
        <v>13</v>
      </c>
      <c r="J30" s="58"/>
      <c r="K30" s="58"/>
      <c r="L30" s="58"/>
      <c r="M30" s="58"/>
      <c r="N30" s="58"/>
      <c r="O30" s="58"/>
      <c r="P30" s="58"/>
      <c r="Q30" s="58"/>
      <c r="R30" s="58"/>
      <c r="S30" s="58"/>
      <c r="T30" s="58"/>
      <c r="U30" s="58"/>
      <c r="V30" s="58"/>
      <c r="W30" s="58"/>
      <c r="X30" s="58"/>
      <c r="Y30" s="58"/>
      <c r="Z30" s="58"/>
    </row>
    <row r="31">
      <c r="A31" s="85" t="s">
        <v>220</v>
      </c>
      <c r="B31" s="72" t="s">
        <v>972</v>
      </c>
      <c r="C31" s="72" t="s">
        <v>1051</v>
      </c>
      <c r="D31" s="72" t="s">
        <v>1052</v>
      </c>
      <c r="E31" s="72" t="s">
        <v>1074</v>
      </c>
      <c r="F31" s="72" t="s">
        <v>1075</v>
      </c>
      <c r="G31" s="78"/>
      <c r="H31" s="72" t="s">
        <v>1076</v>
      </c>
      <c r="I31" s="73" t="s">
        <v>13</v>
      </c>
      <c r="J31" s="58"/>
      <c r="K31" s="58"/>
      <c r="L31" s="58"/>
      <c r="M31" s="58"/>
      <c r="N31" s="58"/>
      <c r="O31" s="58"/>
      <c r="P31" s="58"/>
      <c r="Q31" s="58"/>
      <c r="R31" s="58"/>
      <c r="S31" s="58"/>
      <c r="T31" s="58"/>
      <c r="U31" s="58"/>
      <c r="V31" s="58"/>
      <c r="W31" s="58"/>
      <c r="X31" s="58"/>
      <c r="Y31" s="58"/>
      <c r="Z31" s="58"/>
    </row>
    <row r="32">
      <c r="A32" s="85" t="s">
        <v>224</v>
      </c>
      <c r="B32" s="72" t="s">
        <v>972</v>
      </c>
      <c r="C32" s="72" t="s">
        <v>1051</v>
      </c>
      <c r="D32" s="72" t="s">
        <v>1077</v>
      </c>
      <c r="E32" s="72" t="s">
        <v>1078</v>
      </c>
      <c r="F32" s="72" t="s">
        <v>1079</v>
      </c>
      <c r="G32" s="72" t="s">
        <v>1058</v>
      </c>
      <c r="H32" s="72" t="s">
        <v>1080</v>
      </c>
      <c r="I32" s="73" t="s">
        <v>13</v>
      </c>
      <c r="J32" s="58"/>
      <c r="K32" s="58"/>
      <c r="L32" s="58"/>
      <c r="M32" s="58"/>
      <c r="N32" s="58"/>
      <c r="O32" s="58"/>
      <c r="P32" s="58"/>
      <c r="Q32" s="58"/>
      <c r="R32" s="58"/>
      <c r="S32" s="58"/>
      <c r="T32" s="58"/>
      <c r="U32" s="58"/>
      <c r="V32" s="58"/>
      <c r="W32" s="58"/>
      <c r="X32" s="58"/>
      <c r="Y32" s="58"/>
      <c r="Z32" s="58"/>
    </row>
    <row r="33">
      <c r="A33" s="85" t="s">
        <v>228</v>
      </c>
      <c r="B33" s="72" t="s">
        <v>972</v>
      </c>
      <c r="C33" s="72" t="s">
        <v>1081</v>
      </c>
      <c r="D33" s="72" t="s">
        <v>1082</v>
      </c>
      <c r="E33" s="72" t="s">
        <v>1083</v>
      </c>
      <c r="F33" s="72" t="s">
        <v>1084</v>
      </c>
      <c r="G33" s="72" t="s">
        <v>1085</v>
      </c>
      <c r="H33" s="72" t="s">
        <v>1086</v>
      </c>
      <c r="I33" s="73" t="s">
        <v>13</v>
      </c>
      <c r="J33" s="58"/>
      <c r="K33" s="58"/>
      <c r="L33" s="58"/>
      <c r="M33" s="58"/>
      <c r="N33" s="58"/>
      <c r="O33" s="58"/>
      <c r="P33" s="58"/>
      <c r="Q33" s="58"/>
      <c r="R33" s="58"/>
      <c r="S33" s="58"/>
      <c r="T33" s="58"/>
      <c r="U33" s="58"/>
      <c r="V33" s="58"/>
      <c r="W33" s="58"/>
      <c r="X33" s="58"/>
      <c r="Y33" s="58"/>
      <c r="Z33" s="58"/>
    </row>
    <row r="34">
      <c r="A34" s="85" t="s">
        <v>233</v>
      </c>
      <c r="B34" s="72" t="s">
        <v>972</v>
      </c>
      <c r="C34" s="72" t="s">
        <v>1081</v>
      </c>
      <c r="D34" s="72" t="s">
        <v>1082</v>
      </c>
      <c r="E34" s="72" t="s">
        <v>1087</v>
      </c>
      <c r="F34" s="72" t="s">
        <v>1088</v>
      </c>
      <c r="G34" s="78"/>
      <c r="H34" s="72" t="s">
        <v>1089</v>
      </c>
      <c r="I34" s="73" t="s">
        <v>13</v>
      </c>
      <c r="J34" s="58"/>
      <c r="K34" s="58"/>
      <c r="L34" s="58"/>
      <c r="M34" s="58"/>
      <c r="N34" s="58"/>
      <c r="O34" s="58"/>
      <c r="P34" s="58"/>
      <c r="Q34" s="58"/>
      <c r="R34" s="58"/>
      <c r="S34" s="58"/>
      <c r="T34" s="58"/>
      <c r="U34" s="58"/>
      <c r="V34" s="58"/>
      <c r="W34" s="58"/>
      <c r="X34" s="58"/>
      <c r="Y34" s="58"/>
      <c r="Z34" s="58"/>
    </row>
    <row r="35">
      <c r="A35" s="85" t="s">
        <v>237</v>
      </c>
      <c r="B35" s="72" t="s">
        <v>972</v>
      </c>
      <c r="C35" s="72" t="s">
        <v>1081</v>
      </c>
      <c r="D35" s="72" t="s">
        <v>1082</v>
      </c>
      <c r="E35" s="72" t="s">
        <v>1090</v>
      </c>
      <c r="F35" s="72" t="s">
        <v>1091</v>
      </c>
      <c r="G35" s="78"/>
      <c r="H35" s="72" t="s">
        <v>1092</v>
      </c>
      <c r="I35" s="73" t="s">
        <v>13</v>
      </c>
      <c r="J35" s="58"/>
      <c r="K35" s="58"/>
      <c r="L35" s="58"/>
      <c r="M35" s="58"/>
      <c r="N35" s="58"/>
      <c r="O35" s="58"/>
      <c r="P35" s="58"/>
      <c r="Q35" s="58"/>
      <c r="R35" s="58"/>
      <c r="S35" s="58"/>
      <c r="T35" s="58"/>
      <c r="U35" s="58"/>
      <c r="V35" s="58"/>
      <c r="W35" s="58"/>
      <c r="X35" s="58"/>
      <c r="Y35" s="58"/>
      <c r="Z35" s="58"/>
    </row>
    <row r="36">
      <c r="A36" s="85" t="s">
        <v>241</v>
      </c>
      <c r="B36" s="72" t="s">
        <v>972</v>
      </c>
      <c r="C36" s="72" t="s">
        <v>1081</v>
      </c>
      <c r="D36" s="72" t="s">
        <v>1082</v>
      </c>
      <c r="E36" s="72" t="s">
        <v>1093</v>
      </c>
      <c r="F36" s="72" t="s">
        <v>1094</v>
      </c>
      <c r="G36" s="72" t="s">
        <v>1095</v>
      </c>
      <c r="H36" s="72" t="s">
        <v>1096</v>
      </c>
      <c r="I36" s="73" t="s">
        <v>13</v>
      </c>
      <c r="J36" s="58"/>
      <c r="K36" s="58"/>
      <c r="L36" s="58"/>
      <c r="M36" s="58"/>
      <c r="N36" s="58"/>
      <c r="O36" s="58"/>
      <c r="P36" s="58"/>
      <c r="Q36" s="58"/>
      <c r="R36" s="58"/>
      <c r="S36" s="58"/>
      <c r="T36" s="58"/>
      <c r="U36" s="58"/>
      <c r="V36" s="58"/>
      <c r="W36" s="58"/>
      <c r="X36" s="58"/>
      <c r="Y36" s="58"/>
      <c r="Z36" s="58"/>
    </row>
    <row r="37">
      <c r="A37" s="85" t="s">
        <v>245</v>
      </c>
      <c r="B37" s="72" t="s">
        <v>972</v>
      </c>
      <c r="C37" s="72" t="s">
        <v>1081</v>
      </c>
      <c r="D37" s="72" t="s">
        <v>1082</v>
      </c>
      <c r="E37" s="72" t="s">
        <v>1097</v>
      </c>
      <c r="F37" s="72" t="s">
        <v>1098</v>
      </c>
      <c r="G37" s="78"/>
      <c r="H37" s="72" t="s">
        <v>1098</v>
      </c>
      <c r="I37" s="73" t="s">
        <v>13</v>
      </c>
      <c r="J37" s="58"/>
      <c r="K37" s="58"/>
      <c r="L37" s="58"/>
      <c r="M37" s="58"/>
      <c r="N37" s="58"/>
      <c r="O37" s="58"/>
      <c r="P37" s="58"/>
      <c r="Q37" s="58"/>
      <c r="R37" s="58"/>
      <c r="S37" s="58"/>
      <c r="T37" s="58"/>
      <c r="U37" s="58"/>
      <c r="V37" s="58"/>
      <c r="W37" s="58"/>
      <c r="X37" s="58"/>
      <c r="Y37" s="58"/>
      <c r="Z37" s="58"/>
    </row>
    <row r="38">
      <c r="A38" s="85" t="s">
        <v>250</v>
      </c>
      <c r="B38" s="72" t="s">
        <v>972</v>
      </c>
      <c r="C38" s="72" t="s">
        <v>1099</v>
      </c>
      <c r="D38" s="72" t="s">
        <v>1082</v>
      </c>
      <c r="E38" s="72" t="s">
        <v>1100</v>
      </c>
      <c r="F38" s="72" t="s">
        <v>1101</v>
      </c>
      <c r="G38" s="78"/>
      <c r="H38" s="72" t="s">
        <v>1102</v>
      </c>
      <c r="I38" s="73" t="s">
        <v>13</v>
      </c>
      <c r="J38" s="58"/>
      <c r="K38" s="58"/>
      <c r="L38" s="58"/>
      <c r="M38" s="58"/>
      <c r="N38" s="58"/>
      <c r="O38" s="58"/>
      <c r="P38" s="58"/>
      <c r="Q38" s="58"/>
      <c r="R38" s="58"/>
      <c r="S38" s="58"/>
      <c r="T38" s="58"/>
      <c r="U38" s="58"/>
      <c r="V38" s="58"/>
      <c r="W38" s="58"/>
      <c r="X38" s="58"/>
      <c r="Y38" s="58"/>
      <c r="Z38" s="58"/>
    </row>
    <row r="39">
      <c r="A39" s="85" t="s">
        <v>254</v>
      </c>
      <c r="B39" s="72" t="s">
        <v>972</v>
      </c>
      <c r="C39" s="72" t="s">
        <v>1099</v>
      </c>
      <c r="D39" s="72" t="s">
        <v>1082</v>
      </c>
      <c r="E39" s="72" t="s">
        <v>1103</v>
      </c>
      <c r="F39" s="72" t="s">
        <v>1104</v>
      </c>
      <c r="G39" s="72" t="s">
        <v>1105</v>
      </c>
      <c r="H39" s="72" t="s">
        <v>1106</v>
      </c>
      <c r="I39" s="73" t="s">
        <v>13</v>
      </c>
      <c r="J39" s="58"/>
      <c r="K39" s="58"/>
      <c r="L39" s="58"/>
      <c r="M39" s="58"/>
      <c r="N39" s="58"/>
      <c r="O39" s="58"/>
      <c r="P39" s="58"/>
      <c r="Q39" s="58"/>
      <c r="R39" s="58"/>
      <c r="S39" s="58"/>
      <c r="T39" s="58"/>
      <c r="U39" s="58"/>
      <c r="V39" s="58"/>
      <c r="W39" s="58"/>
      <c r="X39" s="58"/>
      <c r="Y39" s="58"/>
      <c r="Z39" s="58"/>
    </row>
    <row r="40">
      <c r="A40" s="85" t="s">
        <v>258</v>
      </c>
      <c r="B40" s="72" t="s">
        <v>972</v>
      </c>
      <c r="C40" s="72" t="s">
        <v>1099</v>
      </c>
      <c r="D40" s="72" t="s">
        <v>1082</v>
      </c>
      <c r="E40" s="72" t="s">
        <v>1107</v>
      </c>
      <c r="F40" s="72" t="s">
        <v>1108</v>
      </c>
      <c r="G40" s="78"/>
      <c r="H40" s="72" t="s">
        <v>1109</v>
      </c>
      <c r="I40" s="73" t="s">
        <v>13</v>
      </c>
      <c r="J40" s="58"/>
      <c r="K40" s="58"/>
      <c r="L40" s="58"/>
      <c r="M40" s="58"/>
      <c r="N40" s="58"/>
      <c r="O40" s="58"/>
      <c r="P40" s="58"/>
      <c r="Q40" s="58"/>
      <c r="R40" s="58"/>
      <c r="S40" s="58"/>
      <c r="T40" s="58"/>
      <c r="U40" s="58"/>
      <c r="V40" s="58"/>
      <c r="W40" s="58"/>
      <c r="X40" s="58"/>
      <c r="Y40" s="58"/>
      <c r="Z40" s="58"/>
    </row>
    <row r="41">
      <c r="A41" s="85" t="s">
        <v>263</v>
      </c>
      <c r="B41" s="72" t="s">
        <v>972</v>
      </c>
      <c r="C41" s="72" t="s">
        <v>1099</v>
      </c>
      <c r="D41" s="72" t="s">
        <v>1082</v>
      </c>
      <c r="E41" s="72" t="s">
        <v>1110</v>
      </c>
      <c r="F41" s="72" t="s">
        <v>1111</v>
      </c>
      <c r="G41" s="78"/>
      <c r="H41" s="72" t="s">
        <v>1112</v>
      </c>
      <c r="I41" s="73" t="s">
        <v>13</v>
      </c>
      <c r="J41" s="58"/>
      <c r="K41" s="58"/>
      <c r="L41" s="58"/>
      <c r="M41" s="58"/>
      <c r="N41" s="58"/>
      <c r="O41" s="58"/>
      <c r="P41" s="58"/>
      <c r="Q41" s="58"/>
      <c r="R41" s="58"/>
      <c r="S41" s="58"/>
      <c r="T41" s="58"/>
      <c r="U41" s="58"/>
      <c r="V41" s="58"/>
      <c r="W41" s="58"/>
      <c r="X41" s="58"/>
      <c r="Y41" s="58"/>
      <c r="Z41" s="58"/>
    </row>
    <row r="42">
      <c r="A42" s="85" t="s">
        <v>268</v>
      </c>
      <c r="B42" s="72" t="s">
        <v>972</v>
      </c>
      <c r="C42" s="72" t="s">
        <v>1099</v>
      </c>
      <c r="D42" s="72" t="s">
        <v>1082</v>
      </c>
      <c r="E42" s="72" t="s">
        <v>1113</v>
      </c>
      <c r="F42" s="72" t="s">
        <v>1114</v>
      </c>
      <c r="G42" s="78"/>
      <c r="H42" s="72" t="s">
        <v>1115</v>
      </c>
      <c r="I42" s="73" t="s">
        <v>13</v>
      </c>
      <c r="J42" s="58"/>
      <c r="K42" s="58"/>
      <c r="L42" s="58"/>
      <c r="M42" s="58"/>
      <c r="N42" s="58"/>
      <c r="O42" s="58"/>
      <c r="P42" s="58"/>
      <c r="Q42" s="58"/>
      <c r="R42" s="58"/>
      <c r="S42" s="58"/>
      <c r="T42" s="58"/>
      <c r="U42" s="58"/>
      <c r="V42" s="58"/>
      <c r="W42" s="58"/>
      <c r="X42" s="58"/>
      <c r="Y42" s="58"/>
      <c r="Z42" s="58"/>
    </row>
    <row r="43">
      <c r="A43" s="85" t="s">
        <v>271</v>
      </c>
      <c r="B43" s="72" t="s">
        <v>972</v>
      </c>
      <c r="C43" s="72" t="s">
        <v>1099</v>
      </c>
      <c r="D43" s="72" t="s">
        <v>1082</v>
      </c>
      <c r="E43" s="72" t="s">
        <v>1116</v>
      </c>
      <c r="F43" s="72" t="s">
        <v>1117</v>
      </c>
      <c r="G43" s="78"/>
      <c r="H43" s="72" t="s">
        <v>1118</v>
      </c>
      <c r="I43" s="73" t="s">
        <v>13</v>
      </c>
      <c r="J43" s="58"/>
      <c r="K43" s="58"/>
      <c r="L43" s="58"/>
      <c r="M43" s="58"/>
      <c r="N43" s="58"/>
      <c r="O43" s="58"/>
      <c r="P43" s="58"/>
      <c r="Q43" s="58"/>
      <c r="R43" s="58"/>
      <c r="S43" s="58"/>
      <c r="T43" s="58"/>
      <c r="U43" s="58"/>
      <c r="V43" s="58"/>
      <c r="W43" s="58"/>
      <c r="X43" s="58"/>
      <c r="Y43" s="58"/>
      <c r="Z43" s="58"/>
    </row>
    <row r="44">
      <c r="A44" s="85" t="s">
        <v>274</v>
      </c>
      <c r="B44" s="72" t="s">
        <v>972</v>
      </c>
      <c r="C44" s="72" t="s">
        <v>1099</v>
      </c>
      <c r="D44" s="72" t="s">
        <v>1082</v>
      </c>
      <c r="E44" s="72" t="s">
        <v>1119</v>
      </c>
      <c r="F44" s="72" t="s">
        <v>1120</v>
      </c>
      <c r="G44" s="78"/>
      <c r="H44" s="72" t="s">
        <v>1121</v>
      </c>
      <c r="I44" s="73" t="s">
        <v>13</v>
      </c>
      <c r="J44" s="58"/>
      <c r="K44" s="58"/>
      <c r="L44" s="58"/>
      <c r="M44" s="58"/>
      <c r="N44" s="58"/>
      <c r="O44" s="58"/>
      <c r="P44" s="58"/>
      <c r="Q44" s="58"/>
      <c r="R44" s="58"/>
      <c r="S44" s="58"/>
      <c r="T44" s="58"/>
      <c r="U44" s="58"/>
      <c r="V44" s="58"/>
      <c r="W44" s="58"/>
      <c r="X44" s="58"/>
      <c r="Y44" s="58"/>
      <c r="Z44" s="58"/>
    </row>
    <row r="45">
      <c r="A45" s="85" t="s">
        <v>405</v>
      </c>
      <c r="B45" s="72" t="s">
        <v>972</v>
      </c>
      <c r="C45" s="72" t="s">
        <v>1099</v>
      </c>
      <c r="D45" s="72" t="s">
        <v>1082</v>
      </c>
      <c r="E45" s="72" t="s">
        <v>1122</v>
      </c>
      <c r="F45" s="72" t="s">
        <v>1123</v>
      </c>
      <c r="G45" s="78"/>
      <c r="H45" s="72" t="s">
        <v>1124</v>
      </c>
      <c r="I45" s="73" t="s">
        <v>13</v>
      </c>
      <c r="J45" s="58"/>
      <c r="K45" s="58"/>
      <c r="L45" s="58"/>
      <c r="M45" s="58"/>
      <c r="N45" s="58"/>
      <c r="O45" s="58"/>
      <c r="P45" s="58"/>
      <c r="Q45" s="58"/>
      <c r="R45" s="58"/>
      <c r="S45" s="58"/>
      <c r="T45" s="58"/>
      <c r="U45" s="58"/>
      <c r="V45" s="58"/>
      <c r="W45" s="58"/>
      <c r="X45" s="58"/>
      <c r="Y45" s="58"/>
      <c r="Z45" s="58"/>
    </row>
    <row r="46">
      <c r="A46" s="85" t="s">
        <v>408</v>
      </c>
      <c r="B46" s="72" t="s">
        <v>972</v>
      </c>
      <c r="C46" s="72" t="s">
        <v>1099</v>
      </c>
      <c r="D46" s="72" t="s">
        <v>1082</v>
      </c>
      <c r="E46" s="72" t="s">
        <v>1125</v>
      </c>
      <c r="F46" s="72" t="s">
        <v>1126</v>
      </c>
      <c r="G46" s="78"/>
      <c r="H46" s="72" t="s">
        <v>1127</v>
      </c>
      <c r="I46" s="73" t="s">
        <v>13</v>
      </c>
      <c r="J46" s="58"/>
      <c r="K46" s="58"/>
      <c r="L46" s="58"/>
      <c r="M46" s="58"/>
      <c r="N46" s="58"/>
      <c r="O46" s="58"/>
      <c r="P46" s="58"/>
      <c r="Q46" s="58"/>
      <c r="R46" s="58"/>
      <c r="S46" s="58"/>
      <c r="T46" s="58"/>
      <c r="U46" s="58"/>
      <c r="V46" s="58"/>
      <c r="W46" s="58"/>
      <c r="X46" s="58"/>
      <c r="Y46" s="58"/>
      <c r="Z46" s="58"/>
    </row>
    <row r="47">
      <c r="A47" s="85" t="s">
        <v>629</v>
      </c>
      <c r="B47" s="72" t="s">
        <v>972</v>
      </c>
      <c r="C47" s="72" t="s">
        <v>1099</v>
      </c>
      <c r="D47" s="72" t="s">
        <v>1082</v>
      </c>
      <c r="E47" s="72" t="s">
        <v>1128</v>
      </c>
      <c r="F47" s="72" t="s">
        <v>1129</v>
      </c>
      <c r="G47" s="78"/>
      <c r="H47" s="72" t="s">
        <v>1130</v>
      </c>
      <c r="I47" s="73" t="s">
        <v>13</v>
      </c>
      <c r="J47" s="58"/>
      <c r="K47" s="58"/>
      <c r="L47" s="58"/>
      <c r="M47" s="58"/>
      <c r="N47" s="58"/>
      <c r="O47" s="58"/>
      <c r="P47" s="58"/>
      <c r="Q47" s="58"/>
      <c r="R47" s="58"/>
      <c r="S47" s="58"/>
      <c r="T47" s="58"/>
      <c r="U47" s="58"/>
      <c r="V47" s="58"/>
      <c r="W47" s="58"/>
      <c r="X47" s="58"/>
      <c r="Y47" s="58"/>
      <c r="Z47" s="58"/>
    </row>
    <row r="48">
      <c r="A48" s="85" t="s">
        <v>633</v>
      </c>
      <c r="B48" s="72" t="s">
        <v>972</v>
      </c>
      <c r="C48" s="72" t="s">
        <v>1131</v>
      </c>
      <c r="D48" s="72" t="s">
        <v>1082</v>
      </c>
      <c r="E48" s="72" t="s">
        <v>1132</v>
      </c>
      <c r="F48" s="72" t="s">
        <v>1133</v>
      </c>
      <c r="G48" s="78"/>
      <c r="H48" s="72" t="s">
        <v>1134</v>
      </c>
      <c r="I48" s="73" t="s">
        <v>13</v>
      </c>
      <c r="J48" s="58"/>
      <c r="K48" s="58"/>
      <c r="L48" s="58"/>
      <c r="M48" s="58"/>
      <c r="N48" s="58"/>
      <c r="O48" s="58"/>
      <c r="P48" s="58"/>
      <c r="Q48" s="58"/>
      <c r="R48" s="58"/>
      <c r="S48" s="58"/>
      <c r="T48" s="58"/>
      <c r="U48" s="58"/>
      <c r="V48" s="58"/>
      <c r="W48" s="58"/>
      <c r="X48" s="58"/>
      <c r="Y48" s="58"/>
      <c r="Z48" s="58"/>
    </row>
    <row r="49">
      <c r="A49" s="85" t="s">
        <v>637</v>
      </c>
      <c r="B49" s="72" t="s">
        <v>972</v>
      </c>
      <c r="C49" s="72" t="s">
        <v>1131</v>
      </c>
      <c r="D49" s="72" t="s">
        <v>1082</v>
      </c>
      <c r="E49" s="72" t="s">
        <v>1135</v>
      </c>
      <c r="F49" s="72" t="s">
        <v>1136</v>
      </c>
      <c r="G49" s="78"/>
      <c r="H49" s="72" t="s">
        <v>1137</v>
      </c>
      <c r="I49" s="73" t="s">
        <v>13</v>
      </c>
      <c r="J49" s="58"/>
      <c r="K49" s="58"/>
      <c r="L49" s="58"/>
      <c r="M49" s="58"/>
      <c r="N49" s="58"/>
      <c r="O49" s="58"/>
      <c r="P49" s="58"/>
      <c r="Q49" s="58"/>
      <c r="R49" s="58"/>
      <c r="S49" s="58"/>
      <c r="T49" s="58"/>
      <c r="U49" s="58"/>
      <c r="V49" s="58"/>
      <c r="W49" s="58"/>
      <c r="X49" s="58"/>
      <c r="Y49" s="58"/>
      <c r="Z49" s="58"/>
    </row>
    <row r="50">
      <c r="A50" s="85" t="s">
        <v>641</v>
      </c>
      <c r="B50" s="72" t="s">
        <v>972</v>
      </c>
      <c r="C50" s="72" t="s">
        <v>1131</v>
      </c>
      <c r="D50" s="72" t="s">
        <v>1082</v>
      </c>
      <c r="E50" s="72" t="s">
        <v>1138</v>
      </c>
      <c r="F50" s="72" t="s">
        <v>1139</v>
      </c>
      <c r="G50" s="72" t="s">
        <v>1140</v>
      </c>
      <c r="H50" s="72" t="s">
        <v>1141</v>
      </c>
      <c r="I50" s="73" t="s">
        <v>13</v>
      </c>
      <c r="J50" s="58"/>
      <c r="K50" s="58"/>
      <c r="L50" s="58"/>
      <c r="M50" s="58"/>
      <c r="N50" s="58"/>
      <c r="O50" s="58"/>
      <c r="P50" s="58"/>
      <c r="Q50" s="58"/>
      <c r="R50" s="58"/>
      <c r="S50" s="58"/>
      <c r="T50" s="58"/>
      <c r="U50" s="58"/>
      <c r="V50" s="58"/>
      <c r="W50" s="58"/>
      <c r="X50" s="58"/>
      <c r="Y50" s="58"/>
      <c r="Z50" s="58"/>
    </row>
    <row r="51">
      <c r="A51" s="85" t="s">
        <v>644</v>
      </c>
      <c r="B51" s="72" t="s">
        <v>972</v>
      </c>
      <c r="C51" s="72" t="s">
        <v>1131</v>
      </c>
      <c r="D51" s="72" t="s">
        <v>1082</v>
      </c>
      <c r="E51" s="72" t="s">
        <v>1142</v>
      </c>
      <c r="F51" s="72" t="s">
        <v>1143</v>
      </c>
      <c r="G51" s="72" t="s">
        <v>1144</v>
      </c>
      <c r="H51" s="72" t="s">
        <v>1145</v>
      </c>
      <c r="I51" s="73" t="s">
        <v>13</v>
      </c>
      <c r="J51" s="58"/>
      <c r="K51" s="58"/>
      <c r="L51" s="58"/>
      <c r="M51" s="58"/>
      <c r="N51" s="58"/>
      <c r="O51" s="58"/>
      <c r="P51" s="58"/>
      <c r="Q51" s="58"/>
      <c r="R51" s="58"/>
      <c r="S51" s="58"/>
      <c r="T51" s="58"/>
      <c r="U51" s="58"/>
      <c r="V51" s="58"/>
      <c r="W51" s="58"/>
      <c r="X51" s="58"/>
      <c r="Y51" s="58"/>
      <c r="Z51" s="58"/>
    </row>
    <row r="52">
      <c r="A52" s="85" t="s">
        <v>647</v>
      </c>
      <c r="B52" s="72" t="s">
        <v>972</v>
      </c>
      <c r="C52" s="72" t="s">
        <v>1146</v>
      </c>
      <c r="D52" s="72" t="s">
        <v>1082</v>
      </c>
      <c r="E52" s="72" t="s">
        <v>1147</v>
      </c>
      <c r="F52" s="72" t="s">
        <v>1148</v>
      </c>
      <c r="G52" s="78"/>
      <c r="H52" s="72" t="s">
        <v>1149</v>
      </c>
      <c r="I52" s="73" t="s">
        <v>13</v>
      </c>
      <c r="J52" s="58"/>
      <c r="K52" s="58"/>
      <c r="L52" s="58"/>
      <c r="M52" s="58"/>
      <c r="N52" s="58"/>
      <c r="O52" s="58"/>
      <c r="P52" s="58"/>
      <c r="Q52" s="58"/>
      <c r="R52" s="58"/>
      <c r="S52" s="58"/>
      <c r="T52" s="58"/>
      <c r="U52" s="58"/>
      <c r="V52" s="58"/>
      <c r="W52" s="58"/>
      <c r="X52" s="58"/>
      <c r="Y52" s="58"/>
      <c r="Z52" s="58"/>
    </row>
    <row r="53">
      <c r="A53" s="85" t="s">
        <v>650</v>
      </c>
      <c r="B53" s="72" t="s">
        <v>972</v>
      </c>
      <c r="C53" s="72" t="s">
        <v>1146</v>
      </c>
      <c r="D53" s="72" t="s">
        <v>1082</v>
      </c>
      <c r="E53" s="72" t="s">
        <v>1150</v>
      </c>
      <c r="F53" s="72" t="s">
        <v>1151</v>
      </c>
      <c r="G53" s="78"/>
      <c r="H53" s="72" t="s">
        <v>1152</v>
      </c>
      <c r="I53" s="73" t="s">
        <v>13</v>
      </c>
      <c r="J53" s="58"/>
      <c r="K53" s="58"/>
      <c r="L53" s="58"/>
      <c r="M53" s="58"/>
      <c r="N53" s="58"/>
      <c r="O53" s="58"/>
      <c r="P53" s="58"/>
      <c r="Q53" s="58"/>
      <c r="R53" s="58"/>
      <c r="S53" s="58"/>
      <c r="T53" s="58"/>
      <c r="U53" s="58"/>
      <c r="V53" s="58"/>
      <c r="W53" s="58"/>
      <c r="X53" s="58"/>
      <c r="Y53" s="58"/>
      <c r="Z53" s="58"/>
    </row>
    <row r="54">
      <c r="A54" s="85" t="s">
        <v>654</v>
      </c>
      <c r="B54" s="72" t="s">
        <v>972</v>
      </c>
      <c r="C54" s="72" t="s">
        <v>1146</v>
      </c>
      <c r="D54" s="72" t="s">
        <v>1082</v>
      </c>
      <c r="E54" s="72" t="s">
        <v>1153</v>
      </c>
      <c r="F54" s="72" t="s">
        <v>1151</v>
      </c>
      <c r="G54" s="78"/>
      <c r="H54" s="72" t="s">
        <v>1152</v>
      </c>
      <c r="I54" s="73" t="s">
        <v>13</v>
      </c>
      <c r="J54" s="58"/>
      <c r="K54" s="58"/>
      <c r="L54" s="58"/>
      <c r="M54" s="58"/>
      <c r="N54" s="58"/>
      <c r="O54" s="58"/>
      <c r="P54" s="58"/>
      <c r="Q54" s="58"/>
      <c r="R54" s="58"/>
      <c r="S54" s="58"/>
      <c r="T54" s="58"/>
      <c r="U54" s="58"/>
      <c r="V54" s="58"/>
      <c r="W54" s="58"/>
      <c r="X54" s="58"/>
      <c r="Y54" s="58"/>
      <c r="Z54" s="58"/>
    </row>
    <row r="55">
      <c r="A55" s="85" t="s">
        <v>657</v>
      </c>
      <c r="B55" s="72" t="s">
        <v>972</v>
      </c>
      <c r="C55" s="72" t="s">
        <v>1146</v>
      </c>
      <c r="D55" s="72" t="s">
        <v>1082</v>
      </c>
      <c r="E55" s="72" t="s">
        <v>1154</v>
      </c>
      <c r="F55" s="72" t="s">
        <v>1155</v>
      </c>
      <c r="G55" s="78"/>
      <c r="H55" s="78"/>
      <c r="I55" s="73" t="s">
        <v>13</v>
      </c>
      <c r="J55" s="58"/>
      <c r="K55" s="58"/>
      <c r="L55" s="58"/>
      <c r="M55" s="58"/>
      <c r="N55" s="58"/>
      <c r="O55" s="58"/>
      <c r="P55" s="58"/>
      <c r="Q55" s="58"/>
      <c r="R55" s="58"/>
      <c r="S55" s="58"/>
      <c r="T55" s="58"/>
      <c r="U55" s="58"/>
      <c r="V55" s="58"/>
      <c r="W55" s="58"/>
      <c r="X55" s="58"/>
      <c r="Y55" s="58"/>
      <c r="Z55" s="58"/>
    </row>
    <row r="56">
      <c r="A56" s="85" t="s">
        <v>660</v>
      </c>
      <c r="B56" s="72" t="s">
        <v>972</v>
      </c>
      <c r="C56" s="72" t="s">
        <v>1146</v>
      </c>
      <c r="D56" s="72" t="s">
        <v>1082</v>
      </c>
      <c r="E56" s="72" t="s">
        <v>1156</v>
      </c>
      <c r="F56" s="72" t="s">
        <v>1157</v>
      </c>
      <c r="G56" s="78"/>
      <c r="H56" s="72" t="s">
        <v>1158</v>
      </c>
      <c r="I56" s="73" t="s">
        <v>13</v>
      </c>
      <c r="J56" s="58"/>
      <c r="K56" s="58"/>
      <c r="L56" s="58"/>
      <c r="M56" s="58"/>
      <c r="N56" s="58"/>
      <c r="O56" s="58"/>
      <c r="P56" s="58"/>
      <c r="Q56" s="58"/>
      <c r="R56" s="58"/>
      <c r="S56" s="58"/>
      <c r="T56" s="58"/>
      <c r="U56" s="58"/>
      <c r="V56" s="58"/>
      <c r="W56" s="58"/>
      <c r="X56" s="58"/>
      <c r="Y56" s="58"/>
      <c r="Z56" s="58"/>
    </row>
    <row r="57">
      <c r="A57" s="85" t="s">
        <v>664</v>
      </c>
      <c r="B57" s="72" t="s">
        <v>972</v>
      </c>
      <c r="C57" s="72" t="s">
        <v>1146</v>
      </c>
      <c r="D57" s="72" t="s">
        <v>1082</v>
      </c>
      <c r="E57" s="72" t="s">
        <v>1159</v>
      </c>
      <c r="F57" s="72" t="s">
        <v>1160</v>
      </c>
      <c r="G57" s="78"/>
      <c r="H57" s="72" t="s">
        <v>1161</v>
      </c>
      <c r="I57" s="73" t="s">
        <v>13</v>
      </c>
      <c r="J57" s="58"/>
      <c r="K57" s="58"/>
      <c r="L57" s="58"/>
      <c r="M57" s="58"/>
      <c r="N57" s="58"/>
      <c r="O57" s="58"/>
      <c r="P57" s="58"/>
      <c r="Q57" s="58"/>
      <c r="R57" s="58"/>
      <c r="S57" s="58"/>
      <c r="T57" s="58"/>
      <c r="U57" s="58"/>
      <c r="V57" s="58"/>
      <c r="W57" s="58"/>
      <c r="X57" s="58"/>
      <c r="Y57" s="58"/>
      <c r="Z57" s="58"/>
    </row>
    <row r="58">
      <c r="A58" s="85" t="s">
        <v>668</v>
      </c>
      <c r="B58" s="72" t="s">
        <v>972</v>
      </c>
      <c r="C58" s="72" t="s">
        <v>1146</v>
      </c>
      <c r="D58" s="72" t="s">
        <v>1082</v>
      </c>
      <c r="E58" s="72" t="s">
        <v>1162</v>
      </c>
      <c r="F58" s="72" t="s">
        <v>1163</v>
      </c>
      <c r="G58" s="78"/>
      <c r="H58" s="72" t="s">
        <v>1164</v>
      </c>
      <c r="I58" s="73" t="s">
        <v>13</v>
      </c>
      <c r="J58" s="58"/>
      <c r="K58" s="58"/>
      <c r="L58" s="58"/>
      <c r="M58" s="58"/>
      <c r="N58" s="58"/>
      <c r="O58" s="58"/>
      <c r="P58" s="58"/>
      <c r="Q58" s="58"/>
      <c r="R58" s="58"/>
      <c r="S58" s="58"/>
      <c r="T58" s="58"/>
      <c r="U58" s="58"/>
      <c r="V58" s="58"/>
      <c r="W58" s="58"/>
      <c r="X58" s="58"/>
      <c r="Y58" s="58"/>
      <c r="Z58" s="58"/>
    </row>
    <row r="59">
      <c r="A59" s="85" t="s">
        <v>672</v>
      </c>
      <c r="B59" s="72" t="s">
        <v>1165</v>
      </c>
      <c r="C59" s="72" t="s">
        <v>973</v>
      </c>
      <c r="D59" s="72" t="s">
        <v>1166</v>
      </c>
      <c r="E59" s="72" t="s">
        <v>1167</v>
      </c>
      <c r="F59" s="72" t="s">
        <v>976</v>
      </c>
      <c r="G59" s="72" t="s">
        <v>1168</v>
      </c>
      <c r="H59" s="72" t="s">
        <v>1169</v>
      </c>
      <c r="I59" s="73" t="s">
        <v>13</v>
      </c>
      <c r="J59" s="108"/>
      <c r="K59" s="108"/>
      <c r="L59" s="108"/>
      <c r="M59" s="108"/>
      <c r="N59" s="108"/>
      <c r="O59" s="108"/>
      <c r="P59" s="108"/>
      <c r="Q59" s="108"/>
      <c r="R59" s="108"/>
      <c r="S59" s="108"/>
      <c r="T59" s="108"/>
      <c r="U59" s="108"/>
      <c r="V59" s="108"/>
      <c r="W59" s="108"/>
      <c r="X59" s="108"/>
      <c r="Y59" s="108"/>
      <c r="Z59" s="108"/>
    </row>
    <row r="60">
      <c r="A60" s="85" t="s">
        <v>676</v>
      </c>
      <c r="B60" s="72" t="s">
        <v>1165</v>
      </c>
      <c r="C60" s="72" t="s">
        <v>973</v>
      </c>
      <c r="D60" s="72" t="s">
        <v>1166</v>
      </c>
      <c r="E60" s="72" t="s">
        <v>1170</v>
      </c>
      <c r="F60" s="72" t="s">
        <v>1171</v>
      </c>
      <c r="G60" s="72" t="s">
        <v>981</v>
      </c>
      <c r="H60" s="72" t="s">
        <v>1171</v>
      </c>
      <c r="I60" s="73" t="s">
        <v>13</v>
      </c>
      <c r="J60" s="58"/>
      <c r="K60" s="58"/>
      <c r="L60" s="58"/>
      <c r="M60" s="58"/>
      <c r="N60" s="58"/>
      <c r="O60" s="58"/>
      <c r="P60" s="58"/>
      <c r="Q60" s="58"/>
      <c r="R60" s="58"/>
      <c r="S60" s="58"/>
      <c r="T60" s="58"/>
      <c r="U60" s="58"/>
      <c r="V60" s="58"/>
      <c r="W60" s="58"/>
      <c r="X60" s="58"/>
      <c r="Y60" s="58"/>
      <c r="Z60" s="58"/>
    </row>
    <row r="61">
      <c r="A61" s="85" t="s">
        <v>681</v>
      </c>
      <c r="B61" s="72" t="s">
        <v>1165</v>
      </c>
      <c r="C61" s="72" t="s">
        <v>973</v>
      </c>
      <c r="D61" s="72" t="s">
        <v>1166</v>
      </c>
      <c r="E61" s="107" t="s">
        <v>982</v>
      </c>
      <c r="F61" s="72" t="s">
        <v>1172</v>
      </c>
      <c r="G61" s="78"/>
      <c r="H61" s="72" t="s">
        <v>1173</v>
      </c>
      <c r="I61" s="73" t="s">
        <v>13</v>
      </c>
      <c r="J61" s="58"/>
      <c r="K61" s="58"/>
      <c r="L61" s="58"/>
      <c r="M61" s="58"/>
      <c r="N61" s="58"/>
      <c r="O61" s="58"/>
      <c r="P61" s="58"/>
      <c r="Q61" s="58"/>
      <c r="R61" s="58"/>
      <c r="S61" s="58"/>
      <c r="T61" s="58"/>
      <c r="U61" s="58"/>
      <c r="V61" s="58"/>
      <c r="W61" s="58"/>
      <c r="X61" s="58"/>
      <c r="Y61" s="58"/>
      <c r="Z61" s="58"/>
    </row>
    <row r="62">
      <c r="A62" s="85" t="s">
        <v>686</v>
      </c>
      <c r="B62" s="72" t="s">
        <v>1165</v>
      </c>
      <c r="C62" s="72" t="s">
        <v>973</v>
      </c>
      <c r="D62" s="72" t="s">
        <v>1166</v>
      </c>
      <c r="E62" s="107" t="s">
        <v>985</v>
      </c>
      <c r="F62" s="72" t="s">
        <v>986</v>
      </c>
      <c r="G62" s="78"/>
      <c r="H62" s="72" t="s">
        <v>987</v>
      </c>
      <c r="I62" s="73" t="s">
        <v>13</v>
      </c>
      <c r="J62" s="58"/>
      <c r="K62" s="58"/>
      <c r="L62" s="58"/>
      <c r="M62" s="58"/>
      <c r="N62" s="58"/>
      <c r="O62" s="58"/>
      <c r="P62" s="58"/>
      <c r="Q62" s="58"/>
      <c r="R62" s="58"/>
      <c r="S62" s="58"/>
      <c r="T62" s="58"/>
      <c r="U62" s="58"/>
      <c r="V62" s="58"/>
      <c r="W62" s="58"/>
      <c r="X62" s="58"/>
      <c r="Y62" s="58"/>
      <c r="Z62" s="58"/>
    </row>
    <row r="63">
      <c r="A63" s="85" t="s">
        <v>690</v>
      </c>
      <c r="B63" s="72" t="s">
        <v>1165</v>
      </c>
      <c r="C63" s="72" t="s">
        <v>973</v>
      </c>
      <c r="D63" s="72" t="s">
        <v>1166</v>
      </c>
      <c r="E63" s="107" t="s">
        <v>988</v>
      </c>
      <c r="F63" s="72" t="s">
        <v>989</v>
      </c>
      <c r="G63" s="72" t="s">
        <v>1174</v>
      </c>
      <c r="H63" s="72" t="s">
        <v>990</v>
      </c>
      <c r="I63" s="73" t="s">
        <v>13</v>
      </c>
      <c r="J63" s="58"/>
      <c r="K63" s="58"/>
      <c r="L63" s="58"/>
      <c r="M63" s="58"/>
      <c r="N63" s="58"/>
      <c r="O63" s="58"/>
      <c r="P63" s="58"/>
      <c r="Q63" s="58"/>
      <c r="R63" s="58"/>
      <c r="S63" s="58"/>
      <c r="T63" s="58"/>
      <c r="U63" s="58"/>
      <c r="V63" s="58"/>
      <c r="W63" s="58"/>
      <c r="X63" s="58"/>
      <c r="Y63" s="58"/>
      <c r="Z63" s="58"/>
    </row>
    <row r="64">
      <c r="A64" s="85" t="s">
        <v>693</v>
      </c>
      <c r="B64" s="72" t="s">
        <v>1165</v>
      </c>
      <c r="C64" s="72" t="s">
        <v>991</v>
      </c>
      <c r="D64" s="72" t="s">
        <v>1166</v>
      </c>
      <c r="E64" s="107" t="s">
        <v>1175</v>
      </c>
      <c r="F64" s="72" t="s">
        <v>1176</v>
      </c>
      <c r="G64" s="72" t="s">
        <v>1168</v>
      </c>
      <c r="H64" s="72" t="s">
        <v>1177</v>
      </c>
      <c r="I64" s="73" t="s">
        <v>13</v>
      </c>
      <c r="J64" s="58"/>
      <c r="K64" s="58"/>
      <c r="L64" s="58"/>
      <c r="M64" s="58"/>
      <c r="N64" s="58"/>
      <c r="O64" s="58"/>
      <c r="P64" s="58"/>
      <c r="Q64" s="58"/>
      <c r="R64" s="58"/>
      <c r="S64" s="58"/>
      <c r="T64" s="58"/>
      <c r="U64" s="58"/>
      <c r="V64" s="58"/>
      <c r="W64" s="58"/>
      <c r="X64" s="58"/>
      <c r="Y64" s="58"/>
      <c r="Z64" s="58"/>
    </row>
    <row r="65">
      <c r="A65" s="85" t="s">
        <v>696</v>
      </c>
      <c r="B65" s="72" t="s">
        <v>1165</v>
      </c>
      <c r="C65" s="72" t="s">
        <v>991</v>
      </c>
      <c r="D65" s="72" t="s">
        <v>1166</v>
      </c>
      <c r="E65" s="72" t="s">
        <v>1178</v>
      </c>
      <c r="F65" s="72" t="s">
        <v>1179</v>
      </c>
      <c r="G65" s="72" t="s">
        <v>1180</v>
      </c>
      <c r="H65" s="72" t="s">
        <v>1181</v>
      </c>
      <c r="I65" s="73" t="s">
        <v>13</v>
      </c>
      <c r="J65" s="58"/>
      <c r="K65" s="58"/>
      <c r="L65" s="58"/>
      <c r="M65" s="58"/>
      <c r="N65" s="58"/>
      <c r="O65" s="58"/>
      <c r="P65" s="58"/>
      <c r="Q65" s="58"/>
      <c r="R65" s="58"/>
      <c r="S65" s="58"/>
      <c r="T65" s="58"/>
      <c r="U65" s="58"/>
      <c r="V65" s="58"/>
      <c r="W65" s="58"/>
      <c r="X65" s="58"/>
      <c r="Y65" s="58"/>
      <c r="Z65" s="58"/>
    </row>
    <row r="66">
      <c r="A66" s="85" t="s">
        <v>700</v>
      </c>
      <c r="B66" s="72" t="s">
        <v>1165</v>
      </c>
      <c r="C66" s="72" t="s">
        <v>991</v>
      </c>
      <c r="D66" s="72" t="s">
        <v>1166</v>
      </c>
      <c r="E66" s="72" t="s">
        <v>1182</v>
      </c>
      <c r="F66" s="72" t="s">
        <v>1183</v>
      </c>
      <c r="G66" s="72" t="s">
        <v>1168</v>
      </c>
      <c r="H66" s="72" t="s">
        <v>1184</v>
      </c>
      <c r="I66" s="73" t="s">
        <v>13</v>
      </c>
      <c r="J66" s="58"/>
      <c r="K66" s="58"/>
      <c r="L66" s="58"/>
      <c r="M66" s="58"/>
      <c r="N66" s="58"/>
      <c r="O66" s="58"/>
      <c r="P66" s="58"/>
      <c r="Q66" s="58"/>
      <c r="R66" s="58"/>
      <c r="S66" s="58"/>
      <c r="T66" s="58"/>
      <c r="U66" s="58"/>
      <c r="V66" s="58"/>
      <c r="W66" s="58"/>
      <c r="X66" s="58"/>
      <c r="Y66" s="58"/>
      <c r="Z66" s="58"/>
    </row>
    <row r="67">
      <c r="A67" s="85" t="s">
        <v>704</v>
      </c>
      <c r="B67" s="72" t="s">
        <v>1165</v>
      </c>
      <c r="C67" s="72" t="s">
        <v>991</v>
      </c>
      <c r="D67" s="72" t="s">
        <v>1166</v>
      </c>
      <c r="E67" s="72" t="s">
        <v>1185</v>
      </c>
      <c r="F67" s="72" t="s">
        <v>993</v>
      </c>
      <c r="G67" s="72" t="s">
        <v>1186</v>
      </c>
      <c r="H67" s="72" t="s">
        <v>994</v>
      </c>
      <c r="I67" s="73" t="s">
        <v>13</v>
      </c>
      <c r="J67" s="58"/>
      <c r="K67" s="58"/>
      <c r="L67" s="58"/>
      <c r="M67" s="58"/>
      <c r="N67" s="58"/>
      <c r="O67" s="58"/>
      <c r="P67" s="58"/>
      <c r="Q67" s="58"/>
      <c r="R67" s="58"/>
      <c r="S67" s="58"/>
      <c r="T67" s="58"/>
      <c r="U67" s="58"/>
      <c r="V67" s="58"/>
      <c r="W67" s="58"/>
      <c r="X67" s="58"/>
      <c r="Y67" s="58"/>
      <c r="Z67" s="58"/>
    </row>
    <row r="68">
      <c r="A68" s="85" t="s">
        <v>708</v>
      </c>
      <c r="B68" s="72" t="s">
        <v>1165</v>
      </c>
      <c r="C68" s="72" t="s">
        <v>991</v>
      </c>
      <c r="D68" s="72" t="s">
        <v>1166</v>
      </c>
      <c r="E68" s="72" t="s">
        <v>1187</v>
      </c>
      <c r="F68" s="72" t="s">
        <v>996</v>
      </c>
      <c r="G68" s="72" t="s">
        <v>1188</v>
      </c>
      <c r="H68" s="72" t="s">
        <v>997</v>
      </c>
      <c r="I68" s="73" t="s">
        <v>13</v>
      </c>
      <c r="J68" s="58"/>
      <c r="K68" s="58"/>
      <c r="L68" s="58"/>
      <c r="M68" s="58"/>
      <c r="N68" s="58"/>
      <c r="O68" s="58"/>
      <c r="P68" s="58"/>
      <c r="Q68" s="58"/>
      <c r="R68" s="58"/>
      <c r="S68" s="58"/>
      <c r="T68" s="58"/>
      <c r="U68" s="58"/>
      <c r="V68" s="58"/>
      <c r="W68" s="58"/>
      <c r="X68" s="58"/>
      <c r="Y68" s="58"/>
      <c r="Z68" s="58"/>
    </row>
    <row r="69">
      <c r="A69" s="85" t="s">
        <v>712</v>
      </c>
      <c r="B69" s="72" t="s">
        <v>1165</v>
      </c>
      <c r="C69" s="72" t="s">
        <v>991</v>
      </c>
      <c r="D69" s="72" t="s">
        <v>1166</v>
      </c>
      <c r="E69" s="72" t="s">
        <v>998</v>
      </c>
      <c r="F69" s="72" t="s">
        <v>999</v>
      </c>
      <c r="G69" s="72" t="s">
        <v>1189</v>
      </c>
      <c r="H69" s="72" t="s">
        <v>1001</v>
      </c>
      <c r="I69" s="73" t="s">
        <v>13</v>
      </c>
      <c r="J69" s="58"/>
      <c r="K69" s="58"/>
      <c r="L69" s="58"/>
      <c r="M69" s="58"/>
      <c r="N69" s="58"/>
      <c r="O69" s="58"/>
      <c r="P69" s="58"/>
      <c r="Q69" s="58"/>
      <c r="R69" s="58"/>
      <c r="S69" s="58"/>
      <c r="T69" s="58"/>
      <c r="U69" s="58"/>
      <c r="V69" s="58"/>
      <c r="W69" s="58"/>
      <c r="X69" s="58"/>
      <c r="Y69" s="58"/>
      <c r="Z69" s="58"/>
    </row>
    <row r="70">
      <c r="A70" s="85" t="s">
        <v>715</v>
      </c>
      <c r="B70" s="72" t="s">
        <v>1165</v>
      </c>
      <c r="C70" s="72" t="s">
        <v>1002</v>
      </c>
      <c r="D70" s="72" t="s">
        <v>1003</v>
      </c>
      <c r="E70" s="72" t="s">
        <v>1190</v>
      </c>
      <c r="F70" s="72" t="s">
        <v>1005</v>
      </c>
      <c r="G70" s="72" t="s">
        <v>1191</v>
      </c>
      <c r="H70" s="72" t="s">
        <v>1007</v>
      </c>
      <c r="I70" s="73" t="s">
        <v>13</v>
      </c>
      <c r="J70" s="58"/>
      <c r="K70" s="58"/>
      <c r="L70" s="58"/>
      <c r="M70" s="58"/>
      <c r="N70" s="58"/>
      <c r="O70" s="58"/>
      <c r="P70" s="58"/>
      <c r="Q70" s="58"/>
      <c r="R70" s="58"/>
      <c r="S70" s="58"/>
      <c r="T70" s="58"/>
      <c r="U70" s="58"/>
      <c r="V70" s="58"/>
      <c r="W70" s="58"/>
      <c r="X70" s="58"/>
      <c r="Y70" s="58"/>
      <c r="Z70" s="58"/>
    </row>
    <row r="71">
      <c r="A71" s="85" t="s">
        <v>718</v>
      </c>
      <c r="B71" s="72" t="s">
        <v>1165</v>
      </c>
      <c r="C71" s="72" t="s">
        <v>1002</v>
      </c>
      <c r="D71" s="72" t="s">
        <v>1003</v>
      </c>
      <c r="E71" s="72" t="s">
        <v>1192</v>
      </c>
      <c r="F71" s="72" t="s">
        <v>1009</v>
      </c>
      <c r="G71" s="72" t="s">
        <v>1193</v>
      </c>
      <c r="H71" s="72" t="s">
        <v>1011</v>
      </c>
      <c r="I71" s="73" t="s">
        <v>13</v>
      </c>
      <c r="J71" s="58"/>
      <c r="K71" s="58"/>
      <c r="L71" s="58"/>
      <c r="M71" s="58"/>
      <c r="N71" s="58"/>
      <c r="O71" s="58"/>
      <c r="P71" s="58"/>
      <c r="Q71" s="58"/>
      <c r="R71" s="58"/>
      <c r="S71" s="58"/>
      <c r="T71" s="58"/>
      <c r="U71" s="58"/>
      <c r="V71" s="58"/>
      <c r="W71" s="58"/>
      <c r="X71" s="58"/>
      <c r="Y71" s="58"/>
      <c r="Z71" s="58"/>
    </row>
    <row r="72">
      <c r="A72" s="85" t="s">
        <v>722</v>
      </c>
      <c r="B72" s="72" t="s">
        <v>1165</v>
      </c>
      <c r="C72" s="72" t="s">
        <v>1002</v>
      </c>
      <c r="D72" s="72" t="s">
        <v>1003</v>
      </c>
      <c r="E72" s="72" t="s">
        <v>1194</v>
      </c>
      <c r="F72" s="72" t="s">
        <v>1013</v>
      </c>
      <c r="G72" s="72" t="s">
        <v>1195</v>
      </c>
      <c r="H72" s="72" t="s">
        <v>1015</v>
      </c>
      <c r="I72" s="73" t="s">
        <v>13</v>
      </c>
      <c r="J72" s="58"/>
      <c r="K72" s="58"/>
      <c r="L72" s="58"/>
      <c r="M72" s="58"/>
      <c r="N72" s="58"/>
      <c r="O72" s="58"/>
      <c r="P72" s="58"/>
      <c r="Q72" s="58"/>
      <c r="R72" s="58"/>
      <c r="S72" s="58"/>
      <c r="T72" s="58"/>
      <c r="U72" s="58"/>
      <c r="V72" s="58"/>
      <c r="W72" s="58"/>
      <c r="X72" s="58"/>
      <c r="Y72" s="58"/>
      <c r="Z72" s="58"/>
    </row>
    <row r="73">
      <c r="A73" s="85" t="s">
        <v>728</v>
      </c>
      <c r="B73" s="72" t="s">
        <v>1165</v>
      </c>
      <c r="C73" s="72" t="s">
        <v>1002</v>
      </c>
      <c r="D73" s="72" t="s">
        <v>1003</v>
      </c>
      <c r="E73" s="72" t="s">
        <v>1196</v>
      </c>
      <c r="F73" s="72" t="s">
        <v>1017</v>
      </c>
      <c r="G73" s="72" t="s">
        <v>1168</v>
      </c>
      <c r="H73" s="72" t="s">
        <v>1018</v>
      </c>
      <c r="I73" s="73" t="s">
        <v>13</v>
      </c>
      <c r="J73" s="58"/>
      <c r="K73" s="58"/>
      <c r="L73" s="58"/>
      <c r="M73" s="58"/>
      <c r="N73" s="58"/>
      <c r="O73" s="58"/>
      <c r="P73" s="58"/>
      <c r="Q73" s="58"/>
      <c r="R73" s="58"/>
      <c r="S73" s="58"/>
      <c r="T73" s="58"/>
      <c r="U73" s="58"/>
      <c r="V73" s="58"/>
      <c r="W73" s="58"/>
      <c r="X73" s="58"/>
      <c r="Y73" s="58"/>
      <c r="Z73" s="58"/>
    </row>
    <row r="74">
      <c r="A74" s="85" t="s">
        <v>733</v>
      </c>
      <c r="B74" s="72" t="s">
        <v>1165</v>
      </c>
      <c r="C74" s="72" t="s">
        <v>1002</v>
      </c>
      <c r="D74" s="72" t="s">
        <v>1003</v>
      </c>
      <c r="E74" s="72" t="s">
        <v>1197</v>
      </c>
      <c r="F74" s="72" t="s">
        <v>1020</v>
      </c>
      <c r="G74" s="72" t="s">
        <v>1168</v>
      </c>
      <c r="H74" s="72" t="s">
        <v>1021</v>
      </c>
      <c r="I74" s="73" t="s">
        <v>13</v>
      </c>
      <c r="J74" s="58"/>
      <c r="K74" s="58"/>
      <c r="L74" s="58"/>
      <c r="M74" s="58"/>
      <c r="N74" s="58"/>
      <c r="O74" s="58"/>
      <c r="P74" s="58"/>
      <c r="Q74" s="58"/>
      <c r="R74" s="58"/>
      <c r="S74" s="58"/>
      <c r="T74" s="58"/>
      <c r="U74" s="58"/>
      <c r="V74" s="58"/>
      <c r="W74" s="58"/>
      <c r="X74" s="58"/>
      <c r="Y74" s="58"/>
      <c r="Z74" s="58"/>
    </row>
    <row r="75">
      <c r="A75" s="85" t="s">
        <v>736</v>
      </c>
      <c r="B75" s="72" t="s">
        <v>1165</v>
      </c>
      <c r="C75" s="72" t="s">
        <v>1002</v>
      </c>
      <c r="D75" s="72" t="s">
        <v>1003</v>
      </c>
      <c r="E75" s="72" t="s">
        <v>1198</v>
      </c>
      <c r="F75" s="72" t="s">
        <v>1023</v>
      </c>
      <c r="G75" s="72" t="s">
        <v>1168</v>
      </c>
      <c r="H75" s="72" t="s">
        <v>1024</v>
      </c>
      <c r="I75" s="73" t="s">
        <v>13</v>
      </c>
      <c r="J75" s="58"/>
      <c r="K75" s="58"/>
      <c r="L75" s="58"/>
      <c r="M75" s="58"/>
      <c r="N75" s="58"/>
      <c r="O75" s="58"/>
      <c r="P75" s="58"/>
      <c r="Q75" s="58"/>
      <c r="R75" s="58"/>
      <c r="S75" s="58"/>
      <c r="T75" s="58"/>
      <c r="U75" s="58"/>
      <c r="V75" s="58"/>
      <c r="W75" s="58"/>
      <c r="X75" s="58"/>
      <c r="Y75" s="58"/>
      <c r="Z75" s="58"/>
    </row>
    <row r="76">
      <c r="A76" s="85" t="s">
        <v>741</v>
      </c>
      <c r="B76" s="72" t="s">
        <v>1165</v>
      </c>
      <c r="C76" s="72" t="s">
        <v>1002</v>
      </c>
      <c r="D76" s="72" t="s">
        <v>1003</v>
      </c>
      <c r="E76" s="72" t="s">
        <v>1199</v>
      </c>
      <c r="F76" s="72" t="s">
        <v>1026</v>
      </c>
      <c r="G76" s="72" t="s">
        <v>1168</v>
      </c>
      <c r="H76" s="72" t="s">
        <v>1027</v>
      </c>
      <c r="I76" s="73" t="s">
        <v>13</v>
      </c>
      <c r="J76" s="58"/>
      <c r="K76" s="58"/>
      <c r="L76" s="58"/>
      <c r="M76" s="58"/>
      <c r="N76" s="58"/>
      <c r="O76" s="58"/>
      <c r="P76" s="58"/>
      <c r="Q76" s="58"/>
      <c r="R76" s="58"/>
      <c r="S76" s="58"/>
      <c r="T76" s="58"/>
      <c r="U76" s="58"/>
      <c r="V76" s="58"/>
      <c r="W76" s="58"/>
      <c r="X76" s="58"/>
      <c r="Y76" s="58"/>
      <c r="Z76" s="58"/>
    </row>
    <row r="77">
      <c r="A77" s="85" t="s">
        <v>745</v>
      </c>
      <c r="B77" s="72" t="s">
        <v>1165</v>
      </c>
      <c r="C77" s="72" t="s">
        <v>1002</v>
      </c>
      <c r="D77" s="72" t="s">
        <v>1003</v>
      </c>
      <c r="E77" s="72" t="s">
        <v>1200</v>
      </c>
      <c r="F77" s="72" t="s">
        <v>1029</v>
      </c>
      <c r="G77" s="72" t="s">
        <v>1201</v>
      </c>
      <c r="H77" s="72" t="s">
        <v>1031</v>
      </c>
      <c r="I77" s="73" t="s">
        <v>13</v>
      </c>
      <c r="J77" s="58"/>
      <c r="K77" s="58"/>
      <c r="L77" s="58"/>
      <c r="M77" s="58"/>
      <c r="N77" s="58"/>
      <c r="O77" s="58"/>
      <c r="P77" s="58"/>
      <c r="Q77" s="58"/>
      <c r="R77" s="58"/>
      <c r="S77" s="58"/>
      <c r="T77" s="58"/>
      <c r="U77" s="58"/>
      <c r="V77" s="58"/>
      <c r="W77" s="58"/>
      <c r="X77" s="58"/>
      <c r="Y77" s="58"/>
      <c r="Z77" s="58"/>
    </row>
    <row r="78">
      <c r="A78" s="85" t="s">
        <v>750</v>
      </c>
      <c r="B78" s="72" t="s">
        <v>1165</v>
      </c>
      <c r="C78" s="72" t="s">
        <v>1002</v>
      </c>
      <c r="D78" s="72" t="s">
        <v>1003</v>
      </c>
      <c r="E78" s="72" t="s">
        <v>1202</v>
      </c>
      <c r="F78" s="72" t="s">
        <v>1033</v>
      </c>
      <c r="G78" s="72" t="s">
        <v>1203</v>
      </c>
      <c r="H78" s="72" t="s">
        <v>1033</v>
      </c>
      <c r="I78" s="73" t="s">
        <v>13</v>
      </c>
      <c r="J78" s="58"/>
      <c r="K78" s="58"/>
      <c r="L78" s="58"/>
      <c r="M78" s="58"/>
      <c r="N78" s="58"/>
      <c r="O78" s="58"/>
      <c r="P78" s="58"/>
      <c r="Q78" s="58"/>
      <c r="R78" s="58"/>
      <c r="S78" s="58"/>
      <c r="T78" s="58"/>
      <c r="U78" s="58"/>
      <c r="V78" s="58"/>
      <c r="W78" s="58"/>
      <c r="X78" s="58"/>
      <c r="Y78" s="58"/>
      <c r="Z78" s="58"/>
    </row>
    <row r="79">
      <c r="A79" s="85" t="s">
        <v>756</v>
      </c>
      <c r="B79" s="72" t="s">
        <v>1165</v>
      </c>
      <c r="C79" s="72" t="s">
        <v>1002</v>
      </c>
      <c r="D79" s="72" t="s">
        <v>1003</v>
      </c>
      <c r="E79" s="72" t="s">
        <v>1204</v>
      </c>
      <c r="F79" s="72" t="s">
        <v>1036</v>
      </c>
      <c r="G79" s="72" t="s">
        <v>1168</v>
      </c>
      <c r="H79" s="72" t="s">
        <v>1036</v>
      </c>
      <c r="I79" s="73" t="s">
        <v>13</v>
      </c>
      <c r="J79" s="58"/>
      <c r="K79" s="58"/>
      <c r="L79" s="58"/>
      <c r="M79" s="58"/>
      <c r="N79" s="58"/>
      <c r="O79" s="58"/>
      <c r="P79" s="58"/>
      <c r="Q79" s="58"/>
      <c r="R79" s="58"/>
      <c r="S79" s="58"/>
      <c r="T79" s="58"/>
      <c r="U79" s="58"/>
      <c r="V79" s="58"/>
      <c r="W79" s="58"/>
      <c r="X79" s="58"/>
      <c r="Y79" s="58"/>
      <c r="Z79" s="58"/>
    </row>
    <row r="80">
      <c r="A80" s="85" t="s">
        <v>761</v>
      </c>
      <c r="B80" s="72" t="s">
        <v>1165</v>
      </c>
      <c r="C80" s="72" t="s">
        <v>1002</v>
      </c>
      <c r="D80" s="72" t="s">
        <v>1003</v>
      </c>
      <c r="E80" s="72" t="s">
        <v>1205</v>
      </c>
      <c r="F80" s="72" t="s">
        <v>1038</v>
      </c>
      <c r="G80" s="72" t="s">
        <v>1168</v>
      </c>
      <c r="H80" s="72" t="s">
        <v>1039</v>
      </c>
      <c r="I80" s="73" t="s">
        <v>13</v>
      </c>
      <c r="J80" s="58"/>
      <c r="K80" s="58"/>
      <c r="L80" s="58"/>
      <c r="M80" s="58"/>
      <c r="N80" s="58"/>
      <c r="O80" s="58"/>
      <c r="P80" s="58"/>
      <c r="Q80" s="58"/>
      <c r="R80" s="58"/>
      <c r="S80" s="58"/>
      <c r="T80" s="58"/>
      <c r="U80" s="58"/>
      <c r="V80" s="58"/>
      <c r="W80" s="58"/>
      <c r="X80" s="58"/>
      <c r="Y80" s="58"/>
      <c r="Z80" s="58"/>
    </row>
    <row r="81">
      <c r="A81" s="85" t="s">
        <v>767</v>
      </c>
      <c r="B81" s="72" t="s">
        <v>1165</v>
      </c>
      <c r="C81" s="72" t="s">
        <v>1002</v>
      </c>
      <c r="D81" s="72" t="s">
        <v>1003</v>
      </c>
      <c r="E81" s="72" t="s">
        <v>1206</v>
      </c>
      <c r="F81" s="72" t="s">
        <v>1041</v>
      </c>
      <c r="G81" s="72" t="s">
        <v>1207</v>
      </c>
      <c r="H81" s="72" t="s">
        <v>1043</v>
      </c>
      <c r="I81" s="73" t="s">
        <v>13</v>
      </c>
      <c r="J81" s="58"/>
      <c r="K81" s="58"/>
      <c r="L81" s="58"/>
      <c r="M81" s="58"/>
      <c r="N81" s="58"/>
      <c r="O81" s="58"/>
      <c r="P81" s="58"/>
      <c r="Q81" s="58"/>
      <c r="R81" s="58"/>
      <c r="S81" s="58"/>
      <c r="T81" s="58"/>
      <c r="U81" s="58"/>
      <c r="V81" s="58"/>
      <c r="W81" s="58"/>
      <c r="X81" s="58"/>
      <c r="Y81" s="58"/>
      <c r="Z81" s="58"/>
    </row>
    <row r="82">
      <c r="A82" s="85" t="s">
        <v>772</v>
      </c>
      <c r="B82" s="72" t="s">
        <v>1165</v>
      </c>
      <c r="C82" s="72" t="s">
        <v>1002</v>
      </c>
      <c r="D82" s="72" t="s">
        <v>1003</v>
      </c>
      <c r="E82" s="72" t="s">
        <v>1208</v>
      </c>
      <c r="F82" s="72" t="s">
        <v>1045</v>
      </c>
      <c r="G82" s="72" t="s">
        <v>1209</v>
      </c>
      <c r="H82" s="72" t="s">
        <v>1047</v>
      </c>
      <c r="I82" s="73" t="s">
        <v>13</v>
      </c>
      <c r="J82" s="58"/>
      <c r="K82" s="58"/>
      <c r="L82" s="58"/>
      <c r="M82" s="58"/>
      <c r="N82" s="58"/>
      <c r="O82" s="58"/>
      <c r="P82" s="58"/>
      <c r="Q82" s="58"/>
      <c r="R82" s="58"/>
      <c r="S82" s="58"/>
      <c r="T82" s="58"/>
      <c r="U82" s="58"/>
      <c r="V82" s="58"/>
      <c r="W82" s="58"/>
      <c r="X82" s="58"/>
      <c r="Y82" s="58"/>
      <c r="Z82" s="58"/>
    </row>
    <row r="83">
      <c r="A83" s="85" t="s">
        <v>778</v>
      </c>
      <c r="B83" s="72" t="s">
        <v>1165</v>
      </c>
      <c r="C83" s="72" t="s">
        <v>1002</v>
      </c>
      <c r="D83" s="72" t="s">
        <v>1003</v>
      </c>
      <c r="E83" s="72" t="s">
        <v>1210</v>
      </c>
      <c r="F83" s="72" t="s">
        <v>1049</v>
      </c>
      <c r="G83" s="72" t="s">
        <v>1211</v>
      </c>
      <c r="H83" s="72" t="s">
        <v>1049</v>
      </c>
      <c r="I83" s="73" t="s">
        <v>13</v>
      </c>
      <c r="J83" s="58"/>
      <c r="K83" s="58"/>
      <c r="L83" s="58"/>
      <c r="M83" s="58"/>
      <c r="N83" s="58"/>
      <c r="O83" s="58"/>
      <c r="P83" s="58"/>
      <c r="Q83" s="58"/>
      <c r="R83" s="58"/>
      <c r="S83" s="58"/>
      <c r="T83" s="58"/>
      <c r="U83" s="58"/>
      <c r="V83" s="58"/>
      <c r="W83" s="58"/>
      <c r="X83" s="58"/>
      <c r="Y83" s="58"/>
      <c r="Z83" s="58"/>
    </row>
    <row r="84">
      <c r="A84" s="85" t="s">
        <v>780</v>
      </c>
      <c r="B84" s="72" t="s">
        <v>1165</v>
      </c>
      <c r="C84" s="72" t="s">
        <v>1051</v>
      </c>
      <c r="D84" s="72" t="s">
        <v>1052</v>
      </c>
      <c r="E84" s="72" t="s">
        <v>1212</v>
      </c>
      <c r="F84" s="72" t="s">
        <v>1054</v>
      </c>
      <c r="G84" s="72" t="s">
        <v>1168</v>
      </c>
      <c r="H84" s="72" t="s">
        <v>1055</v>
      </c>
      <c r="I84" s="73" t="s">
        <v>13</v>
      </c>
      <c r="J84" s="58"/>
      <c r="K84" s="58"/>
      <c r="L84" s="58"/>
      <c r="M84" s="58"/>
      <c r="N84" s="58"/>
      <c r="O84" s="58"/>
      <c r="P84" s="58"/>
      <c r="Q84" s="58"/>
      <c r="R84" s="58"/>
      <c r="S84" s="58"/>
      <c r="T84" s="58"/>
      <c r="U84" s="58"/>
      <c r="V84" s="58"/>
      <c r="W84" s="58"/>
      <c r="X84" s="58"/>
      <c r="Y84" s="58"/>
      <c r="Z84" s="58"/>
    </row>
    <row r="85">
      <c r="A85" s="85" t="s">
        <v>782</v>
      </c>
      <c r="B85" s="72" t="s">
        <v>1165</v>
      </c>
      <c r="C85" s="72" t="s">
        <v>1051</v>
      </c>
      <c r="D85" s="72" t="s">
        <v>1052</v>
      </c>
      <c r="E85" s="72" t="s">
        <v>1213</v>
      </c>
      <c r="F85" s="72" t="s">
        <v>1057</v>
      </c>
      <c r="G85" s="72" t="s">
        <v>1214</v>
      </c>
      <c r="H85" s="72" t="s">
        <v>1059</v>
      </c>
      <c r="I85" s="73" t="s">
        <v>13</v>
      </c>
      <c r="J85" s="58"/>
      <c r="K85" s="58"/>
      <c r="L85" s="58"/>
      <c r="M85" s="58"/>
      <c r="N85" s="58"/>
      <c r="O85" s="58"/>
      <c r="P85" s="58"/>
      <c r="Q85" s="58"/>
      <c r="R85" s="58"/>
      <c r="S85" s="58"/>
      <c r="T85" s="58"/>
      <c r="U85" s="58"/>
      <c r="V85" s="58"/>
      <c r="W85" s="58"/>
      <c r="X85" s="58"/>
      <c r="Y85" s="58"/>
      <c r="Z85" s="58"/>
    </row>
    <row r="86">
      <c r="A86" s="85" t="s">
        <v>784</v>
      </c>
      <c r="B86" s="72" t="s">
        <v>1165</v>
      </c>
      <c r="C86" s="72" t="s">
        <v>1051</v>
      </c>
      <c r="D86" s="72" t="s">
        <v>1052</v>
      </c>
      <c r="E86" s="72" t="s">
        <v>1215</v>
      </c>
      <c r="F86" s="72" t="s">
        <v>1061</v>
      </c>
      <c r="G86" s="72" t="s">
        <v>1216</v>
      </c>
      <c r="H86" s="72" t="s">
        <v>1059</v>
      </c>
      <c r="I86" s="73" t="s">
        <v>13</v>
      </c>
      <c r="J86" s="58"/>
      <c r="K86" s="58"/>
      <c r="L86" s="58"/>
      <c r="M86" s="58"/>
      <c r="N86" s="58"/>
      <c r="O86" s="58"/>
      <c r="P86" s="58"/>
      <c r="Q86" s="58"/>
      <c r="R86" s="58"/>
      <c r="S86" s="58"/>
      <c r="T86" s="58"/>
      <c r="U86" s="58"/>
      <c r="V86" s="58"/>
      <c r="W86" s="58"/>
      <c r="X86" s="58"/>
      <c r="Y86" s="58"/>
      <c r="Z86" s="58"/>
    </row>
    <row r="87">
      <c r="A87" s="85" t="s">
        <v>789</v>
      </c>
      <c r="B87" s="72" t="s">
        <v>1165</v>
      </c>
      <c r="C87" s="72" t="s">
        <v>1051</v>
      </c>
      <c r="D87" s="72" t="s">
        <v>1052</v>
      </c>
      <c r="E87" s="72" t="s">
        <v>1217</v>
      </c>
      <c r="F87" s="72" t="s">
        <v>1064</v>
      </c>
      <c r="G87" s="72" t="s">
        <v>1188</v>
      </c>
      <c r="H87" s="72" t="s">
        <v>1065</v>
      </c>
      <c r="I87" s="73" t="s">
        <v>13</v>
      </c>
      <c r="J87" s="58"/>
      <c r="K87" s="58"/>
      <c r="L87" s="58"/>
      <c r="M87" s="58"/>
      <c r="N87" s="58"/>
      <c r="O87" s="58"/>
      <c r="P87" s="58"/>
      <c r="Q87" s="58"/>
      <c r="R87" s="58"/>
      <c r="S87" s="58"/>
      <c r="T87" s="58"/>
      <c r="U87" s="58"/>
      <c r="V87" s="58"/>
      <c r="W87" s="58"/>
      <c r="X87" s="58"/>
      <c r="Y87" s="58"/>
      <c r="Z87" s="58"/>
    </row>
    <row r="88">
      <c r="A88" s="85" t="s">
        <v>793</v>
      </c>
      <c r="B88" s="72" t="s">
        <v>1165</v>
      </c>
      <c r="C88" s="72" t="s">
        <v>1051</v>
      </c>
      <c r="D88" s="72" t="s">
        <v>1052</v>
      </c>
      <c r="E88" s="72" t="s">
        <v>1218</v>
      </c>
      <c r="F88" s="72" t="s">
        <v>1067</v>
      </c>
      <c r="G88" s="72" t="s">
        <v>1168</v>
      </c>
      <c r="H88" s="72" t="s">
        <v>1067</v>
      </c>
      <c r="I88" s="73" t="s">
        <v>13</v>
      </c>
      <c r="J88" s="58"/>
      <c r="K88" s="58"/>
      <c r="L88" s="58"/>
      <c r="M88" s="58"/>
      <c r="N88" s="58"/>
      <c r="O88" s="58"/>
      <c r="P88" s="58"/>
      <c r="Q88" s="58"/>
      <c r="R88" s="58"/>
      <c r="S88" s="58"/>
      <c r="T88" s="58"/>
      <c r="U88" s="58"/>
      <c r="V88" s="58"/>
      <c r="W88" s="58"/>
      <c r="X88" s="58"/>
      <c r="Y88" s="58"/>
      <c r="Z88" s="58"/>
    </row>
    <row r="89">
      <c r="A89" s="85" t="s">
        <v>798</v>
      </c>
      <c r="B89" s="72" t="s">
        <v>1165</v>
      </c>
      <c r="C89" s="72" t="s">
        <v>1051</v>
      </c>
      <c r="D89" s="72" t="s">
        <v>1052</v>
      </c>
      <c r="E89" s="72" t="s">
        <v>1219</v>
      </c>
      <c r="F89" s="72" t="s">
        <v>1069</v>
      </c>
      <c r="G89" s="72" t="s">
        <v>1168</v>
      </c>
      <c r="H89" s="72" t="s">
        <v>1070</v>
      </c>
      <c r="I89" s="73" t="s">
        <v>13</v>
      </c>
      <c r="J89" s="58"/>
      <c r="K89" s="58"/>
      <c r="L89" s="58"/>
      <c r="M89" s="58"/>
      <c r="N89" s="58"/>
      <c r="O89" s="58"/>
      <c r="P89" s="58"/>
      <c r="Q89" s="58"/>
      <c r="R89" s="58"/>
      <c r="S89" s="58"/>
      <c r="T89" s="58"/>
      <c r="U89" s="58"/>
      <c r="V89" s="58"/>
      <c r="W89" s="58"/>
      <c r="X89" s="58"/>
      <c r="Y89" s="58"/>
      <c r="Z89" s="58"/>
    </row>
    <row r="90">
      <c r="A90" s="85" t="s">
        <v>804</v>
      </c>
      <c r="B90" s="72" t="s">
        <v>1165</v>
      </c>
      <c r="C90" s="72" t="s">
        <v>1051</v>
      </c>
      <c r="D90" s="72" t="s">
        <v>1052</v>
      </c>
      <c r="E90" s="72" t="s">
        <v>1220</v>
      </c>
      <c r="F90" s="72" t="s">
        <v>1072</v>
      </c>
      <c r="G90" s="72" t="s">
        <v>1168</v>
      </c>
      <c r="H90" s="72" t="s">
        <v>1073</v>
      </c>
      <c r="I90" s="73" t="s">
        <v>13</v>
      </c>
      <c r="J90" s="58"/>
      <c r="K90" s="58"/>
      <c r="L90" s="58"/>
      <c r="M90" s="58"/>
      <c r="N90" s="58"/>
      <c r="O90" s="58"/>
      <c r="P90" s="58"/>
      <c r="Q90" s="58"/>
      <c r="R90" s="58"/>
      <c r="S90" s="58"/>
      <c r="T90" s="58"/>
      <c r="U90" s="58"/>
      <c r="V90" s="58"/>
      <c r="W90" s="58"/>
      <c r="X90" s="58"/>
      <c r="Y90" s="58"/>
      <c r="Z90" s="58"/>
    </row>
    <row r="91">
      <c r="A91" s="85" t="s">
        <v>807</v>
      </c>
      <c r="B91" s="72" t="s">
        <v>1165</v>
      </c>
      <c r="C91" s="72" t="s">
        <v>1051</v>
      </c>
      <c r="D91" s="72" t="s">
        <v>1052</v>
      </c>
      <c r="E91" s="72" t="s">
        <v>1221</v>
      </c>
      <c r="F91" s="72" t="s">
        <v>1075</v>
      </c>
      <c r="G91" s="72" t="s">
        <v>1168</v>
      </c>
      <c r="H91" s="72" t="s">
        <v>1076</v>
      </c>
      <c r="I91" s="73" t="s">
        <v>13</v>
      </c>
      <c r="J91" s="58"/>
      <c r="K91" s="58"/>
      <c r="L91" s="58"/>
      <c r="M91" s="58"/>
      <c r="N91" s="58"/>
      <c r="O91" s="58"/>
      <c r="P91" s="58"/>
      <c r="Q91" s="58"/>
      <c r="R91" s="58"/>
      <c r="S91" s="58"/>
      <c r="T91" s="58"/>
      <c r="U91" s="58"/>
      <c r="V91" s="58"/>
      <c r="W91" s="58"/>
      <c r="X91" s="58"/>
      <c r="Y91" s="58"/>
      <c r="Z91" s="58"/>
    </row>
    <row r="92">
      <c r="A92" s="85" t="s">
        <v>812</v>
      </c>
      <c r="B92" s="72" t="s">
        <v>1165</v>
      </c>
      <c r="C92" s="72" t="s">
        <v>1051</v>
      </c>
      <c r="D92" s="72" t="s">
        <v>1052</v>
      </c>
      <c r="E92" s="72" t="s">
        <v>1222</v>
      </c>
      <c r="F92" s="72" t="s">
        <v>1223</v>
      </c>
      <c r="G92" s="72" t="s">
        <v>1168</v>
      </c>
      <c r="H92" s="72" t="s">
        <v>1224</v>
      </c>
      <c r="I92" s="73" t="s">
        <v>13</v>
      </c>
      <c r="J92" s="58"/>
      <c r="K92" s="58"/>
      <c r="L92" s="58"/>
      <c r="M92" s="58"/>
      <c r="N92" s="58"/>
      <c r="O92" s="58"/>
      <c r="P92" s="58"/>
      <c r="Q92" s="58"/>
      <c r="R92" s="58"/>
      <c r="S92" s="58"/>
      <c r="T92" s="58"/>
      <c r="U92" s="58"/>
      <c r="V92" s="58"/>
      <c r="W92" s="58"/>
      <c r="X92" s="58"/>
      <c r="Y92" s="58"/>
      <c r="Z92" s="58"/>
    </row>
    <row r="93">
      <c r="A93" s="85" t="s">
        <v>816</v>
      </c>
      <c r="B93" s="72" t="s">
        <v>1165</v>
      </c>
      <c r="C93" s="72" t="s">
        <v>1051</v>
      </c>
      <c r="D93" s="72" t="s">
        <v>1052</v>
      </c>
      <c r="E93" s="72" t="s">
        <v>1225</v>
      </c>
      <c r="F93" s="72" t="s">
        <v>1226</v>
      </c>
      <c r="G93" s="72" t="s">
        <v>1227</v>
      </c>
      <c r="H93" s="72" t="s">
        <v>1228</v>
      </c>
      <c r="I93" s="73" t="s">
        <v>13</v>
      </c>
      <c r="J93" s="58"/>
      <c r="K93" s="58"/>
      <c r="L93" s="58"/>
      <c r="M93" s="58"/>
      <c r="N93" s="58"/>
      <c r="O93" s="58"/>
      <c r="P93" s="58"/>
      <c r="Q93" s="58"/>
      <c r="R93" s="58"/>
      <c r="S93" s="58"/>
      <c r="T93" s="58"/>
      <c r="U93" s="58"/>
      <c r="V93" s="58"/>
      <c r="W93" s="58"/>
      <c r="X93" s="58"/>
      <c r="Y93" s="58"/>
      <c r="Z93" s="58"/>
    </row>
    <row r="94">
      <c r="A94" s="85" t="s">
        <v>820</v>
      </c>
      <c r="B94" s="72" t="s">
        <v>1165</v>
      </c>
      <c r="C94" s="72" t="s">
        <v>1051</v>
      </c>
      <c r="D94" s="72" t="s">
        <v>1229</v>
      </c>
      <c r="E94" s="72" t="s">
        <v>1230</v>
      </c>
      <c r="F94" s="72" t="s">
        <v>1231</v>
      </c>
      <c r="G94" s="72" t="s">
        <v>1168</v>
      </c>
      <c r="H94" s="72" t="s">
        <v>1232</v>
      </c>
      <c r="I94" s="73" t="s">
        <v>13</v>
      </c>
      <c r="J94" s="58"/>
      <c r="K94" s="58"/>
      <c r="L94" s="58"/>
      <c r="M94" s="58"/>
      <c r="N94" s="58"/>
      <c r="O94" s="58"/>
      <c r="P94" s="58"/>
      <c r="Q94" s="58"/>
      <c r="R94" s="58"/>
      <c r="S94" s="58"/>
      <c r="T94" s="58"/>
      <c r="U94" s="58"/>
      <c r="V94" s="58"/>
      <c r="W94" s="58"/>
      <c r="X94" s="58"/>
      <c r="Y94" s="58"/>
      <c r="Z94" s="58"/>
    </row>
    <row r="95">
      <c r="A95" s="85" t="s">
        <v>824</v>
      </c>
      <c r="B95" s="72" t="s">
        <v>1165</v>
      </c>
      <c r="C95" s="72" t="s">
        <v>1051</v>
      </c>
      <c r="D95" s="72" t="s">
        <v>1229</v>
      </c>
      <c r="E95" s="72" t="s">
        <v>1233</v>
      </c>
      <c r="F95" s="72" t="s">
        <v>1234</v>
      </c>
      <c r="G95" s="72" t="s">
        <v>1235</v>
      </c>
      <c r="H95" s="72" t="s">
        <v>1236</v>
      </c>
      <c r="I95" s="73" t="s">
        <v>13</v>
      </c>
      <c r="J95" s="58"/>
      <c r="K95" s="58"/>
      <c r="L95" s="58"/>
      <c r="M95" s="58"/>
      <c r="N95" s="58"/>
      <c r="O95" s="58"/>
      <c r="P95" s="58"/>
      <c r="Q95" s="58"/>
      <c r="R95" s="58"/>
      <c r="S95" s="58"/>
      <c r="T95" s="58"/>
      <c r="U95" s="58"/>
      <c r="V95" s="58"/>
      <c r="W95" s="58"/>
      <c r="X95" s="58"/>
      <c r="Y95" s="58"/>
      <c r="Z95" s="58"/>
    </row>
    <row r="96">
      <c r="A96" s="85" t="s">
        <v>827</v>
      </c>
      <c r="B96" s="72" t="s">
        <v>1165</v>
      </c>
      <c r="C96" s="72" t="s">
        <v>1051</v>
      </c>
      <c r="D96" s="72" t="s">
        <v>1229</v>
      </c>
      <c r="E96" s="72" t="s">
        <v>1237</v>
      </c>
      <c r="F96" s="72" t="s">
        <v>1238</v>
      </c>
      <c r="G96" s="72" t="s">
        <v>1239</v>
      </c>
      <c r="H96" s="72" t="s">
        <v>1240</v>
      </c>
      <c r="I96" s="73" t="s">
        <v>13</v>
      </c>
      <c r="J96" s="58"/>
      <c r="K96" s="58"/>
      <c r="L96" s="58"/>
      <c r="M96" s="58"/>
      <c r="N96" s="58"/>
      <c r="O96" s="58"/>
      <c r="P96" s="58"/>
      <c r="Q96" s="58"/>
      <c r="R96" s="58"/>
      <c r="S96" s="58"/>
      <c r="T96" s="58"/>
      <c r="U96" s="58"/>
      <c r="V96" s="58"/>
      <c r="W96" s="58"/>
      <c r="X96" s="58"/>
      <c r="Y96" s="58"/>
      <c r="Z96" s="58"/>
    </row>
    <row r="97">
      <c r="A97" s="85" t="s">
        <v>831</v>
      </c>
      <c r="B97" s="72" t="s">
        <v>1165</v>
      </c>
      <c r="C97" s="72" t="s">
        <v>1051</v>
      </c>
      <c r="D97" s="72" t="s">
        <v>1077</v>
      </c>
      <c r="E97" s="72" t="s">
        <v>1078</v>
      </c>
      <c r="F97" s="72" t="s">
        <v>1079</v>
      </c>
      <c r="G97" s="72" t="s">
        <v>1241</v>
      </c>
      <c r="H97" s="72" t="s">
        <v>1080</v>
      </c>
      <c r="I97" s="73" t="s">
        <v>13</v>
      </c>
      <c r="J97" s="109"/>
      <c r="K97" s="109"/>
      <c r="L97" s="109"/>
      <c r="M97" s="109"/>
      <c r="N97" s="109"/>
      <c r="O97" s="109"/>
      <c r="P97" s="109"/>
      <c r="Q97" s="109"/>
      <c r="R97" s="109"/>
      <c r="S97" s="109"/>
      <c r="T97" s="109"/>
      <c r="U97" s="109"/>
      <c r="V97" s="109"/>
      <c r="W97" s="109"/>
      <c r="X97" s="109"/>
      <c r="Y97" s="109"/>
      <c r="Z97" s="109"/>
    </row>
    <row r="98">
      <c r="A98" s="85" t="s">
        <v>835</v>
      </c>
      <c r="B98" s="72" t="s">
        <v>1165</v>
      </c>
      <c r="C98" s="72" t="s">
        <v>1081</v>
      </c>
      <c r="D98" s="72" t="s">
        <v>1082</v>
      </c>
      <c r="E98" s="72" t="s">
        <v>1242</v>
      </c>
      <c r="F98" s="72" t="s">
        <v>1243</v>
      </c>
      <c r="G98" s="72" t="s">
        <v>1244</v>
      </c>
      <c r="H98" s="72" t="s">
        <v>1086</v>
      </c>
      <c r="I98" s="73" t="s">
        <v>13</v>
      </c>
      <c r="J98" s="58"/>
      <c r="K98" s="58"/>
      <c r="L98" s="58"/>
      <c r="M98" s="58"/>
      <c r="N98" s="58"/>
      <c r="O98" s="58"/>
      <c r="P98" s="58"/>
      <c r="Q98" s="58"/>
      <c r="R98" s="58"/>
      <c r="S98" s="58"/>
      <c r="T98" s="58"/>
      <c r="U98" s="58"/>
      <c r="V98" s="58"/>
      <c r="W98" s="58"/>
      <c r="X98" s="58"/>
      <c r="Y98" s="58"/>
      <c r="Z98" s="58"/>
    </row>
    <row r="99">
      <c r="A99" s="85" t="s">
        <v>840</v>
      </c>
      <c r="B99" s="72" t="s">
        <v>1165</v>
      </c>
      <c r="C99" s="72" t="s">
        <v>1081</v>
      </c>
      <c r="D99" s="72" t="s">
        <v>1082</v>
      </c>
      <c r="E99" s="72" t="s">
        <v>1245</v>
      </c>
      <c r="F99" s="72" t="s">
        <v>1088</v>
      </c>
      <c r="G99" s="72" t="s">
        <v>1246</v>
      </c>
      <c r="H99" s="72" t="s">
        <v>1089</v>
      </c>
      <c r="I99" s="73" t="s">
        <v>13</v>
      </c>
      <c r="J99" s="58"/>
      <c r="K99" s="58"/>
      <c r="L99" s="58"/>
      <c r="M99" s="58"/>
      <c r="N99" s="58"/>
      <c r="O99" s="58"/>
      <c r="P99" s="58"/>
      <c r="Q99" s="58"/>
      <c r="R99" s="58"/>
      <c r="S99" s="58"/>
      <c r="T99" s="58"/>
      <c r="U99" s="58"/>
      <c r="V99" s="58"/>
      <c r="W99" s="58"/>
      <c r="X99" s="58"/>
      <c r="Y99" s="58"/>
      <c r="Z99" s="58"/>
    </row>
    <row r="100">
      <c r="A100" s="85" t="s">
        <v>844</v>
      </c>
      <c r="B100" s="72" t="s">
        <v>1165</v>
      </c>
      <c r="C100" s="72" t="s">
        <v>1081</v>
      </c>
      <c r="D100" s="72" t="s">
        <v>1082</v>
      </c>
      <c r="E100" s="72" t="s">
        <v>1247</v>
      </c>
      <c r="F100" s="72" t="s">
        <v>1091</v>
      </c>
      <c r="G100" s="72" t="s">
        <v>1246</v>
      </c>
      <c r="H100" s="72" t="s">
        <v>1092</v>
      </c>
      <c r="I100" s="73" t="s">
        <v>13</v>
      </c>
      <c r="J100" s="58"/>
      <c r="K100" s="58"/>
      <c r="L100" s="58"/>
      <c r="M100" s="58"/>
      <c r="N100" s="58"/>
      <c r="O100" s="58"/>
      <c r="P100" s="58"/>
      <c r="Q100" s="58"/>
      <c r="R100" s="58"/>
      <c r="S100" s="58"/>
      <c r="T100" s="58"/>
      <c r="U100" s="58"/>
      <c r="V100" s="58"/>
      <c r="W100" s="58"/>
      <c r="X100" s="58"/>
      <c r="Y100" s="58"/>
      <c r="Z100" s="58"/>
    </row>
    <row r="101">
      <c r="A101" s="85" t="s">
        <v>848</v>
      </c>
      <c r="B101" s="72" t="s">
        <v>1165</v>
      </c>
      <c r="C101" s="72" t="s">
        <v>1081</v>
      </c>
      <c r="D101" s="72" t="s">
        <v>1082</v>
      </c>
      <c r="E101" s="72" t="s">
        <v>1248</v>
      </c>
      <c r="F101" s="72" t="s">
        <v>1094</v>
      </c>
      <c r="G101" s="72" t="s">
        <v>1249</v>
      </c>
      <c r="H101" s="72" t="s">
        <v>1096</v>
      </c>
      <c r="I101" s="73" t="s">
        <v>13</v>
      </c>
      <c r="J101" s="58"/>
      <c r="K101" s="58"/>
      <c r="L101" s="58"/>
      <c r="M101" s="58"/>
      <c r="N101" s="58"/>
      <c r="O101" s="58"/>
      <c r="P101" s="58"/>
      <c r="Q101" s="58"/>
      <c r="R101" s="58"/>
      <c r="S101" s="58"/>
      <c r="T101" s="58"/>
      <c r="U101" s="58"/>
      <c r="V101" s="58"/>
      <c r="W101" s="58"/>
      <c r="X101" s="58"/>
      <c r="Y101" s="58"/>
      <c r="Z101" s="58"/>
    </row>
    <row r="102">
      <c r="A102" s="85" t="s">
        <v>851</v>
      </c>
      <c r="B102" s="72" t="s">
        <v>1165</v>
      </c>
      <c r="C102" s="72" t="s">
        <v>1081</v>
      </c>
      <c r="D102" s="72" t="s">
        <v>1082</v>
      </c>
      <c r="E102" s="72" t="s">
        <v>1250</v>
      </c>
      <c r="F102" s="72" t="s">
        <v>1251</v>
      </c>
      <c r="G102" s="72" t="s">
        <v>1252</v>
      </c>
      <c r="H102" s="72" t="s">
        <v>1253</v>
      </c>
      <c r="I102" s="73" t="s">
        <v>13</v>
      </c>
      <c r="J102" s="58"/>
      <c r="K102" s="58"/>
      <c r="L102" s="58"/>
      <c r="M102" s="58"/>
      <c r="N102" s="58"/>
      <c r="O102" s="58"/>
      <c r="P102" s="58"/>
      <c r="Q102" s="58"/>
      <c r="R102" s="58"/>
      <c r="S102" s="58"/>
      <c r="T102" s="58"/>
      <c r="U102" s="58"/>
      <c r="V102" s="58"/>
      <c r="W102" s="58"/>
      <c r="X102" s="58"/>
      <c r="Y102" s="58"/>
      <c r="Z102" s="58"/>
    </row>
    <row r="103">
      <c r="A103" s="85" t="s">
        <v>854</v>
      </c>
      <c r="B103" s="72" t="s">
        <v>1165</v>
      </c>
      <c r="C103" s="72" t="s">
        <v>1081</v>
      </c>
      <c r="D103" s="72" t="s">
        <v>1082</v>
      </c>
      <c r="E103" s="72" t="s">
        <v>1254</v>
      </c>
      <c r="F103" s="72" t="s">
        <v>1098</v>
      </c>
      <c r="G103" s="78"/>
      <c r="H103" s="72" t="s">
        <v>1098</v>
      </c>
      <c r="I103" s="73" t="s">
        <v>13</v>
      </c>
      <c r="J103" s="58"/>
      <c r="K103" s="58"/>
      <c r="L103" s="58"/>
      <c r="M103" s="58"/>
      <c r="N103" s="58"/>
      <c r="O103" s="58"/>
      <c r="P103" s="58"/>
      <c r="Q103" s="58"/>
      <c r="R103" s="58"/>
      <c r="S103" s="58"/>
      <c r="T103" s="58"/>
      <c r="U103" s="58"/>
      <c r="V103" s="58"/>
      <c r="W103" s="58"/>
      <c r="X103" s="58"/>
      <c r="Y103" s="58"/>
      <c r="Z103" s="58"/>
    </row>
    <row r="104">
      <c r="A104" s="85" t="s">
        <v>858</v>
      </c>
      <c r="B104" s="72" t="s">
        <v>1165</v>
      </c>
      <c r="C104" s="72" t="s">
        <v>1099</v>
      </c>
      <c r="D104" s="72" t="s">
        <v>1082</v>
      </c>
      <c r="E104" s="72" t="s">
        <v>1255</v>
      </c>
      <c r="F104" s="72" t="s">
        <v>1101</v>
      </c>
      <c r="G104" s="72" t="s">
        <v>1256</v>
      </c>
      <c r="H104" s="72" t="s">
        <v>1102</v>
      </c>
      <c r="I104" s="73" t="s">
        <v>13</v>
      </c>
      <c r="J104" s="58"/>
      <c r="K104" s="58"/>
      <c r="L104" s="58"/>
      <c r="M104" s="58"/>
      <c r="N104" s="58"/>
      <c r="O104" s="58"/>
      <c r="P104" s="58"/>
      <c r="Q104" s="58"/>
      <c r="R104" s="58"/>
      <c r="S104" s="58"/>
      <c r="T104" s="58"/>
      <c r="U104" s="58"/>
      <c r="V104" s="58"/>
      <c r="W104" s="58"/>
      <c r="X104" s="58"/>
      <c r="Y104" s="58"/>
      <c r="Z104" s="58"/>
    </row>
    <row r="105">
      <c r="A105" s="85" t="s">
        <v>862</v>
      </c>
      <c r="B105" s="72" t="s">
        <v>1165</v>
      </c>
      <c r="C105" s="72" t="s">
        <v>1099</v>
      </c>
      <c r="D105" s="72" t="s">
        <v>1082</v>
      </c>
      <c r="E105" s="72" t="s">
        <v>1257</v>
      </c>
      <c r="F105" s="72" t="s">
        <v>1104</v>
      </c>
      <c r="G105" s="72" t="s">
        <v>1258</v>
      </c>
      <c r="H105" s="72" t="s">
        <v>1106</v>
      </c>
      <c r="I105" s="73" t="s">
        <v>13</v>
      </c>
      <c r="J105" s="58"/>
      <c r="K105" s="58"/>
      <c r="L105" s="58"/>
      <c r="M105" s="58"/>
      <c r="N105" s="58"/>
      <c r="O105" s="58"/>
      <c r="P105" s="58"/>
      <c r="Q105" s="58"/>
      <c r="R105" s="58"/>
      <c r="S105" s="58"/>
      <c r="T105" s="58"/>
      <c r="U105" s="58"/>
      <c r="V105" s="58"/>
      <c r="W105" s="58"/>
      <c r="X105" s="58"/>
      <c r="Y105" s="58"/>
      <c r="Z105" s="58"/>
    </row>
    <row r="106">
      <c r="A106" s="85" t="s">
        <v>866</v>
      </c>
      <c r="B106" s="72" t="s">
        <v>1165</v>
      </c>
      <c r="C106" s="72" t="s">
        <v>1099</v>
      </c>
      <c r="D106" s="72" t="s">
        <v>1082</v>
      </c>
      <c r="E106" s="72" t="s">
        <v>1259</v>
      </c>
      <c r="F106" s="72" t="s">
        <v>1108</v>
      </c>
      <c r="G106" s="72" t="s">
        <v>1256</v>
      </c>
      <c r="H106" s="72" t="s">
        <v>1109</v>
      </c>
      <c r="I106" s="73" t="s">
        <v>13</v>
      </c>
      <c r="J106" s="58"/>
      <c r="K106" s="58"/>
      <c r="L106" s="58"/>
      <c r="M106" s="58"/>
      <c r="N106" s="58"/>
      <c r="O106" s="58"/>
      <c r="P106" s="58"/>
      <c r="Q106" s="58"/>
      <c r="R106" s="58"/>
      <c r="S106" s="58"/>
      <c r="T106" s="58"/>
      <c r="U106" s="58"/>
      <c r="V106" s="58"/>
      <c r="W106" s="58"/>
      <c r="X106" s="58"/>
      <c r="Y106" s="58"/>
      <c r="Z106" s="58"/>
    </row>
    <row r="107">
      <c r="A107" s="85" t="s">
        <v>869</v>
      </c>
      <c r="B107" s="72" t="s">
        <v>1165</v>
      </c>
      <c r="C107" s="72" t="s">
        <v>1099</v>
      </c>
      <c r="D107" s="72" t="s">
        <v>1082</v>
      </c>
      <c r="E107" s="72" t="s">
        <v>1260</v>
      </c>
      <c r="F107" s="72" t="s">
        <v>1111</v>
      </c>
      <c r="G107" s="72" t="s">
        <v>1256</v>
      </c>
      <c r="H107" s="72" t="s">
        <v>1112</v>
      </c>
      <c r="I107" s="73" t="s">
        <v>13</v>
      </c>
      <c r="J107" s="58"/>
      <c r="K107" s="58"/>
      <c r="L107" s="58"/>
      <c r="M107" s="58"/>
      <c r="N107" s="58"/>
      <c r="O107" s="58"/>
      <c r="P107" s="58"/>
      <c r="Q107" s="58"/>
      <c r="R107" s="58"/>
      <c r="S107" s="58"/>
      <c r="T107" s="58"/>
      <c r="U107" s="58"/>
      <c r="V107" s="58"/>
      <c r="W107" s="58"/>
      <c r="X107" s="58"/>
      <c r="Y107" s="58"/>
      <c r="Z107" s="58"/>
    </row>
    <row r="108">
      <c r="A108" s="85" t="s">
        <v>872</v>
      </c>
      <c r="B108" s="72" t="s">
        <v>1165</v>
      </c>
      <c r="C108" s="72" t="s">
        <v>1099</v>
      </c>
      <c r="D108" s="72" t="s">
        <v>1082</v>
      </c>
      <c r="E108" s="72" t="s">
        <v>1261</v>
      </c>
      <c r="F108" s="72" t="s">
        <v>1114</v>
      </c>
      <c r="G108" s="72" t="s">
        <v>1256</v>
      </c>
      <c r="H108" s="72" t="s">
        <v>1115</v>
      </c>
      <c r="I108" s="73" t="s">
        <v>13</v>
      </c>
      <c r="J108" s="58"/>
      <c r="K108" s="58"/>
      <c r="L108" s="58"/>
      <c r="M108" s="58"/>
      <c r="N108" s="58"/>
      <c r="O108" s="58"/>
      <c r="P108" s="58"/>
      <c r="Q108" s="58"/>
      <c r="R108" s="58"/>
      <c r="S108" s="58"/>
      <c r="T108" s="58"/>
      <c r="U108" s="58"/>
      <c r="V108" s="58"/>
      <c r="W108" s="58"/>
      <c r="X108" s="58"/>
      <c r="Y108" s="58"/>
      <c r="Z108" s="58"/>
    </row>
    <row r="109">
      <c r="A109" s="85" t="s">
        <v>875</v>
      </c>
      <c r="B109" s="72" t="s">
        <v>1165</v>
      </c>
      <c r="C109" s="72" t="s">
        <v>1099</v>
      </c>
      <c r="D109" s="72" t="s">
        <v>1082</v>
      </c>
      <c r="E109" s="72" t="s">
        <v>1262</v>
      </c>
      <c r="F109" s="72" t="s">
        <v>1117</v>
      </c>
      <c r="G109" s="72" t="s">
        <v>1256</v>
      </c>
      <c r="H109" s="72" t="s">
        <v>1118</v>
      </c>
      <c r="I109" s="73" t="s">
        <v>13</v>
      </c>
      <c r="J109" s="58"/>
      <c r="K109" s="58"/>
      <c r="L109" s="58"/>
      <c r="M109" s="58"/>
      <c r="N109" s="58"/>
      <c r="O109" s="58"/>
      <c r="P109" s="58"/>
      <c r="Q109" s="58"/>
      <c r="R109" s="58"/>
      <c r="S109" s="58"/>
      <c r="T109" s="58"/>
      <c r="U109" s="58"/>
      <c r="V109" s="58"/>
      <c r="W109" s="58"/>
      <c r="X109" s="58"/>
      <c r="Y109" s="58"/>
      <c r="Z109" s="58"/>
    </row>
    <row r="110">
      <c r="A110" s="85" t="s">
        <v>879</v>
      </c>
      <c r="B110" s="72" t="s">
        <v>1165</v>
      </c>
      <c r="C110" s="72" t="s">
        <v>1099</v>
      </c>
      <c r="D110" s="72" t="s">
        <v>1082</v>
      </c>
      <c r="E110" s="72" t="s">
        <v>1263</v>
      </c>
      <c r="F110" s="72" t="s">
        <v>1120</v>
      </c>
      <c r="G110" s="72" t="s">
        <v>1256</v>
      </c>
      <c r="H110" s="72" t="s">
        <v>1121</v>
      </c>
      <c r="I110" s="73" t="s">
        <v>13</v>
      </c>
      <c r="J110" s="58"/>
      <c r="K110" s="58"/>
      <c r="L110" s="58"/>
      <c r="M110" s="58"/>
      <c r="N110" s="58"/>
      <c r="O110" s="58"/>
      <c r="P110" s="58"/>
      <c r="Q110" s="58"/>
      <c r="R110" s="58"/>
      <c r="S110" s="58"/>
      <c r="T110" s="58"/>
      <c r="U110" s="58"/>
      <c r="V110" s="58"/>
      <c r="W110" s="58"/>
      <c r="X110" s="58"/>
      <c r="Y110" s="58"/>
      <c r="Z110" s="58"/>
    </row>
    <row r="111">
      <c r="A111" s="85" t="s">
        <v>882</v>
      </c>
      <c r="B111" s="72" t="s">
        <v>1165</v>
      </c>
      <c r="C111" s="72" t="s">
        <v>1099</v>
      </c>
      <c r="D111" s="72" t="s">
        <v>1082</v>
      </c>
      <c r="E111" s="72" t="s">
        <v>1264</v>
      </c>
      <c r="F111" s="72" t="s">
        <v>1123</v>
      </c>
      <c r="G111" s="72" t="s">
        <v>1256</v>
      </c>
      <c r="H111" s="72" t="s">
        <v>1124</v>
      </c>
      <c r="I111" s="73" t="s">
        <v>13</v>
      </c>
      <c r="J111" s="58"/>
      <c r="K111" s="58"/>
      <c r="L111" s="58"/>
      <c r="M111" s="58"/>
      <c r="N111" s="58"/>
      <c r="O111" s="58"/>
      <c r="P111" s="58"/>
      <c r="Q111" s="58"/>
      <c r="R111" s="58"/>
      <c r="S111" s="58"/>
      <c r="T111" s="58"/>
      <c r="U111" s="58"/>
      <c r="V111" s="58"/>
      <c r="W111" s="58"/>
      <c r="X111" s="58"/>
      <c r="Y111" s="58"/>
      <c r="Z111" s="58"/>
    </row>
    <row r="112">
      <c r="A112" s="85" t="s">
        <v>886</v>
      </c>
      <c r="B112" s="72" t="s">
        <v>1165</v>
      </c>
      <c r="C112" s="72" t="s">
        <v>1099</v>
      </c>
      <c r="D112" s="72" t="s">
        <v>1082</v>
      </c>
      <c r="E112" s="72" t="s">
        <v>1265</v>
      </c>
      <c r="F112" s="72" t="s">
        <v>1126</v>
      </c>
      <c r="G112" s="72" t="s">
        <v>1256</v>
      </c>
      <c r="H112" s="72" t="s">
        <v>1127</v>
      </c>
      <c r="I112" s="73" t="s">
        <v>13</v>
      </c>
      <c r="J112" s="58"/>
      <c r="K112" s="58"/>
      <c r="L112" s="58"/>
      <c r="M112" s="58"/>
      <c r="N112" s="58"/>
      <c r="O112" s="58"/>
      <c r="P112" s="58"/>
      <c r="Q112" s="58"/>
      <c r="R112" s="58"/>
      <c r="S112" s="58"/>
      <c r="T112" s="58"/>
      <c r="U112" s="58"/>
      <c r="V112" s="58"/>
      <c r="W112" s="58"/>
      <c r="X112" s="58"/>
      <c r="Y112" s="58"/>
      <c r="Z112" s="58"/>
    </row>
    <row r="113">
      <c r="A113" s="85" t="s">
        <v>889</v>
      </c>
      <c r="B113" s="72" t="s">
        <v>1165</v>
      </c>
      <c r="C113" s="72" t="s">
        <v>1099</v>
      </c>
      <c r="D113" s="72" t="s">
        <v>1082</v>
      </c>
      <c r="E113" s="72" t="s">
        <v>1266</v>
      </c>
      <c r="F113" s="72" t="s">
        <v>1129</v>
      </c>
      <c r="G113" s="72" t="s">
        <v>1256</v>
      </c>
      <c r="H113" s="72" t="s">
        <v>1130</v>
      </c>
      <c r="I113" s="73" t="s">
        <v>13</v>
      </c>
      <c r="J113" s="58"/>
      <c r="K113" s="58"/>
      <c r="L113" s="58"/>
      <c r="M113" s="58"/>
      <c r="N113" s="58"/>
      <c r="O113" s="58"/>
      <c r="P113" s="58"/>
      <c r="Q113" s="58"/>
      <c r="R113" s="58"/>
      <c r="S113" s="58"/>
      <c r="T113" s="58"/>
      <c r="U113" s="58"/>
      <c r="V113" s="58"/>
      <c r="W113" s="58"/>
      <c r="X113" s="58"/>
      <c r="Y113" s="58"/>
      <c r="Z113" s="58"/>
    </row>
    <row r="114">
      <c r="A114" s="85" t="s">
        <v>891</v>
      </c>
      <c r="B114" s="72" t="s">
        <v>1165</v>
      </c>
      <c r="C114" s="72" t="s">
        <v>1131</v>
      </c>
      <c r="D114" s="72" t="s">
        <v>1082</v>
      </c>
      <c r="E114" s="72" t="s">
        <v>1267</v>
      </c>
      <c r="F114" s="72" t="s">
        <v>1133</v>
      </c>
      <c r="G114" s="72" t="s">
        <v>1268</v>
      </c>
      <c r="H114" s="72" t="s">
        <v>1134</v>
      </c>
      <c r="I114" s="73" t="s">
        <v>13</v>
      </c>
      <c r="J114" s="58"/>
      <c r="K114" s="58"/>
      <c r="L114" s="58"/>
      <c r="M114" s="58"/>
      <c r="N114" s="58"/>
      <c r="O114" s="58"/>
      <c r="P114" s="58"/>
      <c r="Q114" s="58"/>
      <c r="R114" s="58"/>
      <c r="S114" s="58"/>
      <c r="T114" s="58"/>
      <c r="U114" s="58"/>
      <c r="V114" s="58"/>
      <c r="W114" s="58"/>
      <c r="X114" s="58"/>
      <c r="Y114" s="58"/>
      <c r="Z114" s="58"/>
    </row>
    <row r="115">
      <c r="A115" s="85" t="s">
        <v>893</v>
      </c>
      <c r="B115" s="72" t="s">
        <v>1165</v>
      </c>
      <c r="C115" s="72" t="s">
        <v>1131</v>
      </c>
      <c r="D115" s="72" t="s">
        <v>1082</v>
      </c>
      <c r="E115" s="72" t="s">
        <v>1269</v>
      </c>
      <c r="F115" s="72" t="s">
        <v>1136</v>
      </c>
      <c r="G115" s="72" t="s">
        <v>1268</v>
      </c>
      <c r="H115" s="72" t="s">
        <v>1137</v>
      </c>
      <c r="I115" s="73" t="s">
        <v>13</v>
      </c>
      <c r="J115" s="58"/>
      <c r="K115" s="58"/>
      <c r="L115" s="58"/>
      <c r="M115" s="58"/>
      <c r="N115" s="58"/>
      <c r="O115" s="58"/>
      <c r="P115" s="58"/>
      <c r="Q115" s="58"/>
      <c r="R115" s="58"/>
      <c r="S115" s="58"/>
      <c r="T115" s="58"/>
      <c r="U115" s="58"/>
      <c r="V115" s="58"/>
      <c r="W115" s="58"/>
      <c r="X115" s="58"/>
      <c r="Y115" s="58"/>
      <c r="Z115" s="58"/>
    </row>
    <row r="116">
      <c r="A116" s="85" t="s">
        <v>895</v>
      </c>
      <c r="B116" s="72" t="s">
        <v>1165</v>
      </c>
      <c r="C116" s="72" t="s">
        <v>1131</v>
      </c>
      <c r="D116" s="72" t="s">
        <v>1082</v>
      </c>
      <c r="E116" s="72" t="s">
        <v>1270</v>
      </c>
      <c r="F116" s="72" t="s">
        <v>1139</v>
      </c>
      <c r="G116" s="72" t="s">
        <v>1268</v>
      </c>
      <c r="H116" s="72" t="s">
        <v>1141</v>
      </c>
      <c r="I116" s="73" t="s">
        <v>13</v>
      </c>
      <c r="J116" s="58"/>
      <c r="K116" s="58"/>
      <c r="L116" s="58"/>
      <c r="M116" s="58"/>
      <c r="N116" s="58"/>
      <c r="O116" s="58"/>
      <c r="P116" s="58"/>
      <c r="Q116" s="58"/>
      <c r="R116" s="58"/>
      <c r="S116" s="58"/>
      <c r="T116" s="58"/>
      <c r="U116" s="58"/>
      <c r="V116" s="58"/>
      <c r="W116" s="58"/>
      <c r="X116" s="58"/>
      <c r="Y116" s="58"/>
      <c r="Z116" s="58"/>
    </row>
    <row r="117">
      <c r="A117" s="85" t="s">
        <v>900</v>
      </c>
      <c r="B117" s="72" t="s">
        <v>1165</v>
      </c>
      <c r="C117" s="72" t="s">
        <v>1131</v>
      </c>
      <c r="D117" s="72" t="s">
        <v>1082</v>
      </c>
      <c r="E117" s="72" t="s">
        <v>1271</v>
      </c>
      <c r="F117" s="72" t="s">
        <v>1143</v>
      </c>
      <c r="G117" s="72" t="s">
        <v>1268</v>
      </c>
      <c r="H117" s="72" t="s">
        <v>1145</v>
      </c>
      <c r="I117" s="73" t="s">
        <v>13</v>
      </c>
      <c r="J117" s="58"/>
      <c r="K117" s="58"/>
      <c r="L117" s="58"/>
      <c r="M117" s="58"/>
      <c r="N117" s="58"/>
      <c r="O117" s="58"/>
      <c r="P117" s="58"/>
      <c r="Q117" s="58"/>
      <c r="R117" s="58"/>
      <c r="S117" s="58"/>
      <c r="T117" s="58"/>
      <c r="U117" s="58"/>
      <c r="V117" s="58"/>
      <c r="W117" s="58"/>
      <c r="X117" s="58"/>
      <c r="Y117" s="58"/>
      <c r="Z117" s="58"/>
    </row>
    <row r="118">
      <c r="A118" s="85" t="s">
        <v>903</v>
      </c>
      <c r="B118" s="72" t="s">
        <v>1165</v>
      </c>
      <c r="C118" s="72" t="s">
        <v>1131</v>
      </c>
      <c r="D118" s="72" t="s">
        <v>1082</v>
      </c>
      <c r="E118" s="72" t="s">
        <v>1272</v>
      </c>
      <c r="F118" s="72" t="s">
        <v>1272</v>
      </c>
      <c r="G118" s="72" t="s">
        <v>1273</v>
      </c>
      <c r="H118" s="72" t="s">
        <v>1274</v>
      </c>
      <c r="I118" s="73" t="s">
        <v>13</v>
      </c>
      <c r="J118" s="58"/>
      <c r="K118" s="58"/>
      <c r="L118" s="58"/>
      <c r="M118" s="58"/>
      <c r="N118" s="58"/>
      <c r="O118" s="58"/>
      <c r="P118" s="58"/>
      <c r="Q118" s="58"/>
      <c r="R118" s="58"/>
      <c r="S118" s="58"/>
      <c r="T118" s="58"/>
      <c r="U118" s="58"/>
      <c r="V118" s="58"/>
      <c r="W118" s="58"/>
      <c r="X118" s="58"/>
      <c r="Y118" s="58"/>
      <c r="Z118" s="58"/>
    </row>
    <row r="119">
      <c r="A119" s="85" t="s">
        <v>906</v>
      </c>
      <c r="B119" s="72" t="s">
        <v>1165</v>
      </c>
      <c r="C119" s="72" t="s">
        <v>1146</v>
      </c>
      <c r="D119" s="72" t="s">
        <v>1082</v>
      </c>
      <c r="E119" s="72" t="s">
        <v>1275</v>
      </c>
      <c r="F119" s="72" t="s">
        <v>1276</v>
      </c>
      <c r="G119" s="72" t="s">
        <v>1277</v>
      </c>
      <c r="H119" s="72" t="s">
        <v>1278</v>
      </c>
      <c r="I119" s="73" t="s">
        <v>13</v>
      </c>
      <c r="J119" s="58"/>
      <c r="K119" s="58"/>
      <c r="L119" s="58"/>
      <c r="M119" s="58"/>
      <c r="N119" s="58"/>
      <c r="O119" s="58"/>
      <c r="P119" s="58"/>
      <c r="Q119" s="58"/>
      <c r="R119" s="58"/>
      <c r="S119" s="58"/>
      <c r="T119" s="58"/>
      <c r="U119" s="58"/>
      <c r="V119" s="58"/>
      <c r="W119" s="58"/>
      <c r="X119" s="58"/>
      <c r="Y119" s="58"/>
      <c r="Z119" s="58"/>
    </row>
    <row r="120">
      <c r="A120" s="85" t="s">
        <v>910</v>
      </c>
      <c r="B120" s="72" t="s">
        <v>1165</v>
      </c>
      <c r="C120" s="72" t="s">
        <v>1146</v>
      </c>
      <c r="D120" s="72" t="s">
        <v>1082</v>
      </c>
      <c r="E120" s="72" t="s">
        <v>1279</v>
      </c>
      <c r="F120" s="72" t="s">
        <v>1148</v>
      </c>
      <c r="G120" s="72" t="s">
        <v>1277</v>
      </c>
      <c r="H120" s="72" t="s">
        <v>1149</v>
      </c>
      <c r="I120" s="73" t="s">
        <v>13</v>
      </c>
      <c r="J120" s="58"/>
      <c r="K120" s="58"/>
      <c r="L120" s="58"/>
      <c r="M120" s="58"/>
      <c r="N120" s="58"/>
      <c r="O120" s="58"/>
      <c r="P120" s="58"/>
      <c r="Q120" s="58"/>
      <c r="R120" s="58"/>
      <c r="S120" s="58"/>
      <c r="T120" s="58"/>
      <c r="U120" s="58"/>
      <c r="V120" s="58"/>
      <c r="W120" s="58"/>
      <c r="X120" s="58"/>
      <c r="Y120" s="58"/>
      <c r="Z120" s="58"/>
    </row>
    <row r="121">
      <c r="A121" s="85" t="s">
        <v>914</v>
      </c>
      <c r="B121" s="72" t="s">
        <v>1165</v>
      </c>
      <c r="C121" s="72" t="s">
        <v>1146</v>
      </c>
      <c r="D121" s="72" t="s">
        <v>1082</v>
      </c>
      <c r="E121" s="72" t="s">
        <v>1280</v>
      </c>
      <c r="F121" s="72" t="s">
        <v>1151</v>
      </c>
      <c r="G121" s="72" t="s">
        <v>1277</v>
      </c>
      <c r="H121" s="72" t="s">
        <v>1152</v>
      </c>
      <c r="I121" s="73" t="s">
        <v>13</v>
      </c>
      <c r="J121" s="58"/>
      <c r="K121" s="58"/>
      <c r="L121" s="58"/>
      <c r="M121" s="58"/>
      <c r="N121" s="58"/>
      <c r="O121" s="58"/>
      <c r="P121" s="58"/>
      <c r="Q121" s="58"/>
      <c r="R121" s="58"/>
      <c r="S121" s="58"/>
      <c r="T121" s="58"/>
      <c r="U121" s="58"/>
      <c r="V121" s="58"/>
      <c r="W121" s="58"/>
      <c r="X121" s="58"/>
      <c r="Y121" s="58"/>
      <c r="Z121" s="58"/>
    </row>
    <row r="122">
      <c r="A122" s="85" t="s">
        <v>919</v>
      </c>
      <c r="B122" s="72" t="s">
        <v>1165</v>
      </c>
      <c r="C122" s="72" t="s">
        <v>1146</v>
      </c>
      <c r="D122" s="72" t="s">
        <v>1082</v>
      </c>
      <c r="E122" s="72" t="s">
        <v>1281</v>
      </c>
      <c r="F122" s="72" t="s">
        <v>1151</v>
      </c>
      <c r="G122" s="72" t="s">
        <v>1277</v>
      </c>
      <c r="H122" s="72" t="s">
        <v>1152</v>
      </c>
      <c r="I122" s="73" t="s">
        <v>13</v>
      </c>
      <c r="J122" s="58"/>
      <c r="K122" s="58"/>
      <c r="L122" s="58"/>
      <c r="M122" s="58"/>
      <c r="N122" s="58"/>
      <c r="O122" s="58"/>
      <c r="P122" s="58"/>
      <c r="Q122" s="58"/>
      <c r="R122" s="58"/>
      <c r="S122" s="58"/>
      <c r="T122" s="58"/>
      <c r="U122" s="58"/>
      <c r="V122" s="58"/>
      <c r="W122" s="58"/>
      <c r="X122" s="58"/>
      <c r="Y122" s="58"/>
      <c r="Z122" s="58"/>
    </row>
    <row r="123">
      <c r="A123" s="85" t="s">
        <v>922</v>
      </c>
      <c r="B123" s="72" t="s">
        <v>1165</v>
      </c>
      <c r="C123" s="72" t="s">
        <v>1146</v>
      </c>
      <c r="D123" s="72" t="s">
        <v>1082</v>
      </c>
      <c r="E123" s="72" t="s">
        <v>1282</v>
      </c>
      <c r="F123" s="72" t="s">
        <v>1155</v>
      </c>
      <c r="G123" s="72" t="s">
        <v>1277</v>
      </c>
      <c r="H123" s="72" t="s">
        <v>1283</v>
      </c>
      <c r="I123" s="73" t="s">
        <v>13</v>
      </c>
      <c r="J123" s="58"/>
      <c r="K123" s="58"/>
      <c r="L123" s="58"/>
      <c r="M123" s="58"/>
      <c r="N123" s="58"/>
      <c r="O123" s="58"/>
      <c r="P123" s="58"/>
      <c r="Q123" s="58"/>
      <c r="R123" s="58"/>
      <c r="S123" s="58"/>
      <c r="T123" s="58"/>
      <c r="U123" s="58"/>
      <c r="V123" s="58"/>
      <c r="W123" s="58"/>
      <c r="X123" s="58"/>
      <c r="Y123" s="58"/>
      <c r="Z123" s="58"/>
    </row>
    <row r="124">
      <c r="A124" s="85" t="s">
        <v>925</v>
      </c>
      <c r="B124" s="72" t="s">
        <v>1165</v>
      </c>
      <c r="C124" s="72" t="s">
        <v>1146</v>
      </c>
      <c r="D124" s="72" t="s">
        <v>1082</v>
      </c>
      <c r="E124" s="72" t="s">
        <v>1156</v>
      </c>
      <c r="F124" s="72" t="s">
        <v>1157</v>
      </c>
      <c r="G124" s="72" t="s">
        <v>1277</v>
      </c>
      <c r="H124" s="72" t="s">
        <v>1158</v>
      </c>
      <c r="I124" s="73" t="s">
        <v>13</v>
      </c>
      <c r="J124" s="58"/>
      <c r="K124" s="58"/>
      <c r="L124" s="58"/>
      <c r="M124" s="58"/>
      <c r="N124" s="58"/>
      <c r="O124" s="58"/>
      <c r="P124" s="58"/>
      <c r="Q124" s="58"/>
      <c r="R124" s="58"/>
      <c r="S124" s="58"/>
      <c r="T124" s="58"/>
      <c r="U124" s="58"/>
      <c r="V124" s="58"/>
      <c r="W124" s="58"/>
      <c r="X124" s="58"/>
      <c r="Y124" s="58"/>
      <c r="Z124" s="58"/>
    </row>
    <row r="125">
      <c r="A125" s="85" t="s">
        <v>929</v>
      </c>
      <c r="B125" s="72" t="s">
        <v>1165</v>
      </c>
      <c r="C125" s="72" t="s">
        <v>1146</v>
      </c>
      <c r="D125" s="72" t="s">
        <v>1082</v>
      </c>
      <c r="E125" s="72" t="s">
        <v>1284</v>
      </c>
      <c r="F125" s="72" t="s">
        <v>1285</v>
      </c>
      <c r="G125" s="72" t="s">
        <v>1277</v>
      </c>
      <c r="H125" s="72" t="s">
        <v>1286</v>
      </c>
      <c r="I125" s="73" t="s">
        <v>13</v>
      </c>
      <c r="J125" s="58"/>
      <c r="K125" s="58"/>
      <c r="L125" s="58"/>
      <c r="M125" s="58"/>
      <c r="N125" s="58"/>
      <c r="O125" s="58"/>
      <c r="P125" s="58"/>
      <c r="Q125" s="58"/>
      <c r="R125" s="58"/>
      <c r="S125" s="58"/>
      <c r="T125" s="58"/>
      <c r="U125" s="58"/>
      <c r="V125" s="58"/>
      <c r="W125" s="58"/>
      <c r="X125" s="58"/>
      <c r="Y125" s="58"/>
      <c r="Z125" s="58"/>
    </row>
    <row r="126">
      <c r="A126" s="85" t="s">
        <v>935</v>
      </c>
      <c r="B126" s="72" t="s">
        <v>1165</v>
      </c>
      <c r="C126" s="72" t="s">
        <v>1146</v>
      </c>
      <c r="D126" s="72" t="s">
        <v>1082</v>
      </c>
      <c r="E126" s="72" t="s">
        <v>1287</v>
      </c>
      <c r="F126" s="72" t="s">
        <v>1288</v>
      </c>
      <c r="G126" s="72" t="s">
        <v>1277</v>
      </c>
      <c r="H126" s="72" t="s">
        <v>1145</v>
      </c>
      <c r="I126" s="73" t="s">
        <v>13</v>
      </c>
      <c r="J126" s="58"/>
      <c r="K126" s="58"/>
      <c r="L126" s="58"/>
      <c r="M126" s="58"/>
      <c r="N126" s="58"/>
      <c r="O126" s="58"/>
      <c r="P126" s="58"/>
      <c r="Q126" s="58"/>
      <c r="R126" s="58"/>
      <c r="S126" s="58"/>
      <c r="T126" s="58"/>
      <c r="U126" s="58"/>
      <c r="V126" s="58"/>
      <c r="W126" s="58"/>
      <c r="X126" s="58"/>
      <c r="Y126" s="58"/>
      <c r="Z126" s="58"/>
    </row>
    <row r="127">
      <c r="A127" s="85" t="s">
        <v>938</v>
      </c>
      <c r="B127" s="72" t="s">
        <v>1165</v>
      </c>
      <c r="C127" s="72" t="s">
        <v>1146</v>
      </c>
      <c r="D127" s="72" t="s">
        <v>1082</v>
      </c>
      <c r="E127" s="72" t="s">
        <v>1159</v>
      </c>
      <c r="F127" s="72" t="s">
        <v>1160</v>
      </c>
      <c r="G127" s="72" t="s">
        <v>1277</v>
      </c>
      <c r="H127" s="72" t="s">
        <v>1161</v>
      </c>
      <c r="I127" s="73" t="s">
        <v>13</v>
      </c>
      <c r="J127" s="58"/>
      <c r="K127" s="58"/>
      <c r="L127" s="58"/>
      <c r="M127" s="58"/>
      <c r="N127" s="58"/>
      <c r="O127" s="58"/>
      <c r="P127" s="58"/>
      <c r="Q127" s="58"/>
      <c r="R127" s="58"/>
      <c r="S127" s="58"/>
      <c r="T127" s="58"/>
      <c r="U127" s="58"/>
      <c r="V127" s="58"/>
      <c r="W127" s="58"/>
      <c r="X127" s="58"/>
      <c r="Y127" s="58"/>
      <c r="Z127" s="58"/>
    </row>
    <row r="128">
      <c r="A128" s="85" t="s">
        <v>941</v>
      </c>
      <c r="B128" s="72" t="s">
        <v>1165</v>
      </c>
      <c r="C128" s="72" t="s">
        <v>1146</v>
      </c>
      <c r="D128" s="72" t="s">
        <v>1082</v>
      </c>
      <c r="E128" s="72" t="s">
        <v>1162</v>
      </c>
      <c r="F128" s="72" t="s">
        <v>1163</v>
      </c>
      <c r="G128" s="72" t="s">
        <v>1277</v>
      </c>
      <c r="H128" s="72" t="s">
        <v>1164</v>
      </c>
      <c r="I128" s="73" t="s">
        <v>13</v>
      </c>
      <c r="J128" s="58"/>
      <c r="K128" s="58"/>
      <c r="L128" s="58"/>
      <c r="M128" s="58"/>
      <c r="N128" s="58"/>
      <c r="O128" s="58"/>
      <c r="P128" s="58"/>
      <c r="Q128" s="58"/>
      <c r="R128" s="58"/>
      <c r="S128" s="58"/>
      <c r="T128" s="58"/>
      <c r="U128" s="58"/>
      <c r="V128" s="58"/>
      <c r="W128" s="58"/>
      <c r="X128" s="58"/>
      <c r="Y128" s="58"/>
      <c r="Z128" s="58"/>
    </row>
    <row r="129">
      <c r="A129" s="85" t="s">
        <v>945</v>
      </c>
      <c r="B129" s="72" t="s">
        <v>1165</v>
      </c>
      <c r="C129" s="72" t="s">
        <v>1289</v>
      </c>
      <c r="D129" s="72" t="s">
        <v>1166</v>
      </c>
      <c r="E129" s="72" t="s">
        <v>1290</v>
      </c>
      <c r="F129" s="72" t="s">
        <v>1291</v>
      </c>
      <c r="G129" s="72" t="s">
        <v>1292</v>
      </c>
      <c r="H129" s="72" t="s">
        <v>1293</v>
      </c>
      <c r="I129" s="73" t="s">
        <v>13</v>
      </c>
      <c r="J129" s="58"/>
      <c r="K129" s="58"/>
      <c r="L129" s="58"/>
      <c r="M129" s="58"/>
      <c r="N129" s="58"/>
      <c r="O129" s="58"/>
      <c r="P129" s="58"/>
      <c r="Q129" s="58"/>
      <c r="R129" s="58"/>
      <c r="S129" s="58"/>
      <c r="T129" s="58"/>
      <c r="U129" s="58"/>
      <c r="V129" s="58"/>
      <c r="W129" s="58"/>
      <c r="X129" s="58"/>
      <c r="Y129" s="58"/>
      <c r="Z129" s="58"/>
    </row>
    <row r="130">
      <c r="A130" s="85" t="s">
        <v>948</v>
      </c>
      <c r="B130" s="72" t="s">
        <v>1165</v>
      </c>
      <c r="C130" s="72" t="s">
        <v>1294</v>
      </c>
      <c r="D130" s="72" t="s">
        <v>1166</v>
      </c>
      <c r="E130" s="72" t="s">
        <v>1295</v>
      </c>
      <c r="F130" s="72" t="s">
        <v>1296</v>
      </c>
      <c r="G130" s="72" t="s">
        <v>1292</v>
      </c>
      <c r="H130" s="72" t="s">
        <v>1293</v>
      </c>
      <c r="I130" s="73" t="s">
        <v>13</v>
      </c>
      <c r="J130" s="58"/>
      <c r="K130" s="58"/>
      <c r="L130" s="58"/>
      <c r="M130" s="58"/>
      <c r="N130" s="58"/>
      <c r="O130" s="58"/>
      <c r="P130" s="58"/>
      <c r="Q130" s="58"/>
      <c r="R130" s="58"/>
      <c r="S130" s="58"/>
      <c r="T130" s="58"/>
      <c r="U130" s="58"/>
      <c r="V130" s="58"/>
      <c r="W130" s="58"/>
      <c r="X130" s="58"/>
      <c r="Y130" s="58"/>
      <c r="Z130" s="58"/>
    </row>
    <row r="131">
      <c r="A131" s="85" t="s">
        <v>951</v>
      </c>
      <c r="B131" s="72" t="s">
        <v>1165</v>
      </c>
      <c r="C131" s="72" t="s">
        <v>1297</v>
      </c>
      <c r="D131" s="72" t="s">
        <v>1166</v>
      </c>
      <c r="E131" s="72" t="s">
        <v>1298</v>
      </c>
      <c r="F131" s="72" t="s">
        <v>1299</v>
      </c>
      <c r="G131" s="72" t="s">
        <v>1292</v>
      </c>
      <c r="H131" s="72" t="s">
        <v>1293</v>
      </c>
      <c r="I131" s="73" t="s">
        <v>13</v>
      </c>
      <c r="J131" s="58"/>
      <c r="K131" s="58"/>
      <c r="L131" s="58"/>
      <c r="M131" s="58"/>
      <c r="N131" s="58"/>
      <c r="O131" s="58"/>
      <c r="P131" s="58"/>
      <c r="Q131" s="58"/>
      <c r="R131" s="58"/>
      <c r="S131" s="58"/>
      <c r="T131" s="58"/>
      <c r="U131" s="58"/>
      <c r="V131" s="58"/>
      <c r="W131" s="58"/>
      <c r="X131" s="58"/>
      <c r="Y131" s="58"/>
      <c r="Z131" s="58"/>
    </row>
    <row r="132">
      <c r="A132" s="85" t="s">
        <v>954</v>
      </c>
      <c r="B132" s="72" t="s">
        <v>1165</v>
      </c>
      <c r="C132" s="72" t="s">
        <v>1289</v>
      </c>
      <c r="D132" s="72" t="s">
        <v>1166</v>
      </c>
      <c r="E132" s="72" t="s">
        <v>1290</v>
      </c>
      <c r="F132" s="72" t="s">
        <v>1291</v>
      </c>
      <c r="G132" s="72" t="s">
        <v>1300</v>
      </c>
      <c r="H132" s="72" t="s">
        <v>1301</v>
      </c>
      <c r="I132" s="73" t="s">
        <v>13</v>
      </c>
      <c r="J132" s="58"/>
      <c r="K132" s="58"/>
      <c r="L132" s="58"/>
      <c r="M132" s="58"/>
      <c r="N132" s="58"/>
      <c r="O132" s="58"/>
      <c r="P132" s="58"/>
      <c r="Q132" s="58"/>
      <c r="R132" s="58"/>
      <c r="S132" s="58"/>
      <c r="T132" s="58"/>
      <c r="U132" s="58"/>
      <c r="V132" s="58"/>
      <c r="W132" s="58"/>
      <c r="X132" s="58"/>
      <c r="Y132" s="58"/>
      <c r="Z132" s="58"/>
    </row>
    <row r="133">
      <c r="A133" s="85" t="s">
        <v>957</v>
      </c>
      <c r="B133" s="72" t="s">
        <v>1165</v>
      </c>
      <c r="C133" s="72" t="s">
        <v>1294</v>
      </c>
      <c r="D133" s="72" t="s">
        <v>1166</v>
      </c>
      <c r="E133" s="72" t="s">
        <v>1295</v>
      </c>
      <c r="F133" s="72" t="s">
        <v>1296</v>
      </c>
      <c r="G133" s="72" t="s">
        <v>1300</v>
      </c>
      <c r="H133" s="72" t="s">
        <v>1301</v>
      </c>
      <c r="I133" s="73" t="s">
        <v>13</v>
      </c>
      <c r="J133" s="58"/>
      <c r="K133" s="58"/>
      <c r="L133" s="58"/>
      <c r="M133" s="58"/>
      <c r="N133" s="58"/>
      <c r="O133" s="58"/>
      <c r="P133" s="58"/>
      <c r="Q133" s="58"/>
      <c r="R133" s="58"/>
      <c r="S133" s="58"/>
      <c r="T133" s="58"/>
      <c r="U133" s="58"/>
      <c r="V133" s="58"/>
      <c r="W133" s="58"/>
      <c r="X133" s="58"/>
      <c r="Y133" s="58"/>
      <c r="Z133" s="58"/>
    </row>
    <row r="134">
      <c r="A134" s="85" t="s">
        <v>960</v>
      </c>
      <c r="B134" s="72" t="s">
        <v>1165</v>
      </c>
      <c r="C134" s="72" t="s">
        <v>1297</v>
      </c>
      <c r="D134" s="72" t="s">
        <v>1166</v>
      </c>
      <c r="E134" s="72" t="s">
        <v>1298</v>
      </c>
      <c r="F134" s="72" t="s">
        <v>1299</v>
      </c>
      <c r="G134" s="72" t="s">
        <v>1300</v>
      </c>
      <c r="H134" s="72" t="s">
        <v>1301</v>
      </c>
      <c r="I134" s="73" t="s">
        <v>13</v>
      </c>
      <c r="J134" s="58"/>
      <c r="K134" s="58"/>
      <c r="L134" s="58"/>
      <c r="M134" s="58"/>
      <c r="N134" s="58"/>
      <c r="O134" s="58"/>
      <c r="P134" s="58"/>
      <c r="Q134" s="58"/>
      <c r="R134" s="58"/>
      <c r="S134" s="58"/>
      <c r="T134" s="58"/>
      <c r="U134" s="58"/>
      <c r="V134" s="58"/>
      <c r="W134" s="58"/>
      <c r="X134" s="58"/>
      <c r="Y134" s="58"/>
      <c r="Z134" s="58"/>
    </row>
    <row r="135">
      <c r="A135" s="85" t="s">
        <v>965</v>
      </c>
      <c r="B135" s="72" t="s">
        <v>1165</v>
      </c>
      <c r="C135" s="72" t="s">
        <v>1302</v>
      </c>
      <c r="D135" s="72" t="s">
        <v>1303</v>
      </c>
      <c r="E135" s="72" t="s">
        <v>1304</v>
      </c>
      <c r="F135" s="72" t="s">
        <v>1305</v>
      </c>
      <c r="G135" s="78"/>
      <c r="H135" s="72" t="s">
        <v>1302</v>
      </c>
      <c r="I135" s="73" t="s">
        <v>13</v>
      </c>
      <c r="J135" s="58"/>
      <c r="K135" s="58"/>
      <c r="L135" s="58"/>
      <c r="M135" s="58"/>
      <c r="N135" s="58"/>
      <c r="O135" s="58"/>
      <c r="P135" s="58"/>
      <c r="Q135" s="58"/>
      <c r="R135" s="58"/>
      <c r="S135" s="58"/>
      <c r="T135" s="58"/>
      <c r="U135" s="58"/>
      <c r="V135" s="58"/>
      <c r="W135" s="58"/>
      <c r="X135" s="58"/>
      <c r="Y135" s="58"/>
      <c r="Z135" s="58"/>
    </row>
    <row r="136">
      <c r="A136" s="85" t="s">
        <v>968</v>
      </c>
      <c r="B136" s="72" t="s">
        <v>1165</v>
      </c>
      <c r="C136" s="72" t="s">
        <v>973</v>
      </c>
      <c r="D136" s="72" t="s">
        <v>1306</v>
      </c>
      <c r="E136" s="72" t="s">
        <v>1167</v>
      </c>
      <c r="F136" s="72" t="s">
        <v>976</v>
      </c>
      <c r="G136" s="72" t="s">
        <v>1168</v>
      </c>
      <c r="H136" s="72" t="s">
        <v>1169</v>
      </c>
      <c r="I136" s="73" t="s">
        <v>13</v>
      </c>
      <c r="J136" s="58"/>
      <c r="K136" s="58"/>
      <c r="L136" s="58"/>
      <c r="M136" s="58"/>
      <c r="N136" s="58"/>
      <c r="O136" s="58"/>
      <c r="P136" s="58"/>
      <c r="Q136" s="58"/>
      <c r="R136" s="58"/>
      <c r="S136" s="58"/>
      <c r="T136" s="58"/>
      <c r="U136" s="58"/>
      <c r="V136" s="58"/>
      <c r="W136" s="58"/>
      <c r="X136" s="58"/>
      <c r="Y136" s="58"/>
      <c r="Z136" s="58"/>
    </row>
    <row r="137">
      <c r="A137" s="85" t="s">
        <v>1307</v>
      </c>
      <c r="B137" s="72" t="s">
        <v>1165</v>
      </c>
      <c r="C137" s="72" t="s">
        <v>973</v>
      </c>
      <c r="D137" s="72" t="s">
        <v>1306</v>
      </c>
      <c r="E137" s="72" t="s">
        <v>1170</v>
      </c>
      <c r="F137" s="72" t="s">
        <v>1171</v>
      </c>
      <c r="G137" s="72" t="s">
        <v>981</v>
      </c>
      <c r="H137" s="72" t="s">
        <v>1171</v>
      </c>
      <c r="I137" s="73" t="s">
        <v>13</v>
      </c>
      <c r="J137" s="58"/>
      <c r="K137" s="58"/>
      <c r="L137" s="58"/>
      <c r="M137" s="58"/>
      <c r="N137" s="58"/>
      <c r="O137" s="58"/>
      <c r="P137" s="58"/>
      <c r="Q137" s="58"/>
      <c r="R137" s="58"/>
      <c r="S137" s="58"/>
      <c r="T137" s="58"/>
      <c r="U137" s="58"/>
      <c r="V137" s="58"/>
      <c r="W137" s="58"/>
      <c r="X137" s="58"/>
      <c r="Y137" s="58"/>
      <c r="Z137" s="58"/>
    </row>
    <row r="138">
      <c r="A138" s="85" t="s">
        <v>1308</v>
      </c>
      <c r="B138" s="72" t="s">
        <v>1165</v>
      </c>
      <c r="C138" s="72" t="s">
        <v>973</v>
      </c>
      <c r="D138" s="72" t="s">
        <v>1306</v>
      </c>
      <c r="E138" s="107" t="s">
        <v>982</v>
      </c>
      <c r="F138" s="72" t="s">
        <v>1172</v>
      </c>
      <c r="G138" s="78"/>
      <c r="H138" s="72" t="s">
        <v>1173</v>
      </c>
      <c r="I138" s="73" t="s">
        <v>13</v>
      </c>
      <c r="J138" s="58"/>
      <c r="K138" s="58"/>
      <c r="L138" s="58"/>
      <c r="M138" s="58"/>
      <c r="N138" s="58"/>
      <c r="O138" s="58"/>
      <c r="P138" s="58"/>
      <c r="Q138" s="58"/>
      <c r="R138" s="58"/>
      <c r="S138" s="58"/>
      <c r="T138" s="58"/>
      <c r="U138" s="58"/>
      <c r="V138" s="58"/>
      <c r="W138" s="58"/>
      <c r="X138" s="58"/>
      <c r="Y138" s="58"/>
      <c r="Z138" s="58"/>
    </row>
    <row r="139">
      <c r="A139" s="85" t="s">
        <v>1309</v>
      </c>
      <c r="B139" s="72" t="s">
        <v>1165</v>
      </c>
      <c r="C139" s="72" t="s">
        <v>973</v>
      </c>
      <c r="D139" s="72" t="s">
        <v>1306</v>
      </c>
      <c r="E139" s="107" t="s">
        <v>985</v>
      </c>
      <c r="F139" s="72" t="s">
        <v>986</v>
      </c>
      <c r="G139" s="78"/>
      <c r="H139" s="72" t="s">
        <v>987</v>
      </c>
      <c r="I139" s="73" t="s">
        <v>13</v>
      </c>
      <c r="J139" s="58"/>
      <c r="K139" s="58"/>
      <c r="L139" s="58"/>
      <c r="M139" s="58"/>
      <c r="N139" s="58"/>
      <c r="O139" s="58"/>
      <c r="P139" s="58"/>
      <c r="Q139" s="58"/>
      <c r="R139" s="58"/>
      <c r="S139" s="58"/>
      <c r="T139" s="58"/>
      <c r="U139" s="58"/>
      <c r="V139" s="58"/>
      <c r="W139" s="58"/>
      <c r="X139" s="58"/>
      <c r="Y139" s="58"/>
      <c r="Z139" s="58"/>
    </row>
    <row r="140">
      <c r="A140" s="85" t="s">
        <v>1310</v>
      </c>
      <c r="B140" s="72" t="s">
        <v>1165</v>
      </c>
      <c r="C140" s="72" t="s">
        <v>973</v>
      </c>
      <c r="D140" s="72" t="s">
        <v>1306</v>
      </c>
      <c r="E140" s="107" t="s">
        <v>988</v>
      </c>
      <c r="F140" s="72" t="s">
        <v>989</v>
      </c>
      <c r="G140" s="72" t="s">
        <v>1174</v>
      </c>
      <c r="H140" s="72" t="s">
        <v>990</v>
      </c>
      <c r="I140" s="73" t="s">
        <v>13</v>
      </c>
      <c r="J140" s="58"/>
      <c r="K140" s="58"/>
      <c r="L140" s="58"/>
      <c r="M140" s="58"/>
      <c r="N140" s="58"/>
      <c r="O140" s="58"/>
      <c r="P140" s="58"/>
      <c r="Q140" s="58"/>
      <c r="R140" s="58"/>
      <c r="S140" s="58"/>
      <c r="T140" s="58"/>
      <c r="U140" s="58"/>
      <c r="V140" s="58"/>
      <c r="W140" s="58"/>
      <c r="X140" s="58"/>
      <c r="Y140" s="58"/>
      <c r="Z140" s="58"/>
    </row>
    <row r="141">
      <c r="A141" s="85" t="s">
        <v>1311</v>
      </c>
      <c r="B141" s="72" t="s">
        <v>1165</v>
      </c>
      <c r="C141" s="72" t="s">
        <v>991</v>
      </c>
      <c r="D141" s="72" t="s">
        <v>1306</v>
      </c>
      <c r="E141" s="107" t="s">
        <v>1312</v>
      </c>
      <c r="F141" s="72" t="s">
        <v>1176</v>
      </c>
      <c r="G141" s="72" t="s">
        <v>1168</v>
      </c>
      <c r="H141" s="72" t="s">
        <v>1177</v>
      </c>
      <c r="I141" s="73" t="s">
        <v>13</v>
      </c>
      <c r="J141" s="58"/>
      <c r="K141" s="58"/>
      <c r="L141" s="58"/>
      <c r="M141" s="58"/>
      <c r="N141" s="58"/>
      <c r="O141" s="58"/>
      <c r="P141" s="58"/>
      <c r="Q141" s="58"/>
      <c r="R141" s="58"/>
      <c r="S141" s="58"/>
      <c r="T141" s="58"/>
      <c r="U141" s="58"/>
      <c r="V141" s="58"/>
      <c r="W141" s="58"/>
      <c r="X141" s="58"/>
      <c r="Y141" s="58"/>
      <c r="Z141" s="58"/>
    </row>
    <row r="142">
      <c r="A142" s="85" t="s">
        <v>1313</v>
      </c>
      <c r="B142" s="72" t="s">
        <v>1165</v>
      </c>
      <c r="C142" s="72" t="s">
        <v>991</v>
      </c>
      <c r="D142" s="72" t="s">
        <v>1306</v>
      </c>
      <c r="E142" s="72" t="s">
        <v>1314</v>
      </c>
      <c r="F142" s="72" t="s">
        <v>1179</v>
      </c>
      <c r="G142" s="72" t="s">
        <v>1180</v>
      </c>
      <c r="H142" s="72" t="s">
        <v>1181</v>
      </c>
      <c r="I142" s="73" t="s">
        <v>13</v>
      </c>
      <c r="J142" s="58"/>
      <c r="K142" s="58"/>
      <c r="L142" s="58"/>
      <c r="M142" s="58"/>
      <c r="N142" s="58"/>
      <c r="O142" s="58"/>
      <c r="P142" s="58"/>
      <c r="Q142" s="58"/>
      <c r="R142" s="58"/>
      <c r="S142" s="58"/>
      <c r="T142" s="58"/>
      <c r="U142" s="58"/>
      <c r="V142" s="58"/>
      <c r="W142" s="58"/>
      <c r="X142" s="58"/>
      <c r="Y142" s="58"/>
      <c r="Z142" s="58"/>
    </row>
    <row r="143">
      <c r="A143" s="85" t="s">
        <v>1315</v>
      </c>
      <c r="B143" s="72" t="s">
        <v>1165</v>
      </c>
      <c r="C143" s="72" t="s">
        <v>991</v>
      </c>
      <c r="D143" s="72" t="s">
        <v>1306</v>
      </c>
      <c r="E143" s="72" t="s">
        <v>1316</v>
      </c>
      <c r="F143" s="72" t="s">
        <v>1317</v>
      </c>
      <c r="G143" s="72" t="s">
        <v>1168</v>
      </c>
      <c r="H143" s="72" t="s">
        <v>1318</v>
      </c>
      <c r="I143" s="73" t="s">
        <v>13</v>
      </c>
      <c r="J143" s="58"/>
      <c r="K143" s="58"/>
      <c r="L143" s="58"/>
      <c r="M143" s="58"/>
      <c r="N143" s="58"/>
      <c r="O143" s="58"/>
      <c r="P143" s="58"/>
      <c r="Q143" s="58"/>
      <c r="R143" s="58"/>
      <c r="S143" s="58"/>
      <c r="T143" s="58"/>
      <c r="U143" s="58"/>
      <c r="V143" s="58"/>
      <c r="W143" s="58"/>
      <c r="X143" s="58"/>
      <c r="Y143" s="58"/>
      <c r="Z143" s="58"/>
    </row>
    <row r="144">
      <c r="A144" s="85" t="s">
        <v>1319</v>
      </c>
      <c r="B144" s="72" t="s">
        <v>1165</v>
      </c>
      <c r="C144" s="72" t="s">
        <v>991</v>
      </c>
      <c r="D144" s="72" t="s">
        <v>1306</v>
      </c>
      <c r="E144" s="72" t="s">
        <v>1320</v>
      </c>
      <c r="F144" s="72" t="s">
        <v>993</v>
      </c>
      <c r="G144" s="72" t="s">
        <v>1186</v>
      </c>
      <c r="H144" s="72" t="s">
        <v>994</v>
      </c>
      <c r="I144" s="73" t="s">
        <v>13</v>
      </c>
      <c r="J144" s="58"/>
      <c r="K144" s="58"/>
      <c r="L144" s="58"/>
      <c r="M144" s="58"/>
      <c r="N144" s="58"/>
      <c r="O144" s="58"/>
      <c r="P144" s="58"/>
      <c r="Q144" s="58"/>
      <c r="R144" s="58"/>
      <c r="S144" s="58"/>
      <c r="T144" s="58"/>
      <c r="U144" s="58"/>
      <c r="V144" s="58"/>
      <c r="W144" s="58"/>
      <c r="X144" s="58"/>
      <c r="Y144" s="58"/>
      <c r="Z144" s="58"/>
    </row>
    <row r="145">
      <c r="A145" s="85" t="s">
        <v>1321</v>
      </c>
      <c r="B145" s="72" t="s">
        <v>1165</v>
      </c>
      <c r="C145" s="72" t="s">
        <v>991</v>
      </c>
      <c r="D145" s="72" t="s">
        <v>1306</v>
      </c>
      <c r="E145" s="72" t="s">
        <v>1322</v>
      </c>
      <c r="F145" s="72" t="s">
        <v>996</v>
      </c>
      <c r="G145" s="72" t="s">
        <v>1188</v>
      </c>
      <c r="H145" s="72" t="s">
        <v>997</v>
      </c>
      <c r="I145" s="73" t="s">
        <v>13</v>
      </c>
      <c r="J145" s="58"/>
      <c r="K145" s="58"/>
      <c r="L145" s="58"/>
      <c r="M145" s="58"/>
      <c r="N145" s="58"/>
      <c r="O145" s="58"/>
      <c r="P145" s="58"/>
      <c r="Q145" s="58"/>
      <c r="R145" s="58"/>
      <c r="S145" s="58"/>
      <c r="T145" s="58"/>
      <c r="U145" s="58"/>
      <c r="V145" s="58"/>
      <c r="W145" s="58"/>
      <c r="X145" s="58"/>
      <c r="Y145" s="58"/>
      <c r="Z145" s="58"/>
    </row>
    <row r="146">
      <c r="A146" s="85" t="s">
        <v>1323</v>
      </c>
      <c r="B146" s="72" t="s">
        <v>1165</v>
      </c>
      <c r="C146" s="72" t="s">
        <v>991</v>
      </c>
      <c r="D146" s="72" t="s">
        <v>1306</v>
      </c>
      <c r="E146" s="72" t="s">
        <v>998</v>
      </c>
      <c r="F146" s="72" t="s">
        <v>999</v>
      </c>
      <c r="G146" s="72" t="s">
        <v>1189</v>
      </c>
      <c r="H146" s="72" t="s">
        <v>1001</v>
      </c>
      <c r="I146" s="73" t="s">
        <v>13</v>
      </c>
      <c r="J146" s="58"/>
      <c r="K146" s="58"/>
      <c r="L146" s="58"/>
      <c r="M146" s="58"/>
      <c r="N146" s="58"/>
      <c r="O146" s="58"/>
      <c r="P146" s="58"/>
      <c r="Q146" s="58"/>
      <c r="R146" s="58"/>
      <c r="S146" s="58"/>
      <c r="T146" s="58"/>
      <c r="U146" s="58"/>
      <c r="V146" s="58"/>
      <c r="W146" s="58"/>
      <c r="X146" s="58"/>
      <c r="Y146" s="58"/>
      <c r="Z146" s="58"/>
    </row>
    <row r="147">
      <c r="A147" s="85" t="s">
        <v>1324</v>
      </c>
      <c r="B147" s="72" t="s">
        <v>1165</v>
      </c>
      <c r="C147" s="72" t="s">
        <v>1002</v>
      </c>
      <c r="D147" s="72" t="s">
        <v>1325</v>
      </c>
      <c r="E147" s="72" t="s">
        <v>1326</v>
      </c>
      <c r="F147" s="72" t="s">
        <v>1005</v>
      </c>
      <c r="G147" s="72" t="s">
        <v>1191</v>
      </c>
      <c r="H147" s="72" t="s">
        <v>1007</v>
      </c>
      <c r="I147" s="73" t="s">
        <v>13</v>
      </c>
      <c r="J147" s="58"/>
      <c r="K147" s="58"/>
      <c r="L147" s="58"/>
      <c r="M147" s="58"/>
      <c r="N147" s="58"/>
      <c r="O147" s="58"/>
      <c r="P147" s="58"/>
      <c r="Q147" s="58"/>
      <c r="R147" s="58"/>
      <c r="S147" s="58"/>
      <c r="T147" s="58"/>
      <c r="U147" s="58"/>
      <c r="V147" s="58"/>
      <c r="W147" s="58"/>
      <c r="X147" s="58"/>
      <c r="Y147" s="58"/>
      <c r="Z147" s="58"/>
    </row>
    <row r="148">
      <c r="A148" s="85" t="s">
        <v>1327</v>
      </c>
      <c r="B148" s="72" t="s">
        <v>1165</v>
      </c>
      <c r="C148" s="72" t="s">
        <v>1002</v>
      </c>
      <c r="D148" s="72" t="s">
        <v>1325</v>
      </c>
      <c r="E148" s="72" t="s">
        <v>1328</v>
      </c>
      <c r="F148" s="72" t="s">
        <v>1009</v>
      </c>
      <c r="G148" s="72" t="s">
        <v>1193</v>
      </c>
      <c r="H148" s="72" t="s">
        <v>1011</v>
      </c>
      <c r="I148" s="73" t="s">
        <v>13</v>
      </c>
      <c r="J148" s="58"/>
      <c r="K148" s="58"/>
      <c r="L148" s="58"/>
      <c r="M148" s="58"/>
      <c r="N148" s="58"/>
      <c r="O148" s="58"/>
      <c r="P148" s="58"/>
      <c r="Q148" s="58"/>
      <c r="R148" s="58"/>
      <c r="S148" s="58"/>
      <c r="T148" s="58"/>
      <c r="U148" s="58"/>
      <c r="V148" s="58"/>
      <c r="W148" s="58"/>
      <c r="X148" s="58"/>
      <c r="Y148" s="58"/>
      <c r="Z148" s="58"/>
    </row>
    <row r="149">
      <c r="A149" s="85" t="s">
        <v>1329</v>
      </c>
      <c r="B149" s="72" t="s">
        <v>1165</v>
      </c>
      <c r="C149" s="72" t="s">
        <v>1002</v>
      </c>
      <c r="D149" s="72" t="s">
        <v>1325</v>
      </c>
      <c r="E149" s="72" t="s">
        <v>1330</v>
      </c>
      <c r="F149" s="72" t="s">
        <v>1013</v>
      </c>
      <c r="G149" s="72" t="s">
        <v>1195</v>
      </c>
      <c r="H149" s="72" t="s">
        <v>1015</v>
      </c>
      <c r="I149" s="73" t="s">
        <v>13</v>
      </c>
      <c r="J149" s="58"/>
      <c r="K149" s="58"/>
      <c r="L149" s="58"/>
      <c r="M149" s="58"/>
      <c r="N149" s="58"/>
      <c r="O149" s="58"/>
      <c r="P149" s="58"/>
      <c r="Q149" s="58"/>
      <c r="R149" s="58"/>
      <c r="S149" s="58"/>
      <c r="T149" s="58"/>
      <c r="U149" s="58"/>
      <c r="V149" s="58"/>
      <c r="W149" s="58"/>
      <c r="X149" s="58"/>
      <c r="Y149" s="58"/>
      <c r="Z149" s="58"/>
    </row>
    <row r="150">
      <c r="A150" s="85" t="s">
        <v>1331</v>
      </c>
      <c r="B150" s="72" t="s">
        <v>1165</v>
      </c>
      <c r="C150" s="72" t="s">
        <v>1002</v>
      </c>
      <c r="D150" s="72" t="s">
        <v>1325</v>
      </c>
      <c r="E150" s="72" t="s">
        <v>1332</v>
      </c>
      <c r="F150" s="72" t="s">
        <v>1017</v>
      </c>
      <c r="G150" s="72" t="s">
        <v>1168</v>
      </c>
      <c r="H150" s="72" t="s">
        <v>1018</v>
      </c>
      <c r="I150" s="73" t="s">
        <v>13</v>
      </c>
      <c r="J150" s="58"/>
      <c r="K150" s="58"/>
      <c r="L150" s="58"/>
      <c r="M150" s="58"/>
      <c r="N150" s="58"/>
      <c r="O150" s="58"/>
      <c r="P150" s="58"/>
      <c r="Q150" s="58"/>
      <c r="R150" s="58"/>
      <c r="S150" s="58"/>
      <c r="T150" s="58"/>
      <c r="U150" s="58"/>
      <c r="V150" s="58"/>
      <c r="W150" s="58"/>
      <c r="X150" s="58"/>
      <c r="Y150" s="58"/>
      <c r="Z150" s="58"/>
    </row>
    <row r="151">
      <c r="A151" s="85" t="s">
        <v>1333</v>
      </c>
      <c r="B151" s="72" t="s">
        <v>1165</v>
      </c>
      <c r="C151" s="72" t="s">
        <v>1002</v>
      </c>
      <c r="D151" s="72" t="s">
        <v>1325</v>
      </c>
      <c r="E151" s="72" t="s">
        <v>1334</v>
      </c>
      <c r="F151" s="72" t="s">
        <v>1020</v>
      </c>
      <c r="G151" s="72" t="s">
        <v>1168</v>
      </c>
      <c r="H151" s="72" t="s">
        <v>1021</v>
      </c>
      <c r="I151" s="73" t="s">
        <v>13</v>
      </c>
      <c r="J151" s="58"/>
      <c r="K151" s="58"/>
      <c r="L151" s="58"/>
      <c r="M151" s="58"/>
      <c r="N151" s="58"/>
      <c r="O151" s="58"/>
      <c r="P151" s="58"/>
      <c r="Q151" s="58"/>
      <c r="R151" s="58"/>
      <c r="S151" s="58"/>
      <c r="T151" s="58"/>
      <c r="U151" s="58"/>
      <c r="V151" s="58"/>
      <c r="W151" s="58"/>
      <c r="X151" s="58"/>
      <c r="Y151" s="58"/>
      <c r="Z151" s="58"/>
    </row>
    <row r="152">
      <c r="A152" s="85" t="s">
        <v>1335</v>
      </c>
      <c r="B152" s="72" t="s">
        <v>1165</v>
      </c>
      <c r="C152" s="72" t="s">
        <v>1002</v>
      </c>
      <c r="D152" s="72" t="s">
        <v>1325</v>
      </c>
      <c r="E152" s="72" t="s">
        <v>1336</v>
      </c>
      <c r="F152" s="72" t="s">
        <v>1023</v>
      </c>
      <c r="G152" s="72" t="s">
        <v>1168</v>
      </c>
      <c r="H152" s="72" t="s">
        <v>1024</v>
      </c>
      <c r="I152" s="73" t="s">
        <v>13</v>
      </c>
      <c r="J152" s="58"/>
      <c r="K152" s="58"/>
      <c r="L152" s="58"/>
      <c r="M152" s="58"/>
      <c r="N152" s="58"/>
      <c r="O152" s="58"/>
      <c r="P152" s="58"/>
      <c r="Q152" s="58"/>
      <c r="R152" s="58"/>
      <c r="S152" s="58"/>
      <c r="T152" s="58"/>
      <c r="U152" s="58"/>
      <c r="V152" s="58"/>
      <c r="W152" s="58"/>
      <c r="X152" s="58"/>
      <c r="Y152" s="58"/>
      <c r="Z152" s="58"/>
    </row>
    <row r="153">
      <c r="A153" s="85" t="s">
        <v>1337</v>
      </c>
      <c r="B153" s="72" t="s">
        <v>1165</v>
      </c>
      <c r="C153" s="72" t="s">
        <v>1002</v>
      </c>
      <c r="D153" s="72" t="s">
        <v>1325</v>
      </c>
      <c r="E153" s="72" t="s">
        <v>1338</v>
      </c>
      <c r="F153" s="72" t="s">
        <v>1026</v>
      </c>
      <c r="G153" s="72" t="s">
        <v>1168</v>
      </c>
      <c r="H153" s="72" t="s">
        <v>1027</v>
      </c>
      <c r="I153" s="73" t="s">
        <v>13</v>
      </c>
      <c r="J153" s="58"/>
      <c r="K153" s="58"/>
      <c r="L153" s="58"/>
      <c r="M153" s="58"/>
      <c r="N153" s="58"/>
      <c r="O153" s="58"/>
      <c r="P153" s="58"/>
      <c r="Q153" s="58"/>
      <c r="R153" s="58"/>
      <c r="S153" s="58"/>
      <c r="T153" s="58"/>
      <c r="U153" s="58"/>
      <c r="V153" s="58"/>
      <c r="W153" s="58"/>
      <c r="X153" s="58"/>
      <c r="Y153" s="58"/>
      <c r="Z153" s="58"/>
    </row>
    <row r="154">
      <c r="A154" s="85" t="s">
        <v>1339</v>
      </c>
      <c r="B154" s="72" t="s">
        <v>1165</v>
      </c>
      <c r="C154" s="72" t="s">
        <v>1002</v>
      </c>
      <c r="D154" s="72" t="s">
        <v>1325</v>
      </c>
      <c r="E154" s="72" t="s">
        <v>1340</v>
      </c>
      <c r="F154" s="72" t="s">
        <v>1029</v>
      </c>
      <c r="G154" s="72" t="s">
        <v>1201</v>
      </c>
      <c r="H154" s="72" t="s">
        <v>1031</v>
      </c>
      <c r="I154" s="73" t="s">
        <v>13</v>
      </c>
      <c r="J154" s="58"/>
      <c r="K154" s="58"/>
      <c r="L154" s="58"/>
      <c r="M154" s="58"/>
      <c r="N154" s="58"/>
      <c r="O154" s="58"/>
      <c r="P154" s="58"/>
      <c r="Q154" s="58"/>
      <c r="R154" s="58"/>
      <c r="S154" s="58"/>
      <c r="T154" s="58"/>
      <c r="U154" s="58"/>
      <c r="V154" s="58"/>
      <c r="W154" s="58"/>
      <c r="X154" s="58"/>
      <c r="Y154" s="58"/>
      <c r="Z154" s="58"/>
    </row>
    <row r="155">
      <c r="A155" s="85" t="s">
        <v>1341</v>
      </c>
      <c r="B155" s="72" t="s">
        <v>1165</v>
      </c>
      <c r="C155" s="72" t="s">
        <v>1002</v>
      </c>
      <c r="D155" s="72" t="s">
        <v>1325</v>
      </c>
      <c r="E155" s="72" t="s">
        <v>1342</v>
      </c>
      <c r="F155" s="72" t="s">
        <v>1033</v>
      </c>
      <c r="G155" s="72" t="s">
        <v>1203</v>
      </c>
      <c r="H155" s="72" t="s">
        <v>1033</v>
      </c>
      <c r="I155" s="73" t="s">
        <v>13</v>
      </c>
      <c r="J155" s="58"/>
      <c r="K155" s="58"/>
      <c r="L155" s="58"/>
      <c r="M155" s="58"/>
      <c r="N155" s="58"/>
      <c r="O155" s="58"/>
      <c r="P155" s="58"/>
      <c r="Q155" s="58"/>
      <c r="R155" s="58"/>
      <c r="S155" s="58"/>
      <c r="T155" s="58"/>
      <c r="U155" s="58"/>
      <c r="V155" s="58"/>
      <c r="W155" s="58"/>
      <c r="X155" s="58"/>
      <c r="Y155" s="58"/>
      <c r="Z155" s="58"/>
    </row>
    <row r="156">
      <c r="A156" s="85" t="s">
        <v>1343</v>
      </c>
      <c r="B156" s="72" t="s">
        <v>1165</v>
      </c>
      <c r="C156" s="72" t="s">
        <v>1002</v>
      </c>
      <c r="D156" s="72" t="s">
        <v>1325</v>
      </c>
      <c r="E156" s="72" t="s">
        <v>1344</v>
      </c>
      <c r="F156" s="72" t="s">
        <v>1036</v>
      </c>
      <c r="G156" s="72" t="s">
        <v>1168</v>
      </c>
      <c r="H156" s="72" t="s">
        <v>1036</v>
      </c>
      <c r="I156" s="73" t="s">
        <v>13</v>
      </c>
      <c r="J156" s="58"/>
      <c r="K156" s="58"/>
      <c r="L156" s="58"/>
      <c r="M156" s="58"/>
      <c r="N156" s="58"/>
      <c r="O156" s="58"/>
      <c r="P156" s="58"/>
      <c r="Q156" s="58"/>
      <c r="R156" s="58"/>
      <c r="S156" s="58"/>
      <c r="T156" s="58"/>
      <c r="U156" s="58"/>
      <c r="V156" s="58"/>
      <c r="W156" s="58"/>
      <c r="X156" s="58"/>
      <c r="Y156" s="58"/>
      <c r="Z156" s="58"/>
    </row>
    <row r="157">
      <c r="A157" s="85" t="s">
        <v>1345</v>
      </c>
      <c r="B157" s="72" t="s">
        <v>1165</v>
      </c>
      <c r="C157" s="72" t="s">
        <v>1002</v>
      </c>
      <c r="D157" s="72" t="s">
        <v>1325</v>
      </c>
      <c r="E157" s="72" t="s">
        <v>1346</v>
      </c>
      <c r="F157" s="72" t="s">
        <v>1038</v>
      </c>
      <c r="G157" s="72" t="s">
        <v>1168</v>
      </c>
      <c r="H157" s="72" t="s">
        <v>1039</v>
      </c>
      <c r="I157" s="73" t="s">
        <v>13</v>
      </c>
      <c r="J157" s="58"/>
      <c r="K157" s="58"/>
      <c r="L157" s="58"/>
      <c r="M157" s="58"/>
      <c r="N157" s="58"/>
      <c r="O157" s="58"/>
      <c r="P157" s="58"/>
      <c r="Q157" s="58"/>
      <c r="R157" s="58"/>
      <c r="S157" s="58"/>
      <c r="T157" s="58"/>
      <c r="U157" s="58"/>
      <c r="V157" s="58"/>
      <c r="W157" s="58"/>
      <c r="X157" s="58"/>
      <c r="Y157" s="58"/>
      <c r="Z157" s="58"/>
    </row>
    <row r="158">
      <c r="A158" s="85" t="s">
        <v>1347</v>
      </c>
      <c r="B158" s="72" t="s">
        <v>1165</v>
      </c>
      <c r="C158" s="72" t="s">
        <v>1002</v>
      </c>
      <c r="D158" s="72" t="s">
        <v>1325</v>
      </c>
      <c r="E158" s="72" t="s">
        <v>1348</v>
      </c>
      <c r="F158" s="72" t="s">
        <v>1041</v>
      </c>
      <c r="G158" s="72" t="s">
        <v>1207</v>
      </c>
      <c r="H158" s="72" t="s">
        <v>1043</v>
      </c>
      <c r="I158" s="73" t="s">
        <v>13</v>
      </c>
      <c r="J158" s="58"/>
      <c r="K158" s="58"/>
      <c r="L158" s="58"/>
      <c r="M158" s="58"/>
      <c r="N158" s="58"/>
      <c r="O158" s="58"/>
      <c r="P158" s="58"/>
      <c r="Q158" s="58"/>
      <c r="R158" s="58"/>
      <c r="S158" s="58"/>
      <c r="T158" s="58"/>
      <c r="U158" s="58"/>
      <c r="V158" s="58"/>
      <c r="W158" s="58"/>
      <c r="X158" s="58"/>
      <c r="Y158" s="58"/>
      <c r="Z158" s="58"/>
    </row>
    <row r="159">
      <c r="A159" s="85" t="s">
        <v>1349</v>
      </c>
      <c r="B159" s="72" t="s">
        <v>1165</v>
      </c>
      <c r="C159" s="72" t="s">
        <v>1002</v>
      </c>
      <c r="D159" s="72" t="s">
        <v>1325</v>
      </c>
      <c r="E159" s="72" t="s">
        <v>1350</v>
      </c>
      <c r="F159" s="72" t="s">
        <v>1045</v>
      </c>
      <c r="G159" s="72" t="s">
        <v>1209</v>
      </c>
      <c r="H159" s="72" t="s">
        <v>1047</v>
      </c>
      <c r="I159" s="73" t="s">
        <v>13</v>
      </c>
      <c r="J159" s="58"/>
      <c r="K159" s="58"/>
      <c r="L159" s="58"/>
      <c r="M159" s="58"/>
      <c r="N159" s="58"/>
      <c r="O159" s="58"/>
      <c r="P159" s="58"/>
      <c r="Q159" s="58"/>
      <c r="R159" s="58"/>
      <c r="S159" s="58"/>
      <c r="T159" s="58"/>
      <c r="U159" s="58"/>
      <c r="V159" s="58"/>
      <c r="W159" s="58"/>
      <c r="X159" s="58"/>
      <c r="Y159" s="58"/>
      <c r="Z159" s="58"/>
    </row>
    <row r="160">
      <c r="A160" s="85" t="s">
        <v>1351</v>
      </c>
      <c r="B160" s="72" t="s">
        <v>1165</v>
      </c>
      <c r="C160" s="72" t="s">
        <v>1002</v>
      </c>
      <c r="D160" s="72" t="s">
        <v>1325</v>
      </c>
      <c r="E160" s="72" t="s">
        <v>1352</v>
      </c>
      <c r="F160" s="72" t="s">
        <v>1049</v>
      </c>
      <c r="G160" s="72" t="s">
        <v>1211</v>
      </c>
      <c r="H160" s="72" t="s">
        <v>1049</v>
      </c>
      <c r="I160" s="73" t="s">
        <v>13</v>
      </c>
      <c r="J160" s="58"/>
      <c r="K160" s="58"/>
      <c r="L160" s="58"/>
      <c r="M160" s="58"/>
      <c r="N160" s="58"/>
      <c r="O160" s="58"/>
      <c r="P160" s="58"/>
      <c r="Q160" s="58"/>
      <c r="R160" s="58"/>
      <c r="S160" s="58"/>
      <c r="T160" s="58"/>
      <c r="U160" s="58"/>
      <c r="V160" s="58"/>
      <c r="W160" s="58"/>
      <c r="X160" s="58"/>
      <c r="Y160" s="58"/>
      <c r="Z160" s="58"/>
    </row>
    <row r="161">
      <c r="A161" s="85" t="s">
        <v>1353</v>
      </c>
      <c r="B161" s="72" t="s">
        <v>1165</v>
      </c>
      <c r="C161" s="72" t="s">
        <v>1051</v>
      </c>
      <c r="D161" s="72" t="s">
        <v>1354</v>
      </c>
      <c r="E161" s="72" t="s">
        <v>1355</v>
      </c>
      <c r="F161" s="72" t="s">
        <v>1054</v>
      </c>
      <c r="G161" s="72" t="s">
        <v>1168</v>
      </c>
      <c r="H161" s="72" t="s">
        <v>1055</v>
      </c>
      <c r="I161" s="73" t="s">
        <v>13</v>
      </c>
      <c r="J161" s="58"/>
      <c r="K161" s="58"/>
      <c r="L161" s="58"/>
      <c r="M161" s="58"/>
      <c r="N161" s="58"/>
      <c r="O161" s="58"/>
      <c r="P161" s="58"/>
      <c r="Q161" s="58"/>
      <c r="R161" s="58"/>
      <c r="S161" s="58"/>
      <c r="T161" s="58"/>
      <c r="U161" s="58"/>
      <c r="V161" s="58"/>
      <c r="W161" s="58"/>
      <c r="X161" s="58"/>
      <c r="Y161" s="58"/>
      <c r="Z161" s="58"/>
    </row>
    <row r="162">
      <c r="A162" s="85" t="s">
        <v>1356</v>
      </c>
      <c r="B162" s="72" t="s">
        <v>1165</v>
      </c>
      <c r="C162" s="72" t="s">
        <v>1051</v>
      </c>
      <c r="D162" s="72" t="s">
        <v>1354</v>
      </c>
      <c r="E162" s="72" t="s">
        <v>1357</v>
      </c>
      <c r="F162" s="72" t="s">
        <v>1057</v>
      </c>
      <c r="G162" s="72" t="s">
        <v>1214</v>
      </c>
      <c r="H162" s="72" t="s">
        <v>1059</v>
      </c>
      <c r="I162" s="73" t="s">
        <v>13</v>
      </c>
      <c r="J162" s="58"/>
      <c r="K162" s="58"/>
      <c r="L162" s="58"/>
      <c r="M162" s="58"/>
      <c r="N162" s="58"/>
      <c r="O162" s="58"/>
      <c r="P162" s="58"/>
      <c r="Q162" s="58"/>
      <c r="R162" s="58"/>
      <c r="S162" s="58"/>
      <c r="T162" s="58"/>
      <c r="U162" s="58"/>
      <c r="V162" s="58"/>
      <c r="W162" s="58"/>
      <c r="X162" s="58"/>
      <c r="Y162" s="58"/>
      <c r="Z162" s="58"/>
    </row>
    <row r="163">
      <c r="A163" s="85" t="s">
        <v>1358</v>
      </c>
      <c r="B163" s="72" t="s">
        <v>1165</v>
      </c>
      <c r="C163" s="72" t="s">
        <v>1051</v>
      </c>
      <c r="D163" s="72" t="s">
        <v>1354</v>
      </c>
      <c r="E163" s="72" t="s">
        <v>1359</v>
      </c>
      <c r="F163" s="72" t="s">
        <v>1061</v>
      </c>
      <c r="G163" s="72" t="s">
        <v>1216</v>
      </c>
      <c r="H163" s="72" t="s">
        <v>1059</v>
      </c>
      <c r="I163" s="73" t="s">
        <v>13</v>
      </c>
      <c r="J163" s="58"/>
      <c r="K163" s="58"/>
      <c r="L163" s="58"/>
      <c r="M163" s="58"/>
      <c r="N163" s="58"/>
      <c r="O163" s="58"/>
      <c r="P163" s="58"/>
      <c r="Q163" s="58"/>
      <c r="R163" s="58"/>
      <c r="S163" s="58"/>
      <c r="T163" s="58"/>
      <c r="U163" s="58"/>
      <c r="V163" s="58"/>
      <c r="W163" s="58"/>
      <c r="X163" s="58"/>
      <c r="Y163" s="58"/>
      <c r="Z163" s="58"/>
    </row>
    <row r="164">
      <c r="A164" s="85" t="s">
        <v>1360</v>
      </c>
      <c r="B164" s="72" t="s">
        <v>1165</v>
      </c>
      <c r="C164" s="72" t="s">
        <v>1051</v>
      </c>
      <c r="D164" s="72" t="s">
        <v>1354</v>
      </c>
      <c r="E164" s="72" t="s">
        <v>1361</v>
      </c>
      <c r="F164" s="72" t="s">
        <v>1064</v>
      </c>
      <c r="G164" s="72" t="s">
        <v>1188</v>
      </c>
      <c r="H164" s="72" t="s">
        <v>1065</v>
      </c>
      <c r="I164" s="73" t="s">
        <v>13</v>
      </c>
      <c r="J164" s="58"/>
      <c r="K164" s="58"/>
      <c r="L164" s="58"/>
      <c r="M164" s="58"/>
      <c r="N164" s="58"/>
      <c r="O164" s="58"/>
      <c r="P164" s="58"/>
      <c r="Q164" s="58"/>
      <c r="R164" s="58"/>
      <c r="S164" s="58"/>
      <c r="T164" s="58"/>
      <c r="U164" s="58"/>
      <c r="V164" s="58"/>
      <c r="W164" s="58"/>
      <c r="X164" s="58"/>
      <c r="Y164" s="58"/>
      <c r="Z164" s="58"/>
    </row>
    <row r="165">
      <c r="A165" s="85" t="s">
        <v>1362</v>
      </c>
      <c r="B165" s="72" t="s">
        <v>1165</v>
      </c>
      <c r="C165" s="72" t="s">
        <v>1051</v>
      </c>
      <c r="D165" s="72" t="s">
        <v>1354</v>
      </c>
      <c r="E165" s="72" t="s">
        <v>1363</v>
      </c>
      <c r="F165" s="72" t="s">
        <v>1067</v>
      </c>
      <c r="G165" s="72" t="s">
        <v>1168</v>
      </c>
      <c r="H165" s="72" t="s">
        <v>1067</v>
      </c>
      <c r="I165" s="73" t="s">
        <v>13</v>
      </c>
      <c r="J165" s="58"/>
      <c r="K165" s="58"/>
      <c r="L165" s="58"/>
      <c r="M165" s="58"/>
      <c r="N165" s="58"/>
      <c r="O165" s="58"/>
      <c r="P165" s="58"/>
      <c r="Q165" s="58"/>
      <c r="R165" s="58"/>
      <c r="S165" s="58"/>
      <c r="T165" s="58"/>
      <c r="U165" s="58"/>
      <c r="V165" s="58"/>
      <c r="W165" s="58"/>
      <c r="X165" s="58"/>
      <c r="Y165" s="58"/>
      <c r="Z165" s="58"/>
    </row>
    <row r="166">
      <c r="A166" s="85" t="s">
        <v>1364</v>
      </c>
      <c r="B166" s="72" t="s">
        <v>1165</v>
      </c>
      <c r="C166" s="72" t="s">
        <v>1051</v>
      </c>
      <c r="D166" s="72" t="s">
        <v>1354</v>
      </c>
      <c r="E166" s="72" t="s">
        <v>1365</v>
      </c>
      <c r="F166" s="72" t="s">
        <v>1069</v>
      </c>
      <c r="G166" s="72" t="s">
        <v>1168</v>
      </c>
      <c r="H166" s="72" t="s">
        <v>1070</v>
      </c>
      <c r="I166" s="73" t="s">
        <v>13</v>
      </c>
      <c r="J166" s="58"/>
      <c r="K166" s="58"/>
      <c r="L166" s="58"/>
      <c r="M166" s="58"/>
      <c r="N166" s="58"/>
      <c r="O166" s="58"/>
      <c r="P166" s="58"/>
      <c r="Q166" s="58"/>
      <c r="R166" s="58"/>
      <c r="S166" s="58"/>
      <c r="T166" s="58"/>
      <c r="U166" s="58"/>
      <c r="V166" s="58"/>
      <c r="W166" s="58"/>
      <c r="X166" s="58"/>
      <c r="Y166" s="58"/>
      <c r="Z166" s="58"/>
    </row>
    <row r="167">
      <c r="A167" s="85" t="s">
        <v>1366</v>
      </c>
      <c r="B167" s="72" t="s">
        <v>1165</v>
      </c>
      <c r="C167" s="72" t="s">
        <v>1051</v>
      </c>
      <c r="D167" s="72" t="s">
        <v>1354</v>
      </c>
      <c r="E167" s="72" t="s">
        <v>1367</v>
      </c>
      <c r="F167" s="72" t="s">
        <v>1072</v>
      </c>
      <c r="G167" s="72" t="s">
        <v>1168</v>
      </c>
      <c r="H167" s="72" t="s">
        <v>1073</v>
      </c>
      <c r="I167" s="73" t="s">
        <v>13</v>
      </c>
      <c r="J167" s="58"/>
      <c r="K167" s="58"/>
      <c r="L167" s="58"/>
      <c r="M167" s="58"/>
      <c r="N167" s="58"/>
      <c r="O167" s="58"/>
      <c r="P167" s="58"/>
      <c r="Q167" s="58"/>
      <c r="R167" s="58"/>
      <c r="S167" s="58"/>
      <c r="T167" s="58"/>
      <c r="U167" s="58"/>
      <c r="V167" s="58"/>
      <c r="W167" s="58"/>
      <c r="X167" s="58"/>
      <c r="Y167" s="58"/>
      <c r="Z167" s="58"/>
    </row>
    <row r="168">
      <c r="A168" s="85" t="s">
        <v>1368</v>
      </c>
      <c r="B168" s="72" t="s">
        <v>1165</v>
      </c>
      <c r="C168" s="72" t="s">
        <v>1051</v>
      </c>
      <c r="D168" s="72" t="s">
        <v>1354</v>
      </c>
      <c r="E168" s="72" t="s">
        <v>1369</v>
      </c>
      <c r="F168" s="72" t="s">
        <v>1075</v>
      </c>
      <c r="G168" s="72" t="s">
        <v>1168</v>
      </c>
      <c r="H168" s="72" t="s">
        <v>1076</v>
      </c>
      <c r="I168" s="73" t="s">
        <v>13</v>
      </c>
      <c r="J168" s="58"/>
      <c r="K168" s="58"/>
      <c r="L168" s="58"/>
      <c r="M168" s="58"/>
      <c r="N168" s="58"/>
      <c r="O168" s="58"/>
      <c r="P168" s="58"/>
      <c r="Q168" s="58"/>
      <c r="R168" s="58"/>
      <c r="S168" s="58"/>
      <c r="T168" s="58"/>
      <c r="U168" s="58"/>
      <c r="V168" s="58"/>
      <c r="W168" s="58"/>
      <c r="X168" s="58"/>
      <c r="Y168" s="58"/>
      <c r="Z168" s="58"/>
    </row>
    <row r="169">
      <c r="A169" s="85" t="s">
        <v>1370</v>
      </c>
      <c r="B169" s="72" t="s">
        <v>1165</v>
      </c>
      <c r="C169" s="72" t="s">
        <v>1051</v>
      </c>
      <c r="D169" s="72" t="s">
        <v>1354</v>
      </c>
      <c r="E169" s="72" t="s">
        <v>1371</v>
      </c>
      <c r="F169" s="72" t="s">
        <v>1223</v>
      </c>
      <c r="G169" s="72" t="s">
        <v>1168</v>
      </c>
      <c r="H169" s="72" t="s">
        <v>1224</v>
      </c>
      <c r="I169" s="73" t="s">
        <v>13</v>
      </c>
      <c r="J169" s="58"/>
      <c r="K169" s="58"/>
      <c r="L169" s="58"/>
      <c r="M169" s="58"/>
      <c r="N169" s="58"/>
      <c r="O169" s="58"/>
      <c r="P169" s="58"/>
      <c r="Q169" s="58"/>
      <c r="R169" s="58"/>
      <c r="S169" s="58"/>
      <c r="T169" s="58"/>
      <c r="U169" s="58"/>
      <c r="V169" s="58"/>
      <c r="W169" s="58"/>
      <c r="X169" s="58"/>
      <c r="Y169" s="58"/>
      <c r="Z169" s="58"/>
    </row>
    <row r="170">
      <c r="A170" s="85" t="s">
        <v>1372</v>
      </c>
      <c r="B170" s="72" t="s">
        <v>1165</v>
      </c>
      <c r="C170" s="72" t="s">
        <v>1051</v>
      </c>
      <c r="D170" s="72" t="s">
        <v>1354</v>
      </c>
      <c r="E170" s="72" t="s">
        <v>1225</v>
      </c>
      <c r="F170" s="72" t="s">
        <v>1226</v>
      </c>
      <c r="G170" s="72" t="s">
        <v>1227</v>
      </c>
      <c r="H170" s="72" t="s">
        <v>1228</v>
      </c>
      <c r="I170" s="73" t="s">
        <v>13</v>
      </c>
      <c r="J170" s="58"/>
      <c r="K170" s="58"/>
      <c r="L170" s="58"/>
      <c r="M170" s="58"/>
      <c r="N170" s="58"/>
      <c r="O170" s="58"/>
      <c r="P170" s="58"/>
      <c r="Q170" s="58"/>
      <c r="R170" s="58"/>
      <c r="S170" s="58"/>
      <c r="T170" s="58"/>
      <c r="U170" s="58"/>
      <c r="V170" s="58"/>
      <c r="W170" s="58"/>
      <c r="X170" s="58"/>
      <c r="Y170" s="58"/>
      <c r="Z170" s="58"/>
    </row>
    <row r="171">
      <c r="A171" s="85" t="s">
        <v>1373</v>
      </c>
      <c r="B171" s="72" t="s">
        <v>1165</v>
      </c>
      <c r="C171" s="72" t="s">
        <v>1051</v>
      </c>
      <c r="D171" s="72" t="s">
        <v>1374</v>
      </c>
      <c r="E171" s="72" t="s">
        <v>1375</v>
      </c>
      <c r="F171" s="72" t="s">
        <v>1231</v>
      </c>
      <c r="G171" s="72" t="s">
        <v>1168</v>
      </c>
      <c r="H171" s="72" t="s">
        <v>1232</v>
      </c>
      <c r="I171" s="73" t="s">
        <v>13</v>
      </c>
      <c r="J171" s="58"/>
      <c r="K171" s="58"/>
      <c r="L171" s="58"/>
      <c r="M171" s="58"/>
      <c r="N171" s="58"/>
      <c r="O171" s="58"/>
      <c r="P171" s="58"/>
      <c r="Q171" s="58"/>
      <c r="R171" s="58"/>
      <c r="S171" s="58"/>
      <c r="T171" s="58"/>
      <c r="U171" s="58"/>
      <c r="V171" s="58"/>
      <c r="W171" s="58"/>
      <c r="X171" s="58"/>
      <c r="Y171" s="58"/>
      <c r="Z171" s="58"/>
    </row>
    <row r="172">
      <c r="A172" s="85" t="s">
        <v>1376</v>
      </c>
      <c r="B172" s="72" t="s">
        <v>1165</v>
      </c>
      <c r="C172" s="72" t="s">
        <v>1051</v>
      </c>
      <c r="D172" s="72" t="s">
        <v>1374</v>
      </c>
      <c r="E172" s="72" t="s">
        <v>1377</v>
      </c>
      <c r="F172" s="72" t="s">
        <v>1234</v>
      </c>
      <c r="G172" s="72" t="s">
        <v>1235</v>
      </c>
      <c r="H172" s="72" t="s">
        <v>1236</v>
      </c>
      <c r="I172" s="73" t="s">
        <v>13</v>
      </c>
      <c r="J172" s="58"/>
      <c r="K172" s="58"/>
      <c r="L172" s="58"/>
      <c r="M172" s="58"/>
      <c r="N172" s="58"/>
      <c r="O172" s="58"/>
      <c r="P172" s="58"/>
      <c r="Q172" s="58"/>
      <c r="R172" s="58"/>
      <c r="S172" s="58"/>
      <c r="T172" s="58"/>
      <c r="U172" s="58"/>
      <c r="V172" s="58"/>
      <c r="W172" s="58"/>
      <c r="X172" s="58"/>
      <c r="Y172" s="58"/>
      <c r="Z172" s="58"/>
    </row>
    <row r="173">
      <c r="A173" s="85" t="s">
        <v>1378</v>
      </c>
      <c r="B173" s="72" t="s">
        <v>1165</v>
      </c>
      <c r="C173" s="72" t="s">
        <v>1051</v>
      </c>
      <c r="D173" s="72" t="s">
        <v>1374</v>
      </c>
      <c r="E173" s="72" t="s">
        <v>1379</v>
      </c>
      <c r="F173" s="72" t="s">
        <v>1238</v>
      </c>
      <c r="G173" s="72" t="s">
        <v>1239</v>
      </c>
      <c r="H173" s="72" t="s">
        <v>1240</v>
      </c>
      <c r="I173" s="73" t="s">
        <v>13</v>
      </c>
      <c r="J173" s="58"/>
      <c r="K173" s="58"/>
      <c r="L173" s="58"/>
      <c r="M173" s="58"/>
      <c r="N173" s="58"/>
      <c r="O173" s="58"/>
      <c r="P173" s="58"/>
      <c r="Q173" s="58"/>
      <c r="R173" s="58"/>
      <c r="S173" s="58"/>
      <c r="T173" s="58"/>
      <c r="U173" s="58"/>
      <c r="V173" s="58"/>
      <c r="W173" s="58"/>
      <c r="X173" s="58"/>
      <c r="Y173" s="58"/>
      <c r="Z173" s="58"/>
    </row>
    <row r="174">
      <c r="A174" s="85" t="s">
        <v>1380</v>
      </c>
      <c r="B174" s="72" t="s">
        <v>1165</v>
      </c>
      <c r="C174" s="72" t="s">
        <v>1051</v>
      </c>
      <c r="D174" s="72" t="s">
        <v>1381</v>
      </c>
      <c r="E174" s="72" t="s">
        <v>1078</v>
      </c>
      <c r="F174" s="72" t="s">
        <v>1079</v>
      </c>
      <c r="G174" s="72" t="s">
        <v>1241</v>
      </c>
      <c r="H174" s="72" t="s">
        <v>1080</v>
      </c>
      <c r="I174" s="73" t="s">
        <v>13</v>
      </c>
      <c r="J174" s="58"/>
      <c r="K174" s="58"/>
      <c r="L174" s="58"/>
      <c r="M174" s="58"/>
      <c r="N174" s="58"/>
      <c r="O174" s="58"/>
      <c r="P174" s="58"/>
      <c r="Q174" s="58"/>
      <c r="R174" s="58"/>
      <c r="S174" s="58"/>
      <c r="T174" s="58"/>
      <c r="U174" s="58"/>
      <c r="V174" s="58"/>
      <c r="W174" s="58"/>
      <c r="X174" s="58"/>
      <c r="Y174" s="58"/>
      <c r="Z174" s="58"/>
    </row>
    <row r="175">
      <c r="A175" s="85" t="s">
        <v>1382</v>
      </c>
      <c r="B175" s="72" t="s">
        <v>1165</v>
      </c>
      <c r="C175" s="72" t="s">
        <v>1081</v>
      </c>
      <c r="D175" s="72" t="s">
        <v>1383</v>
      </c>
      <c r="E175" s="72" t="s">
        <v>1384</v>
      </c>
      <c r="F175" s="72" t="s">
        <v>1243</v>
      </c>
      <c r="G175" s="72" t="s">
        <v>1244</v>
      </c>
      <c r="H175" s="72" t="s">
        <v>1086</v>
      </c>
      <c r="I175" s="73" t="s">
        <v>13</v>
      </c>
      <c r="J175" s="58"/>
      <c r="K175" s="58"/>
      <c r="L175" s="58"/>
      <c r="M175" s="58"/>
      <c r="N175" s="58"/>
      <c r="O175" s="58"/>
      <c r="P175" s="58"/>
      <c r="Q175" s="58"/>
      <c r="R175" s="58"/>
      <c r="S175" s="58"/>
      <c r="T175" s="58"/>
      <c r="U175" s="58"/>
      <c r="V175" s="58"/>
      <c r="W175" s="58"/>
      <c r="X175" s="58"/>
      <c r="Y175" s="58"/>
      <c r="Z175" s="58"/>
    </row>
    <row r="176">
      <c r="A176" s="85" t="s">
        <v>1385</v>
      </c>
      <c r="B176" s="72" t="s">
        <v>1165</v>
      </c>
      <c r="C176" s="72" t="s">
        <v>1081</v>
      </c>
      <c r="D176" s="72" t="s">
        <v>1383</v>
      </c>
      <c r="E176" s="72" t="s">
        <v>1386</v>
      </c>
      <c r="F176" s="72" t="s">
        <v>1088</v>
      </c>
      <c r="G176" s="72" t="s">
        <v>1246</v>
      </c>
      <c r="H176" s="72" t="s">
        <v>1089</v>
      </c>
      <c r="I176" s="73" t="s">
        <v>13</v>
      </c>
      <c r="J176" s="58"/>
      <c r="K176" s="58"/>
      <c r="L176" s="58"/>
      <c r="M176" s="58"/>
      <c r="N176" s="58"/>
      <c r="O176" s="58"/>
      <c r="P176" s="58"/>
      <c r="Q176" s="58"/>
      <c r="R176" s="58"/>
      <c r="S176" s="58"/>
      <c r="T176" s="58"/>
      <c r="U176" s="58"/>
      <c r="V176" s="58"/>
      <c r="W176" s="58"/>
      <c r="X176" s="58"/>
      <c r="Y176" s="58"/>
      <c r="Z176" s="58"/>
    </row>
    <row r="177">
      <c r="A177" s="85" t="s">
        <v>1387</v>
      </c>
      <c r="B177" s="72" t="s">
        <v>1165</v>
      </c>
      <c r="C177" s="72" t="s">
        <v>1081</v>
      </c>
      <c r="D177" s="72" t="s">
        <v>1383</v>
      </c>
      <c r="E177" s="72" t="s">
        <v>1388</v>
      </c>
      <c r="F177" s="72" t="s">
        <v>1091</v>
      </c>
      <c r="G177" s="72" t="s">
        <v>1246</v>
      </c>
      <c r="H177" s="72" t="s">
        <v>1092</v>
      </c>
      <c r="I177" s="73" t="s">
        <v>13</v>
      </c>
      <c r="J177" s="58"/>
      <c r="K177" s="58"/>
      <c r="L177" s="58"/>
      <c r="M177" s="58"/>
      <c r="N177" s="58"/>
      <c r="O177" s="58"/>
      <c r="P177" s="58"/>
      <c r="Q177" s="58"/>
      <c r="R177" s="58"/>
      <c r="S177" s="58"/>
      <c r="T177" s="58"/>
      <c r="U177" s="58"/>
      <c r="V177" s="58"/>
      <c r="W177" s="58"/>
      <c r="X177" s="58"/>
      <c r="Y177" s="58"/>
      <c r="Z177" s="58"/>
    </row>
    <row r="178">
      <c r="A178" s="85" t="s">
        <v>1389</v>
      </c>
      <c r="B178" s="72" t="s">
        <v>1165</v>
      </c>
      <c r="C178" s="72" t="s">
        <v>1081</v>
      </c>
      <c r="D178" s="72" t="s">
        <v>1383</v>
      </c>
      <c r="E178" s="72" t="s">
        <v>1390</v>
      </c>
      <c r="F178" s="72" t="s">
        <v>1094</v>
      </c>
      <c r="G178" s="72" t="s">
        <v>1249</v>
      </c>
      <c r="H178" s="72" t="s">
        <v>1096</v>
      </c>
      <c r="I178" s="73" t="s">
        <v>13</v>
      </c>
      <c r="J178" s="58"/>
      <c r="K178" s="58"/>
      <c r="L178" s="58"/>
      <c r="M178" s="58"/>
      <c r="N178" s="58"/>
      <c r="O178" s="58"/>
      <c r="P178" s="58"/>
      <c r="Q178" s="58"/>
      <c r="R178" s="58"/>
      <c r="S178" s="58"/>
      <c r="T178" s="58"/>
      <c r="U178" s="58"/>
      <c r="V178" s="58"/>
      <c r="W178" s="58"/>
      <c r="X178" s="58"/>
      <c r="Y178" s="58"/>
      <c r="Z178" s="58"/>
    </row>
    <row r="179">
      <c r="A179" s="85" t="s">
        <v>1391</v>
      </c>
      <c r="B179" s="72" t="s">
        <v>1165</v>
      </c>
      <c r="C179" s="72" t="s">
        <v>1081</v>
      </c>
      <c r="D179" s="72" t="s">
        <v>1383</v>
      </c>
      <c r="E179" s="72" t="s">
        <v>1392</v>
      </c>
      <c r="F179" s="72" t="s">
        <v>1251</v>
      </c>
      <c r="G179" s="72" t="s">
        <v>1252</v>
      </c>
      <c r="H179" s="72" t="s">
        <v>1253</v>
      </c>
      <c r="I179" s="73" t="s">
        <v>13</v>
      </c>
      <c r="J179" s="58"/>
      <c r="K179" s="58"/>
      <c r="L179" s="58"/>
      <c r="M179" s="58"/>
      <c r="N179" s="58"/>
      <c r="O179" s="58"/>
      <c r="P179" s="58"/>
      <c r="Q179" s="58"/>
      <c r="R179" s="58"/>
      <c r="S179" s="58"/>
      <c r="T179" s="58"/>
      <c r="U179" s="58"/>
      <c r="V179" s="58"/>
      <c r="W179" s="58"/>
      <c r="X179" s="58"/>
      <c r="Y179" s="58"/>
      <c r="Z179" s="58"/>
    </row>
    <row r="180">
      <c r="A180" s="85" t="s">
        <v>1393</v>
      </c>
      <c r="B180" s="72" t="s">
        <v>1165</v>
      </c>
      <c r="C180" s="72" t="s">
        <v>1081</v>
      </c>
      <c r="D180" s="72" t="s">
        <v>1383</v>
      </c>
      <c r="E180" s="72" t="s">
        <v>1394</v>
      </c>
      <c r="F180" s="72" t="s">
        <v>1098</v>
      </c>
      <c r="G180" s="78"/>
      <c r="H180" s="72" t="s">
        <v>1098</v>
      </c>
      <c r="I180" s="73" t="s">
        <v>13</v>
      </c>
      <c r="J180" s="58"/>
      <c r="K180" s="58"/>
      <c r="L180" s="58"/>
      <c r="M180" s="58"/>
      <c r="N180" s="58"/>
      <c r="O180" s="58"/>
      <c r="P180" s="58"/>
      <c r="Q180" s="58"/>
      <c r="R180" s="58"/>
      <c r="S180" s="58"/>
      <c r="T180" s="58"/>
      <c r="U180" s="58"/>
      <c r="V180" s="58"/>
      <c r="W180" s="58"/>
      <c r="X180" s="58"/>
      <c r="Y180" s="58"/>
      <c r="Z180" s="58"/>
    </row>
    <row r="181">
      <c r="A181" s="85" t="s">
        <v>1395</v>
      </c>
      <c r="B181" s="72" t="s">
        <v>1165</v>
      </c>
      <c r="C181" s="72" t="s">
        <v>1099</v>
      </c>
      <c r="D181" s="72" t="s">
        <v>1383</v>
      </c>
      <c r="E181" s="72" t="s">
        <v>1396</v>
      </c>
      <c r="F181" s="72" t="s">
        <v>1101</v>
      </c>
      <c r="G181" s="72" t="s">
        <v>1256</v>
      </c>
      <c r="H181" s="72" t="s">
        <v>1102</v>
      </c>
      <c r="I181" s="73" t="s">
        <v>13</v>
      </c>
      <c r="J181" s="58"/>
      <c r="K181" s="58"/>
      <c r="L181" s="58"/>
      <c r="M181" s="58"/>
      <c r="N181" s="58"/>
      <c r="O181" s="58"/>
      <c r="P181" s="58"/>
      <c r="Q181" s="58"/>
      <c r="R181" s="58"/>
      <c r="S181" s="58"/>
      <c r="T181" s="58"/>
      <c r="U181" s="58"/>
      <c r="V181" s="58"/>
      <c r="W181" s="58"/>
      <c r="X181" s="58"/>
      <c r="Y181" s="58"/>
      <c r="Z181" s="58"/>
    </row>
    <row r="182">
      <c r="A182" s="85" t="s">
        <v>1397</v>
      </c>
      <c r="B182" s="72" t="s">
        <v>1165</v>
      </c>
      <c r="C182" s="72" t="s">
        <v>1099</v>
      </c>
      <c r="D182" s="72" t="s">
        <v>1383</v>
      </c>
      <c r="E182" s="72" t="s">
        <v>1398</v>
      </c>
      <c r="F182" s="72" t="s">
        <v>1104</v>
      </c>
      <c r="G182" s="72" t="s">
        <v>1258</v>
      </c>
      <c r="H182" s="72" t="s">
        <v>1106</v>
      </c>
      <c r="I182" s="73" t="s">
        <v>13</v>
      </c>
      <c r="J182" s="58"/>
      <c r="K182" s="58"/>
      <c r="L182" s="58"/>
      <c r="M182" s="58"/>
      <c r="N182" s="58"/>
      <c r="O182" s="58"/>
      <c r="P182" s="58"/>
      <c r="Q182" s="58"/>
      <c r="R182" s="58"/>
      <c r="S182" s="58"/>
      <c r="T182" s="58"/>
      <c r="U182" s="58"/>
      <c r="V182" s="58"/>
      <c r="W182" s="58"/>
      <c r="X182" s="58"/>
      <c r="Y182" s="58"/>
      <c r="Z182" s="58"/>
    </row>
    <row r="183">
      <c r="A183" s="85" t="s">
        <v>1399</v>
      </c>
      <c r="B183" s="72" t="s">
        <v>1165</v>
      </c>
      <c r="C183" s="72" t="s">
        <v>1099</v>
      </c>
      <c r="D183" s="72" t="s">
        <v>1383</v>
      </c>
      <c r="E183" s="72" t="s">
        <v>1400</v>
      </c>
      <c r="F183" s="72" t="s">
        <v>1108</v>
      </c>
      <c r="G183" s="72" t="s">
        <v>1256</v>
      </c>
      <c r="H183" s="72" t="s">
        <v>1109</v>
      </c>
      <c r="I183" s="73" t="s">
        <v>13</v>
      </c>
      <c r="J183" s="58"/>
      <c r="K183" s="58"/>
      <c r="L183" s="58"/>
      <c r="M183" s="58"/>
      <c r="N183" s="58"/>
      <c r="O183" s="58"/>
      <c r="P183" s="58"/>
      <c r="Q183" s="58"/>
      <c r="R183" s="58"/>
      <c r="S183" s="58"/>
      <c r="T183" s="58"/>
      <c r="U183" s="58"/>
      <c r="V183" s="58"/>
      <c r="W183" s="58"/>
      <c r="X183" s="58"/>
      <c r="Y183" s="58"/>
      <c r="Z183" s="58"/>
    </row>
    <row r="184">
      <c r="A184" s="85" t="s">
        <v>1401</v>
      </c>
      <c r="B184" s="72" t="s">
        <v>1165</v>
      </c>
      <c r="C184" s="72" t="s">
        <v>1099</v>
      </c>
      <c r="D184" s="72" t="s">
        <v>1383</v>
      </c>
      <c r="E184" s="72" t="s">
        <v>1402</v>
      </c>
      <c r="F184" s="72" t="s">
        <v>1111</v>
      </c>
      <c r="G184" s="72" t="s">
        <v>1256</v>
      </c>
      <c r="H184" s="72" t="s">
        <v>1112</v>
      </c>
      <c r="I184" s="73" t="s">
        <v>13</v>
      </c>
      <c r="J184" s="58"/>
      <c r="K184" s="58"/>
      <c r="L184" s="58"/>
      <c r="M184" s="58"/>
      <c r="N184" s="58"/>
      <c r="O184" s="58"/>
      <c r="P184" s="58"/>
      <c r="Q184" s="58"/>
      <c r="R184" s="58"/>
      <c r="S184" s="58"/>
      <c r="T184" s="58"/>
      <c r="U184" s="58"/>
      <c r="V184" s="58"/>
      <c r="W184" s="58"/>
      <c r="X184" s="58"/>
      <c r="Y184" s="58"/>
      <c r="Z184" s="58"/>
    </row>
    <row r="185">
      <c r="A185" s="85" t="s">
        <v>1403</v>
      </c>
      <c r="B185" s="72" t="s">
        <v>1165</v>
      </c>
      <c r="C185" s="72" t="s">
        <v>1099</v>
      </c>
      <c r="D185" s="72" t="s">
        <v>1383</v>
      </c>
      <c r="E185" s="72" t="s">
        <v>1404</v>
      </c>
      <c r="F185" s="72" t="s">
        <v>1114</v>
      </c>
      <c r="G185" s="72" t="s">
        <v>1256</v>
      </c>
      <c r="H185" s="72" t="s">
        <v>1115</v>
      </c>
      <c r="I185" s="73" t="s">
        <v>13</v>
      </c>
      <c r="J185" s="58"/>
      <c r="K185" s="58"/>
      <c r="L185" s="58"/>
      <c r="M185" s="58"/>
      <c r="N185" s="58"/>
      <c r="O185" s="58"/>
      <c r="P185" s="58"/>
      <c r="Q185" s="58"/>
      <c r="R185" s="58"/>
      <c r="S185" s="58"/>
      <c r="T185" s="58"/>
      <c r="U185" s="58"/>
      <c r="V185" s="58"/>
      <c r="W185" s="58"/>
      <c r="X185" s="58"/>
      <c r="Y185" s="58"/>
      <c r="Z185" s="58"/>
    </row>
    <row r="186">
      <c r="A186" s="85" t="s">
        <v>1405</v>
      </c>
      <c r="B186" s="72" t="s">
        <v>1165</v>
      </c>
      <c r="C186" s="72" t="s">
        <v>1099</v>
      </c>
      <c r="D186" s="72" t="s">
        <v>1383</v>
      </c>
      <c r="E186" s="72" t="s">
        <v>1406</v>
      </c>
      <c r="F186" s="72" t="s">
        <v>1117</v>
      </c>
      <c r="G186" s="72" t="s">
        <v>1256</v>
      </c>
      <c r="H186" s="72" t="s">
        <v>1118</v>
      </c>
      <c r="I186" s="73" t="s">
        <v>13</v>
      </c>
      <c r="J186" s="58"/>
      <c r="K186" s="58"/>
      <c r="L186" s="58"/>
      <c r="M186" s="58"/>
      <c r="N186" s="58"/>
      <c r="O186" s="58"/>
      <c r="P186" s="58"/>
      <c r="Q186" s="58"/>
      <c r="R186" s="58"/>
      <c r="S186" s="58"/>
      <c r="T186" s="58"/>
      <c r="U186" s="58"/>
      <c r="V186" s="58"/>
      <c r="W186" s="58"/>
      <c r="X186" s="58"/>
      <c r="Y186" s="58"/>
      <c r="Z186" s="58"/>
    </row>
    <row r="187">
      <c r="A187" s="85" t="s">
        <v>1407</v>
      </c>
      <c r="B187" s="72" t="s">
        <v>1165</v>
      </c>
      <c r="C187" s="72" t="s">
        <v>1099</v>
      </c>
      <c r="D187" s="72" t="s">
        <v>1383</v>
      </c>
      <c r="E187" s="72" t="s">
        <v>1408</v>
      </c>
      <c r="F187" s="72" t="s">
        <v>1120</v>
      </c>
      <c r="G187" s="72" t="s">
        <v>1256</v>
      </c>
      <c r="H187" s="72" t="s">
        <v>1121</v>
      </c>
      <c r="I187" s="73" t="s">
        <v>13</v>
      </c>
      <c r="J187" s="58"/>
      <c r="K187" s="58"/>
      <c r="L187" s="58"/>
      <c r="M187" s="58"/>
      <c r="N187" s="58"/>
      <c r="O187" s="58"/>
      <c r="P187" s="58"/>
      <c r="Q187" s="58"/>
      <c r="R187" s="58"/>
      <c r="S187" s="58"/>
      <c r="T187" s="58"/>
      <c r="U187" s="58"/>
      <c r="V187" s="58"/>
      <c r="W187" s="58"/>
      <c r="X187" s="58"/>
      <c r="Y187" s="58"/>
      <c r="Z187" s="58"/>
    </row>
    <row r="188">
      <c r="A188" s="85" t="s">
        <v>1409</v>
      </c>
      <c r="B188" s="72" t="s">
        <v>1165</v>
      </c>
      <c r="C188" s="72" t="s">
        <v>1099</v>
      </c>
      <c r="D188" s="72" t="s">
        <v>1383</v>
      </c>
      <c r="E188" s="72" t="s">
        <v>1410</v>
      </c>
      <c r="F188" s="72" t="s">
        <v>1123</v>
      </c>
      <c r="G188" s="72" t="s">
        <v>1256</v>
      </c>
      <c r="H188" s="72" t="s">
        <v>1124</v>
      </c>
      <c r="I188" s="73" t="s">
        <v>13</v>
      </c>
      <c r="J188" s="58"/>
      <c r="K188" s="58"/>
      <c r="L188" s="58"/>
      <c r="M188" s="58"/>
      <c r="N188" s="58"/>
      <c r="O188" s="58"/>
      <c r="P188" s="58"/>
      <c r="Q188" s="58"/>
      <c r="R188" s="58"/>
      <c r="S188" s="58"/>
      <c r="T188" s="58"/>
      <c r="U188" s="58"/>
      <c r="V188" s="58"/>
      <c r="W188" s="58"/>
      <c r="X188" s="58"/>
      <c r="Y188" s="58"/>
      <c r="Z188" s="58"/>
    </row>
    <row r="189">
      <c r="A189" s="85" t="s">
        <v>1411</v>
      </c>
      <c r="B189" s="72" t="s">
        <v>1165</v>
      </c>
      <c r="C189" s="72" t="s">
        <v>1099</v>
      </c>
      <c r="D189" s="72" t="s">
        <v>1383</v>
      </c>
      <c r="E189" s="72" t="s">
        <v>1412</v>
      </c>
      <c r="F189" s="72" t="s">
        <v>1126</v>
      </c>
      <c r="G189" s="72" t="s">
        <v>1256</v>
      </c>
      <c r="H189" s="72" t="s">
        <v>1127</v>
      </c>
      <c r="I189" s="73" t="s">
        <v>13</v>
      </c>
      <c r="J189" s="58"/>
      <c r="K189" s="58"/>
      <c r="L189" s="58"/>
      <c r="M189" s="58"/>
      <c r="N189" s="58"/>
      <c r="O189" s="58"/>
      <c r="P189" s="58"/>
      <c r="Q189" s="58"/>
      <c r="R189" s="58"/>
      <c r="S189" s="58"/>
      <c r="T189" s="58"/>
      <c r="U189" s="58"/>
      <c r="V189" s="58"/>
      <c r="W189" s="58"/>
      <c r="X189" s="58"/>
      <c r="Y189" s="58"/>
      <c r="Z189" s="58"/>
    </row>
    <row r="190">
      <c r="A190" s="85" t="s">
        <v>1413</v>
      </c>
      <c r="B190" s="72" t="s">
        <v>1165</v>
      </c>
      <c r="C190" s="72" t="s">
        <v>1099</v>
      </c>
      <c r="D190" s="72" t="s">
        <v>1383</v>
      </c>
      <c r="E190" s="72" t="s">
        <v>1414</v>
      </c>
      <c r="F190" s="72" t="s">
        <v>1129</v>
      </c>
      <c r="G190" s="72" t="s">
        <v>1256</v>
      </c>
      <c r="H190" s="72" t="s">
        <v>1130</v>
      </c>
      <c r="I190" s="73" t="s">
        <v>13</v>
      </c>
      <c r="J190" s="58"/>
      <c r="K190" s="58"/>
      <c r="L190" s="58"/>
      <c r="M190" s="58"/>
      <c r="N190" s="58"/>
      <c r="O190" s="58"/>
      <c r="P190" s="58"/>
      <c r="Q190" s="58"/>
      <c r="R190" s="58"/>
      <c r="S190" s="58"/>
      <c r="T190" s="58"/>
      <c r="U190" s="58"/>
      <c r="V190" s="58"/>
      <c r="W190" s="58"/>
      <c r="X190" s="58"/>
      <c r="Y190" s="58"/>
      <c r="Z190" s="58"/>
    </row>
    <row r="191">
      <c r="A191" s="85" t="s">
        <v>1415</v>
      </c>
      <c r="B191" s="72" t="s">
        <v>1165</v>
      </c>
      <c r="C191" s="72" t="s">
        <v>1131</v>
      </c>
      <c r="D191" s="72" t="s">
        <v>1383</v>
      </c>
      <c r="E191" s="72" t="s">
        <v>1416</v>
      </c>
      <c r="F191" s="72" t="s">
        <v>1133</v>
      </c>
      <c r="G191" s="72" t="s">
        <v>1268</v>
      </c>
      <c r="H191" s="72" t="s">
        <v>1134</v>
      </c>
      <c r="I191" s="73" t="s">
        <v>13</v>
      </c>
      <c r="J191" s="58"/>
      <c r="K191" s="58"/>
      <c r="L191" s="58"/>
      <c r="M191" s="58"/>
      <c r="N191" s="58"/>
      <c r="O191" s="58"/>
      <c r="P191" s="58"/>
      <c r="Q191" s="58"/>
      <c r="R191" s="58"/>
      <c r="S191" s="58"/>
      <c r="T191" s="58"/>
      <c r="U191" s="58"/>
      <c r="V191" s="58"/>
      <c r="W191" s="58"/>
      <c r="X191" s="58"/>
      <c r="Y191" s="58"/>
      <c r="Z191" s="58"/>
    </row>
    <row r="192">
      <c r="A192" s="85" t="s">
        <v>1417</v>
      </c>
      <c r="B192" s="72" t="s">
        <v>1165</v>
      </c>
      <c r="C192" s="72" t="s">
        <v>1131</v>
      </c>
      <c r="D192" s="72" t="s">
        <v>1383</v>
      </c>
      <c r="E192" s="72" t="s">
        <v>1418</v>
      </c>
      <c r="F192" s="72" t="s">
        <v>1136</v>
      </c>
      <c r="G192" s="72" t="s">
        <v>1268</v>
      </c>
      <c r="H192" s="72" t="s">
        <v>1137</v>
      </c>
      <c r="I192" s="73" t="s">
        <v>13</v>
      </c>
      <c r="J192" s="58"/>
      <c r="K192" s="58"/>
      <c r="L192" s="58"/>
      <c r="M192" s="58"/>
      <c r="N192" s="58"/>
      <c r="O192" s="58"/>
      <c r="P192" s="58"/>
      <c r="Q192" s="58"/>
      <c r="R192" s="58"/>
      <c r="S192" s="58"/>
      <c r="T192" s="58"/>
      <c r="U192" s="58"/>
      <c r="V192" s="58"/>
      <c r="W192" s="58"/>
      <c r="X192" s="58"/>
      <c r="Y192" s="58"/>
      <c r="Z192" s="58"/>
    </row>
    <row r="193">
      <c r="A193" s="85" t="s">
        <v>1419</v>
      </c>
      <c r="B193" s="72" t="s">
        <v>1165</v>
      </c>
      <c r="C193" s="72" t="s">
        <v>1131</v>
      </c>
      <c r="D193" s="72" t="s">
        <v>1383</v>
      </c>
      <c r="E193" s="72" t="s">
        <v>1420</v>
      </c>
      <c r="F193" s="72" t="s">
        <v>1139</v>
      </c>
      <c r="G193" s="72" t="s">
        <v>1268</v>
      </c>
      <c r="H193" s="72" t="s">
        <v>1141</v>
      </c>
      <c r="I193" s="73" t="s">
        <v>13</v>
      </c>
      <c r="J193" s="58"/>
      <c r="K193" s="58"/>
      <c r="L193" s="58"/>
      <c r="M193" s="58"/>
      <c r="N193" s="58"/>
      <c r="O193" s="58"/>
      <c r="P193" s="58"/>
      <c r="Q193" s="58"/>
      <c r="R193" s="58"/>
      <c r="S193" s="58"/>
      <c r="T193" s="58"/>
      <c r="U193" s="58"/>
      <c r="V193" s="58"/>
      <c r="W193" s="58"/>
      <c r="X193" s="58"/>
      <c r="Y193" s="58"/>
      <c r="Z193" s="58"/>
    </row>
    <row r="194">
      <c r="A194" s="85" t="s">
        <v>1421</v>
      </c>
      <c r="B194" s="72" t="s">
        <v>1165</v>
      </c>
      <c r="C194" s="72" t="s">
        <v>1131</v>
      </c>
      <c r="D194" s="72" t="s">
        <v>1383</v>
      </c>
      <c r="E194" s="72" t="s">
        <v>1422</v>
      </c>
      <c r="F194" s="72" t="s">
        <v>1143</v>
      </c>
      <c r="G194" s="72" t="s">
        <v>1268</v>
      </c>
      <c r="H194" s="72" t="s">
        <v>1145</v>
      </c>
      <c r="I194" s="73" t="s">
        <v>13</v>
      </c>
      <c r="J194" s="58"/>
      <c r="K194" s="58"/>
      <c r="L194" s="58"/>
      <c r="M194" s="58"/>
      <c r="N194" s="58"/>
      <c r="O194" s="58"/>
      <c r="P194" s="58"/>
      <c r="Q194" s="58"/>
      <c r="R194" s="58"/>
      <c r="S194" s="58"/>
      <c r="T194" s="58"/>
      <c r="U194" s="58"/>
      <c r="V194" s="58"/>
      <c r="W194" s="58"/>
      <c r="X194" s="58"/>
      <c r="Y194" s="58"/>
      <c r="Z194" s="58"/>
    </row>
    <row r="195">
      <c r="A195" s="85" t="s">
        <v>1423</v>
      </c>
      <c r="B195" s="72" t="s">
        <v>1165</v>
      </c>
      <c r="C195" s="72" t="s">
        <v>1131</v>
      </c>
      <c r="D195" s="72" t="s">
        <v>1383</v>
      </c>
      <c r="E195" s="72" t="s">
        <v>1272</v>
      </c>
      <c r="F195" s="72" t="s">
        <v>1272</v>
      </c>
      <c r="G195" s="72" t="s">
        <v>1273</v>
      </c>
      <c r="H195" s="72" t="s">
        <v>1274</v>
      </c>
      <c r="I195" s="73" t="s">
        <v>13</v>
      </c>
      <c r="J195" s="58"/>
      <c r="K195" s="58"/>
      <c r="L195" s="58"/>
      <c r="M195" s="58"/>
      <c r="N195" s="58"/>
      <c r="O195" s="58"/>
      <c r="P195" s="58"/>
      <c r="Q195" s="58"/>
      <c r="R195" s="58"/>
      <c r="S195" s="58"/>
      <c r="T195" s="58"/>
      <c r="U195" s="58"/>
      <c r="V195" s="58"/>
      <c r="W195" s="58"/>
      <c r="X195" s="58"/>
      <c r="Y195" s="58"/>
      <c r="Z195" s="58"/>
    </row>
    <row r="196">
      <c r="A196" s="85" t="s">
        <v>1424</v>
      </c>
      <c r="B196" s="72" t="s">
        <v>1165</v>
      </c>
      <c r="C196" s="72" t="s">
        <v>1146</v>
      </c>
      <c r="D196" s="72" t="s">
        <v>1383</v>
      </c>
      <c r="E196" s="72" t="s">
        <v>1425</v>
      </c>
      <c r="F196" s="72" t="s">
        <v>1276</v>
      </c>
      <c r="G196" s="72" t="s">
        <v>1277</v>
      </c>
      <c r="H196" s="72" t="s">
        <v>1278</v>
      </c>
      <c r="I196" s="73" t="s">
        <v>13</v>
      </c>
      <c r="J196" s="58"/>
      <c r="K196" s="58"/>
      <c r="L196" s="58"/>
      <c r="M196" s="58"/>
      <c r="N196" s="58"/>
      <c r="O196" s="58"/>
      <c r="P196" s="58"/>
      <c r="Q196" s="58"/>
      <c r="R196" s="58"/>
      <c r="S196" s="58"/>
      <c r="T196" s="58"/>
      <c r="U196" s="58"/>
      <c r="V196" s="58"/>
      <c r="W196" s="58"/>
      <c r="X196" s="58"/>
      <c r="Y196" s="58"/>
      <c r="Z196" s="58"/>
    </row>
    <row r="197">
      <c r="A197" s="85" t="s">
        <v>1426</v>
      </c>
      <c r="B197" s="72" t="s">
        <v>1165</v>
      </c>
      <c r="C197" s="72" t="s">
        <v>1146</v>
      </c>
      <c r="D197" s="72" t="s">
        <v>1383</v>
      </c>
      <c r="E197" s="72" t="s">
        <v>1427</v>
      </c>
      <c r="F197" s="72" t="s">
        <v>1148</v>
      </c>
      <c r="G197" s="72" t="s">
        <v>1277</v>
      </c>
      <c r="H197" s="72" t="s">
        <v>1149</v>
      </c>
      <c r="I197" s="73" t="s">
        <v>13</v>
      </c>
      <c r="J197" s="58"/>
      <c r="K197" s="58"/>
      <c r="L197" s="58"/>
      <c r="M197" s="58"/>
      <c r="N197" s="58"/>
      <c r="O197" s="58"/>
      <c r="P197" s="58"/>
      <c r="Q197" s="58"/>
      <c r="R197" s="58"/>
      <c r="S197" s="58"/>
      <c r="T197" s="58"/>
      <c r="U197" s="58"/>
      <c r="V197" s="58"/>
      <c r="W197" s="58"/>
      <c r="X197" s="58"/>
      <c r="Y197" s="58"/>
      <c r="Z197" s="58"/>
    </row>
    <row r="198">
      <c r="A198" s="85" t="s">
        <v>1428</v>
      </c>
      <c r="B198" s="72" t="s">
        <v>1165</v>
      </c>
      <c r="C198" s="72" t="s">
        <v>1146</v>
      </c>
      <c r="D198" s="72" t="s">
        <v>1383</v>
      </c>
      <c r="E198" s="72" t="s">
        <v>1429</v>
      </c>
      <c r="F198" s="72" t="s">
        <v>1151</v>
      </c>
      <c r="G198" s="72" t="s">
        <v>1277</v>
      </c>
      <c r="H198" s="72" t="s">
        <v>1152</v>
      </c>
      <c r="I198" s="73" t="s">
        <v>13</v>
      </c>
      <c r="J198" s="58"/>
      <c r="K198" s="58"/>
      <c r="L198" s="58"/>
      <c r="M198" s="58"/>
      <c r="N198" s="58"/>
      <c r="O198" s="58"/>
      <c r="P198" s="58"/>
      <c r="Q198" s="58"/>
      <c r="R198" s="58"/>
      <c r="S198" s="58"/>
      <c r="T198" s="58"/>
      <c r="U198" s="58"/>
      <c r="V198" s="58"/>
      <c r="W198" s="58"/>
      <c r="X198" s="58"/>
      <c r="Y198" s="58"/>
      <c r="Z198" s="58"/>
    </row>
    <row r="199">
      <c r="A199" s="85" t="s">
        <v>1430</v>
      </c>
      <c r="B199" s="72" t="s">
        <v>1165</v>
      </c>
      <c r="C199" s="72" t="s">
        <v>1146</v>
      </c>
      <c r="D199" s="72" t="s">
        <v>1383</v>
      </c>
      <c r="E199" s="72" t="s">
        <v>1431</v>
      </c>
      <c r="F199" s="72" t="s">
        <v>1151</v>
      </c>
      <c r="G199" s="72" t="s">
        <v>1277</v>
      </c>
      <c r="H199" s="72" t="s">
        <v>1152</v>
      </c>
      <c r="I199" s="73" t="s">
        <v>13</v>
      </c>
      <c r="J199" s="58"/>
      <c r="K199" s="58"/>
      <c r="L199" s="58"/>
      <c r="M199" s="58"/>
      <c r="N199" s="58"/>
      <c r="O199" s="58"/>
      <c r="P199" s="58"/>
      <c r="Q199" s="58"/>
      <c r="R199" s="58"/>
      <c r="S199" s="58"/>
      <c r="T199" s="58"/>
      <c r="U199" s="58"/>
      <c r="V199" s="58"/>
      <c r="W199" s="58"/>
      <c r="X199" s="58"/>
      <c r="Y199" s="58"/>
      <c r="Z199" s="58"/>
    </row>
    <row r="200">
      <c r="A200" s="85" t="s">
        <v>1432</v>
      </c>
      <c r="B200" s="72" t="s">
        <v>1165</v>
      </c>
      <c r="C200" s="72" t="s">
        <v>1146</v>
      </c>
      <c r="D200" s="72" t="s">
        <v>1383</v>
      </c>
      <c r="E200" s="72" t="s">
        <v>1433</v>
      </c>
      <c r="F200" s="72" t="s">
        <v>1155</v>
      </c>
      <c r="G200" s="72" t="s">
        <v>1277</v>
      </c>
      <c r="H200" s="72" t="s">
        <v>1283</v>
      </c>
      <c r="I200" s="73" t="s">
        <v>13</v>
      </c>
      <c r="J200" s="58"/>
      <c r="K200" s="58"/>
      <c r="L200" s="58"/>
      <c r="M200" s="58"/>
      <c r="N200" s="58"/>
      <c r="O200" s="58"/>
      <c r="P200" s="58"/>
      <c r="Q200" s="58"/>
      <c r="R200" s="58"/>
      <c r="S200" s="58"/>
      <c r="T200" s="58"/>
      <c r="U200" s="58"/>
      <c r="V200" s="58"/>
      <c r="W200" s="58"/>
      <c r="X200" s="58"/>
      <c r="Y200" s="58"/>
      <c r="Z200" s="58"/>
    </row>
    <row r="201">
      <c r="A201" s="85" t="s">
        <v>1434</v>
      </c>
      <c r="B201" s="72" t="s">
        <v>1165</v>
      </c>
      <c r="C201" s="72" t="s">
        <v>1146</v>
      </c>
      <c r="D201" s="72" t="s">
        <v>1383</v>
      </c>
      <c r="E201" s="72" t="s">
        <v>1156</v>
      </c>
      <c r="F201" s="72" t="s">
        <v>1157</v>
      </c>
      <c r="G201" s="72" t="s">
        <v>1277</v>
      </c>
      <c r="H201" s="72" t="s">
        <v>1158</v>
      </c>
      <c r="I201" s="73" t="s">
        <v>13</v>
      </c>
      <c r="J201" s="58"/>
      <c r="K201" s="58"/>
      <c r="L201" s="58"/>
      <c r="M201" s="58"/>
      <c r="N201" s="58"/>
      <c r="O201" s="58"/>
      <c r="P201" s="58"/>
      <c r="Q201" s="58"/>
      <c r="R201" s="58"/>
      <c r="S201" s="58"/>
      <c r="T201" s="58"/>
      <c r="U201" s="58"/>
      <c r="V201" s="58"/>
      <c r="W201" s="58"/>
      <c r="X201" s="58"/>
      <c r="Y201" s="58"/>
      <c r="Z201" s="58"/>
    </row>
    <row r="202">
      <c r="A202" s="85" t="s">
        <v>1435</v>
      </c>
      <c r="B202" s="72" t="s">
        <v>1165</v>
      </c>
      <c r="C202" s="72" t="s">
        <v>1146</v>
      </c>
      <c r="D202" s="72" t="s">
        <v>1383</v>
      </c>
      <c r="E202" s="72" t="s">
        <v>1436</v>
      </c>
      <c r="F202" s="72" t="s">
        <v>1285</v>
      </c>
      <c r="G202" s="72" t="s">
        <v>1277</v>
      </c>
      <c r="H202" s="72" t="s">
        <v>1286</v>
      </c>
      <c r="I202" s="73" t="s">
        <v>13</v>
      </c>
      <c r="J202" s="58"/>
      <c r="K202" s="58"/>
      <c r="L202" s="58"/>
      <c r="M202" s="58"/>
      <c r="N202" s="58"/>
      <c r="O202" s="58"/>
      <c r="P202" s="58"/>
      <c r="Q202" s="58"/>
      <c r="R202" s="58"/>
      <c r="S202" s="58"/>
      <c r="T202" s="58"/>
      <c r="U202" s="58"/>
      <c r="V202" s="58"/>
      <c r="W202" s="58"/>
      <c r="X202" s="58"/>
      <c r="Y202" s="58"/>
      <c r="Z202" s="58"/>
    </row>
    <row r="203">
      <c r="A203" s="85" t="s">
        <v>1437</v>
      </c>
      <c r="B203" s="72" t="s">
        <v>1165</v>
      </c>
      <c r="C203" s="72" t="s">
        <v>1146</v>
      </c>
      <c r="D203" s="72" t="s">
        <v>1383</v>
      </c>
      <c r="E203" s="72" t="s">
        <v>1438</v>
      </c>
      <c r="F203" s="72" t="s">
        <v>1288</v>
      </c>
      <c r="G203" s="72" t="s">
        <v>1277</v>
      </c>
      <c r="H203" s="72" t="s">
        <v>1145</v>
      </c>
      <c r="I203" s="73" t="s">
        <v>13</v>
      </c>
      <c r="J203" s="58"/>
      <c r="K203" s="58"/>
      <c r="L203" s="58"/>
      <c r="M203" s="58"/>
      <c r="N203" s="58"/>
      <c r="O203" s="58"/>
      <c r="P203" s="58"/>
      <c r="Q203" s="58"/>
      <c r="R203" s="58"/>
      <c r="S203" s="58"/>
      <c r="T203" s="58"/>
      <c r="U203" s="58"/>
      <c r="V203" s="58"/>
      <c r="W203" s="58"/>
      <c r="X203" s="58"/>
      <c r="Y203" s="58"/>
      <c r="Z203" s="58"/>
    </row>
    <row r="204">
      <c r="A204" s="85" t="s">
        <v>1439</v>
      </c>
      <c r="B204" s="72" t="s">
        <v>1165</v>
      </c>
      <c r="C204" s="72" t="s">
        <v>1146</v>
      </c>
      <c r="D204" s="72" t="s">
        <v>1383</v>
      </c>
      <c r="E204" s="72" t="s">
        <v>1159</v>
      </c>
      <c r="F204" s="72" t="s">
        <v>1160</v>
      </c>
      <c r="G204" s="72" t="s">
        <v>1277</v>
      </c>
      <c r="H204" s="72" t="s">
        <v>1161</v>
      </c>
      <c r="I204" s="73" t="s">
        <v>13</v>
      </c>
      <c r="J204" s="58"/>
      <c r="K204" s="58"/>
      <c r="L204" s="58"/>
      <c r="M204" s="58"/>
      <c r="N204" s="58"/>
      <c r="O204" s="58"/>
      <c r="P204" s="58"/>
      <c r="Q204" s="58"/>
      <c r="R204" s="58"/>
      <c r="S204" s="58"/>
      <c r="T204" s="58"/>
      <c r="U204" s="58"/>
      <c r="V204" s="58"/>
      <c r="W204" s="58"/>
      <c r="X204" s="58"/>
      <c r="Y204" s="58"/>
      <c r="Z204" s="58"/>
    </row>
    <row r="205">
      <c r="A205" s="85" t="s">
        <v>1440</v>
      </c>
      <c r="B205" s="72" t="s">
        <v>1165</v>
      </c>
      <c r="C205" s="72" t="s">
        <v>1146</v>
      </c>
      <c r="D205" s="72" t="s">
        <v>1383</v>
      </c>
      <c r="E205" s="72" t="s">
        <v>1162</v>
      </c>
      <c r="F205" s="72" t="s">
        <v>1163</v>
      </c>
      <c r="G205" s="72" t="s">
        <v>1277</v>
      </c>
      <c r="H205" s="72" t="s">
        <v>1164</v>
      </c>
      <c r="I205" s="73" t="s">
        <v>13</v>
      </c>
      <c r="J205" s="58"/>
      <c r="K205" s="58"/>
      <c r="L205" s="58"/>
      <c r="M205" s="58"/>
      <c r="N205" s="58"/>
      <c r="O205" s="58"/>
      <c r="P205" s="58"/>
      <c r="Q205" s="58"/>
      <c r="R205" s="58"/>
      <c r="S205" s="58"/>
      <c r="T205" s="58"/>
      <c r="U205" s="58"/>
      <c r="V205" s="58"/>
      <c r="W205" s="58"/>
      <c r="X205" s="58"/>
      <c r="Y205" s="58"/>
      <c r="Z205" s="58"/>
    </row>
    <row r="206">
      <c r="A206" s="85" t="s">
        <v>1441</v>
      </c>
      <c r="B206" s="72" t="s">
        <v>1165</v>
      </c>
      <c r="C206" s="72" t="s">
        <v>1289</v>
      </c>
      <c r="D206" s="72" t="s">
        <v>1442</v>
      </c>
      <c r="E206" s="72" t="s">
        <v>1290</v>
      </c>
      <c r="F206" s="72" t="s">
        <v>1291</v>
      </c>
      <c r="G206" s="72" t="s">
        <v>1292</v>
      </c>
      <c r="H206" s="72" t="s">
        <v>1293</v>
      </c>
      <c r="I206" s="73" t="s">
        <v>13</v>
      </c>
      <c r="J206" s="58"/>
      <c r="K206" s="58"/>
      <c r="L206" s="58"/>
      <c r="M206" s="58"/>
      <c r="N206" s="58"/>
      <c r="O206" s="58"/>
      <c r="P206" s="58"/>
      <c r="Q206" s="58"/>
      <c r="R206" s="58"/>
      <c r="S206" s="58"/>
      <c r="T206" s="58"/>
      <c r="U206" s="58"/>
      <c r="V206" s="58"/>
      <c r="W206" s="58"/>
      <c r="X206" s="58"/>
      <c r="Y206" s="58"/>
      <c r="Z206" s="58"/>
    </row>
    <row r="207">
      <c r="A207" s="85" t="s">
        <v>1443</v>
      </c>
      <c r="B207" s="72" t="s">
        <v>1165</v>
      </c>
      <c r="C207" s="72" t="s">
        <v>1294</v>
      </c>
      <c r="D207" s="72" t="s">
        <v>1442</v>
      </c>
      <c r="E207" s="72" t="s">
        <v>1295</v>
      </c>
      <c r="F207" s="72" t="s">
        <v>1296</v>
      </c>
      <c r="G207" s="72" t="s">
        <v>1292</v>
      </c>
      <c r="H207" s="72" t="s">
        <v>1293</v>
      </c>
      <c r="I207" s="73" t="s">
        <v>13</v>
      </c>
      <c r="J207" s="58"/>
      <c r="K207" s="58"/>
      <c r="L207" s="58"/>
      <c r="M207" s="58"/>
      <c r="N207" s="58"/>
      <c r="O207" s="58"/>
      <c r="P207" s="58"/>
      <c r="Q207" s="58"/>
      <c r="R207" s="58"/>
      <c r="S207" s="58"/>
      <c r="T207" s="58"/>
      <c r="U207" s="58"/>
      <c r="V207" s="58"/>
      <c r="W207" s="58"/>
      <c r="X207" s="58"/>
      <c r="Y207" s="58"/>
      <c r="Z207" s="58"/>
    </row>
    <row r="208">
      <c r="A208" s="85" t="s">
        <v>1444</v>
      </c>
      <c r="B208" s="72" t="s">
        <v>1165</v>
      </c>
      <c r="C208" s="72" t="s">
        <v>1297</v>
      </c>
      <c r="D208" s="72" t="s">
        <v>1442</v>
      </c>
      <c r="E208" s="72" t="s">
        <v>1298</v>
      </c>
      <c r="F208" s="72" t="s">
        <v>1299</v>
      </c>
      <c r="G208" s="72" t="s">
        <v>1292</v>
      </c>
      <c r="H208" s="72" t="s">
        <v>1293</v>
      </c>
      <c r="I208" s="73" t="s">
        <v>13</v>
      </c>
      <c r="J208" s="58"/>
      <c r="K208" s="58"/>
      <c r="L208" s="58"/>
      <c r="M208" s="58"/>
      <c r="N208" s="58"/>
      <c r="O208" s="58"/>
      <c r="P208" s="58"/>
      <c r="Q208" s="58"/>
      <c r="R208" s="58"/>
      <c r="S208" s="58"/>
      <c r="T208" s="58"/>
      <c r="U208" s="58"/>
      <c r="V208" s="58"/>
      <c r="W208" s="58"/>
      <c r="X208" s="58"/>
      <c r="Y208" s="58"/>
      <c r="Z208" s="58"/>
    </row>
    <row r="209">
      <c r="A209" s="85" t="s">
        <v>1445</v>
      </c>
      <c r="B209" s="72" t="s">
        <v>1165</v>
      </c>
      <c r="C209" s="72" t="s">
        <v>1289</v>
      </c>
      <c r="D209" s="72" t="s">
        <v>1442</v>
      </c>
      <c r="E209" s="72" t="s">
        <v>1290</v>
      </c>
      <c r="F209" s="72" t="s">
        <v>1291</v>
      </c>
      <c r="G209" s="72" t="s">
        <v>1300</v>
      </c>
      <c r="H209" s="72" t="s">
        <v>1301</v>
      </c>
      <c r="I209" s="73" t="s">
        <v>13</v>
      </c>
      <c r="J209" s="58"/>
      <c r="K209" s="58"/>
      <c r="L209" s="58"/>
      <c r="M209" s="58"/>
      <c r="N209" s="58"/>
      <c r="O209" s="58"/>
      <c r="P209" s="58"/>
      <c r="Q209" s="58"/>
      <c r="R209" s="58"/>
      <c r="S209" s="58"/>
      <c r="T209" s="58"/>
      <c r="U209" s="58"/>
      <c r="V209" s="58"/>
      <c r="W209" s="58"/>
      <c r="X209" s="58"/>
      <c r="Y209" s="58"/>
      <c r="Z209" s="58"/>
    </row>
    <row r="210">
      <c r="A210" s="85" t="s">
        <v>1446</v>
      </c>
      <c r="B210" s="72" t="s">
        <v>1165</v>
      </c>
      <c r="C210" s="72" t="s">
        <v>1294</v>
      </c>
      <c r="D210" s="72" t="s">
        <v>1442</v>
      </c>
      <c r="E210" s="72" t="s">
        <v>1295</v>
      </c>
      <c r="F210" s="72" t="s">
        <v>1296</v>
      </c>
      <c r="G210" s="72" t="s">
        <v>1300</v>
      </c>
      <c r="H210" s="72" t="s">
        <v>1301</v>
      </c>
      <c r="I210" s="73" t="s">
        <v>13</v>
      </c>
      <c r="J210" s="58"/>
      <c r="K210" s="58"/>
      <c r="L210" s="58"/>
      <c r="M210" s="58"/>
      <c r="N210" s="58"/>
      <c r="O210" s="58"/>
      <c r="P210" s="58"/>
      <c r="Q210" s="58"/>
      <c r="R210" s="58"/>
      <c r="S210" s="58"/>
      <c r="T210" s="58"/>
      <c r="U210" s="58"/>
      <c r="V210" s="58"/>
      <c r="W210" s="58"/>
      <c r="X210" s="58"/>
      <c r="Y210" s="58"/>
      <c r="Z210" s="58"/>
    </row>
    <row r="211">
      <c r="A211" s="85" t="s">
        <v>1447</v>
      </c>
      <c r="B211" s="72" t="s">
        <v>1165</v>
      </c>
      <c r="C211" s="72" t="s">
        <v>1297</v>
      </c>
      <c r="D211" s="72" t="s">
        <v>1442</v>
      </c>
      <c r="E211" s="72" t="s">
        <v>1298</v>
      </c>
      <c r="F211" s="72" t="s">
        <v>1299</v>
      </c>
      <c r="G211" s="72" t="s">
        <v>1300</v>
      </c>
      <c r="H211" s="72" t="s">
        <v>1301</v>
      </c>
      <c r="I211" s="73" t="s">
        <v>13</v>
      </c>
      <c r="J211" s="58"/>
      <c r="K211" s="58"/>
      <c r="L211" s="58"/>
      <c r="M211" s="58"/>
      <c r="N211" s="58"/>
      <c r="O211" s="58"/>
      <c r="P211" s="58"/>
      <c r="Q211" s="58"/>
      <c r="R211" s="58"/>
      <c r="S211" s="58"/>
      <c r="T211" s="58"/>
      <c r="U211" s="58"/>
      <c r="V211" s="58"/>
      <c r="W211" s="58"/>
      <c r="X211" s="58"/>
      <c r="Y211" s="58"/>
      <c r="Z211" s="58"/>
    </row>
    <row r="212">
      <c r="A212" s="85" t="s">
        <v>1448</v>
      </c>
      <c r="B212" s="72" t="s">
        <v>1165</v>
      </c>
      <c r="C212" s="72" t="s">
        <v>1302</v>
      </c>
      <c r="D212" s="72" t="s">
        <v>1442</v>
      </c>
      <c r="E212" s="72" t="s">
        <v>1304</v>
      </c>
      <c r="F212" s="72" t="s">
        <v>1305</v>
      </c>
      <c r="G212" s="78"/>
      <c r="H212" s="72" t="s">
        <v>1302</v>
      </c>
      <c r="I212" s="73" t="s">
        <v>13</v>
      </c>
      <c r="J212" s="58"/>
      <c r="K212" s="58"/>
      <c r="L212" s="58"/>
      <c r="M212" s="58"/>
      <c r="N212" s="58"/>
      <c r="O212" s="58"/>
      <c r="P212" s="58"/>
      <c r="Q212" s="58"/>
      <c r="R212" s="58"/>
      <c r="S212" s="58"/>
      <c r="T212" s="58"/>
      <c r="U212" s="58"/>
      <c r="V212" s="58"/>
      <c r="W212" s="58"/>
      <c r="X212" s="58"/>
      <c r="Y212" s="58"/>
      <c r="Z212" s="58"/>
    </row>
    <row r="213">
      <c r="A213" s="106"/>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106"/>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106"/>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106"/>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106"/>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106"/>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106"/>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106"/>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106"/>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06"/>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06"/>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06"/>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06"/>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06"/>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06"/>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06"/>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106"/>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106"/>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106"/>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106"/>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106"/>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106"/>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106"/>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106"/>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106"/>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106"/>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106"/>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106"/>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106"/>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106"/>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106"/>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106"/>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106"/>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106"/>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106"/>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106"/>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106"/>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106"/>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106"/>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106"/>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106"/>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106"/>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106"/>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106"/>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106"/>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106"/>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106"/>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106"/>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106"/>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106"/>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106"/>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106"/>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106"/>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106"/>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106"/>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106"/>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106"/>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106"/>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106"/>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106"/>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106"/>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106"/>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106"/>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106"/>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106"/>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106"/>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106"/>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106"/>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106"/>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106"/>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106"/>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106"/>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106"/>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106"/>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106"/>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106"/>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106"/>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106"/>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106"/>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106"/>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106"/>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106"/>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106"/>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106"/>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106"/>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106"/>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106"/>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106"/>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106"/>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106"/>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106"/>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106"/>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106"/>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106"/>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106"/>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106"/>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106"/>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106"/>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106"/>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106"/>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106"/>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106"/>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106"/>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106"/>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106"/>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106"/>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106"/>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106"/>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106"/>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106"/>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106"/>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106"/>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106"/>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106"/>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106"/>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106"/>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106"/>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106"/>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106"/>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106"/>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106"/>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106"/>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106"/>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106"/>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106"/>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106"/>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106"/>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106"/>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106"/>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106"/>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106"/>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106"/>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106"/>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106"/>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106"/>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106"/>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106"/>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106"/>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106"/>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106"/>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106"/>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106"/>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106"/>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106"/>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106"/>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106"/>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106"/>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106"/>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106"/>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106"/>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106"/>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106"/>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106"/>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106"/>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106"/>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106"/>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106"/>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106"/>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106"/>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106"/>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106"/>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106"/>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106"/>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106"/>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106"/>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106"/>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106"/>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106"/>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106"/>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106"/>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106"/>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106"/>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106"/>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106"/>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106"/>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106"/>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106"/>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106"/>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106"/>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106"/>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106"/>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106"/>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106"/>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106"/>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106"/>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106"/>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106"/>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106"/>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106"/>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106"/>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106"/>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106"/>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106"/>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106"/>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106"/>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106"/>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106"/>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106"/>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106"/>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106"/>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106"/>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106"/>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106"/>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106"/>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106"/>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106"/>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106"/>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106"/>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106"/>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106"/>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106"/>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106"/>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106"/>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106"/>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06"/>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06"/>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06"/>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06"/>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06"/>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06"/>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06"/>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06"/>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06"/>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06"/>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06"/>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106"/>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106"/>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106"/>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106"/>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106"/>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106"/>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106"/>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106"/>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106"/>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106"/>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106"/>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106"/>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106"/>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106"/>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106"/>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106"/>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106"/>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106"/>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106"/>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106"/>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106"/>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106"/>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106"/>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106"/>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106"/>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106"/>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106"/>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106"/>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106"/>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106"/>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106"/>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106"/>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106"/>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106"/>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106"/>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106"/>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106"/>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106"/>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106"/>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106"/>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106"/>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106"/>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106"/>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106"/>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106"/>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106"/>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106"/>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106"/>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106"/>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106"/>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106"/>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106"/>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106"/>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106"/>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106"/>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106"/>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106"/>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106"/>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106"/>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106"/>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106"/>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106"/>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106"/>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106"/>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106"/>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106"/>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106"/>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106"/>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106"/>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106"/>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106"/>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106"/>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106"/>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106"/>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106"/>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106"/>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106"/>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106"/>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106"/>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106"/>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106"/>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106"/>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106"/>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106"/>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106"/>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106"/>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106"/>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106"/>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106"/>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106"/>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106"/>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106"/>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106"/>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106"/>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106"/>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106"/>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106"/>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106"/>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106"/>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106"/>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106"/>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106"/>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106"/>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106"/>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106"/>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106"/>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106"/>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106"/>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106"/>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106"/>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106"/>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106"/>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106"/>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106"/>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106"/>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106"/>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106"/>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106"/>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106"/>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106"/>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106"/>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106"/>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106"/>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106"/>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106"/>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106"/>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106"/>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106"/>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106"/>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106"/>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106"/>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106"/>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106"/>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106"/>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106"/>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106"/>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106"/>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106"/>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106"/>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106"/>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106"/>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106"/>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106"/>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106"/>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106"/>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106"/>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106"/>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106"/>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106"/>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106"/>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106"/>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106"/>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106"/>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106"/>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106"/>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106"/>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106"/>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106"/>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106"/>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106"/>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106"/>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106"/>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106"/>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106"/>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106"/>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106"/>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106"/>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106"/>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106"/>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106"/>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106"/>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106"/>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106"/>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106"/>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106"/>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106"/>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106"/>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106"/>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106"/>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106"/>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106"/>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106"/>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106"/>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106"/>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106"/>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106"/>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106"/>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106"/>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106"/>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106"/>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106"/>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106"/>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106"/>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106"/>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106"/>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106"/>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106"/>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106"/>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106"/>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106"/>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106"/>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106"/>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106"/>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106"/>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106"/>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106"/>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106"/>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106"/>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106"/>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106"/>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106"/>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106"/>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106"/>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106"/>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106"/>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106"/>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106"/>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106"/>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106"/>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106"/>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106"/>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106"/>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106"/>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106"/>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106"/>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106"/>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106"/>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106"/>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106"/>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106"/>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106"/>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106"/>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106"/>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106"/>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106"/>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106"/>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106"/>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106"/>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106"/>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106"/>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106"/>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106"/>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106"/>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106"/>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106"/>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106"/>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106"/>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106"/>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106"/>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106"/>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106"/>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106"/>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106"/>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106"/>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106"/>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106"/>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106"/>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106"/>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106"/>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106"/>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106"/>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106"/>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106"/>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106"/>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106"/>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106"/>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106"/>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106"/>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106"/>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106"/>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106"/>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106"/>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106"/>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106"/>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106"/>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106"/>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106"/>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106"/>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106"/>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106"/>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106"/>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106"/>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106"/>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106"/>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106"/>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106"/>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106"/>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106"/>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106"/>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106"/>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106"/>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106"/>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106"/>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106"/>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106"/>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106"/>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106"/>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106"/>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106"/>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106"/>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106"/>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106"/>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106"/>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106"/>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106"/>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106"/>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106"/>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106"/>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106"/>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106"/>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106"/>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106"/>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106"/>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106"/>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106"/>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106"/>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106"/>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106"/>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106"/>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106"/>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106"/>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106"/>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106"/>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106"/>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106"/>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106"/>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106"/>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106"/>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106"/>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106"/>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106"/>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106"/>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106"/>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106"/>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106"/>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106"/>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106"/>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106"/>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106"/>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106"/>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106"/>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106"/>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106"/>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106"/>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106"/>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106"/>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106"/>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106"/>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106"/>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106"/>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106"/>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106"/>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106"/>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106"/>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106"/>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106"/>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106"/>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106"/>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106"/>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106"/>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106"/>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106"/>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106"/>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106"/>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106"/>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106"/>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106"/>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106"/>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106"/>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106"/>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106"/>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106"/>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106"/>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106"/>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106"/>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106"/>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106"/>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106"/>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106"/>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106"/>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106"/>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106"/>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106"/>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106"/>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106"/>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106"/>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106"/>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106"/>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106"/>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106"/>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106"/>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106"/>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106"/>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106"/>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106"/>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106"/>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106"/>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106"/>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106"/>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106"/>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106"/>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106"/>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106"/>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106"/>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106"/>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106"/>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106"/>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106"/>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106"/>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106"/>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106"/>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106"/>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106"/>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106"/>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106"/>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106"/>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106"/>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106"/>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106"/>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106"/>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106"/>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106"/>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106"/>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106"/>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106"/>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106"/>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106"/>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106"/>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106"/>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106"/>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106"/>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106"/>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106"/>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106"/>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106"/>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106"/>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106"/>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106"/>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106"/>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106"/>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106"/>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106"/>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106"/>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106"/>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106"/>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106"/>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106"/>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106"/>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106"/>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106"/>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106"/>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106"/>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106"/>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106"/>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106"/>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106"/>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106"/>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106"/>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106"/>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106"/>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106"/>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106"/>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106"/>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106"/>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106"/>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106"/>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106"/>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106"/>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106"/>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106"/>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106"/>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106"/>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106"/>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106"/>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106"/>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106"/>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106"/>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106"/>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106"/>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106"/>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106"/>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106"/>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106"/>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106"/>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106"/>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106"/>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106"/>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106"/>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106"/>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106"/>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106"/>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106"/>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106"/>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106"/>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106"/>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106"/>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106"/>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106"/>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106"/>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106"/>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106"/>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106"/>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106"/>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106"/>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106"/>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106"/>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106"/>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106"/>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106"/>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106"/>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106"/>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106"/>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106"/>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106"/>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106"/>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106"/>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106"/>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106"/>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106"/>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106"/>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106"/>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106"/>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106"/>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106"/>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106"/>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106"/>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106"/>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106"/>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106"/>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106"/>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106"/>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106"/>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106"/>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106"/>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106"/>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106"/>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106"/>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106"/>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106"/>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106"/>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106"/>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106"/>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106"/>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106"/>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106"/>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106"/>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106"/>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106"/>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106"/>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106"/>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106"/>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106"/>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106"/>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106"/>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106"/>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106"/>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106"/>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106"/>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106"/>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106"/>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106"/>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106"/>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106"/>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106"/>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106"/>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106"/>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sheetData>
  <autoFilter ref="$A$1:$I$212"/>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4.38"/>
    <col customWidth="1" min="3" max="3" width="13.63"/>
    <col customWidth="1" min="4" max="4" width="15.63"/>
    <col customWidth="1" min="5" max="5" width="51.25"/>
    <col customWidth="1" min="6" max="6" width="38.75"/>
    <col customWidth="1" min="7" max="7" width="28.88"/>
    <col customWidth="1" min="8" max="8" width="25.25"/>
  </cols>
  <sheetData>
    <row r="1">
      <c r="A1" s="31" t="s">
        <v>78</v>
      </c>
      <c r="B1" s="32" t="s">
        <v>79</v>
      </c>
      <c r="C1" s="31" t="s">
        <v>80</v>
      </c>
      <c r="D1" s="31" t="s">
        <v>81</v>
      </c>
      <c r="E1" s="31" t="s">
        <v>82</v>
      </c>
      <c r="F1" s="31" t="s">
        <v>413</v>
      </c>
      <c r="G1" s="31" t="s">
        <v>414</v>
      </c>
      <c r="H1" s="31" t="s">
        <v>83</v>
      </c>
      <c r="I1" s="31" t="s">
        <v>971</v>
      </c>
      <c r="J1" s="106"/>
      <c r="K1" s="106"/>
      <c r="L1" s="106"/>
      <c r="M1" s="106"/>
      <c r="N1" s="106"/>
      <c r="O1" s="106"/>
      <c r="P1" s="106"/>
      <c r="Q1" s="106"/>
      <c r="R1" s="106"/>
      <c r="S1" s="106"/>
      <c r="T1" s="106"/>
      <c r="U1" s="106"/>
      <c r="V1" s="106"/>
      <c r="W1" s="106"/>
      <c r="X1" s="106"/>
      <c r="Y1" s="106"/>
      <c r="Z1" s="106"/>
    </row>
    <row r="2">
      <c r="A2" s="85" t="s">
        <v>84</v>
      </c>
      <c r="B2" s="72" t="s">
        <v>1449</v>
      </c>
      <c r="C2" s="72" t="s">
        <v>1450</v>
      </c>
      <c r="D2" s="72" t="s">
        <v>1451</v>
      </c>
      <c r="E2" s="73" t="s">
        <v>1452</v>
      </c>
      <c r="F2" s="73" t="s">
        <v>1453</v>
      </c>
      <c r="G2" s="73" t="s">
        <v>1454</v>
      </c>
      <c r="H2" s="73" t="s">
        <v>1455</v>
      </c>
      <c r="I2" s="73" t="s">
        <v>13</v>
      </c>
      <c r="J2" s="58"/>
      <c r="K2" s="58"/>
      <c r="L2" s="58"/>
      <c r="M2" s="76" t="s">
        <v>284</v>
      </c>
      <c r="N2" s="58">
        <f>COUNTA(I2:I425)</f>
        <v>424</v>
      </c>
      <c r="O2" s="58"/>
      <c r="P2" s="58"/>
      <c r="Q2" s="58"/>
      <c r="R2" s="58"/>
      <c r="S2" s="58"/>
      <c r="T2" s="58"/>
      <c r="U2" s="58"/>
      <c r="V2" s="58"/>
      <c r="W2" s="58"/>
      <c r="X2" s="58"/>
      <c r="Y2" s="58"/>
      <c r="Z2" s="58"/>
    </row>
    <row r="3">
      <c r="A3" s="85" t="s">
        <v>92</v>
      </c>
      <c r="B3" s="72" t="s">
        <v>1449</v>
      </c>
      <c r="C3" s="72" t="s">
        <v>1450</v>
      </c>
      <c r="D3" s="72" t="s">
        <v>1451</v>
      </c>
      <c r="E3" s="110" t="s">
        <v>1456</v>
      </c>
      <c r="F3" s="73" t="s">
        <v>1457</v>
      </c>
      <c r="G3" s="73" t="s">
        <v>1458</v>
      </c>
      <c r="H3" s="73" t="s">
        <v>1459</v>
      </c>
      <c r="I3" s="73" t="s">
        <v>13</v>
      </c>
      <c r="J3" s="58"/>
      <c r="K3" s="58"/>
      <c r="L3" s="58"/>
      <c r="M3" s="58"/>
      <c r="N3" s="58"/>
      <c r="O3" s="58"/>
      <c r="P3" s="58"/>
      <c r="Q3" s="58"/>
      <c r="R3" s="58"/>
      <c r="S3" s="58"/>
      <c r="T3" s="58"/>
      <c r="U3" s="58"/>
      <c r="V3" s="58"/>
      <c r="W3" s="58"/>
      <c r="X3" s="58"/>
      <c r="Y3" s="58"/>
      <c r="Z3" s="58"/>
    </row>
    <row r="4">
      <c r="A4" s="85" t="s">
        <v>96</v>
      </c>
      <c r="B4" s="72" t="s">
        <v>1449</v>
      </c>
      <c r="C4" s="72" t="s">
        <v>1450</v>
      </c>
      <c r="D4" s="72" t="s">
        <v>1451</v>
      </c>
      <c r="E4" s="110" t="s">
        <v>1460</v>
      </c>
      <c r="F4" s="73" t="s">
        <v>1461</v>
      </c>
      <c r="G4" s="73" t="s">
        <v>1462</v>
      </c>
      <c r="H4" s="73" t="s">
        <v>1461</v>
      </c>
      <c r="I4" s="73" t="s">
        <v>13</v>
      </c>
      <c r="J4" s="58"/>
      <c r="K4" s="58"/>
      <c r="L4" s="58"/>
      <c r="M4" s="58"/>
      <c r="N4" s="58"/>
      <c r="O4" s="58"/>
      <c r="P4" s="58"/>
      <c r="Q4" s="58"/>
      <c r="R4" s="58"/>
      <c r="S4" s="58"/>
      <c r="T4" s="58"/>
      <c r="U4" s="58"/>
      <c r="V4" s="58"/>
      <c r="W4" s="58"/>
      <c r="X4" s="58"/>
      <c r="Y4" s="58"/>
      <c r="Z4" s="58"/>
    </row>
    <row r="5">
      <c r="A5" s="85" t="s">
        <v>101</v>
      </c>
      <c r="B5" s="72" t="s">
        <v>1449</v>
      </c>
      <c r="C5" s="72" t="s">
        <v>1450</v>
      </c>
      <c r="D5" s="72" t="s">
        <v>1451</v>
      </c>
      <c r="E5" s="110" t="s">
        <v>1463</v>
      </c>
      <c r="F5" s="73" t="s">
        <v>1464</v>
      </c>
      <c r="G5" s="75"/>
      <c r="H5" s="73" t="s">
        <v>1465</v>
      </c>
      <c r="I5" s="73" t="s">
        <v>13</v>
      </c>
      <c r="J5" s="58"/>
      <c r="K5" s="58"/>
      <c r="L5" s="58"/>
      <c r="M5" s="58"/>
      <c r="N5" s="58"/>
      <c r="O5" s="58"/>
      <c r="P5" s="58"/>
      <c r="Q5" s="58"/>
      <c r="R5" s="58"/>
      <c r="S5" s="58"/>
      <c r="T5" s="58"/>
      <c r="U5" s="58"/>
      <c r="V5" s="58"/>
      <c r="W5" s="58"/>
      <c r="X5" s="58"/>
      <c r="Y5" s="58"/>
      <c r="Z5" s="58"/>
    </row>
    <row r="6">
      <c r="A6" s="85" t="s">
        <v>106</v>
      </c>
      <c r="B6" s="72" t="s">
        <v>1449</v>
      </c>
      <c r="C6" s="72" t="s">
        <v>1450</v>
      </c>
      <c r="D6" s="72" t="s">
        <v>1451</v>
      </c>
      <c r="E6" s="110" t="s">
        <v>1466</v>
      </c>
      <c r="F6" s="73" t="s">
        <v>1467</v>
      </c>
      <c r="G6" s="75"/>
      <c r="H6" s="73" t="s">
        <v>1468</v>
      </c>
      <c r="I6" s="73" t="s">
        <v>13</v>
      </c>
      <c r="J6" s="58"/>
      <c r="K6" s="58"/>
      <c r="L6" s="58"/>
      <c r="M6" s="58"/>
      <c r="N6" s="58"/>
      <c r="O6" s="58"/>
      <c r="P6" s="58"/>
      <c r="Q6" s="58"/>
      <c r="R6" s="58"/>
      <c r="S6" s="58"/>
      <c r="T6" s="58"/>
      <c r="U6" s="58"/>
      <c r="V6" s="58"/>
      <c r="W6" s="58"/>
      <c r="X6" s="58"/>
      <c r="Y6" s="58"/>
      <c r="Z6" s="58"/>
    </row>
    <row r="7">
      <c r="A7" s="85" t="s">
        <v>110</v>
      </c>
      <c r="B7" s="72" t="s">
        <v>1449</v>
      </c>
      <c r="C7" s="72" t="s">
        <v>1450</v>
      </c>
      <c r="D7" s="72" t="s">
        <v>1451</v>
      </c>
      <c r="E7" s="110" t="s">
        <v>985</v>
      </c>
      <c r="F7" s="72" t="s">
        <v>1469</v>
      </c>
      <c r="G7" s="78"/>
      <c r="H7" s="72" t="s">
        <v>987</v>
      </c>
      <c r="I7" s="73" t="s">
        <v>13</v>
      </c>
      <c r="J7" s="58"/>
      <c r="K7" s="58"/>
      <c r="L7" s="58"/>
      <c r="M7" s="58"/>
      <c r="N7" s="58"/>
      <c r="O7" s="58"/>
      <c r="P7" s="58"/>
      <c r="Q7" s="58"/>
      <c r="R7" s="58"/>
      <c r="S7" s="58"/>
      <c r="T7" s="58"/>
      <c r="U7" s="58"/>
      <c r="V7" s="58"/>
      <c r="W7" s="58"/>
      <c r="X7" s="58"/>
      <c r="Y7" s="58"/>
      <c r="Z7" s="58"/>
    </row>
    <row r="8">
      <c r="A8" s="85" t="s">
        <v>115</v>
      </c>
      <c r="B8" s="72" t="s">
        <v>1449</v>
      </c>
      <c r="C8" s="72" t="s">
        <v>1450</v>
      </c>
      <c r="D8" s="72" t="s">
        <v>1451</v>
      </c>
      <c r="E8" s="110" t="s">
        <v>988</v>
      </c>
      <c r="F8" s="73" t="s">
        <v>1470</v>
      </c>
      <c r="G8" s="75"/>
      <c r="H8" s="73" t="s">
        <v>1471</v>
      </c>
      <c r="I8" s="73" t="s">
        <v>13</v>
      </c>
      <c r="J8" s="58"/>
      <c r="K8" s="58"/>
      <c r="L8" s="58"/>
      <c r="M8" s="58"/>
      <c r="N8" s="58"/>
      <c r="O8" s="58"/>
      <c r="P8" s="58"/>
      <c r="Q8" s="58"/>
      <c r="R8" s="58"/>
      <c r="S8" s="58"/>
      <c r="T8" s="58"/>
      <c r="U8" s="58"/>
      <c r="V8" s="58"/>
      <c r="W8" s="58"/>
      <c r="X8" s="58"/>
      <c r="Y8" s="58"/>
      <c r="Z8" s="58"/>
    </row>
    <row r="9">
      <c r="A9" s="85" t="s">
        <v>120</v>
      </c>
      <c r="B9" s="72" t="s">
        <v>1449</v>
      </c>
      <c r="C9" s="72" t="s">
        <v>1450</v>
      </c>
      <c r="D9" s="72" t="s">
        <v>1451</v>
      </c>
      <c r="E9" s="110" t="s">
        <v>1472</v>
      </c>
      <c r="F9" s="73" t="s">
        <v>1473</v>
      </c>
      <c r="G9" s="73" t="s">
        <v>1474</v>
      </c>
      <c r="H9" s="73" t="s">
        <v>1475</v>
      </c>
      <c r="I9" s="73" t="s">
        <v>13</v>
      </c>
      <c r="J9" s="58"/>
      <c r="K9" s="58"/>
      <c r="L9" s="58"/>
      <c r="M9" s="58"/>
      <c r="N9" s="58"/>
      <c r="O9" s="58"/>
      <c r="P9" s="58"/>
      <c r="Q9" s="58"/>
      <c r="R9" s="58"/>
      <c r="S9" s="58"/>
      <c r="T9" s="58"/>
      <c r="U9" s="58"/>
      <c r="V9" s="58"/>
      <c r="W9" s="58"/>
      <c r="X9" s="58"/>
      <c r="Y9" s="58"/>
      <c r="Z9" s="58"/>
    </row>
    <row r="10">
      <c r="A10" s="85" t="s">
        <v>125</v>
      </c>
      <c r="B10" s="72" t="s">
        <v>1449</v>
      </c>
      <c r="C10" s="72" t="s">
        <v>1450</v>
      </c>
      <c r="D10" s="72" t="s">
        <v>1451</v>
      </c>
      <c r="E10" s="110" t="s">
        <v>1476</v>
      </c>
      <c r="F10" s="73" t="s">
        <v>1477</v>
      </c>
      <c r="G10" s="73" t="s">
        <v>1478</v>
      </c>
      <c r="H10" s="73" t="s">
        <v>1145</v>
      </c>
      <c r="I10" s="73" t="s">
        <v>13</v>
      </c>
      <c r="J10" s="58"/>
      <c r="K10" s="58"/>
      <c r="L10" s="58"/>
      <c r="M10" s="58"/>
      <c r="N10" s="58"/>
      <c r="O10" s="58"/>
      <c r="P10" s="58"/>
      <c r="Q10" s="58"/>
      <c r="R10" s="58"/>
      <c r="S10" s="58"/>
      <c r="T10" s="58"/>
      <c r="U10" s="58"/>
      <c r="V10" s="58"/>
      <c r="W10" s="58"/>
      <c r="X10" s="58"/>
      <c r="Y10" s="58"/>
      <c r="Z10" s="58"/>
    </row>
    <row r="11">
      <c r="A11" s="85" t="s">
        <v>129</v>
      </c>
      <c r="B11" s="72" t="s">
        <v>1449</v>
      </c>
      <c r="C11" s="72" t="s">
        <v>1450</v>
      </c>
      <c r="D11" s="72" t="s">
        <v>1451</v>
      </c>
      <c r="E11" s="73" t="s">
        <v>1479</v>
      </c>
      <c r="F11" s="73" t="s">
        <v>1480</v>
      </c>
      <c r="G11" s="73"/>
      <c r="H11" s="73" t="s">
        <v>1481</v>
      </c>
      <c r="I11" s="73" t="s">
        <v>13</v>
      </c>
      <c r="J11" s="58"/>
      <c r="K11" s="58"/>
      <c r="L11" s="58"/>
      <c r="M11" s="58"/>
      <c r="N11" s="58"/>
      <c r="O11" s="58"/>
      <c r="P11" s="58"/>
      <c r="Q11" s="58"/>
      <c r="R11" s="58"/>
      <c r="S11" s="58"/>
      <c r="T11" s="58"/>
      <c r="U11" s="58"/>
      <c r="V11" s="58"/>
      <c r="W11" s="58"/>
      <c r="X11" s="58"/>
      <c r="Y11" s="58"/>
      <c r="Z11" s="58"/>
    </row>
    <row r="12">
      <c r="A12" s="85" t="s">
        <v>134</v>
      </c>
      <c r="B12" s="72" t="s">
        <v>1449</v>
      </c>
      <c r="C12" s="73" t="s">
        <v>1482</v>
      </c>
      <c r="D12" s="72" t="s">
        <v>1483</v>
      </c>
      <c r="E12" s="73" t="s">
        <v>1484</v>
      </c>
      <c r="F12" s="73" t="s">
        <v>1485</v>
      </c>
      <c r="G12" s="73" t="s">
        <v>1486</v>
      </c>
      <c r="H12" s="73" t="s">
        <v>1487</v>
      </c>
      <c r="I12" s="73" t="s">
        <v>13</v>
      </c>
      <c r="J12" s="58"/>
      <c r="K12" s="58"/>
      <c r="L12" s="58"/>
      <c r="M12" s="58"/>
      <c r="N12" s="58"/>
      <c r="O12" s="58"/>
      <c r="P12" s="58"/>
      <c r="Q12" s="58"/>
      <c r="R12" s="58"/>
      <c r="S12" s="58"/>
      <c r="T12" s="58"/>
      <c r="U12" s="58"/>
      <c r="V12" s="58"/>
      <c r="W12" s="58"/>
      <c r="X12" s="58"/>
      <c r="Y12" s="58"/>
      <c r="Z12" s="58"/>
    </row>
    <row r="13">
      <c r="A13" s="85" t="s">
        <v>139</v>
      </c>
      <c r="B13" s="72" t="s">
        <v>1449</v>
      </c>
      <c r="C13" s="73" t="s">
        <v>1488</v>
      </c>
      <c r="D13" s="72" t="s">
        <v>1489</v>
      </c>
      <c r="E13" s="73" t="s">
        <v>1490</v>
      </c>
      <c r="F13" s="73" t="s">
        <v>1491</v>
      </c>
      <c r="G13" s="41" t="s">
        <v>1492</v>
      </c>
      <c r="H13" s="73" t="s">
        <v>1493</v>
      </c>
      <c r="I13" s="73" t="s">
        <v>13</v>
      </c>
      <c r="J13" s="58"/>
      <c r="K13" s="58"/>
      <c r="L13" s="58"/>
      <c r="M13" s="58"/>
      <c r="N13" s="58"/>
      <c r="O13" s="58"/>
      <c r="P13" s="58"/>
      <c r="Q13" s="58"/>
      <c r="R13" s="58"/>
      <c r="S13" s="58"/>
      <c r="T13" s="58"/>
      <c r="U13" s="58"/>
      <c r="V13" s="58"/>
      <c r="W13" s="58"/>
      <c r="X13" s="58"/>
      <c r="Y13" s="58"/>
      <c r="Z13" s="58"/>
    </row>
    <row r="14">
      <c r="A14" s="85" t="s">
        <v>144</v>
      </c>
      <c r="B14" s="72" t="s">
        <v>1449</v>
      </c>
      <c r="C14" s="73" t="s">
        <v>1488</v>
      </c>
      <c r="D14" s="72" t="s">
        <v>1494</v>
      </c>
      <c r="E14" s="73" t="s">
        <v>1495</v>
      </c>
      <c r="F14" s="73" t="s">
        <v>1496</v>
      </c>
      <c r="G14" s="73" t="s">
        <v>1492</v>
      </c>
      <c r="H14" s="73" t="s">
        <v>1497</v>
      </c>
      <c r="I14" s="73" t="s">
        <v>13</v>
      </c>
      <c r="J14" s="58"/>
      <c r="K14" s="58"/>
      <c r="L14" s="58"/>
      <c r="M14" s="58"/>
      <c r="N14" s="58"/>
      <c r="O14" s="58"/>
      <c r="P14" s="58"/>
      <c r="Q14" s="58"/>
      <c r="R14" s="58"/>
      <c r="S14" s="58"/>
      <c r="T14" s="58"/>
      <c r="U14" s="58"/>
      <c r="V14" s="58"/>
      <c r="W14" s="58"/>
      <c r="X14" s="58"/>
      <c r="Y14" s="58"/>
      <c r="Z14" s="58"/>
    </row>
    <row r="15">
      <c r="A15" s="85" t="s">
        <v>149</v>
      </c>
      <c r="B15" s="72" t="s">
        <v>1449</v>
      </c>
      <c r="C15" s="73" t="s">
        <v>1488</v>
      </c>
      <c r="D15" s="72" t="s">
        <v>1498</v>
      </c>
      <c r="E15" s="73" t="s">
        <v>1499</v>
      </c>
      <c r="F15" s="73" t="s">
        <v>1500</v>
      </c>
      <c r="G15" s="73" t="s">
        <v>1501</v>
      </c>
      <c r="H15" s="73" t="s">
        <v>1502</v>
      </c>
      <c r="I15" s="73" t="s">
        <v>13</v>
      </c>
      <c r="J15" s="58"/>
      <c r="K15" s="58"/>
      <c r="L15" s="58"/>
      <c r="M15" s="58"/>
      <c r="N15" s="58"/>
      <c r="O15" s="58"/>
      <c r="P15" s="58"/>
      <c r="Q15" s="58"/>
      <c r="R15" s="58"/>
      <c r="S15" s="58"/>
      <c r="T15" s="58"/>
      <c r="U15" s="58"/>
      <c r="V15" s="58"/>
      <c r="W15" s="58"/>
      <c r="X15" s="58"/>
      <c r="Y15" s="58"/>
      <c r="Z15" s="58"/>
    </row>
    <row r="16">
      <c r="A16" s="85" t="s">
        <v>153</v>
      </c>
      <c r="B16" s="72" t="s">
        <v>1449</v>
      </c>
      <c r="C16" s="73" t="s">
        <v>1488</v>
      </c>
      <c r="D16" s="72" t="s">
        <v>1503</v>
      </c>
      <c r="E16" s="73" t="s">
        <v>1504</v>
      </c>
      <c r="F16" s="73" t="s">
        <v>1500</v>
      </c>
      <c r="G16" s="73" t="s">
        <v>1501</v>
      </c>
      <c r="H16" s="73" t="s">
        <v>1502</v>
      </c>
      <c r="I16" s="73" t="s">
        <v>13</v>
      </c>
      <c r="J16" s="58"/>
      <c r="K16" s="58"/>
      <c r="L16" s="58"/>
      <c r="M16" s="58"/>
      <c r="N16" s="58"/>
      <c r="O16" s="58"/>
      <c r="P16" s="58"/>
      <c r="Q16" s="58"/>
      <c r="R16" s="58"/>
      <c r="S16" s="58"/>
      <c r="T16" s="58"/>
      <c r="U16" s="58"/>
      <c r="V16" s="58"/>
      <c r="W16" s="58"/>
      <c r="X16" s="58"/>
      <c r="Y16" s="58"/>
      <c r="Z16" s="58"/>
    </row>
    <row r="17">
      <c r="A17" s="85" t="s">
        <v>158</v>
      </c>
      <c r="B17" s="72" t="s">
        <v>1449</v>
      </c>
      <c r="C17" s="73" t="s">
        <v>1488</v>
      </c>
      <c r="D17" s="72" t="s">
        <v>1505</v>
      </c>
      <c r="E17" s="73" t="s">
        <v>1506</v>
      </c>
      <c r="F17" s="73" t="s">
        <v>1500</v>
      </c>
      <c r="G17" s="73" t="s">
        <v>1501</v>
      </c>
      <c r="H17" s="73" t="s">
        <v>1502</v>
      </c>
      <c r="I17" s="73" t="s">
        <v>13</v>
      </c>
      <c r="J17" s="58"/>
      <c r="K17" s="58"/>
      <c r="L17" s="58"/>
      <c r="M17" s="58"/>
      <c r="N17" s="58"/>
      <c r="O17" s="58"/>
      <c r="P17" s="58"/>
      <c r="Q17" s="58"/>
      <c r="R17" s="58"/>
      <c r="S17" s="58"/>
      <c r="T17" s="58"/>
      <c r="U17" s="58"/>
      <c r="V17" s="58"/>
      <c r="W17" s="58"/>
      <c r="X17" s="58"/>
      <c r="Y17" s="58"/>
      <c r="Z17" s="58"/>
    </row>
    <row r="18">
      <c r="A18" s="85" t="s">
        <v>162</v>
      </c>
      <c r="B18" s="72" t="s">
        <v>1449</v>
      </c>
      <c r="C18" s="73" t="s">
        <v>1488</v>
      </c>
      <c r="D18" s="72" t="s">
        <v>1507</v>
      </c>
      <c r="E18" s="73" t="s">
        <v>1508</v>
      </c>
      <c r="F18" s="73" t="s">
        <v>1500</v>
      </c>
      <c r="G18" s="73" t="s">
        <v>1501</v>
      </c>
      <c r="H18" s="73" t="s">
        <v>1502</v>
      </c>
      <c r="I18" s="73" t="s">
        <v>13</v>
      </c>
      <c r="J18" s="58"/>
      <c r="K18" s="58"/>
      <c r="L18" s="58"/>
      <c r="M18" s="58"/>
      <c r="N18" s="58"/>
      <c r="O18" s="58"/>
      <c r="P18" s="58"/>
      <c r="Q18" s="58"/>
      <c r="R18" s="58"/>
      <c r="S18" s="58"/>
      <c r="T18" s="58"/>
      <c r="U18" s="58"/>
      <c r="V18" s="58"/>
      <c r="W18" s="58"/>
      <c r="X18" s="58"/>
      <c r="Y18" s="58"/>
      <c r="Z18" s="58"/>
    </row>
    <row r="19">
      <c r="A19" s="85" t="s">
        <v>165</v>
      </c>
      <c r="B19" s="72" t="s">
        <v>1449</v>
      </c>
      <c r="C19" s="73" t="s">
        <v>1488</v>
      </c>
      <c r="D19" s="72" t="s">
        <v>1509</v>
      </c>
      <c r="E19" s="73" t="s">
        <v>1510</v>
      </c>
      <c r="F19" s="73" t="s">
        <v>1511</v>
      </c>
      <c r="G19" s="73" t="s">
        <v>1512</v>
      </c>
      <c r="H19" s="73" t="s">
        <v>1513</v>
      </c>
      <c r="I19" s="73" t="s">
        <v>13</v>
      </c>
      <c r="J19" s="58"/>
      <c r="K19" s="58"/>
      <c r="L19" s="58"/>
      <c r="M19" s="58"/>
      <c r="N19" s="58"/>
      <c r="O19" s="58"/>
      <c r="P19" s="58"/>
      <c r="Q19" s="58"/>
      <c r="R19" s="58"/>
      <c r="S19" s="58"/>
      <c r="T19" s="58"/>
      <c r="U19" s="58"/>
      <c r="V19" s="58"/>
      <c r="W19" s="58"/>
      <c r="X19" s="58"/>
      <c r="Y19" s="58"/>
      <c r="Z19" s="58"/>
    </row>
    <row r="20">
      <c r="A20" s="85" t="s">
        <v>167</v>
      </c>
      <c r="B20" s="72" t="s">
        <v>1449</v>
      </c>
      <c r="C20" s="73" t="s">
        <v>1488</v>
      </c>
      <c r="D20" s="72" t="s">
        <v>1514</v>
      </c>
      <c r="E20" s="73" t="s">
        <v>1515</v>
      </c>
      <c r="F20" s="73" t="s">
        <v>1500</v>
      </c>
      <c r="G20" s="73" t="s">
        <v>1501</v>
      </c>
      <c r="H20" s="73" t="s">
        <v>1502</v>
      </c>
      <c r="I20" s="73" t="s">
        <v>13</v>
      </c>
      <c r="J20" s="58"/>
      <c r="K20" s="58"/>
      <c r="L20" s="58"/>
      <c r="M20" s="58"/>
      <c r="N20" s="58"/>
      <c r="O20" s="58"/>
      <c r="P20" s="58"/>
      <c r="Q20" s="58"/>
      <c r="R20" s="58"/>
      <c r="S20" s="58"/>
      <c r="T20" s="58"/>
      <c r="U20" s="58"/>
      <c r="V20" s="58"/>
      <c r="W20" s="58"/>
      <c r="X20" s="58"/>
      <c r="Y20" s="58"/>
      <c r="Z20" s="58"/>
    </row>
    <row r="21">
      <c r="A21" s="85" t="s">
        <v>170</v>
      </c>
      <c r="B21" s="72" t="s">
        <v>1449</v>
      </c>
      <c r="C21" s="73" t="s">
        <v>1488</v>
      </c>
      <c r="D21" s="72" t="s">
        <v>1516</v>
      </c>
      <c r="E21" s="73" t="s">
        <v>1517</v>
      </c>
      <c r="F21" s="73" t="s">
        <v>1518</v>
      </c>
      <c r="G21" s="73" t="s">
        <v>1519</v>
      </c>
      <c r="H21" s="73" t="s">
        <v>1520</v>
      </c>
      <c r="I21" s="73" t="s">
        <v>13</v>
      </c>
      <c r="J21" s="58"/>
      <c r="K21" s="58"/>
      <c r="L21" s="58"/>
      <c r="M21" s="58"/>
      <c r="N21" s="58"/>
      <c r="O21" s="58"/>
      <c r="P21" s="58"/>
      <c r="Q21" s="58"/>
      <c r="R21" s="58"/>
      <c r="S21" s="58"/>
      <c r="T21" s="58"/>
      <c r="U21" s="58"/>
      <c r="V21" s="58"/>
      <c r="W21" s="58"/>
      <c r="X21" s="58"/>
      <c r="Y21" s="58"/>
      <c r="Z21" s="58"/>
    </row>
    <row r="22">
      <c r="A22" s="85" t="s">
        <v>175</v>
      </c>
      <c r="B22" s="72" t="s">
        <v>1449</v>
      </c>
      <c r="C22" s="73" t="s">
        <v>1488</v>
      </c>
      <c r="D22" s="72" t="s">
        <v>1521</v>
      </c>
      <c r="E22" s="73" t="s">
        <v>1522</v>
      </c>
      <c r="F22" s="73" t="s">
        <v>1518</v>
      </c>
      <c r="G22" s="73" t="s">
        <v>1519</v>
      </c>
      <c r="H22" s="73" t="s">
        <v>1523</v>
      </c>
      <c r="I22" s="73" t="s">
        <v>13</v>
      </c>
      <c r="J22" s="58"/>
      <c r="K22" s="58"/>
      <c r="L22" s="58"/>
      <c r="M22" s="58"/>
      <c r="N22" s="58"/>
      <c r="O22" s="58"/>
      <c r="P22" s="58"/>
      <c r="Q22" s="58"/>
      <c r="R22" s="58"/>
      <c r="S22" s="58"/>
      <c r="T22" s="58"/>
      <c r="U22" s="58"/>
      <c r="V22" s="58"/>
      <c r="W22" s="58"/>
      <c r="X22" s="58"/>
      <c r="Y22" s="58"/>
      <c r="Z22" s="58"/>
    </row>
    <row r="23">
      <c r="A23" s="85" t="s">
        <v>180</v>
      </c>
      <c r="B23" s="72" t="s">
        <v>1449</v>
      </c>
      <c r="C23" s="73" t="s">
        <v>1488</v>
      </c>
      <c r="D23" s="72" t="s">
        <v>1524</v>
      </c>
      <c r="E23" s="73" t="s">
        <v>1525</v>
      </c>
      <c r="F23" s="73" t="s">
        <v>1526</v>
      </c>
      <c r="G23" s="73" t="s">
        <v>1492</v>
      </c>
      <c r="H23" s="73" t="s">
        <v>1527</v>
      </c>
      <c r="I23" s="73" t="s">
        <v>13</v>
      </c>
      <c r="J23" s="58"/>
      <c r="K23" s="58"/>
      <c r="L23" s="58"/>
      <c r="M23" s="58"/>
      <c r="N23" s="58"/>
      <c r="O23" s="58"/>
      <c r="P23" s="58"/>
      <c r="Q23" s="58"/>
      <c r="R23" s="58"/>
      <c r="S23" s="58"/>
      <c r="T23" s="58"/>
      <c r="U23" s="58"/>
      <c r="V23" s="58"/>
      <c r="W23" s="58"/>
      <c r="X23" s="58"/>
      <c r="Y23" s="58"/>
      <c r="Z23" s="58"/>
    </row>
    <row r="24">
      <c r="A24" s="85" t="s">
        <v>185</v>
      </c>
      <c r="B24" s="72" t="s">
        <v>1449</v>
      </c>
      <c r="C24" s="73" t="s">
        <v>1488</v>
      </c>
      <c r="D24" s="72" t="s">
        <v>1528</v>
      </c>
      <c r="E24" s="73" t="s">
        <v>1529</v>
      </c>
      <c r="F24" s="73" t="s">
        <v>1530</v>
      </c>
      <c r="G24" s="73" t="s">
        <v>1492</v>
      </c>
      <c r="H24" s="73" t="s">
        <v>1527</v>
      </c>
      <c r="I24" s="73" t="s">
        <v>13</v>
      </c>
      <c r="J24" s="58"/>
      <c r="K24" s="58"/>
      <c r="L24" s="58"/>
      <c r="M24" s="58"/>
      <c r="N24" s="58"/>
      <c r="O24" s="58"/>
      <c r="P24" s="58"/>
      <c r="Q24" s="58"/>
      <c r="R24" s="58"/>
      <c r="S24" s="58"/>
      <c r="T24" s="58"/>
      <c r="U24" s="58"/>
      <c r="V24" s="58"/>
      <c r="W24" s="58"/>
      <c r="X24" s="58"/>
      <c r="Y24" s="58"/>
      <c r="Z24" s="58"/>
    </row>
    <row r="25">
      <c r="A25" s="85" t="s">
        <v>190</v>
      </c>
      <c r="B25" s="72" t="s">
        <v>1449</v>
      </c>
      <c r="C25" s="73" t="s">
        <v>1488</v>
      </c>
      <c r="D25" s="72" t="s">
        <v>1531</v>
      </c>
      <c r="E25" s="73" t="s">
        <v>1532</v>
      </c>
      <c r="F25" s="73" t="s">
        <v>1533</v>
      </c>
      <c r="G25" s="73" t="s">
        <v>1492</v>
      </c>
      <c r="H25" s="73" t="s">
        <v>1534</v>
      </c>
      <c r="I25" s="73" t="s">
        <v>13</v>
      </c>
      <c r="J25" s="58"/>
      <c r="K25" s="58"/>
      <c r="L25" s="58"/>
      <c r="M25" s="58"/>
      <c r="N25" s="58"/>
      <c r="O25" s="58"/>
      <c r="P25" s="58"/>
      <c r="Q25" s="58"/>
      <c r="R25" s="58"/>
      <c r="S25" s="58"/>
      <c r="T25" s="58"/>
      <c r="U25" s="58"/>
      <c r="V25" s="58"/>
      <c r="W25" s="58"/>
      <c r="X25" s="58"/>
      <c r="Y25" s="58"/>
      <c r="Z25" s="58"/>
    </row>
    <row r="26">
      <c r="A26" s="85" t="s">
        <v>195</v>
      </c>
      <c r="B26" s="72" t="s">
        <v>1449</v>
      </c>
      <c r="C26" s="73" t="s">
        <v>1488</v>
      </c>
      <c r="D26" s="72" t="s">
        <v>1535</v>
      </c>
      <c r="E26" s="73" t="s">
        <v>1536</v>
      </c>
      <c r="F26" s="73" t="s">
        <v>1537</v>
      </c>
      <c r="G26" s="73" t="s">
        <v>1486</v>
      </c>
      <c r="H26" s="73" t="s">
        <v>1538</v>
      </c>
      <c r="I26" s="73" t="s">
        <v>13</v>
      </c>
      <c r="J26" s="58"/>
      <c r="K26" s="58"/>
      <c r="L26" s="58"/>
      <c r="M26" s="58"/>
      <c r="N26" s="58"/>
      <c r="O26" s="58"/>
      <c r="P26" s="58"/>
      <c r="Q26" s="58"/>
      <c r="R26" s="58"/>
      <c r="S26" s="58"/>
      <c r="T26" s="58"/>
      <c r="U26" s="58"/>
      <c r="V26" s="58"/>
      <c r="W26" s="58"/>
      <c r="X26" s="58"/>
      <c r="Y26" s="58"/>
      <c r="Z26" s="58"/>
    </row>
    <row r="27">
      <c r="A27" s="85" t="s">
        <v>200</v>
      </c>
      <c r="B27" s="72" t="s">
        <v>1449</v>
      </c>
      <c r="C27" s="73" t="s">
        <v>1488</v>
      </c>
      <c r="D27" s="72" t="s">
        <v>1539</v>
      </c>
      <c r="E27" s="73" t="s">
        <v>1540</v>
      </c>
      <c r="F27" s="73" t="s">
        <v>1541</v>
      </c>
      <c r="G27" s="73" t="s">
        <v>1542</v>
      </c>
      <c r="H27" s="73" t="s">
        <v>1541</v>
      </c>
      <c r="I27" s="73" t="s">
        <v>13</v>
      </c>
      <c r="J27" s="58"/>
      <c r="K27" s="58"/>
      <c r="L27" s="58"/>
      <c r="M27" s="58"/>
      <c r="N27" s="58"/>
      <c r="O27" s="58"/>
      <c r="P27" s="58"/>
      <c r="Q27" s="58"/>
      <c r="R27" s="58"/>
      <c r="S27" s="58"/>
      <c r="T27" s="58"/>
      <c r="U27" s="58"/>
      <c r="V27" s="58"/>
      <c r="W27" s="58"/>
      <c r="X27" s="58"/>
      <c r="Y27" s="58"/>
      <c r="Z27" s="58"/>
    </row>
    <row r="28">
      <c r="A28" s="85" t="s">
        <v>205</v>
      </c>
      <c r="B28" s="72" t="s">
        <v>1449</v>
      </c>
      <c r="C28" s="73" t="s">
        <v>1488</v>
      </c>
      <c r="D28" s="72" t="s">
        <v>1543</v>
      </c>
      <c r="E28" s="73" t="s">
        <v>1544</v>
      </c>
      <c r="F28" s="73" t="s">
        <v>1545</v>
      </c>
      <c r="G28" s="73" t="s">
        <v>1546</v>
      </c>
      <c r="H28" s="73" t="s">
        <v>1547</v>
      </c>
      <c r="I28" s="73" t="s">
        <v>13</v>
      </c>
      <c r="J28" s="58"/>
      <c r="K28" s="58"/>
      <c r="L28" s="58"/>
      <c r="M28" s="58"/>
      <c r="N28" s="58"/>
      <c r="O28" s="58"/>
      <c r="P28" s="58"/>
      <c r="Q28" s="58"/>
      <c r="R28" s="58"/>
      <c r="S28" s="58"/>
      <c r="T28" s="58"/>
      <c r="U28" s="58"/>
      <c r="V28" s="58"/>
      <c r="W28" s="58"/>
      <c r="X28" s="58"/>
      <c r="Y28" s="58"/>
      <c r="Z28" s="58"/>
    </row>
    <row r="29">
      <c r="A29" s="85" t="s">
        <v>210</v>
      </c>
      <c r="B29" s="72" t="s">
        <v>1449</v>
      </c>
      <c r="C29" s="73" t="s">
        <v>1488</v>
      </c>
      <c r="D29" s="72" t="s">
        <v>1548</v>
      </c>
      <c r="E29" s="73" t="s">
        <v>1549</v>
      </c>
      <c r="F29" s="73" t="s">
        <v>1550</v>
      </c>
      <c r="G29" s="73" t="s">
        <v>1546</v>
      </c>
      <c r="H29" s="73" t="s">
        <v>1551</v>
      </c>
      <c r="I29" s="73" t="s">
        <v>13</v>
      </c>
      <c r="J29" s="58"/>
      <c r="K29" s="58"/>
      <c r="L29" s="58"/>
      <c r="M29" s="58"/>
      <c r="N29" s="58"/>
      <c r="O29" s="58"/>
      <c r="P29" s="58"/>
      <c r="Q29" s="58"/>
      <c r="R29" s="58"/>
      <c r="S29" s="58"/>
      <c r="T29" s="58"/>
      <c r="U29" s="58"/>
      <c r="V29" s="58"/>
      <c r="W29" s="58"/>
      <c r="X29" s="58"/>
      <c r="Y29" s="58"/>
      <c r="Z29" s="58"/>
    </row>
    <row r="30">
      <c r="A30" s="85" t="s">
        <v>215</v>
      </c>
      <c r="B30" s="72" t="s">
        <v>1449</v>
      </c>
      <c r="C30" s="73" t="s">
        <v>1488</v>
      </c>
      <c r="D30" s="72" t="s">
        <v>1552</v>
      </c>
      <c r="E30" s="73" t="s">
        <v>1553</v>
      </c>
      <c r="F30" s="73" t="s">
        <v>1554</v>
      </c>
      <c r="G30" s="73" t="s">
        <v>1492</v>
      </c>
      <c r="H30" s="73" t="s">
        <v>1555</v>
      </c>
      <c r="I30" s="73" t="s">
        <v>13</v>
      </c>
      <c r="J30" s="58"/>
      <c r="K30" s="58"/>
      <c r="L30" s="58"/>
      <c r="M30" s="58"/>
      <c r="N30" s="58"/>
      <c r="O30" s="58"/>
      <c r="P30" s="58"/>
      <c r="Q30" s="58"/>
      <c r="R30" s="58"/>
      <c r="S30" s="58"/>
      <c r="T30" s="58"/>
      <c r="U30" s="58"/>
      <c r="V30" s="58"/>
      <c r="W30" s="58"/>
      <c r="X30" s="58"/>
      <c r="Y30" s="58"/>
      <c r="Z30" s="58"/>
    </row>
    <row r="31">
      <c r="A31" s="85" t="s">
        <v>220</v>
      </c>
      <c r="B31" s="72" t="s">
        <v>1449</v>
      </c>
      <c r="C31" s="73" t="s">
        <v>1556</v>
      </c>
      <c r="D31" s="72" t="s">
        <v>1557</v>
      </c>
      <c r="E31" s="73" t="s">
        <v>1558</v>
      </c>
      <c r="F31" s="73" t="s">
        <v>1559</v>
      </c>
      <c r="G31" s="73" t="s">
        <v>1492</v>
      </c>
      <c r="H31" s="73" t="s">
        <v>1559</v>
      </c>
      <c r="I31" s="73" t="s">
        <v>13</v>
      </c>
      <c r="J31" s="58"/>
      <c r="K31" s="58"/>
      <c r="L31" s="58"/>
      <c r="M31" s="58"/>
      <c r="N31" s="58"/>
      <c r="O31" s="58"/>
      <c r="P31" s="58"/>
      <c r="Q31" s="58"/>
      <c r="R31" s="58"/>
      <c r="S31" s="58"/>
      <c r="T31" s="58"/>
      <c r="U31" s="58"/>
      <c r="V31" s="58"/>
      <c r="W31" s="58"/>
      <c r="X31" s="58"/>
      <c r="Y31" s="58"/>
      <c r="Z31" s="58"/>
    </row>
    <row r="32">
      <c r="A32" s="85" t="s">
        <v>224</v>
      </c>
      <c r="B32" s="72" t="s">
        <v>1449</v>
      </c>
      <c r="C32" s="73" t="s">
        <v>1556</v>
      </c>
      <c r="D32" s="73" t="s">
        <v>1560</v>
      </c>
      <c r="E32" s="73" t="s">
        <v>1561</v>
      </c>
      <c r="F32" s="73" t="s">
        <v>1562</v>
      </c>
      <c r="G32" s="73" t="s">
        <v>1563</v>
      </c>
      <c r="H32" s="73" t="s">
        <v>1564</v>
      </c>
      <c r="I32" s="73" t="s">
        <v>13</v>
      </c>
      <c r="J32" s="58"/>
      <c r="K32" s="58"/>
      <c r="L32" s="58"/>
      <c r="M32" s="58"/>
      <c r="N32" s="58"/>
      <c r="O32" s="58"/>
      <c r="P32" s="58"/>
      <c r="Q32" s="58"/>
      <c r="R32" s="58"/>
      <c r="S32" s="58"/>
      <c r="T32" s="58"/>
      <c r="U32" s="58"/>
      <c r="V32" s="58"/>
      <c r="W32" s="58"/>
      <c r="X32" s="58"/>
      <c r="Y32" s="58"/>
      <c r="Z32" s="58"/>
    </row>
    <row r="33">
      <c r="A33" s="85" t="s">
        <v>228</v>
      </c>
      <c r="B33" s="72" t="s">
        <v>1449</v>
      </c>
      <c r="C33" s="73" t="s">
        <v>1556</v>
      </c>
      <c r="D33" s="73" t="s">
        <v>1560</v>
      </c>
      <c r="E33" s="73" t="s">
        <v>1565</v>
      </c>
      <c r="F33" s="73" t="s">
        <v>1566</v>
      </c>
      <c r="G33" s="73" t="s">
        <v>1567</v>
      </c>
      <c r="H33" s="73" t="s">
        <v>1568</v>
      </c>
      <c r="I33" s="73" t="s">
        <v>13</v>
      </c>
      <c r="J33" s="58"/>
      <c r="K33" s="58"/>
      <c r="L33" s="58"/>
      <c r="M33" s="58"/>
      <c r="N33" s="58"/>
      <c r="O33" s="58"/>
      <c r="P33" s="58"/>
      <c r="Q33" s="58"/>
      <c r="R33" s="58"/>
      <c r="S33" s="58"/>
      <c r="T33" s="58"/>
      <c r="U33" s="58"/>
      <c r="V33" s="58"/>
      <c r="W33" s="58"/>
      <c r="X33" s="58"/>
      <c r="Y33" s="58"/>
      <c r="Z33" s="58"/>
    </row>
    <row r="34">
      <c r="A34" s="85" t="s">
        <v>233</v>
      </c>
      <c r="B34" s="72" t="s">
        <v>1449</v>
      </c>
      <c r="C34" s="73" t="s">
        <v>1556</v>
      </c>
      <c r="D34" s="73" t="s">
        <v>1569</v>
      </c>
      <c r="E34" s="73" t="s">
        <v>1570</v>
      </c>
      <c r="F34" s="73" t="s">
        <v>1571</v>
      </c>
      <c r="G34" s="73" t="s">
        <v>1572</v>
      </c>
      <c r="H34" s="73" t="s">
        <v>1573</v>
      </c>
      <c r="I34" s="73" t="s">
        <v>13</v>
      </c>
      <c r="J34" s="58"/>
      <c r="K34" s="58"/>
      <c r="L34" s="58"/>
      <c r="M34" s="58"/>
      <c r="N34" s="58"/>
      <c r="O34" s="58"/>
      <c r="P34" s="58"/>
      <c r="Q34" s="58"/>
      <c r="R34" s="58"/>
      <c r="S34" s="58"/>
      <c r="T34" s="58"/>
      <c r="U34" s="58"/>
      <c r="V34" s="58"/>
      <c r="W34" s="58"/>
      <c r="X34" s="58"/>
      <c r="Y34" s="58"/>
      <c r="Z34" s="58"/>
    </row>
    <row r="35">
      <c r="A35" s="85" t="s">
        <v>237</v>
      </c>
      <c r="B35" s="72" t="s">
        <v>1449</v>
      </c>
      <c r="C35" s="73" t="s">
        <v>1556</v>
      </c>
      <c r="D35" s="73" t="s">
        <v>1574</v>
      </c>
      <c r="E35" s="73" t="s">
        <v>1575</v>
      </c>
      <c r="F35" s="73" t="s">
        <v>1576</v>
      </c>
      <c r="G35" s="73" t="s">
        <v>1577</v>
      </c>
      <c r="H35" s="73" t="s">
        <v>1578</v>
      </c>
      <c r="I35" s="73" t="s">
        <v>13</v>
      </c>
      <c r="J35" s="58"/>
      <c r="K35" s="58"/>
      <c r="L35" s="58"/>
      <c r="M35" s="58"/>
      <c r="N35" s="58"/>
      <c r="O35" s="58"/>
      <c r="P35" s="58"/>
      <c r="Q35" s="58"/>
      <c r="R35" s="58"/>
      <c r="S35" s="58"/>
      <c r="T35" s="58"/>
      <c r="U35" s="58"/>
      <c r="V35" s="58"/>
      <c r="W35" s="58"/>
      <c r="X35" s="58"/>
      <c r="Y35" s="58"/>
      <c r="Z35" s="58"/>
    </row>
    <row r="36">
      <c r="A36" s="85" t="s">
        <v>241</v>
      </c>
      <c r="B36" s="72" t="s">
        <v>1449</v>
      </c>
      <c r="C36" s="73" t="s">
        <v>1556</v>
      </c>
      <c r="D36" s="73" t="s">
        <v>1574</v>
      </c>
      <c r="E36" s="73" t="s">
        <v>1579</v>
      </c>
      <c r="F36" s="73" t="s">
        <v>1580</v>
      </c>
      <c r="G36" s="73" t="s">
        <v>1492</v>
      </c>
      <c r="H36" s="73" t="s">
        <v>1581</v>
      </c>
      <c r="I36" s="73" t="s">
        <v>13</v>
      </c>
      <c r="J36" s="58"/>
      <c r="K36" s="58"/>
      <c r="L36" s="58"/>
      <c r="M36" s="58"/>
      <c r="N36" s="58"/>
      <c r="O36" s="58"/>
      <c r="P36" s="58"/>
      <c r="Q36" s="58"/>
      <c r="R36" s="58"/>
      <c r="S36" s="58"/>
      <c r="T36" s="58"/>
      <c r="U36" s="58"/>
      <c r="V36" s="58"/>
      <c r="W36" s="58"/>
      <c r="X36" s="58"/>
      <c r="Y36" s="58"/>
      <c r="Z36" s="58"/>
    </row>
    <row r="37">
      <c r="A37" s="85" t="s">
        <v>245</v>
      </c>
      <c r="B37" s="72" t="s">
        <v>1449</v>
      </c>
      <c r="C37" s="73" t="s">
        <v>1556</v>
      </c>
      <c r="D37" s="73" t="s">
        <v>1574</v>
      </c>
      <c r="E37" s="73" t="s">
        <v>1582</v>
      </c>
      <c r="F37" s="73" t="s">
        <v>1583</v>
      </c>
      <c r="G37" s="73" t="s">
        <v>1492</v>
      </c>
      <c r="H37" s="75"/>
      <c r="I37" s="73" t="s">
        <v>13</v>
      </c>
      <c r="J37" s="58"/>
      <c r="K37" s="58"/>
      <c r="L37" s="58"/>
      <c r="M37" s="58"/>
      <c r="N37" s="58"/>
      <c r="O37" s="58"/>
      <c r="P37" s="58"/>
      <c r="Q37" s="58"/>
      <c r="R37" s="58"/>
      <c r="S37" s="58"/>
      <c r="T37" s="58"/>
      <c r="U37" s="58"/>
      <c r="V37" s="58"/>
      <c r="W37" s="58"/>
      <c r="X37" s="58"/>
      <c r="Y37" s="58"/>
      <c r="Z37" s="58"/>
    </row>
    <row r="38">
      <c r="A38" s="85" t="s">
        <v>250</v>
      </c>
      <c r="B38" s="72" t="s">
        <v>1449</v>
      </c>
      <c r="C38" s="73" t="s">
        <v>1556</v>
      </c>
      <c r="D38" s="73" t="s">
        <v>1574</v>
      </c>
      <c r="E38" s="73" t="s">
        <v>1584</v>
      </c>
      <c r="F38" s="73" t="s">
        <v>1585</v>
      </c>
      <c r="G38" s="73" t="s">
        <v>1492</v>
      </c>
      <c r="H38" s="73" t="s">
        <v>1586</v>
      </c>
      <c r="I38" s="73" t="s">
        <v>13</v>
      </c>
      <c r="J38" s="58"/>
      <c r="K38" s="58"/>
      <c r="L38" s="58"/>
      <c r="M38" s="58"/>
      <c r="N38" s="58"/>
      <c r="O38" s="58"/>
      <c r="P38" s="58"/>
      <c r="Q38" s="58"/>
      <c r="R38" s="58"/>
      <c r="S38" s="58"/>
      <c r="T38" s="58"/>
      <c r="U38" s="58"/>
      <c r="V38" s="58"/>
      <c r="W38" s="58"/>
      <c r="X38" s="58"/>
      <c r="Y38" s="58"/>
      <c r="Z38" s="58"/>
    </row>
    <row r="39">
      <c r="A39" s="85" t="s">
        <v>254</v>
      </c>
      <c r="B39" s="72" t="s">
        <v>1449</v>
      </c>
      <c r="C39" s="73" t="s">
        <v>1556</v>
      </c>
      <c r="D39" s="73" t="s">
        <v>1574</v>
      </c>
      <c r="E39" s="73" t="s">
        <v>1587</v>
      </c>
      <c r="F39" s="73" t="s">
        <v>1588</v>
      </c>
      <c r="G39" s="73" t="s">
        <v>1589</v>
      </c>
      <c r="H39" s="73" t="s">
        <v>1590</v>
      </c>
      <c r="I39" s="73" t="s">
        <v>13</v>
      </c>
      <c r="J39" s="58"/>
      <c r="K39" s="58"/>
      <c r="L39" s="58"/>
      <c r="M39" s="58"/>
      <c r="N39" s="58"/>
      <c r="O39" s="58"/>
      <c r="P39" s="58"/>
      <c r="Q39" s="58"/>
      <c r="R39" s="58"/>
      <c r="S39" s="58"/>
      <c r="T39" s="58"/>
      <c r="U39" s="58"/>
      <c r="V39" s="58"/>
      <c r="W39" s="58"/>
      <c r="X39" s="58"/>
      <c r="Y39" s="58"/>
      <c r="Z39" s="58"/>
    </row>
    <row r="40">
      <c r="A40" s="85" t="s">
        <v>258</v>
      </c>
      <c r="B40" s="72" t="s">
        <v>1449</v>
      </c>
      <c r="C40" s="73" t="s">
        <v>1556</v>
      </c>
      <c r="D40" s="73" t="s">
        <v>1574</v>
      </c>
      <c r="E40" s="73" t="s">
        <v>1591</v>
      </c>
      <c r="F40" s="73" t="s">
        <v>1592</v>
      </c>
      <c r="G40" s="73" t="s">
        <v>1492</v>
      </c>
      <c r="H40" s="73" t="s">
        <v>1593</v>
      </c>
      <c r="I40" s="73" t="s">
        <v>13</v>
      </c>
      <c r="J40" s="58"/>
      <c r="K40" s="58"/>
      <c r="L40" s="58"/>
      <c r="M40" s="58"/>
      <c r="N40" s="58"/>
      <c r="O40" s="58"/>
      <c r="P40" s="58"/>
      <c r="Q40" s="58"/>
      <c r="R40" s="58"/>
      <c r="S40" s="58"/>
      <c r="T40" s="58"/>
      <c r="U40" s="58"/>
      <c r="V40" s="58"/>
      <c r="W40" s="58"/>
      <c r="X40" s="58"/>
      <c r="Y40" s="58"/>
      <c r="Z40" s="58"/>
    </row>
    <row r="41">
      <c r="A41" s="85" t="s">
        <v>263</v>
      </c>
      <c r="B41" s="72" t="s">
        <v>1449</v>
      </c>
      <c r="C41" s="73" t="s">
        <v>1556</v>
      </c>
      <c r="D41" s="73" t="s">
        <v>1574</v>
      </c>
      <c r="E41" s="73" t="s">
        <v>1594</v>
      </c>
      <c r="F41" s="73" t="s">
        <v>1595</v>
      </c>
      <c r="G41" s="73" t="s">
        <v>1492</v>
      </c>
      <c r="H41" s="73" t="s">
        <v>1596</v>
      </c>
      <c r="I41" s="73" t="s">
        <v>13</v>
      </c>
      <c r="J41" s="58"/>
      <c r="K41" s="58"/>
      <c r="L41" s="58"/>
      <c r="M41" s="58"/>
      <c r="N41" s="58"/>
      <c r="O41" s="58"/>
      <c r="P41" s="58"/>
      <c r="Q41" s="58"/>
      <c r="R41" s="58"/>
      <c r="S41" s="58"/>
      <c r="T41" s="58"/>
      <c r="U41" s="58"/>
      <c r="V41" s="58"/>
      <c r="W41" s="58"/>
      <c r="X41" s="58"/>
      <c r="Y41" s="58"/>
      <c r="Z41" s="58"/>
    </row>
    <row r="42">
      <c r="A42" s="85" t="s">
        <v>268</v>
      </c>
      <c r="B42" s="72" t="s">
        <v>1449</v>
      </c>
      <c r="C42" s="73" t="s">
        <v>1556</v>
      </c>
      <c r="D42" s="73" t="s">
        <v>1597</v>
      </c>
      <c r="E42" s="73" t="s">
        <v>1598</v>
      </c>
      <c r="F42" s="73" t="s">
        <v>1599</v>
      </c>
      <c r="G42" s="73" t="s">
        <v>1492</v>
      </c>
      <c r="H42" s="73" t="s">
        <v>1600</v>
      </c>
      <c r="I42" s="73" t="s">
        <v>13</v>
      </c>
      <c r="J42" s="58"/>
      <c r="K42" s="58"/>
      <c r="L42" s="58"/>
      <c r="M42" s="58"/>
      <c r="N42" s="58"/>
      <c r="O42" s="58"/>
      <c r="P42" s="58"/>
      <c r="Q42" s="58"/>
      <c r="R42" s="58"/>
      <c r="S42" s="58"/>
      <c r="T42" s="58"/>
      <c r="U42" s="58"/>
      <c r="V42" s="58"/>
      <c r="W42" s="58"/>
      <c r="X42" s="58"/>
      <c r="Y42" s="58"/>
      <c r="Z42" s="58"/>
    </row>
    <row r="43">
      <c r="A43" s="85" t="s">
        <v>271</v>
      </c>
      <c r="B43" s="72" t="s">
        <v>1449</v>
      </c>
      <c r="C43" s="73" t="s">
        <v>1556</v>
      </c>
      <c r="D43" s="73" t="s">
        <v>1597</v>
      </c>
      <c r="E43" s="73" t="s">
        <v>1601</v>
      </c>
      <c r="F43" s="73" t="s">
        <v>1602</v>
      </c>
      <c r="G43" s="73" t="s">
        <v>1492</v>
      </c>
      <c r="H43" s="73" t="s">
        <v>1603</v>
      </c>
      <c r="I43" s="73" t="s">
        <v>13</v>
      </c>
      <c r="J43" s="58"/>
      <c r="K43" s="58"/>
      <c r="L43" s="58"/>
      <c r="M43" s="58"/>
      <c r="N43" s="58"/>
      <c r="O43" s="58"/>
      <c r="P43" s="58"/>
      <c r="Q43" s="58"/>
      <c r="R43" s="58"/>
      <c r="S43" s="58"/>
      <c r="T43" s="58"/>
      <c r="U43" s="58"/>
      <c r="V43" s="58"/>
      <c r="W43" s="58"/>
      <c r="X43" s="58"/>
      <c r="Y43" s="58"/>
      <c r="Z43" s="58"/>
    </row>
    <row r="44">
      <c r="A44" s="85" t="s">
        <v>274</v>
      </c>
      <c r="B44" s="72" t="s">
        <v>1449</v>
      </c>
      <c r="C44" s="73" t="s">
        <v>1556</v>
      </c>
      <c r="D44" s="73" t="s">
        <v>1597</v>
      </c>
      <c r="E44" s="73" t="s">
        <v>1604</v>
      </c>
      <c r="F44" s="73" t="s">
        <v>1605</v>
      </c>
      <c r="G44" s="73" t="s">
        <v>1492</v>
      </c>
      <c r="H44" s="73" t="s">
        <v>1606</v>
      </c>
      <c r="I44" s="73" t="s">
        <v>13</v>
      </c>
      <c r="J44" s="58"/>
      <c r="K44" s="58"/>
      <c r="L44" s="58"/>
      <c r="M44" s="58"/>
      <c r="N44" s="58"/>
      <c r="O44" s="58"/>
      <c r="P44" s="58"/>
      <c r="Q44" s="58"/>
      <c r="R44" s="58"/>
      <c r="S44" s="58"/>
      <c r="T44" s="58"/>
      <c r="U44" s="58"/>
      <c r="V44" s="58"/>
      <c r="W44" s="58"/>
      <c r="X44" s="58"/>
      <c r="Y44" s="58"/>
      <c r="Z44" s="58"/>
    </row>
    <row r="45">
      <c r="A45" s="85" t="s">
        <v>405</v>
      </c>
      <c r="B45" s="72" t="s">
        <v>1449</v>
      </c>
      <c r="C45" s="73" t="s">
        <v>1556</v>
      </c>
      <c r="D45" s="73" t="s">
        <v>1597</v>
      </c>
      <c r="E45" s="73" t="s">
        <v>1095</v>
      </c>
      <c r="F45" s="73" t="s">
        <v>1607</v>
      </c>
      <c r="G45" s="73" t="s">
        <v>1492</v>
      </c>
      <c r="H45" s="73" t="s">
        <v>1608</v>
      </c>
      <c r="I45" s="73" t="s">
        <v>13</v>
      </c>
      <c r="J45" s="58"/>
      <c r="K45" s="58"/>
      <c r="L45" s="58"/>
      <c r="M45" s="58"/>
      <c r="N45" s="58"/>
      <c r="O45" s="58"/>
      <c r="P45" s="58"/>
      <c r="Q45" s="58"/>
      <c r="R45" s="58"/>
      <c r="S45" s="58"/>
      <c r="T45" s="58"/>
      <c r="U45" s="58"/>
      <c r="V45" s="58"/>
      <c r="W45" s="58"/>
      <c r="X45" s="58"/>
      <c r="Y45" s="58"/>
      <c r="Z45" s="58"/>
    </row>
    <row r="46">
      <c r="A46" s="85" t="s">
        <v>408</v>
      </c>
      <c r="B46" s="72" t="s">
        <v>1449</v>
      </c>
      <c r="C46" s="73" t="s">
        <v>1556</v>
      </c>
      <c r="D46" s="73" t="s">
        <v>1597</v>
      </c>
      <c r="E46" s="73" t="s">
        <v>1609</v>
      </c>
      <c r="F46" s="73" t="s">
        <v>1610</v>
      </c>
      <c r="G46" s="73" t="s">
        <v>1611</v>
      </c>
      <c r="H46" s="73" t="s">
        <v>1612</v>
      </c>
      <c r="I46" s="73" t="s">
        <v>13</v>
      </c>
      <c r="J46" s="58"/>
      <c r="K46" s="58"/>
      <c r="L46" s="58"/>
      <c r="M46" s="58"/>
      <c r="N46" s="58"/>
      <c r="O46" s="58"/>
      <c r="P46" s="58"/>
      <c r="Q46" s="58"/>
      <c r="R46" s="58"/>
      <c r="S46" s="58"/>
      <c r="T46" s="58"/>
      <c r="U46" s="58"/>
      <c r="V46" s="58"/>
      <c r="W46" s="58"/>
      <c r="X46" s="58"/>
      <c r="Y46" s="58"/>
      <c r="Z46" s="58"/>
    </row>
    <row r="47">
      <c r="A47" s="85" t="s">
        <v>629</v>
      </c>
      <c r="B47" s="72" t="s">
        <v>1449</v>
      </c>
      <c r="C47" s="73" t="s">
        <v>1613</v>
      </c>
      <c r="D47" s="73" t="s">
        <v>1614</v>
      </c>
      <c r="E47" s="73" t="s">
        <v>1615</v>
      </c>
      <c r="F47" s="73" t="s">
        <v>1616</v>
      </c>
      <c r="G47" s="73" t="s">
        <v>1577</v>
      </c>
      <c r="H47" s="73" t="s">
        <v>1617</v>
      </c>
      <c r="I47" s="73" t="s">
        <v>13</v>
      </c>
      <c r="J47" s="58"/>
      <c r="K47" s="58"/>
      <c r="L47" s="58"/>
      <c r="M47" s="58"/>
      <c r="N47" s="58"/>
      <c r="O47" s="58"/>
      <c r="P47" s="58"/>
      <c r="Q47" s="58"/>
      <c r="R47" s="58"/>
      <c r="S47" s="58"/>
      <c r="T47" s="58"/>
      <c r="U47" s="58"/>
      <c r="V47" s="58"/>
      <c r="W47" s="58"/>
      <c r="X47" s="58"/>
      <c r="Y47" s="58"/>
      <c r="Z47" s="58"/>
    </row>
    <row r="48">
      <c r="A48" s="85" t="s">
        <v>633</v>
      </c>
      <c r="B48" s="72" t="s">
        <v>1449</v>
      </c>
      <c r="C48" s="73" t="s">
        <v>1613</v>
      </c>
      <c r="D48" s="73" t="s">
        <v>1614</v>
      </c>
      <c r="E48" s="73" t="s">
        <v>1618</v>
      </c>
      <c r="F48" s="73" t="s">
        <v>1619</v>
      </c>
      <c r="G48" s="73" t="s">
        <v>1620</v>
      </c>
      <c r="H48" s="73" t="s">
        <v>1621</v>
      </c>
      <c r="I48" s="73" t="s">
        <v>13</v>
      </c>
      <c r="J48" s="58"/>
      <c r="K48" s="58"/>
      <c r="L48" s="58"/>
      <c r="M48" s="58"/>
      <c r="N48" s="58"/>
      <c r="O48" s="58"/>
      <c r="P48" s="58"/>
      <c r="Q48" s="58"/>
      <c r="R48" s="58"/>
      <c r="S48" s="58"/>
      <c r="T48" s="58"/>
      <c r="U48" s="58"/>
      <c r="V48" s="58"/>
      <c r="W48" s="58"/>
      <c r="X48" s="58"/>
      <c r="Y48" s="58"/>
      <c r="Z48" s="58"/>
    </row>
    <row r="49">
      <c r="A49" s="85" t="s">
        <v>637</v>
      </c>
      <c r="B49" s="72" t="s">
        <v>1449</v>
      </c>
      <c r="C49" s="73" t="s">
        <v>1613</v>
      </c>
      <c r="D49" s="73" t="s">
        <v>1614</v>
      </c>
      <c r="E49" s="73" t="s">
        <v>1622</v>
      </c>
      <c r="F49" s="73" t="s">
        <v>1623</v>
      </c>
      <c r="G49" s="73" t="s">
        <v>1492</v>
      </c>
      <c r="H49" s="73" t="s">
        <v>1624</v>
      </c>
      <c r="I49" s="73" t="s">
        <v>13</v>
      </c>
      <c r="J49" s="58"/>
      <c r="K49" s="58"/>
      <c r="L49" s="58"/>
      <c r="M49" s="58"/>
      <c r="N49" s="58"/>
      <c r="O49" s="58"/>
      <c r="P49" s="58"/>
      <c r="Q49" s="58"/>
      <c r="R49" s="58"/>
      <c r="S49" s="58"/>
      <c r="T49" s="58"/>
      <c r="U49" s="58"/>
      <c r="V49" s="58"/>
      <c r="W49" s="58"/>
      <c r="X49" s="58"/>
      <c r="Y49" s="58"/>
      <c r="Z49" s="58"/>
    </row>
    <row r="50">
      <c r="A50" s="85" t="s">
        <v>641</v>
      </c>
      <c r="B50" s="72" t="s">
        <v>1449</v>
      </c>
      <c r="C50" s="73" t="s">
        <v>1613</v>
      </c>
      <c r="D50" s="73" t="s">
        <v>1614</v>
      </c>
      <c r="E50" s="73" t="s">
        <v>1625</v>
      </c>
      <c r="F50" s="73" t="s">
        <v>1626</v>
      </c>
      <c r="G50" s="73" t="s">
        <v>1492</v>
      </c>
      <c r="H50" s="73" t="s">
        <v>1627</v>
      </c>
      <c r="I50" s="73" t="s">
        <v>13</v>
      </c>
      <c r="J50" s="58"/>
      <c r="K50" s="58"/>
      <c r="L50" s="58"/>
      <c r="M50" s="58"/>
      <c r="N50" s="58"/>
      <c r="O50" s="58"/>
      <c r="P50" s="58"/>
      <c r="Q50" s="58"/>
      <c r="R50" s="58"/>
      <c r="S50" s="58"/>
      <c r="T50" s="58"/>
      <c r="U50" s="58"/>
      <c r="V50" s="58"/>
      <c r="W50" s="58"/>
      <c r="X50" s="58"/>
      <c r="Y50" s="58"/>
      <c r="Z50" s="58"/>
    </row>
    <row r="51">
      <c r="A51" s="85" t="s">
        <v>644</v>
      </c>
      <c r="B51" s="72" t="s">
        <v>1449</v>
      </c>
      <c r="C51" s="73" t="s">
        <v>1628</v>
      </c>
      <c r="D51" s="73" t="s">
        <v>1629</v>
      </c>
      <c r="E51" s="73" t="s">
        <v>1630</v>
      </c>
      <c r="F51" s="73" t="s">
        <v>1631</v>
      </c>
      <c r="G51" s="73" t="s">
        <v>1632</v>
      </c>
      <c r="H51" s="73" t="s">
        <v>1633</v>
      </c>
      <c r="I51" s="73" t="s">
        <v>13</v>
      </c>
      <c r="J51" s="58"/>
      <c r="K51" s="58"/>
      <c r="L51" s="58"/>
      <c r="M51" s="58"/>
      <c r="N51" s="58"/>
      <c r="O51" s="58"/>
      <c r="P51" s="58"/>
      <c r="Q51" s="58"/>
      <c r="R51" s="58"/>
      <c r="S51" s="58"/>
      <c r="T51" s="58"/>
      <c r="U51" s="58"/>
      <c r="V51" s="58"/>
      <c r="W51" s="58"/>
      <c r="X51" s="58"/>
      <c r="Y51" s="58"/>
      <c r="Z51" s="58"/>
    </row>
    <row r="52">
      <c r="A52" s="85" t="s">
        <v>647</v>
      </c>
      <c r="B52" s="72" t="s">
        <v>1449</v>
      </c>
      <c r="C52" s="73" t="s">
        <v>1628</v>
      </c>
      <c r="D52" s="73" t="s">
        <v>1629</v>
      </c>
      <c r="E52" s="73" t="s">
        <v>1634</v>
      </c>
      <c r="F52" s="73" t="s">
        <v>1631</v>
      </c>
      <c r="G52" s="73" t="s">
        <v>1632</v>
      </c>
      <c r="H52" s="73" t="s">
        <v>1635</v>
      </c>
      <c r="I52" s="73" t="s">
        <v>13</v>
      </c>
      <c r="J52" s="58"/>
      <c r="K52" s="58"/>
      <c r="L52" s="58"/>
      <c r="M52" s="58"/>
      <c r="N52" s="58"/>
      <c r="O52" s="58"/>
      <c r="P52" s="58"/>
      <c r="Q52" s="58"/>
      <c r="R52" s="58"/>
      <c r="S52" s="58"/>
      <c r="T52" s="58"/>
      <c r="U52" s="58"/>
      <c r="V52" s="58"/>
      <c r="W52" s="58"/>
      <c r="X52" s="58"/>
      <c r="Y52" s="58"/>
      <c r="Z52" s="58"/>
    </row>
    <row r="53">
      <c r="A53" s="85" t="s">
        <v>650</v>
      </c>
      <c r="B53" s="72" t="s">
        <v>1449</v>
      </c>
      <c r="C53" s="73" t="s">
        <v>1628</v>
      </c>
      <c r="D53" s="73" t="s">
        <v>1629</v>
      </c>
      <c r="E53" s="73" t="s">
        <v>1636</v>
      </c>
      <c r="F53" s="73" t="s">
        <v>1631</v>
      </c>
      <c r="G53" s="73" t="s">
        <v>1632</v>
      </c>
      <c r="H53" s="73" t="s">
        <v>1637</v>
      </c>
      <c r="I53" s="73" t="s">
        <v>13</v>
      </c>
      <c r="J53" s="58"/>
      <c r="K53" s="58"/>
      <c r="L53" s="58"/>
      <c r="M53" s="58"/>
      <c r="N53" s="58"/>
      <c r="O53" s="58"/>
      <c r="P53" s="58"/>
      <c r="Q53" s="58"/>
      <c r="R53" s="58"/>
      <c r="S53" s="58"/>
      <c r="T53" s="58"/>
      <c r="U53" s="58"/>
      <c r="V53" s="58"/>
      <c r="W53" s="58"/>
      <c r="X53" s="58"/>
      <c r="Y53" s="58"/>
      <c r="Z53" s="58"/>
    </row>
    <row r="54">
      <c r="A54" s="85" t="s">
        <v>654</v>
      </c>
      <c r="B54" s="72" t="s">
        <v>1449</v>
      </c>
      <c r="C54" s="73" t="s">
        <v>1628</v>
      </c>
      <c r="D54" s="73" t="s">
        <v>1629</v>
      </c>
      <c r="E54" s="73" t="s">
        <v>1638</v>
      </c>
      <c r="F54" s="73" t="s">
        <v>1639</v>
      </c>
      <c r="G54" s="73" t="s">
        <v>1492</v>
      </c>
      <c r="H54" s="73" t="s">
        <v>1640</v>
      </c>
      <c r="I54" s="73" t="s">
        <v>13</v>
      </c>
      <c r="J54" s="58"/>
      <c r="K54" s="58"/>
      <c r="L54" s="58"/>
      <c r="M54" s="58"/>
      <c r="N54" s="58"/>
      <c r="O54" s="58"/>
      <c r="P54" s="58"/>
      <c r="Q54" s="58"/>
      <c r="R54" s="58"/>
      <c r="S54" s="58"/>
      <c r="T54" s="58"/>
      <c r="U54" s="58"/>
      <c r="V54" s="58"/>
      <c r="W54" s="58"/>
      <c r="X54" s="58"/>
      <c r="Y54" s="58"/>
      <c r="Z54" s="58"/>
    </row>
    <row r="55">
      <c r="A55" s="85" t="s">
        <v>657</v>
      </c>
      <c r="B55" s="72" t="s">
        <v>1449</v>
      </c>
      <c r="C55" s="73" t="s">
        <v>1628</v>
      </c>
      <c r="D55" s="73" t="s">
        <v>1641</v>
      </c>
      <c r="E55" s="73" t="s">
        <v>1642</v>
      </c>
      <c r="F55" s="73" t="s">
        <v>1631</v>
      </c>
      <c r="G55" s="73" t="s">
        <v>1643</v>
      </c>
      <c r="H55" s="73" t="s">
        <v>1644</v>
      </c>
      <c r="I55" s="73" t="s">
        <v>13</v>
      </c>
      <c r="J55" s="58"/>
      <c r="K55" s="58"/>
      <c r="L55" s="58"/>
      <c r="M55" s="58"/>
      <c r="N55" s="58"/>
      <c r="O55" s="58"/>
      <c r="P55" s="58"/>
      <c r="Q55" s="58"/>
      <c r="R55" s="58"/>
      <c r="S55" s="58"/>
      <c r="T55" s="58"/>
      <c r="U55" s="58"/>
      <c r="V55" s="58"/>
      <c r="W55" s="58"/>
      <c r="X55" s="58"/>
      <c r="Y55" s="58"/>
      <c r="Z55" s="58"/>
    </row>
    <row r="56">
      <c r="A56" s="85" t="s">
        <v>660</v>
      </c>
      <c r="B56" s="72" t="s">
        <v>1449</v>
      </c>
      <c r="C56" s="73" t="s">
        <v>1628</v>
      </c>
      <c r="D56" s="73" t="s">
        <v>1641</v>
      </c>
      <c r="E56" s="73" t="s">
        <v>1645</v>
      </c>
      <c r="F56" s="73" t="s">
        <v>1631</v>
      </c>
      <c r="G56" s="73" t="s">
        <v>1643</v>
      </c>
      <c r="H56" s="73" t="s">
        <v>1646</v>
      </c>
      <c r="I56" s="73" t="s">
        <v>13</v>
      </c>
      <c r="J56" s="58"/>
      <c r="K56" s="58"/>
      <c r="L56" s="58"/>
      <c r="M56" s="58"/>
      <c r="N56" s="58"/>
      <c r="O56" s="58"/>
      <c r="P56" s="58"/>
      <c r="Q56" s="58"/>
      <c r="R56" s="58"/>
      <c r="S56" s="58"/>
      <c r="T56" s="58"/>
      <c r="U56" s="58"/>
      <c r="V56" s="58"/>
      <c r="W56" s="58"/>
      <c r="X56" s="58"/>
      <c r="Y56" s="58"/>
      <c r="Z56" s="58"/>
    </row>
    <row r="57">
      <c r="A57" s="85" t="s">
        <v>664</v>
      </c>
      <c r="B57" s="72" t="s">
        <v>1449</v>
      </c>
      <c r="C57" s="73" t="s">
        <v>1628</v>
      </c>
      <c r="D57" s="73" t="s">
        <v>1641</v>
      </c>
      <c r="E57" s="73" t="s">
        <v>1647</v>
      </c>
      <c r="F57" s="73" t="s">
        <v>1648</v>
      </c>
      <c r="G57" s="73" t="s">
        <v>1492</v>
      </c>
      <c r="H57" s="73" t="s">
        <v>1649</v>
      </c>
      <c r="I57" s="73" t="s">
        <v>13</v>
      </c>
      <c r="J57" s="58"/>
      <c r="K57" s="58"/>
      <c r="L57" s="58"/>
      <c r="M57" s="58"/>
      <c r="N57" s="58"/>
      <c r="O57" s="58"/>
      <c r="P57" s="58"/>
      <c r="Q57" s="58"/>
      <c r="R57" s="58"/>
      <c r="S57" s="58"/>
      <c r="T57" s="58"/>
      <c r="U57" s="58"/>
      <c r="V57" s="58"/>
      <c r="W57" s="58"/>
      <c r="X57" s="58"/>
      <c r="Y57" s="58"/>
      <c r="Z57" s="58"/>
    </row>
    <row r="58">
      <c r="A58" s="85" t="s">
        <v>668</v>
      </c>
      <c r="B58" s="72" t="s">
        <v>1449</v>
      </c>
      <c r="C58" s="73" t="s">
        <v>1628</v>
      </c>
      <c r="D58" s="73" t="s">
        <v>1641</v>
      </c>
      <c r="E58" s="73" t="s">
        <v>1650</v>
      </c>
      <c r="F58" s="73" t="s">
        <v>1631</v>
      </c>
      <c r="G58" s="73" t="s">
        <v>1643</v>
      </c>
      <c r="H58" s="73" t="s">
        <v>1651</v>
      </c>
      <c r="I58" s="73" t="s">
        <v>13</v>
      </c>
      <c r="J58" s="58"/>
      <c r="K58" s="58"/>
      <c r="L58" s="58"/>
      <c r="M58" s="58"/>
      <c r="N58" s="58"/>
      <c r="O58" s="58"/>
      <c r="P58" s="58"/>
      <c r="Q58" s="58"/>
      <c r="R58" s="58"/>
      <c r="S58" s="58"/>
      <c r="T58" s="58"/>
      <c r="U58" s="58"/>
      <c r="V58" s="58"/>
      <c r="W58" s="58"/>
      <c r="X58" s="58"/>
      <c r="Y58" s="58"/>
      <c r="Z58" s="58"/>
    </row>
    <row r="59">
      <c r="A59" s="85" t="s">
        <v>672</v>
      </c>
      <c r="B59" s="72" t="s">
        <v>1449</v>
      </c>
      <c r="C59" s="73" t="s">
        <v>1628</v>
      </c>
      <c r="D59" s="73" t="s">
        <v>1641</v>
      </c>
      <c r="E59" s="73" t="s">
        <v>1652</v>
      </c>
      <c r="F59" s="73" t="s">
        <v>1631</v>
      </c>
      <c r="G59" s="73" t="s">
        <v>1643</v>
      </c>
      <c r="H59" s="73" t="s">
        <v>1653</v>
      </c>
      <c r="I59" s="73" t="s">
        <v>13</v>
      </c>
      <c r="J59" s="58"/>
      <c r="K59" s="58"/>
      <c r="L59" s="58"/>
      <c r="M59" s="58"/>
      <c r="N59" s="58"/>
      <c r="O59" s="58"/>
      <c r="P59" s="58"/>
      <c r="Q59" s="58"/>
      <c r="R59" s="58"/>
      <c r="S59" s="58"/>
      <c r="T59" s="58"/>
      <c r="U59" s="58"/>
      <c r="V59" s="58"/>
      <c r="W59" s="58"/>
      <c r="X59" s="58"/>
      <c r="Y59" s="58"/>
      <c r="Z59" s="58"/>
    </row>
    <row r="60">
      <c r="A60" s="85" t="s">
        <v>676</v>
      </c>
      <c r="B60" s="72" t="s">
        <v>1449</v>
      </c>
      <c r="C60" s="73" t="s">
        <v>1628</v>
      </c>
      <c r="D60" s="73" t="s">
        <v>1654</v>
      </c>
      <c r="E60" s="73" t="s">
        <v>1655</v>
      </c>
      <c r="F60" s="73" t="s">
        <v>1631</v>
      </c>
      <c r="G60" s="73" t="s">
        <v>1656</v>
      </c>
      <c r="H60" s="73" t="s">
        <v>1657</v>
      </c>
      <c r="I60" s="73" t="s">
        <v>13</v>
      </c>
      <c r="J60" s="58"/>
      <c r="K60" s="58"/>
      <c r="L60" s="58"/>
      <c r="M60" s="58"/>
      <c r="N60" s="58"/>
      <c r="O60" s="58"/>
      <c r="P60" s="58"/>
      <c r="Q60" s="58"/>
      <c r="R60" s="58"/>
      <c r="S60" s="58"/>
      <c r="T60" s="58"/>
      <c r="U60" s="58"/>
      <c r="V60" s="58"/>
      <c r="W60" s="58"/>
      <c r="X60" s="58"/>
      <c r="Y60" s="58"/>
      <c r="Z60" s="58"/>
    </row>
    <row r="61">
      <c r="A61" s="85" t="s">
        <v>681</v>
      </c>
      <c r="B61" s="72" t="s">
        <v>1449</v>
      </c>
      <c r="C61" s="73" t="s">
        <v>1628</v>
      </c>
      <c r="D61" s="73" t="s">
        <v>1654</v>
      </c>
      <c r="E61" s="73" t="s">
        <v>1658</v>
      </c>
      <c r="F61" s="73" t="s">
        <v>1631</v>
      </c>
      <c r="G61" s="73" t="s">
        <v>1656</v>
      </c>
      <c r="H61" s="73" t="s">
        <v>1659</v>
      </c>
      <c r="I61" s="73" t="s">
        <v>13</v>
      </c>
      <c r="J61" s="58"/>
      <c r="K61" s="58"/>
      <c r="L61" s="58"/>
      <c r="M61" s="58"/>
      <c r="N61" s="58"/>
      <c r="O61" s="58"/>
      <c r="P61" s="58"/>
      <c r="Q61" s="58"/>
      <c r="R61" s="58"/>
      <c r="S61" s="58"/>
      <c r="T61" s="58"/>
      <c r="U61" s="58"/>
      <c r="V61" s="58"/>
      <c r="W61" s="58"/>
      <c r="X61" s="58"/>
      <c r="Y61" s="58"/>
      <c r="Z61" s="58"/>
    </row>
    <row r="62">
      <c r="A62" s="85" t="s">
        <v>686</v>
      </c>
      <c r="B62" s="72" t="s">
        <v>1449</v>
      </c>
      <c r="C62" s="73" t="s">
        <v>1628</v>
      </c>
      <c r="D62" s="73" t="s">
        <v>1654</v>
      </c>
      <c r="E62" s="73" t="s">
        <v>1660</v>
      </c>
      <c r="F62" s="73" t="s">
        <v>1631</v>
      </c>
      <c r="G62" s="73" t="s">
        <v>1656</v>
      </c>
      <c r="H62" s="73" t="s">
        <v>1653</v>
      </c>
      <c r="I62" s="73" t="s">
        <v>13</v>
      </c>
      <c r="J62" s="58"/>
      <c r="K62" s="58"/>
      <c r="L62" s="58"/>
      <c r="M62" s="58"/>
      <c r="N62" s="58"/>
      <c r="O62" s="58"/>
      <c r="P62" s="58"/>
      <c r="Q62" s="58"/>
      <c r="R62" s="58"/>
      <c r="S62" s="58"/>
      <c r="T62" s="58"/>
      <c r="U62" s="58"/>
      <c r="V62" s="58"/>
      <c r="W62" s="58"/>
      <c r="X62" s="58"/>
      <c r="Y62" s="58"/>
      <c r="Z62" s="58"/>
    </row>
    <row r="63">
      <c r="A63" s="85" t="s">
        <v>690</v>
      </c>
      <c r="B63" s="72" t="s">
        <v>1449</v>
      </c>
      <c r="C63" s="73" t="s">
        <v>1628</v>
      </c>
      <c r="D63" s="73" t="s">
        <v>1654</v>
      </c>
      <c r="E63" s="73" t="s">
        <v>1661</v>
      </c>
      <c r="F63" s="73" t="s">
        <v>1631</v>
      </c>
      <c r="G63" s="73" t="s">
        <v>1656</v>
      </c>
      <c r="H63" s="73" t="s">
        <v>1653</v>
      </c>
      <c r="I63" s="73" t="s">
        <v>13</v>
      </c>
      <c r="J63" s="58"/>
      <c r="K63" s="58"/>
      <c r="L63" s="58"/>
      <c r="M63" s="58"/>
      <c r="N63" s="58"/>
      <c r="O63" s="58"/>
      <c r="P63" s="58"/>
      <c r="Q63" s="58"/>
      <c r="R63" s="58"/>
      <c r="S63" s="58"/>
      <c r="T63" s="58"/>
      <c r="U63" s="58"/>
      <c r="V63" s="58"/>
      <c r="W63" s="58"/>
      <c r="X63" s="58"/>
      <c r="Y63" s="58"/>
      <c r="Z63" s="58"/>
    </row>
    <row r="64">
      <c r="A64" s="85" t="s">
        <v>693</v>
      </c>
      <c r="B64" s="72" t="s">
        <v>1449</v>
      </c>
      <c r="C64" s="73" t="s">
        <v>1628</v>
      </c>
      <c r="D64" s="73" t="s">
        <v>1654</v>
      </c>
      <c r="E64" s="73" t="s">
        <v>1662</v>
      </c>
      <c r="F64" s="73" t="s">
        <v>1631</v>
      </c>
      <c r="G64" s="73" t="s">
        <v>1656</v>
      </c>
      <c r="H64" s="73" t="s">
        <v>1646</v>
      </c>
      <c r="I64" s="73" t="s">
        <v>13</v>
      </c>
      <c r="J64" s="58"/>
      <c r="K64" s="58"/>
      <c r="L64" s="58"/>
      <c r="M64" s="58"/>
      <c r="N64" s="58"/>
      <c r="O64" s="58"/>
      <c r="P64" s="58"/>
      <c r="Q64" s="58"/>
      <c r="R64" s="58"/>
      <c r="S64" s="58"/>
      <c r="T64" s="58"/>
      <c r="U64" s="58"/>
      <c r="V64" s="58"/>
      <c r="W64" s="58"/>
      <c r="X64" s="58"/>
      <c r="Y64" s="58"/>
      <c r="Z64" s="58"/>
    </row>
    <row r="65">
      <c r="A65" s="85" t="s">
        <v>696</v>
      </c>
      <c r="B65" s="72" t="s">
        <v>1449</v>
      </c>
      <c r="C65" s="65" t="s">
        <v>1628</v>
      </c>
      <c r="D65" s="65" t="s">
        <v>1641</v>
      </c>
      <c r="E65" s="59" t="s">
        <v>1663</v>
      </c>
      <c r="F65" s="65" t="s">
        <v>1648</v>
      </c>
      <c r="G65" s="111" t="s">
        <v>1492</v>
      </c>
      <c r="H65" s="65" t="s">
        <v>1649</v>
      </c>
      <c r="I65" s="73" t="s">
        <v>13</v>
      </c>
      <c r="J65" s="112"/>
      <c r="K65" s="112"/>
      <c r="L65" s="112"/>
      <c r="M65" s="112"/>
      <c r="N65" s="112"/>
      <c r="O65" s="112"/>
      <c r="P65" s="112"/>
      <c r="Q65" s="112"/>
      <c r="R65" s="112"/>
      <c r="S65" s="112"/>
      <c r="T65" s="112"/>
      <c r="U65" s="112"/>
      <c r="V65" s="112"/>
      <c r="W65" s="112"/>
      <c r="X65" s="112"/>
      <c r="Y65" s="112"/>
      <c r="Z65" s="112"/>
    </row>
    <row r="66">
      <c r="A66" s="85" t="s">
        <v>700</v>
      </c>
      <c r="B66" s="72" t="s">
        <v>1449</v>
      </c>
      <c r="C66" s="65" t="s">
        <v>1628</v>
      </c>
      <c r="D66" s="59" t="s">
        <v>1664</v>
      </c>
      <c r="E66" s="73" t="s">
        <v>1665</v>
      </c>
      <c r="F66" s="73" t="s">
        <v>1631</v>
      </c>
      <c r="G66" s="73" t="s">
        <v>1666</v>
      </c>
      <c r="H66" s="73" t="s">
        <v>1667</v>
      </c>
      <c r="I66" s="73" t="s">
        <v>13</v>
      </c>
      <c r="J66" s="58"/>
      <c r="K66" s="58"/>
      <c r="L66" s="58"/>
      <c r="M66" s="58"/>
      <c r="N66" s="58"/>
      <c r="O66" s="58"/>
      <c r="P66" s="58"/>
      <c r="Q66" s="58"/>
      <c r="R66" s="58"/>
      <c r="S66" s="58"/>
      <c r="T66" s="58"/>
      <c r="U66" s="58"/>
      <c r="V66" s="58"/>
      <c r="W66" s="58"/>
      <c r="X66" s="58"/>
      <c r="Y66" s="58"/>
      <c r="Z66" s="58"/>
    </row>
    <row r="67">
      <c r="A67" s="85" t="s">
        <v>704</v>
      </c>
      <c r="B67" s="72" t="s">
        <v>1449</v>
      </c>
      <c r="C67" s="65" t="s">
        <v>1628</v>
      </c>
      <c r="D67" s="59" t="s">
        <v>1664</v>
      </c>
      <c r="E67" s="73" t="s">
        <v>1668</v>
      </c>
      <c r="F67" s="73" t="s">
        <v>1631</v>
      </c>
      <c r="G67" s="73" t="s">
        <v>1669</v>
      </c>
      <c r="H67" s="73" t="s">
        <v>1657</v>
      </c>
      <c r="I67" s="73" t="s">
        <v>13</v>
      </c>
      <c r="J67" s="58"/>
      <c r="K67" s="58"/>
      <c r="L67" s="58"/>
      <c r="M67" s="58"/>
      <c r="N67" s="58"/>
      <c r="O67" s="58"/>
      <c r="P67" s="58"/>
      <c r="Q67" s="58"/>
      <c r="R67" s="58"/>
      <c r="S67" s="58"/>
      <c r="T67" s="58"/>
      <c r="U67" s="58"/>
      <c r="V67" s="58"/>
      <c r="W67" s="58"/>
      <c r="X67" s="58"/>
      <c r="Y67" s="58"/>
      <c r="Z67" s="58"/>
    </row>
    <row r="68">
      <c r="A68" s="85" t="s">
        <v>708</v>
      </c>
      <c r="B68" s="72" t="s">
        <v>1449</v>
      </c>
      <c r="C68" s="65" t="s">
        <v>1628</v>
      </c>
      <c r="D68" s="59" t="s">
        <v>1664</v>
      </c>
      <c r="E68" s="73" t="s">
        <v>1670</v>
      </c>
      <c r="F68" s="73" t="s">
        <v>1631</v>
      </c>
      <c r="G68" s="73" t="s">
        <v>1492</v>
      </c>
      <c r="H68" s="73" t="s">
        <v>1646</v>
      </c>
      <c r="I68" s="73" t="s">
        <v>13</v>
      </c>
      <c r="J68" s="58"/>
      <c r="K68" s="58"/>
      <c r="L68" s="58"/>
      <c r="M68" s="58"/>
      <c r="N68" s="58"/>
      <c r="O68" s="58"/>
      <c r="P68" s="58"/>
      <c r="Q68" s="58"/>
      <c r="R68" s="58"/>
      <c r="S68" s="58"/>
      <c r="T68" s="58"/>
      <c r="U68" s="58"/>
      <c r="V68" s="58"/>
      <c r="W68" s="58"/>
      <c r="X68" s="58"/>
      <c r="Y68" s="58"/>
      <c r="Z68" s="58"/>
    </row>
    <row r="69">
      <c r="A69" s="85" t="s">
        <v>712</v>
      </c>
      <c r="B69" s="72" t="s">
        <v>1449</v>
      </c>
      <c r="C69" s="65" t="s">
        <v>1628</v>
      </c>
      <c r="D69" s="59" t="s">
        <v>1664</v>
      </c>
      <c r="E69" s="59" t="s">
        <v>1671</v>
      </c>
      <c r="F69" s="65" t="s">
        <v>1648</v>
      </c>
      <c r="G69" s="111" t="s">
        <v>1492</v>
      </c>
      <c r="H69" s="65" t="s">
        <v>1649</v>
      </c>
      <c r="I69" s="73" t="s">
        <v>13</v>
      </c>
      <c r="J69" s="58"/>
      <c r="K69" s="58"/>
      <c r="L69" s="58"/>
      <c r="M69" s="58"/>
      <c r="N69" s="58"/>
      <c r="O69" s="58"/>
      <c r="P69" s="58"/>
      <c r="Q69" s="58"/>
      <c r="R69" s="58"/>
      <c r="S69" s="58"/>
      <c r="T69" s="58"/>
      <c r="U69" s="58"/>
      <c r="V69" s="58"/>
      <c r="W69" s="58"/>
      <c r="X69" s="58"/>
      <c r="Y69" s="58"/>
      <c r="Z69" s="58"/>
    </row>
    <row r="70">
      <c r="A70" s="85" t="s">
        <v>715</v>
      </c>
      <c r="B70" s="72" t="s">
        <v>1449</v>
      </c>
      <c r="C70" s="65" t="s">
        <v>1628</v>
      </c>
      <c r="D70" s="59" t="s">
        <v>1664</v>
      </c>
      <c r="E70" s="73" t="s">
        <v>1672</v>
      </c>
      <c r="F70" s="73" t="s">
        <v>1631</v>
      </c>
      <c r="G70" s="73" t="s">
        <v>1673</v>
      </c>
      <c r="H70" s="73" t="s">
        <v>1653</v>
      </c>
      <c r="I70" s="73" t="s">
        <v>13</v>
      </c>
      <c r="J70" s="58"/>
      <c r="K70" s="58"/>
      <c r="L70" s="58"/>
      <c r="M70" s="58"/>
      <c r="N70" s="58"/>
      <c r="O70" s="58"/>
      <c r="P70" s="58"/>
      <c r="Q70" s="58"/>
      <c r="R70" s="58"/>
      <c r="S70" s="58"/>
      <c r="T70" s="58"/>
      <c r="U70" s="58"/>
      <c r="V70" s="58"/>
      <c r="W70" s="58"/>
      <c r="X70" s="58"/>
      <c r="Y70" s="58"/>
      <c r="Z70" s="58"/>
    </row>
    <row r="71">
      <c r="A71" s="85" t="s">
        <v>718</v>
      </c>
      <c r="B71" s="72" t="s">
        <v>1449</v>
      </c>
      <c r="C71" s="65" t="s">
        <v>1628</v>
      </c>
      <c r="D71" s="59" t="s">
        <v>1664</v>
      </c>
      <c r="E71" s="73" t="s">
        <v>1674</v>
      </c>
      <c r="F71" s="73" t="s">
        <v>1675</v>
      </c>
      <c r="G71" s="73" t="s">
        <v>1492</v>
      </c>
      <c r="H71" s="73" t="s">
        <v>1676</v>
      </c>
      <c r="I71" s="73" t="s">
        <v>13</v>
      </c>
      <c r="J71" s="58"/>
      <c r="K71" s="58"/>
      <c r="L71" s="58"/>
      <c r="M71" s="58"/>
      <c r="N71" s="58"/>
      <c r="O71" s="58"/>
      <c r="P71" s="58"/>
      <c r="Q71" s="58"/>
      <c r="R71" s="58"/>
      <c r="S71" s="58"/>
      <c r="T71" s="58"/>
      <c r="U71" s="58"/>
      <c r="V71" s="58"/>
      <c r="W71" s="58"/>
      <c r="X71" s="58"/>
      <c r="Y71" s="58"/>
      <c r="Z71" s="58"/>
    </row>
    <row r="72">
      <c r="A72" s="85" t="s">
        <v>722</v>
      </c>
      <c r="B72" s="72" t="s">
        <v>1449</v>
      </c>
      <c r="C72" s="65" t="s">
        <v>1628</v>
      </c>
      <c r="D72" s="73" t="s">
        <v>1677</v>
      </c>
      <c r="E72" s="73" t="s">
        <v>1678</v>
      </c>
      <c r="F72" s="73" t="s">
        <v>1679</v>
      </c>
      <c r="G72" s="73" t="s">
        <v>1492</v>
      </c>
      <c r="H72" s="73" t="s">
        <v>1680</v>
      </c>
      <c r="I72" s="73" t="s">
        <v>13</v>
      </c>
      <c r="J72" s="58"/>
      <c r="K72" s="58"/>
      <c r="L72" s="58"/>
      <c r="M72" s="58"/>
      <c r="N72" s="58"/>
      <c r="O72" s="58"/>
      <c r="P72" s="58"/>
      <c r="Q72" s="58"/>
      <c r="R72" s="58"/>
      <c r="S72" s="58"/>
      <c r="T72" s="58"/>
      <c r="U72" s="58"/>
      <c r="V72" s="58"/>
      <c r="W72" s="58"/>
      <c r="X72" s="58"/>
      <c r="Y72" s="58"/>
      <c r="Z72" s="58"/>
    </row>
    <row r="73">
      <c r="A73" s="85" t="s">
        <v>728</v>
      </c>
      <c r="B73" s="72" t="s">
        <v>1449</v>
      </c>
      <c r="C73" s="73" t="s">
        <v>1681</v>
      </c>
      <c r="D73" s="73" t="s">
        <v>1682</v>
      </c>
      <c r="E73" s="73" t="s">
        <v>1683</v>
      </c>
      <c r="F73" s="73" t="s">
        <v>1684</v>
      </c>
      <c r="G73" s="73" t="s">
        <v>1685</v>
      </c>
      <c r="H73" s="73" t="s">
        <v>1686</v>
      </c>
      <c r="I73" s="73" t="s">
        <v>13</v>
      </c>
      <c r="J73" s="58"/>
      <c r="K73" s="58"/>
      <c r="L73" s="58"/>
      <c r="M73" s="58"/>
      <c r="N73" s="58"/>
      <c r="O73" s="58"/>
      <c r="P73" s="58"/>
      <c r="Q73" s="58"/>
      <c r="R73" s="58"/>
      <c r="S73" s="58"/>
      <c r="T73" s="58"/>
      <c r="U73" s="58"/>
      <c r="V73" s="58"/>
      <c r="W73" s="58"/>
      <c r="X73" s="58"/>
      <c r="Y73" s="58"/>
      <c r="Z73" s="58"/>
    </row>
    <row r="74">
      <c r="A74" s="85" t="s">
        <v>733</v>
      </c>
      <c r="B74" s="72" t="s">
        <v>1449</v>
      </c>
      <c r="C74" s="73" t="s">
        <v>1681</v>
      </c>
      <c r="D74" s="73" t="s">
        <v>1687</v>
      </c>
      <c r="E74" s="73" t="s">
        <v>1688</v>
      </c>
      <c r="F74" s="73" t="s">
        <v>1689</v>
      </c>
      <c r="G74" s="73" t="s">
        <v>1690</v>
      </c>
      <c r="H74" s="73" t="s">
        <v>1691</v>
      </c>
      <c r="I74" s="73" t="s">
        <v>13</v>
      </c>
      <c r="J74" s="58"/>
      <c r="K74" s="58"/>
      <c r="L74" s="58"/>
      <c r="M74" s="58"/>
      <c r="N74" s="58"/>
      <c r="O74" s="58"/>
      <c r="P74" s="58"/>
      <c r="Q74" s="58"/>
      <c r="R74" s="58"/>
      <c r="S74" s="58"/>
      <c r="T74" s="58"/>
      <c r="U74" s="58"/>
      <c r="V74" s="58"/>
      <c r="W74" s="58"/>
      <c r="X74" s="58"/>
      <c r="Y74" s="58"/>
      <c r="Z74" s="58"/>
    </row>
    <row r="75">
      <c r="A75" s="85" t="s">
        <v>736</v>
      </c>
      <c r="B75" s="72" t="s">
        <v>1449</v>
      </c>
      <c r="C75" s="73" t="s">
        <v>1681</v>
      </c>
      <c r="D75" s="73" t="s">
        <v>1687</v>
      </c>
      <c r="E75" s="73" t="s">
        <v>1692</v>
      </c>
      <c r="F75" s="73" t="s">
        <v>1693</v>
      </c>
      <c r="G75" s="73" t="s">
        <v>1694</v>
      </c>
      <c r="H75" s="73" t="s">
        <v>1695</v>
      </c>
      <c r="I75" s="73" t="s">
        <v>13</v>
      </c>
      <c r="J75" s="58"/>
      <c r="K75" s="58"/>
      <c r="L75" s="58"/>
      <c r="M75" s="58"/>
      <c r="N75" s="58"/>
      <c r="O75" s="58"/>
      <c r="P75" s="58"/>
      <c r="Q75" s="58"/>
      <c r="R75" s="58"/>
      <c r="S75" s="58"/>
      <c r="T75" s="58"/>
      <c r="U75" s="58"/>
      <c r="V75" s="58"/>
      <c r="W75" s="58"/>
      <c r="X75" s="58"/>
      <c r="Y75" s="58"/>
      <c r="Z75" s="58"/>
    </row>
    <row r="76">
      <c r="A76" s="85" t="s">
        <v>741</v>
      </c>
      <c r="B76" s="72" t="s">
        <v>1449</v>
      </c>
      <c r="C76" s="75"/>
      <c r="D76" s="75"/>
      <c r="E76" s="73" t="s">
        <v>1696</v>
      </c>
      <c r="F76" s="73" t="s">
        <v>1697</v>
      </c>
      <c r="G76" s="73" t="s">
        <v>1698</v>
      </c>
      <c r="H76" s="73" t="s">
        <v>1691</v>
      </c>
      <c r="I76" s="73" t="s">
        <v>13</v>
      </c>
      <c r="J76" s="58"/>
      <c r="K76" s="58"/>
      <c r="L76" s="58"/>
      <c r="M76" s="58"/>
      <c r="N76" s="58"/>
      <c r="O76" s="58"/>
      <c r="P76" s="58"/>
      <c r="Q76" s="58"/>
      <c r="R76" s="58"/>
      <c r="S76" s="58"/>
      <c r="T76" s="58"/>
      <c r="U76" s="58"/>
      <c r="V76" s="58"/>
      <c r="W76" s="58"/>
      <c r="X76" s="58"/>
      <c r="Y76" s="58"/>
      <c r="Z76" s="58"/>
    </row>
    <row r="77">
      <c r="A77" s="85" t="s">
        <v>745</v>
      </c>
      <c r="B77" s="72" t="s">
        <v>1449</v>
      </c>
      <c r="C77" s="73" t="s">
        <v>1681</v>
      </c>
      <c r="D77" s="73" t="s">
        <v>1687</v>
      </c>
      <c r="E77" s="73" t="s">
        <v>1699</v>
      </c>
      <c r="F77" s="73" t="s">
        <v>1693</v>
      </c>
      <c r="G77" s="73" t="s">
        <v>1694</v>
      </c>
      <c r="H77" s="73" t="s">
        <v>1695</v>
      </c>
      <c r="I77" s="73" t="s">
        <v>13</v>
      </c>
      <c r="J77" s="58"/>
      <c r="K77" s="58"/>
      <c r="L77" s="58"/>
      <c r="M77" s="58"/>
      <c r="N77" s="58"/>
      <c r="O77" s="58"/>
      <c r="P77" s="58"/>
      <c r="Q77" s="58"/>
      <c r="R77" s="58"/>
      <c r="S77" s="58"/>
      <c r="T77" s="58"/>
      <c r="U77" s="58"/>
      <c r="V77" s="58"/>
      <c r="W77" s="58"/>
      <c r="X77" s="58"/>
      <c r="Y77" s="58"/>
      <c r="Z77" s="58"/>
    </row>
    <row r="78">
      <c r="A78" s="85" t="s">
        <v>750</v>
      </c>
      <c r="B78" s="72" t="s">
        <v>1449</v>
      </c>
      <c r="C78" s="73" t="s">
        <v>1700</v>
      </c>
      <c r="D78" s="73" t="s">
        <v>1701</v>
      </c>
      <c r="E78" s="73" t="s">
        <v>1702</v>
      </c>
      <c r="F78" s="73" t="s">
        <v>1703</v>
      </c>
      <c r="G78" s="73" t="s">
        <v>1492</v>
      </c>
      <c r="H78" s="73" t="s">
        <v>1704</v>
      </c>
      <c r="I78" s="73" t="s">
        <v>13</v>
      </c>
      <c r="J78" s="58"/>
      <c r="K78" s="58"/>
      <c r="L78" s="58"/>
      <c r="M78" s="58"/>
      <c r="N78" s="58"/>
      <c r="O78" s="58"/>
      <c r="P78" s="58"/>
      <c r="Q78" s="58"/>
      <c r="R78" s="58"/>
      <c r="S78" s="58"/>
      <c r="T78" s="58"/>
      <c r="U78" s="58"/>
      <c r="V78" s="58"/>
      <c r="W78" s="58"/>
      <c r="X78" s="58"/>
      <c r="Y78" s="58"/>
      <c r="Z78" s="58"/>
    </row>
    <row r="79">
      <c r="A79" s="85" t="s">
        <v>756</v>
      </c>
      <c r="B79" s="72" t="s">
        <v>1449</v>
      </c>
      <c r="C79" s="73" t="s">
        <v>1700</v>
      </c>
      <c r="D79" s="73" t="s">
        <v>1701</v>
      </c>
      <c r="E79" s="73" t="s">
        <v>1705</v>
      </c>
      <c r="F79" s="73" t="s">
        <v>1706</v>
      </c>
      <c r="G79" s="73" t="s">
        <v>1492</v>
      </c>
      <c r="H79" s="73" t="s">
        <v>1707</v>
      </c>
      <c r="I79" s="73" t="s">
        <v>13</v>
      </c>
      <c r="J79" s="58"/>
      <c r="K79" s="58"/>
      <c r="L79" s="58"/>
      <c r="M79" s="58"/>
      <c r="N79" s="58"/>
      <c r="O79" s="58"/>
      <c r="P79" s="58"/>
      <c r="Q79" s="58"/>
      <c r="R79" s="58"/>
      <c r="S79" s="58"/>
      <c r="T79" s="58"/>
      <c r="U79" s="58"/>
      <c r="V79" s="58"/>
      <c r="W79" s="58"/>
      <c r="X79" s="58"/>
      <c r="Y79" s="58"/>
      <c r="Z79" s="58"/>
    </row>
    <row r="80">
      <c r="A80" s="85" t="s">
        <v>761</v>
      </c>
      <c r="B80" s="72" t="s">
        <v>1449</v>
      </c>
      <c r="C80" s="73" t="s">
        <v>1700</v>
      </c>
      <c r="D80" s="73" t="s">
        <v>1701</v>
      </c>
      <c r="E80" s="73" t="s">
        <v>1708</v>
      </c>
      <c r="F80" s="73" t="s">
        <v>1709</v>
      </c>
      <c r="G80" s="73" t="s">
        <v>1492</v>
      </c>
      <c r="H80" s="73" t="s">
        <v>1710</v>
      </c>
      <c r="I80" s="73" t="s">
        <v>13</v>
      </c>
      <c r="J80" s="58"/>
      <c r="K80" s="58"/>
      <c r="L80" s="58"/>
      <c r="M80" s="58"/>
      <c r="N80" s="58"/>
      <c r="O80" s="58"/>
      <c r="P80" s="58"/>
      <c r="Q80" s="58"/>
      <c r="R80" s="58"/>
      <c r="S80" s="58"/>
      <c r="T80" s="58"/>
      <c r="U80" s="58"/>
      <c r="V80" s="58"/>
      <c r="W80" s="58"/>
      <c r="X80" s="58"/>
      <c r="Y80" s="58"/>
      <c r="Z80" s="58"/>
    </row>
    <row r="81">
      <c r="A81" s="85" t="s">
        <v>767</v>
      </c>
      <c r="B81" s="72" t="s">
        <v>1449</v>
      </c>
      <c r="C81" s="73" t="s">
        <v>1700</v>
      </c>
      <c r="D81" s="73" t="s">
        <v>1701</v>
      </c>
      <c r="E81" s="73" t="s">
        <v>1711</v>
      </c>
      <c r="F81" s="73" t="s">
        <v>1712</v>
      </c>
      <c r="G81" s="73" t="s">
        <v>1492</v>
      </c>
      <c r="H81" s="73" t="s">
        <v>1713</v>
      </c>
      <c r="I81" s="73" t="s">
        <v>13</v>
      </c>
      <c r="J81" s="58"/>
      <c r="K81" s="58"/>
      <c r="L81" s="58"/>
      <c r="M81" s="58"/>
      <c r="N81" s="58"/>
      <c r="O81" s="58"/>
      <c r="P81" s="58"/>
      <c r="Q81" s="58"/>
      <c r="R81" s="58"/>
      <c r="S81" s="58"/>
      <c r="T81" s="58"/>
      <c r="U81" s="58"/>
      <c r="V81" s="58"/>
      <c r="W81" s="58"/>
      <c r="X81" s="58"/>
      <c r="Y81" s="58"/>
      <c r="Z81" s="58"/>
    </row>
    <row r="82">
      <c r="A82" s="85" t="s">
        <v>772</v>
      </c>
      <c r="B82" s="72" t="s">
        <v>1449</v>
      </c>
      <c r="C82" s="73" t="s">
        <v>1482</v>
      </c>
      <c r="D82" s="72" t="s">
        <v>1714</v>
      </c>
      <c r="E82" s="73" t="s">
        <v>1715</v>
      </c>
      <c r="F82" s="73" t="s">
        <v>1485</v>
      </c>
      <c r="G82" s="73" t="s">
        <v>1716</v>
      </c>
      <c r="H82" s="73" t="s">
        <v>1487</v>
      </c>
      <c r="I82" s="73" t="s">
        <v>13</v>
      </c>
      <c r="J82" s="58"/>
      <c r="K82" s="58"/>
      <c r="L82" s="58"/>
      <c r="M82" s="58"/>
      <c r="N82" s="58"/>
      <c r="O82" s="58"/>
      <c r="P82" s="58"/>
      <c r="Q82" s="58"/>
      <c r="R82" s="58"/>
      <c r="S82" s="58"/>
      <c r="T82" s="58"/>
      <c r="U82" s="58"/>
      <c r="V82" s="58"/>
      <c r="W82" s="58"/>
      <c r="X82" s="58"/>
      <c r="Y82" s="58"/>
      <c r="Z82" s="58"/>
    </row>
    <row r="83">
      <c r="A83" s="85" t="s">
        <v>778</v>
      </c>
      <c r="B83" s="72" t="s">
        <v>1449</v>
      </c>
      <c r="C83" s="73" t="s">
        <v>1488</v>
      </c>
      <c r="D83" s="72" t="s">
        <v>1717</v>
      </c>
      <c r="E83" s="73" t="s">
        <v>1718</v>
      </c>
      <c r="F83" s="73" t="s">
        <v>1491</v>
      </c>
      <c r="G83" s="41" t="s">
        <v>1719</v>
      </c>
      <c r="H83" s="73" t="s">
        <v>1493</v>
      </c>
      <c r="I83" s="73" t="s">
        <v>13</v>
      </c>
      <c r="J83" s="58"/>
      <c r="K83" s="58"/>
      <c r="L83" s="58"/>
      <c r="M83" s="58"/>
      <c r="N83" s="58"/>
      <c r="O83" s="58"/>
      <c r="P83" s="58"/>
      <c r="Q83" s="58"/>
      <c r="R83" s="58"/>
      <c r="S83" s="58"/>
      <c r="T83" s="58"/>
      <c r="U83" s="58"/>
      <c r="V83" s="58"/>
      <c r="W83" s="58"/>
      <c r="X83" s="58"/>
      <c r="Y83" s="58"/>
      <c r="Z83" s="58"/>
    </row>
    <row r="84">
      <c r="A84" s="85" t="s">
        <v>780</v>
      </c>
      <c r="B84" s="72" t="s">
        <v>1449</v>
      </c>
      <c r="C84" s="73" t="s">
        <v>1488</v>
      </c>
      <c r="D84" s="72" t="s">
        <v>1720</v>
      </c>
      <c r="E84" s="73" t="s">
        <v>1495</v>
      </c>
      <c r="F84" s="73" t="s">
        <v>1496</v>
      </c>
      <c r="G84" s="73" t="s">
        <v>1719</v>
      </c>
      <c r="H84" s="73" t="s">
        <v>1497</v>
      </c>
      <c r="I84" s="73" t="s">
        <v>13</v>
      </c>
      <c r="J84" s="58"/>
      <c r="K84" s="58"/>
      <c r="L84" s="58"/>
      <c r="M84" s="58"/>
      <c r="N84" s="58"/>
      <c r="O84" s="58"/>
      <c r="P84" s="58"/>
      <c r="Q84" s="58"/>
      <c r="R84" s="58"/>
      <c r="S84" s="58"/>
      <c r="T84" s="58"/>
      <c r="U84" s="58"/>
      <c r="V84" s="58"/>
      <c r="W84" s="58"/>
      <c r="X84" s="58"/>
      <c r="Y84" s="58"/>
      <c r="Z84" s="58"/>
    </row>
    <row r="85">
      <c r="A85" s="85" t="s">
        <v>782</v>
      </c>
      <c r="B85" s="72" t="s">
        <v>1449</v>
      </c>
      <c r="C85" s="73" t="s">
        <v>1488</v>
      </c>
      <c r="D85" s="72" t="s">
        <v>1721</v>
      </c>
      <c r="E85" s="73" t="s">
        <v>1722</v>
      </c>
      <c r="F85" s="73" t="s">
        <v>1500</v>
      </c>
      <c r="G85" s="73" t="s">
        <v>1723</v>
      </c>
      <c r="H85" s="73" t="s">
        <v>1502</v>
      </c>
      <c r="I85" s="73" t="s">
        <v>13</v>
      </c>
      <c r="J85" s="58"/>
      <c r="K85" s="58"/>
      <c r="L85" s="58"/>
      <c r="M85" s="58"/>
      <c r="N85" s="58"/>
      <c r="O85" s="58"/>
      <c r="P85" s="58"/>
      <c r="Q85" s="58"/>
      <c r="R85" s="58"/>
      <c r="S85" s="58"/>
      <c r="T85" s="58"/>
      <c r="U85" s="58"/>
      <c r="V85" s="58"/>
      <c r="W85" s="58"/>
      <c r="X85" s="58"/>
      <c r="Y85" s="58"/>
      <c r="Z85" s="58"/>
    </row>
    <row r="86">
      <c r="A86" s="85" t="s">
        <v>784</v>
      </c>
      <c r="B86" s="72" t="s">
        <v>1449</v>
      </c>
      <c r="C86" s="73" t="s">
        <v>1488</v>
      </c>
      <c r="D86" s="72" t="s">
        <v>1724</v>
      </c>
      <c r="E86" s="73" t="s">
        <v>1725</v>
      </c>
      <c r="F86" s="73" t="s">
        <v>1500</v>
      </c>
      <c r="G86" s="73" t="s">
        <v>1723</v>
      </c>
      <c r="H86" s="73" t="s">
        <v>1502</v>
      </c>
      <c r="I86" s="73" t="s">
        <v>13</v>
      </c>
      <c r="J86" s="58"/>
      <c r="K86" s="58"/>
      <c r="L86" s="58"/>
      <c r="M86" s="58"/>
      <c r="N86" s="58"/>
      <c r="O86" s="58"/>
      <c r="P86" s="58"/>
      <c r="Q86" s="58"/>
      <c r="R86" s="58"/>
      <c r="S86" s="58"/>
      <c r="T86" s="58"/>
      <c r="U86" s="58"/>
      <c r="V86" s="58"/>
      <c r="W86" s="58"/>
      <c r="X86" s="58"/>
      <c r="Y86" s="58"/>
      <c r="Z86" s="58"/>
    </row>
    <row r="87">
      <c r="A87" s="85" t="s">
        <v>789</v>
      </c>
      <c r="B87" s="72" t="s">
        <v>1449</v>
      </c>
      <c r="C87" s="73" t="s">
        <v>1488</v>
      </c>
      <c r="D87" s="72" t="s">
        <v>1726</v>
      </c>
      <c r="E87" s="73" t="s">
        <v>1727</v>
      </c>
      <c r="F87" s="73" t="s">
        <v>1500</v>
      </c>
      <c r="G87" s="73" t="s">
        <v>1723</v>
      </c>
      <c r="H87" s="73" t="s">
        <v>1502</v>
      </c>
      <c r="I87" s="73" t="s">
        <v>13</v>
      </c>
      <c r="J87" s="58"/>
      <c r="K87" s="58"/>
      <c r="L87" s="58"/>
      <c r="M87" s="58"/>
      <c r="N87" s="58"/>
      <c r="O87" s="58"/>
      <c r="P87" s="58"/>
      <c r="Q87" s="58"/>
      <c r="R87" s="58"/>
      <c r="S87" s="58"/>
      <c r="T87" s="58"/>
      <c r="U87" s="58"/>
      <c r="V87" s="58"/>
      <c r="W87" s="58"/>
      <c r="X87" s="58"/>
      <c r="Y87" s="58"/>
      <c r="Z87" s="58"/>
    </row>
    <row r="88">
      <c r="A88" s="85" t="s">
        <v>793</v>
      </c>
      <c r="B88" s="72" t="s">
        <v>1449</v>
      </c>
      <c r="C88" s="73" t="s">
        <v>1488</v>
      </c>
      <c r="D88" s="72" t="s">
        <v>1728</v>
      </c>
      <c r="E88" s="73" t="s">
        <v>1729</v>
      </c>
      <c r="F88" s="73" t="s">
        <v>1500</v>
      </c>
      <c r="G88" s="73" t="s">
        <v>1723</v>
      </c>
      <c r="H88" s="73" t="s">
        <v>1502</v>
      </c>
      <c r="I88" s="73" t="s">
        <v>13</v>
      </c>
      <c r="J88" s="58"/>
      <c r="K88" s="58"/>
      <c r="L88" s="58"/>
      <c r="M88" s="58"/>
      <c r="N88" s="58"/>
      <c r="O88" s="58"/>
      <c r="P88" s="58"/>
      <c r="Q88" s="58"/>
      <c r="R88" s="58"/>
      <c r="S88" s="58"/>
      <c r="T88" s="58"/>
      <c r="U88" s="58"/>
      <c r="V88" s="58"/>
      <c r="W88" s="58"/>
      <c r="X88" s="58"/>
      <c r="Y88" s="58"/>
      <c r="Z88" s="58"/>
    </row>
    <row r="89">
      <c r="A89" s="85" t="s">
        <v>798</v>
      </c>
      <c r="B89" s="72" t="s">
        <v>1449</v>
      </c>
      <c r="C89" s="73" t="s">
        <v>1488</v>
      </c>
      <c r="D89" s="72" t="s">
        <v>1730</v>
      </c>
      <c r="E89" s="73" t="s">
        <v>1731</v>
      </c>
      <c r="F89" s="73" t="s">
        <v>1511</v>
      </c>
      <c r="G89" s="73" t="s">
        <v>1732</v>
      </c>
      <c r="H89" s="73" t="s">
        <v>1513</v>
      </c>
      <c r="I89" s="73" t="s">
        <v>13</v>
      </c>
      <c r="J89" s="58"/>
      <c r="K89" s="58"/>
      <c r="L89" s="58"/>
      <c r="M89" s="58"/>
      <c r="N89" s="58"/>
      <c r="O89" s="58"/>
      <c r="P89" s="58"/>
      <c r="Q89" s="58"/>
      <c r="R89" s="58"/>
      <c r="S89" s="58"/>
      <c r="T89" s="58"/>
      <c r="U89" s="58"/>
      <c r="V89" s="58"/>
      <c r="W89" s="58"/>
      <c r="X89" s="58"/>
      <c r="Y89" s="58"/>
      <c r="Z89" s="58"/>
    </row>
    <row r="90">
      <c r="A90" s="85" t="s">
        <v>804</v>
      </c>
      <c r="B90" s="72" t="s">
        <v>1449</v>
      </c>
      <c r="C90" s="73" t="s">
        <v>1488</v>
      </c>
      <c r="D90" s="72" t="s">
        <v>1733</v>
      </c>
      <c r="E90" s="73" t="s">
        <v>1734</v>
      </c>
      <c r="F90" s="73" t="s">
        <v>1500</v>
      </c>
      <c r="G90" s="73" t="s">
        <v>1723</v>
      </c>
      <c r="H90" s="73" t="s">
        <v>1502</v>
      </c>
      <c r="I90" s="73" t="s">
        <v>13</v>
      </c>
      <c r="J90" s="58"/>
      <c r="K90" s="58"/>
      <c r="L90" s="58"/>
      <c r="M90" s="58"/>
      <c r="N90" s="58"/>
      <c r="O90" s="58"/>
      <c r="P90" s="58"/>
      <c r="Q90" s="58"/>
      <c r="R90" s="58"/>
      <c r="S90" s="58"/>
      <c r="T90" s="58"/>
      <c r="U90" s="58"/>
      <c r="V90" s="58"/>
      <c r="W90" s="58"/>
      <c r="X90" s="58"/>
      <c r="Y90" s="58"/>
      <c r="Z90" s="58"/>
    </row>
    <row r="91">
      <c r="A91" s="85" t="s">
        <v>807</v>
      </c>
      <c r="B91" s="72" t="s">
        <v>1449</v>
      </c>
      <c r="C91" s="73" t="s">
        <v>1488</v>
      </c>
      <c r="D91" s="72" t="s">
        <v>1735</v>
      </c>
      <c r="E91" s="73" t="s">
        <v>1736</v>
      </c>
      <c r="F91" s="73" t="s">
        <v>1518</v>
      </c>
      <c r="G91" s="73" t="s">
        <v>1737</v>
      </c>
      <c r="H91" s="73" t="s">
        <v>1520</v>
      </c>
      <c r="I91" s="73" t="s">
        <v>13</v>
      </c>
      <c r="J91" s="58"/>
      <c r="K91" s="58"/>
      <c r="L91" s="58"/>
      <c r="M91" s="58"/>
      <c r="N91" s="58"/>
      <c r="O91" s="58"/>
      <c r="P91" s="58"/>
      <c r="Q91" s="58"/>
      <c r="R91" s="58"/>
      <c r="S91" s="58"/>
      <c r="T91" s="58"/>
      <c r="U91" s="58"/>
      <c r="V91" s="58"/>
      <c r="W91" s="58"/>
      <c r="X91" s="58"/>
      <c r="Y91" s="58"/>
      <c r="Z91" s="58"/>
    </row>
    <row r="92">
      <c r="A92" s="85" t="s">
        <v>812</v>
      </c>
      <c r="B92" s="72" t="s">
        <v>1449</v>
      </c>
      <c r="C92" s="73" t="s">
        <v>1488</v>
      </c>
      <c r="D92" s="72" t="s">
        <v>1738</v>
      </c>
      <c r="E92" s="73" t="s">
        <v>1739</v>
      </c>
      <c r="F92" s="73" t="s">
        <v>1518</v>
      </c>
      <c r="G92" s="73" t="s">
        <v>1737</v>
      </c>
      <c r="H92" s="73" t="s">
        <v>1523</v>
      </c>
      <c r="I92" s="73" t="s">
        <v>13</v>
      </c>
      <c r="J92" s="58"/>
      <c r="K92" s="58"/>
      <c r="L92" s="58"/>
      <c r="M92" s="58"/>
      <c r="N92" s="58"/>
      <c r="O92" s="58"/>
      <c r="P92" s="58"/>
      <c r="Q92" s="58"/>
      <c r="R92" s="58"/>
      <c r="S92" s="58"/>
      <c r="T92" s="58"/>
      <c r="U92" s="58"/>
      <c r="V92" s="58"/>
      <c r="W92" s="58"/>
      <c r="X92" s="58"/>
      <c r="Y92" s="58"/>
      <c r="Z92" s="58"/>
    </row>
    <row r="93">
      <c r="A93" s="85" t="s">
        <v>816</v>
      </c>
      <c r="B93" s="72" t="s">
        <v>1449</v>
      </c>
      <c r="C93" s="73" t="s">
        <v>1488</v>
      </c>
      <c r="D93" s="72" t="s">
        <v>1740</v>
      </c>
      <c r="E93" s="73" t="s">
        <v>1525</v>
      </c>
      <c r="F93" s="73" t="s">
        <v>1526</v>
      </c>
      <c r="G93" s="73" t="s">
        <v>1719</v>
      </c>
      <c r="H93" s="73" t="s">
        <v>1527</v>
      </c>
      <c r="I93" s="73" t="s">
        <v>13</v>
      </c>
      <c r="J93" s="58"/>
      <c r="K93" s="58"/>
      <c r="L93" s="58"/>
      <c r="M93" s="58"/>
      <c r="N93" s="58"/>
      <c r="O93" s="58"/>
      <c r="P93" s="58"/>
      <c r="Q93" s="58"/>
      <c r="R93" s="58"/>
      <c r="S93" s="58"/>
      <c r="T93" s="58"/>
      <c r="U93" s="58"/>
      <c r="V93" s="58"/>
      <c r="W93" s="58"/>
      <c r="X93" s="58"/>
      <c r="Y93" s="58"/>
      <c r="Z93" s="58"/>
    </row>
    <row r="94">
      <c r="A94" s="85" t="s">
        <v>820</v>
      </c>
      <c r="B94" s="72" t="s">
        <v>1449</v>
      </c>
      <c r="C94" s="73" t="s">
        <v>1488</v>
      </c>
      <c r="D94" s="72" t="s">
        <v>1741</v>
      </c>
      <c r="E94" s="73" t="s">
        <v>1529</v>
      </c>
      <c r="F94" s="73" t="s">
        <v>1530</v>
      </c>
      <c r="G94" s="73" t="s">
        <v>1719</v>
      </c>
      <c r="H94" s="73" t="s">
        <v>1527</v>
      </c>
      <c r="I94" s="73" t="s">
        <v>13</v>
      </c>
      <c r="J94" s="58"/>
      <c r="K94" s="58"/>
      <c r="L94" s="58"/>
      <c r="M94" s="58"/>
      <c r="N94" s="58"/>
      <c r="O94" s="58"/>
      <c r="P94" s="58"/>
      <c r="Q94" s="58"/>
      <c r="R94" s="58"/>
      <c r="S94" s="58"/>
      <c r="T94" s="58"/>
      <c r="U94" s="58"/>
      <c r="V94" s="58"/>
      <c r="W94" s="58"/>
      <c r="X94" s="58"/>
      <c r="Y94" s="58"/>
      <c r="Z94" s="58"/>
    </row>
    <row r="95">
      <c r="A95" s="85" t="s">
        <v>824</v>
      </c>
      <c r="B95" s="72" t="s">
        <v>1449</v>
      </c>
      <c r="C95" s="73" t="s">
        <v>1488</v>
      </c>
      <c r="D95" s="72" t="s">
        <v>1742</v>
      </c>
      <c r="E95" s="73" t="s">
        <v>1532</v>
      </c>
      <c r="F95" s="73" t="s">
        <v>1533</v>
      </c>
      <c r="G95" s="73" t="s">
        <v>1719</v>
      </c>
      <c r="H95" s="73" t="s">
        <v>1534</v>
      </c>
      <c r="I95" s="73" t="s">
        <v>13</v>
      </c>
      <c r="J95" s="58"/>
      <c r="K95" s="58"/>
      <c r="L95" s="58"/>
      <c r="M95" s="58"/>
      <c r="N95" s="58"/>
      <c r="O95" s="58"/>
      <c r="P95" s="58"/>
      <c r="Q95" s="58"/>
      <c r="R95" s="58"/>
      <c r="S95" s="58"/>
      <c r="T95" s="58"/>
      <c r="U95" s="58"/>
      <c r="V95" s="58"/>
      <c r="W95" s="58"/>
      <c r="X95" s="58"/>
      <c r="Y95" s="58"/>
      <c r="Z95" s="58"/>
    </row>
    <row r="96">
      <c r="A96" s="85" t="s">
        <v>827</v>
      </c>
      <c r="B96" s="72" t="s">
        <v>1449</v>
      </c>
      <c r="C96" s="73" t="s">
        <v>1488</v>
      </c>
      <c r="D96" s="72" t="s">
        <v>1743</v>
      </c>
      <c r="E96" s="73" t="s">
        <v>1744</v>
      </c>
      <c r="F96" s="73" t="s">
        <v>1537</v>
      </c>
      <c r="G96" s="73" t="s">
        <v>1716</v>
      </c>
      <c r="H96" s="73" t="s">
        <v>1538</v>
      </c>
      <c r="I96" s="73" t="s">
        <v>13</v>
      </c>
      <c r="J96" s="58"/>
      <c r="K96" s="58"/>
      <c r="L96" s="58"/>
      <c r="M96" s="58"/>
      <c r="N96" s="58"/>
      <c r="O96" s="58"/>
      <c r="P96" s="58"/>
      <c r="Q96" s="58"/>
      <c r="R96" s="58"/>
      <c r="S96" s="58"/>
      <c r="T96" s="58"/>
      <c r="U96" s="58"/>
      <c r="V96" s="58"/>
      <c r="W96" s="58"/>
      <c r="X96" s="58"/>
      <c r="Y96" s="58"/>
      <c r="Z96" s="58"/>
    </row>
    <row r="97">
      <c r="A97" s="85" t="s">
        <v>831</v>
      </c>
      <c r="B97" s="72" t="s">
        <v>1449</v>
      </c>
      <c r="C97" s="73" t="s">
        <v>1488</v>
      </c>
      <c r="D97" s="72" t="s">
        <v>1745</v>
      </c>
      <c r="E97" s="73" t="s">
        <v>1746</v>
      </c>
      <c r="F97" s="73" t="s">
        <v>1541</v>
      </c>
      <c r="G97" s="73" t="s">
        <v>1747</v>
      </c>
      <c r="H97" s="73" t="s">
        <v>1541</v>
      </c>
      <c r="I97" s="73" t="s">
        <v>13</v>
      </c>
      <c r="J97" s="58"/>
      <c r="K97" s="58"/>
      <c r="L97" s="58"/>
      <c r="M97" s="58"/>
      <c r="N97" s="58"/>
      <c r="O97" s="58"/>
      <c r="P97" s="58"/>
      <c r="Q97" s="58"/>
      <c r="R97" s="58"/>
      <c r="S97" s="58"/>
      <c r="T97" s="58"/>
      <c r="U97" s="58"/>
      <c r="V97" s="58"/>
      <c r="W97" s="58"/>
      <c r="X97" s="58"/>
      <c r="Y97" s="58"/>
      <c r="Z97" s="58"/>
    </row>
    <row r="98">
      <c r="A98" s="85" t="s">
        <v>835</v>
      </c>
      <c r="B98" s="72" t="s">
        <v>1449</v>
      </c>
      <c r="C98" s="73" t="s">
        <v>1488</v>
      </c>
      <c r="D98" s="72" t="s">
        <v>1748</v>
      </c>
      <c r="E98" s="73" t="s">
        <v>1749</v>
      </c>
      <c r="F98" s="73" t="s">
        <v>1545</v>
      </c>
      <c r="G98" s="73" t="s">
        <v>1750</v>
      </c>
      <c r="H98" s="73" t="s">
        <v>1547</v>
      </c>
      <c r="I98" s="73" t="s">
        <v>13</v>
      </c>
      <c r="J98" s="58"/>
      <c r="K98" s="58"/>
      <c r="L98" s="58"/>
      <c r="M98" s="58"/>
      <c r="N98" s="58"/>
      <c r="O98" s="58"/>
      <c r="P98" s="58"/>
      <c r="Q98" s="58"/>
      <c r="R98" s="58"/>
      <c r="S98" s="58"/>
      <c r="T98" s="58"/>
      <c r="U98" s="58"/>
      <c r="V98" s="58"/>
      <c r="W98" s="58"/>
      <c r="X98" s="58"/>
      <c r="Y98" s="58"/>
      <c r="Z98" s="58"/>
    </row>
    <row r="99">
      <c r="A99" s="85" t="s">
        <v>840</v>
      </c>
      <c r="B99" s="72" t="s">
        <v>1449</v>
      </c>
      <c r="C99" s="73" t="s">
        <v>1488</v>
      </c>
      <c r="D99" s="72" t="s">
        <v>1751</v>
      </c>
      <c r="E99" s="73" t="s">
        <v>1752</v>
      </c>
      <c r="F99" s="73" t="s">
        <v>1550</v>
      </c>
      <c r="G99" s="73" t="s">
        <v>1750</v>
      </c>
      <c r="H99" s="73" t="s">
        <v>1551</v>
      </c>
      <c r="I99" s="73" t="s">
        <v>13</v>
      </c>
      <c r="J99" s="58"/>
      <c r="K99" s="58"/>
      <c r="L99" s="58"/>
      <c r="M99" s="58"/>
      <c r="N99" s="58"/>
      <c r="O99" s="58"/>
      <c r="P99" s="58"/>
      <c r="Q99" s="58"/>
      <c r="R99" s="58"/>
      <c r="S99" s="58"/>
      <c r="T99" s="58"/>
      <c r="U99" s="58"/>
      <c r="V99" s="58"/>
      <c r="W99" s="58"/>
      <c r="X99" s="58"/>
      <c r="Y99" s="58"/>
      <c r="Z99" s="58"/>
    </row>
    <row r="100">
      <c r="A100" s="85" t="s">
        <v>844</v>
      </c>
      <c r="B100" s="72" t="s">
        <v>1449</v>
      </c>
      <c r="C100" s="73" t="s">
        <v>1488</v>
      </c>
      <c r="D100" s="72" t="s">
        <v>1753</v>
      </c>
      <c r="E100" s="73" t="s">
        <v>1754</v>
      </c>
      <c r="F100" s="73" t="s">
        <v>1554</v>
      </c>
      <c r="G100" s="73" t="s">
        <v>1719</v>
      </c>
      <c r="H100" s="73" t="s">
        <v>1555</v>
      </c>
      <c r="I100" s="73" t="s">
        <v>13</v>
      </c>
      <c r="J100" s="58"/>
      <c r="K100" s="58"/>
      <c r="L100" s="58"/>
      <c r="M100" s="58"/>
      <c r="N100" s="58"/>
      <c r="O100" s="58"/>
      <c r="P100" s="58"/>
      <c r="Q100" s="58"/>
      <c r="R100" s="58"/>
      <c r="S100" s="58"/>
      <c r="T100" s="58"/>
      <c r="U100" s="58"/>
      <c r="V100" s="58"/>
      <c r="W100" s="58"/>
      <c r="X100" s="58"/>
      <c r="Y100" s="58"/>
      <c r="Z100" s="58"/>
    </row>
    <row r="101">
      <c r="A101" s="85" t="s">
        <v>848</v>
      </c>
      <c r="B101" s="72" t="s">
        <v>1449</v>
      </c>
      <c r="C101" s="73" t="s">
        <v>1556</v>
      </c>
      <c r="D101" s="72" t="s">
        <v>1755</v>
      </c>
      <c r="E101" s="73" t="s">
        <v>1756</v>
      </c>
      <c r="F101" s="73" t="s">
        <v>1559</v>
      </c>
      <c r="G101" s="73" t="s">
        <v>1719</v>
      </c>
      <c r="H101" s="73" t="s">
        <v>1559</v>
      </c>
      <c r="I101" s="73" t="s">
        <v>13</v>
      </c>
      <c r="J101" s="58"/>
      <c r="K101" s="58"/>
      <c r="L101" s="58"/>
      <c r="M101" s="58"/>
      <c r="N101" s="58"/>
      <c r="O101" s="58"/>
      <c r="P101" s="58"/>
      <c r="Q101" s="58"/>
      <c r="R101" s="58"/>
      <c r="S101" s="58"/>
      <c r="T101" s="58"/>
      <c r="U101" s="58"/>
      <c r="V101" s="58"/>
      <c r="W101" s="58"/>
      <c r="X101" s="58"/>
      <c r="Y101" s="58"/>
      <c r="Z101" s="58"/>
    </row>
    <row r="102">
      <c r="A102" s="85" t="s">
        <v>851</v>
      </c>
      <c r="B102" s="72" t="s">
        <v>1449</v>
      </c>
      <c r="C102" s="73" t="s">
        <v>1556</v>
      </c>
      <c r="D102" s="73" t="s">
        <v>1560</v>
      </c>
      <c r="E102" s="73" t="s">
        <v>1757</v>
      </c>
      <c r="F102" s="73" t="s">
        <v>1562</v>
      </c>
      <c r="G102" s="73" t="s">
        <v>1758</v>
      </c>
      <c r="H102" s="73" t="s">
        <v>1564</v>
      </c>
      <c r="I102" s="73" t="s">
        <v>13</v>
      </c>
      <c r="J102" s="58"/>
      <c r="K102" s="58"/>
      <c r="L102" s="58"/>
      <c r="M102" s="58"/>
      <c r="N102" s="58"/>
      <c r="O102" s="58"/>
      <c r="P102" s="58"/>
      <c r="Q102" s="58"/>
      <c r="R102" s="58"/>
      <c r="S102" s="58"/>
      <c r="T102" s="58"/>
      <c r="U102" s="58"/>
      <c r="V102" s="58"/>
      <c r="W102" s="58"/>
      <c r="X102" s="58"/>
      <c r="Y102" s="58"/>
      <c r="Z102" s="58"/>
    </row>
    <row r="103">
      <c r="A103" s="85" t="s">
        <v>854</v>
      </c>
      <c r="B103" s="72" t="s">
        <v>1449</v>
      </c>
      <c r="C103" s="73" t="s">
        <v>1556</v>
      </c>
      <c r="D103" s="73" t="s">
        <v>1560</v>
      </c>
      <c r="E103" s="73" t="s">
        <v>1759</v>
      </c>
      <c r="F103" s="73" t="s">
        <v>1566</v>
      </c>
      <c r="G103" s="73" t="s">
        <v>1760</v>
      </c>
      <c r="H103" s="73" t="s">
        <v>1568</v>
      </c>
      <c r="I103" s="73" t="s">
        <v>13</v>
      </c>
      <c r="J103" s="58"/>
      <c r="K103" s="58"/>
      <c r="L103" s="58"/>
      <c r="M103" s="58"/>
      <c r="N103" s="58"/>
      <c r="O103" s="58"/>
      <c r="P103" s="58"/>
      <c r="Q103" s="58"/>
      <c r="R103" s="58"/>
      <c r="S103" s="58"/>
      <c r="T103" s="58"/>
      <c r="U103" s="58"/>
      <c r="V103" s="58"/>
      <c r="W103" s="58"/>
      <c r="X103" s="58"/>
      <c r="Y103" s="58"/>
      <c r="Z103" s="58"/>
    </row>
    <row r="104">
      <c r="A104" s="85" t="s">
        <v>858</v>
      </c>
      <c r="B104" s="72" t="s">
        <v>1449</v>
      </c>
      <c r="C104" s="73" t="s">
        <v>1556</v>
      </c>
      <c r="D104" s="73" t="s">
        <v>1569</v>
      </c>
      <c r="E104" s="73" t="s">
        <v>1761</v>
      </c>
      <c r="F104" s="73" t="s">
        <v>1571</v>
      </c>
      <c r="G104" s="73" t="s">
        <v>1762</v>
      </c>
      <c r="H104" s="73" t="s">
        <v>1573</v>
      </c>
      <c r="I104" s="73" t="s">
        <v>13</v>
      </c>
      <c r="J104" s="58"/>
      <c r="K104" s="58"/>
      <c r="L104" s="58"/>
      <c r="M104" s="58"/>
      <c r="N104" s="58"/>
      <c r="O104" s="58"/>
      <c r="P104" s="58"/>
      <c r="Q104" s="58"/>
      <c r="R104" s="58"/>
      <c r="S104" s="58"/>
      <c r="T104" s="58"/>
      <c r="U104" s="58"/>
      <c r="V104" s="58"/>
      <c r="W104" s="58"/>
      <c r="X104" s="58"/>
      <c r="Y104" s="58"/>
      <c r="Z104" s="58"/>
    </row>
    <row r="105">
      <c r="A105" s="85" t="s">
        <v>862</v>
      </c>
      <c r="B105" s="72" t="s">
        <v>1449</v>
      </c>
      <c r="C105" s="73" t="s">
        <v>1556</v>
      </c>
      <c r="D105" s="73" t="s">
        <v>1574</v>
      </c>
      <c r="E105" s="73" t="s">
        <v>1763</v>
      </c>
      <c r="F105" s="73" t="s">
        <v>1576</v>
      </c>
      <c r="G105" s="73" t="s">
        <v>1764</v>
      </c>
      <c r="H105" s="73" t="s">
        <v>1578</v>
      </c>
      <c r="I105" s="73" t="s">
        <v>13</v>
      </c>
      <c r="J105" s="58"/>
      <c r="K105" s="58"/>
      <c r="L105" s="58"/>
      <c r="M105" s="58"/>
      <c r="N105" s="58"/>
      <c r="O105" s="58"/>
      <c r="P105" s="58"/>
      <c r="Q105" s="58"/>
      <c r="R105" s="58"/>
      <c r="S105" s="58"/>
      <c r="T105" s="58"/>
      <c r="U105" s="58"/>
      <c r="V105" s="58"/>
      <c r="W105" s="58"/>
      <c r="X105" s="58"/>
      <c r="Y105" s="58"/>
      <c r="Z105" s="58"/>
    </row>
    <row r="106">
      <c r="A106" s="85" t="s">
        <v>866</v>
      </c>
      <c r="B106" s="72" t="s">
        <v>1449</v>
      </c>
      <c r="C106" s="73" t="s">
        <v>1556</v>
      </c>
      <c r="D106" s="73" t="s">
        <v>1574</v>
      </c>
      <c r="E106" s="73" t="s">
        <v>1765</v>
      </c>
      <c r="F106" s="73" t="s">
        <v>1580</v>
      </c>
      <c r="G106" s="73" t="s">
        <v>1719</v>
      </c>
      <c r="H106" s="73" t="s">
        <v>1581</v>
      </c>
      <c r="I106" s="73" t="s">
        <v>13</v>
      </c>
      <c r="J106" s="58"/>
      <c r="K106" s="58"/>
      <c r="L106" s="58"/>
      <c r="M106" s="58"/>
      <c r="N106" s="58"/>
      <c r="O106" s="58"/>
      <c r="P106" s="58"/>
      <c r="Q106" s="58"/>
      <c r="R106" s="58"/>
      <c r="S106" s="58"/>
      <c r="T106" s="58"/>
      <c r="U106" s="58"/>
      <c r="V106" s="58"/>
      <c r="W106" s="58"/>
      <c r="X106" s="58"/>
      <c r="Y106" s="58"/>
      <c r="Z106" s="58"/>
    </row>
    <row r="107">
      <c r="A107" s="85" t="s">
        <v>869</v>
      </c>
      <c r="B107" s="72" t="s">
        <v>1449</v>
      </c>
      <c r="C107" s="73" t="s">
        <v>1556</v>
      </c>
      <c r="D107" s="73" t="s">
        <v>1574</v>
      </c>
      <c r="E107" s="73" t="s">
        <v>1766</v>
      </c>
      <c r="F107" s="73" t="s">
        <v>1583</v>
      </c>
      <c r="G107" s="73" t="s">
        <v>1719</v>
      </c>
      <c r="H107" s="75"/>
      <c r="I107" s="73" t="s">
        <v>13</v>
      </c>
      <c r="J107" s="58"/>
      <c r="K107" s="58"/>
      <c r="L107" s="58"/>
      <c r="M107" s="58"/>
      <c r="N107" s="58"/>
      <c r="O107" s="58"/>
      <c r="P107" s="58"/>
      <c r="Q107" s="58"/>
      <c r="R107" s="58"/>
      <c r="S107" s="58"/>
      <c r="T107" s="58"/>
      <c r="U107" s="58"/>
      <c r="V107" s="58"/>
      <c r="W107" s="58"/>
      <c r="X107" s="58"/>
      <c r="Y107" s="58"/>
      <c r="Z107" s="58"/>
    </row>
    <row r="108">
      <c r="A108" s="85" t="s">
        <v>872</v>
      </c>
      <c r="B108" s="72" t="s">
        <v>1449</v>
      </c>
      <c r="C108" s="73" t="s">
        <v>1556</v>
      </c>
      <c r="D108" s="73" t="s">
        <v>1574</v>
      </c>
      <c r="E108" s="73" t="s">
        <v>1584</v>
      </c>
      <c r="F108" s="73" t="s">
        <v>1585</v>
      </c>
      <c r="G108" s="73" t="s">
        <v>1719</v>
      </c>
      <c r="H108" s="73" t="s">
        <v>1586</v>
      </c>
      <c r="I108" s="73" t="s">
        <v>13</v>
      </c>
      <c r="J108" s="58"/>
      <c r="K108" s="58"/>
      <c r="L108" s="58"/>
      <c r="M108" s="58"/>
      <c r="N108" s="58"/>
      <c r="O108" s="58"/>
      <c r="P108" s="58"/>
      <c r="Q108" s="58"/>
      <c r="R108" s="58"/>
      <c r="S108" s="58"/>
      <c r="T108" s="58"/>
      <c r="U108" s="58"/>
      <c r="V108" s="58"/>
      <c r="W108" s="58"/>
      <c r="X108" s="58"/>
      <c r="Y108" s="58"/>
      <c r="Z108" s="58"/>
    </row>
    <row r="109">
      <c r="A109" s="85" t="s">
        <v>875</v>
      </c>
      <c r="B109" s="72" t="s">
        <v>1449</v>
      </c>
      <c r="C109" s="73" t="s">
        <v>1556</v>
      </c>
      <c r="D109" s="73" t="s">
        <v>1574</v>
      </c>
      <c r="E109" s="73" t="s">
        <v>1767</v>
      </c>
      <c r="F109" s="73" t="s">
        <v>1588</v>
      </c>
      <c r="G109" s="73" t="s">
        <v>1768</v>
      </c>
      <c r="H109" s="73" t="s">
        <v>1590</v>
      </c>
      <c r="I109" s="73" t="s">
        <v>13</v>
      </c>
      <c r="J109" s="58"/>
      <c r="K109" s="58"/>
      <c r="L109" s="58"/>
      <c r="M109" s="58"/>
      <c r="N109" s="58"/>
      <c r="O109" s="58"/>
      <c r="P109" s="58"/>
      <c r="Q109" s="58"/>
      <c r="R109" s="58"/>
      <c r="S109" s="58"/>
      <c r="T109" s="58"/>
      <c r="U109" s="58"/>
      <c r="V109" s="58"/>
      <c r="W109" s="58"/>
      <c r="X109" s="58"/>
      <c r="Y109" s="58"/>
      <c r="Z109" s="58"/>
    </row>
    <row r="110">
      <c r="A110" s="85" t="s">
        <v>879</v>
      </c>
      <c r="B110" s="72" t="s">
        <v>1449</v>
      </c>
      <c r="C110" s="73" t="s">
        <v>1556</v>
      </c>
      <c r="D110" s="73" t="s">
        <v>1574</v>
      </c>
      <c r="E110" s="73" t="s">
        <v>1769</v>
      </c>
      <c r="F110" s="73" t="s">
        <v>1592</v>
      </c>
      <c r="G110" s="73" t="s">
        <v>1719</v>
      </c>
      <c r="H110" s="73" t="s">
        <v>1593</v>
      </c>
      <c r="I110" s="73" t="s">
        <v>13</v>
      </c>
      <c r="J110" s="58"/>
      <c r="K110" s="58"/>
      <c r="L110" s="58"/>
      <c r="M110" s="58"/>
      <c r="N110" s="58"/>
      <c r="O110" s="58"/>
      <c r="P110" s="58"/>
      <c r="Q110" s="58"/>
      <c r="R110" s="58"/>
      <c r="S110" s="58"/>
      <c r="T110" s="58"/>
      <c r="U110" s="58"/>
      <c r="V110" s="58"/>
      <c r="W110" s="58"/>
      <c r="X110" s="58"/>
      <c r="Y110" s="58"/>
      <c r="Z110" s="58"/>
    </row>
    <row r="111">
      <c r="A111" s="85" t="s">
        <v>882</v>
      </c>
      <c r="B111" s="72" t="s">
        <v>1449</v>
      </c>
      <c r="C111" s="73" t="s">
        <v>1556</v>
      </c>
      <c r="D111" s="73" t="s">
        <v>1574</v>
      </c>
      <c r="E111" s="73" t="s">
        <v>1770</v>
      </c>
      <c r="F111" s="73" t="s">
        <v>1595</v>
      </c>
      <c r="G111" s="73" t="s">
        <v>1719</v>
      </c>
      <c r="H111" s="73" t="s">
        <v>1596</v>
      </c>
      <c r="I111" s="73" t="s">
        <v>13</v>
      </c>
      <c r="J111" s="58"/>
      <c r="K111" s="58"/>
      <c r="L111" s="58"/>
      <c r="M111" s="58"/>
      <c r="N111" s="58"/>
      <c r="O111" s="58"/>
      <c r="P111" s="58"/>
      <c r="Q111" s="58"/>
      <c r="R111" s="58"/>
      <c r="S111" s="58"/>
      <c r="T111" s="58"/>
      <c r="U111" s="58"/>
      <c r="V111" s="58"/>
      <c r="W111" s="58"/>
      <c r="X111" s="58"/>
      <c r="Y111" s="58"/>
      <c r="Z111" s="58"/>
    </row>
    <row r="112">
      <c r="A112" s="85" t="s">
        <v>886</v>
      </c>
      <c r="B112" s="72" t="s">
        <v>1449</v>
      </c>
      <c r="C112" s="73" t="s">
        <v>1556</v>
      </c>
      <c r="D112" s="73" t="s">
        <v>1597</v>
      </c>
      <c r="E112" s="73" t="s">
        <v>1771</v>
      </c>
      <c r="F112" s="73" t="s">
        <v>1599</v>
      </c>
      <c r="G112" s="73" t="s">
        <v>1719</v>
      </c>
      <c r="H112" s="73" t="s">
        <v>1600</v>
      </c>
      <c r="I112" s="73" t="s">
        <v>13</v>
      </c>
      <c r="J112" s="58"/>
      <c r="K112" s="58"/>
      <c r="L112" s="58"/>
      <c r="M112" s="58"/>
      <c r="N112" s="58"/>
      <c r="O112" s="58"/>
      <c r="P112" s="58"/>
      <c r="Q112" s="58"/>
      <c r="R112" s="58"/>
      <c r="S112" s="58"/>
      <c r="T112" s="58"/>
      <c r="U112" s="58"/>
      <c r="V112" s="58"/>
      <c r="W112" s="58"/>
      <c r="X112" s="58"/>
      <c r="Y112" s="58"/>
      <c r="Z112" s="58"/>
    </row>
    <row r="113">
      <c r="A113" s="85" t="s">
        <v>889</v>
      </c>
      <c r="B113" s="72" t="s">
        <v>1449</v>
      </c>
      <c r="C113" s="73" t="s">
        <v>1556</v>
      </c>
      <c r="D113" s="73" t="s">
        <v>1597</v>
      </c>
      <c r="E113" s="73" t="s">
        <v>1772</v>
      </c>
      <c r="F113" s="73" t="s">
        <v>1602</v>
      </c>
      <c r="G113" s="73" t="s">
        <v>1719</v>
      </c>
      <c r="H113" s="73" t="s">
        <v>1603</v>
      </c>
      <c r="I113" s="73" t="s">
        <v>13</v>
      </c>
      <c r="J113" s="58"/>
      <c r="K113" s="58"/>
      <c r="L113" s="58"/>
      <c r="M113" s="58"/>
      <c r="N113" s="58"/>
      <c r="O113" s="58"/>
      <c r="P113" s="58"/>
      <c r="Q113" s="58"/>
      <c r="R113" s="58"/>
      <c r="S113" s="58"/>
      <c r="T113" s="58"/>
      <c r="U113" s="58"/>
      <c r="V113" s="58"/>
      <c r="W113" s="58"/>
      <c r="X113" s="58"/>
      <c r="Y113" s="58"/>
      <c r="Z113" s="58"/>
    </row>
    <row r="114">
      <c r="A114" s="85" t="s">
        <v>891</v>
      </c>
      <c r="B114" s="72" t="s">
        <v>1449</v>
      </c>
      <c r="C114" s="73" t="s">
        <v>1556</v>
      </c>
      <c r="D114" s="73" t="s">
        <v>1597</v>
      </c>
      <c r="E114" s="73" t="s">
        <v>1604</v>
      </c>
      <c r="F114" s="73" t="s">
        <v>1605</v>
      </c>
      <c r="G114" s="73" t="s">
        <v>1719</v>
      </c>
      <c r="H114" s="73" t="s">
        <v>1606</v>
      </c>
      <c r="I114" s="73" t="s">
        <v>13</v>
      </c>
      <c r="J114" s="58"/>
      <c r="K114" s="58"/>
      <c r="L114" s="58"/>
      <c r="M114" s="58"/>
      <c r="N114" s="58"/>
      <c r="O114" s="58"/>
      <c r="P114" s="58"/>
      <c r="Q114" s="58"/>
      <c r="R114" s="58"/>
      <c r="S114" s="58"/>
      <c r="T114" s="58"/>
      <c r="U114" s="58"/>
      <c r="V114" s="58"/>
      <c r="W114" s="58"/>
      <c r="X114" s="58"/>
      <c r="Y114" s="58"/>
      <c r="Z114" s="58"/>
    </row>
    <row r="115">
      <c r="A115" s="85" t="s">
        <v>893</v>
      </c>
      <c r="B115" s="72" t="s">
        <v>1449</v>
      </c>
      <c r="C115" s="73" t="s">
        <v>1556</v>
      </c>
      <c r="D115" s="73" t="s">
        <v>1597</v>
      </c>
      <c r="E115" s="73" t="s">
        <v>1095</v>
      </c>
      <c r="F115" s="73" t="s">
        <v>1607</v>
      </c>
      <c r="G115" s="73" t="s">
        <v>1719</v>
      </c>
      <c r="H115" s="73" t="s">
        <v>1608</v>
      </c>
      <c r="I115" s="73" t="s">
        <v>13</v>
      </c>
      <c r="J115" s="58"/>
      <c r="K115" s="58"/>
      <c r="L115" s="58"/>
      <c r="M115" s="58"/>
      <c r="N115" s="58"/>
      <c r="O115" s="58"/>
      <c r="P115" s="58"/>
      <c r="Q115" s="58"/>
      <c r="R115" s="58"/>
      <c r="S115" s="58"/>
      <c r="T115" s="58"/>
      <c r="U115" s="58"/>
      <c r="V115" s="58"/>
      <c r="W115" s="58"/>
      <c r="X115" s="58"/>
      <c r="Y115" s="58"/>
      <c r="Z115" s="58"/>
    </row>
    <row r="116">
      <c r="A116" s="85" t="s">
        <v>895</v>
      </c>
      <c r="B116" s="72" t="s">
        <v>1449</v>
      </c>
      <c r="C116" s="73" t="s">
        <v>1556</v>
      </c>
      <c r="D116" s="73" t="s">
        <v>1597</v>
      </c>
      <c r="E116" s="73" t="s">
        <v>1773</v>
      </c>
      <c r="F116" s="73" t="s">
        <v>1610</v>
      </c>
      <c r="G116" s="73" t="s">
        <v>1774</v>
      </c>
      <c r="H116" s="73" t="s">
        <v>1612</v>
      </c>
      <c r="I116" s="73" t="s">
        <v>13</v>
      </c>
      <c r="J116" s="58"/>
      <c r="K116" s="58"/>
      <c r="L116" s="58"/>
      <c r="M116" s="58"/>
      <c r="N116" s="58"/>
      <c r="O116" s="58"/>
      <c r="P116" s="58"/>
      <c r="Q116" s="58"/>
      <c r="R116" s="58"/>
      <c r="S116" s="58"/>
      <c r="T116" s="58"/>
      <c r="U116" s="58"/>
      <c r="V116" s="58"/>
      <c r="W116" s="58"/>
      <c r="X116" s="58"/>
      <c r="Y116" s="58"/>
      <c r="Z116" s="58"/>
    </row>
    <row r="117">
      <c r="A117" s="85" t="s">
        <v>900</v>
      </c>
      <c r="B117" s="72" t="s">
        <v>1449</v>
      </c>
      <c r="C117" s="73" t="s">
        <v>1613</v>
      </c>
      <c r="D117" s="73" t="s">
        <v>1614</v>
      </c>
      <c r="E117" s="73" t="s">
        <v>1775</v>
      </c>
      <c r="F117" s="73" t="s">
        <v>1616</v>
      </c>
      <c r="G117" s="73" t="s">
        <v>1764</v>
      </c>
      <c r="H117" s="73" t="s">
        <v>1617</v>
      </c>
      <c r="I117" s="73" t="s">
        <v>13</v>
      </c>
      <c r="J117" s="58"/>
      <c r="K117" s="58"/>
      <c r="L117" s="58"/>
      <c r="M117" s="58"/>
      <c r="N117" s="58"/>
      <c r="O117" s="58"/>
      <c r="P117" s="58"/>
      <c r="Q117" s="58"/>
      <c r="R117" s="58"/>
      <c r="S117" s="58"/>
      <c r="T117" s="58"/>
      <c r="U117" s="58"/>
      <c r="V117" s="58"/>
      <c r="W117" s="58"/>
      <c r="X117" s="58"/>
      <c r="Y117" s="58"/>
      <c r="Z117" s="58"/>
    </row>
    <row r="118">
      <c r="A118" s="85" t="s">
        <v>903</v>
      </c>
      <c r="B118" s="72" t="s">
        <v>1449</v>
      </c>
      <c r="C118" s="73" t="s">
        <v>1613</v>
      </c>
      <c r="D118" s="73" t="s">
        <v>1614</v>
      </c>
      <c r="E118" s="73" t="s">
        <v>1776</v>
      </c>
      <c r="F118" s="73" t="s">
        <v>1619</v>
      </c>
      <c r="G118" s="73" t="s">
        <v>1777</v>
      </c>
      <c r="H118" s="73" t="s">
        <v>1621</v>
      </c>
      <c r="I118" s="73" t="s">
        <v>13</v>
      </c>
      <c r="J118" s="58"/>
      <c r="K118" s="58"/>
      <c r="L118" s="58"/>
      <c r="M118" s="58"/>
      <c r="N118" s="58"/>
      <c r="O118" s="58"/>
      <c r="P118" s="58"/>
      <c r="Q118" s="58"/>
      <c r="R118" s="58"/>
      <c r="S118" s="58"/>
      <c r="T118" s="58"/>
      <c r="U118" s="58"/>
      <c r="V118" s="58"/>
      <c r="W118" s="58"/>
      <c r="X118" s="58"/>
      <c r="Y118" s="58"/>
      <c r="Z118" s="58"/>
    </row>
    <row r="119">
      <c r="A119" s="85" t="s">
        <v>906</v>
      </c>
      <c r="B119" s="72" t="s">
        <v>1449</v>
      </c>
      <c r="C119" s="73" t="s">
        <v>1613</v>
      </c>
      <c r="D119" s="73" t="s">
        <v>1614</v>
      </c>
      <c r="E119" s="73" t="s">
        <v>1622</v>
      </c>
      <c r="F119" s="73" t="s">
        <v>1623</v>
      </c>
      <c r="G119" s="73" t="s">
        <v>1719</v>
      </c>
      <c r="H119" s="73" t="s">
        <v>1624</v>
      </c>
      <c r="I119" s="73" t="s">
        <v>13</v>
      </c>
      <c r="J119" s="58"/>
      <c r="K119" s="58"/>
      <c r="L119" s="58"/>
      <c r="M119" s="58"/>
      <c r="N119" s="58"/>
      <c r="O119" s="58"/>
      <c r="P119" s="58"/>
      <c r="Q119" s="58"/>
      <c r="R119" s="58"/>
      <c r="S119" s="58"/>
      <c r="T119" s="58"/>
      <c r="U119" s="58"/>
      <c r="V119" s="58"/>
      <c r="W119" s="58"/>
      <c r="X119" s="58"/>
      <c r="Y119" s="58"/>
      <c r="Z119" s="58"/>
    </row>
    <row r="120">
      <c r="A120" s="85" t="s">
        <v>910</v>
      </c>
      <c r="B120" s="72" t="s">
        <v>1449</v>
      </c>
      <c r="C120" s="73" t="s">
        <v>1613</v>
      </c>
      <c r="D120" s="73" t="s">
        <v>1614</v>
      </c>
      <c r="E120" s="73" t="s">
        <v>1778</v>
      </c>
      <c r="F120" s="73" t="s">
        <v>1626</v>
      </c>
      <c r="G120" s="73" t="s">
        <v>1719</v>
      </c>
      <c r="H120" s="73" t="s">
        <v>1627</v>
      </c>
      <c r="I120" s="73" t="s">
        <v>13</v>
      </c>
      <c r="J120" s="58"/>
      <c r="K120" s="58"/>
      <c r="L120" s="58"/>
      <c r="M120" s="58"/>
      <c r="N120" s="58"/>
      <c r="O120" s="58"/>
      <c r="P120" s="58"/>
      <c r="Q120" s="58"/>
      <c r="R120" s="58"/>
      <c r="S120" s="58"/>
      <c r="T120" s="58"/>
      <c r="U120" s="58"/>
      <c r="V120" s="58"/>
      <c r="W120" s="58"/>
      <c r="X120" s="58"/>
      <c r="Y120" s="58"/>
      <c r="Z120" s="58"/>
    </row>
    <row r="121">
      <c r="A121" s="85" t="s">
        <v>914</v>
      </c>
      <c r="B121" s="72" t="s">
        <v>1449</v>
      </c>
      <c r="C121" s="73" t="s">
        <v>1628</v>
      </c>
      <c r="D121" s="73" t="s">
        <v>1629</v>
      </c>
      <c r="E121" s="73" t="s">
        <v>1779</v>
      </c>
      <c r="F121" s="73" t="s">
        <v>1631</v>
      </c>
      <c r="G121" s="73" t="s">
        <v>1780</v>
      </c>
      <c r="H121" s="73" t="s">
        <v>1633</v>
      </c>
      <c r="I121" s="73" t="s">
        <v>13</v>
      </c>
      <c r="J121" s="58"/>
      <c r="K121" s="58"/>
      <c r="L121" s="58"/>
      <c r="M121" s="58"/>
      <c r="N121" s="58"/>
      <c r="O121" s="58"/>
      <c r="P121" s="58"/>
      <c r="Q121" s="58"/>
      <c r="R121" s="58"/>
      <c r="S121" s="58"/>
      <c r="T121" s="58"/>
      <c r="U121" s="58"/>
      <c r="V121" s="58"/>
      <c r="W121" s="58"/>
      <c r="X121" s="58"/>
      <c r="Y121" s="58"/>
      <c r="Z121" s="58"/>
    </row>
    <row r="122">
      <c r="A122" s="85" t="s">
        <v>919</v>
      </c>
      <c r="B122" s="72" t="s">
        <v>1449</v>
      </c>
      <c r="C122" s="73" t="s">
        <v>1628</v>
      </c>
      <c r="D122" s="73" t="s">
        <v>1629</v>
      </c>
      <c r="E122" s="73" t="s">
        <v>1781</v>
      </c>
      <c r="F122" s="73" t="s">
        <v>1631</v>
      </c>
      <c r="G122" s="73" t="s">
        <v>1780</v>
      </c>
      <c r="H122" s="73" t="s">
        <v>1635</v>
      </c>
      <c r="I122" s="73" t="s">
        <v>13</v>
      </c>
      <c r="J122" s="58"/>
      <c r="K122" s="58"/>
      <c r="L122" s="58"/>
      <c r="M122" s="58"/>
      <c r="N122" s="58"/>
      <c r="O122" s="58"/>
      <c r="P122" s="58"/>
      <c r="Q122" s="58"/>
      <c r="R122" s="58"/>
      <c r="S122" s="58"/>
      <c r="T122" s="58"/>
      <c r="U122" s="58"/>
      <c r="V122" s="58"/>
      <c r="W122" s="58"/>
      <c r="X122" s="58"/>
      <c r="Y122" s="58"/>
      <c r="Z122" s="58"/>
    </row>
    <row r="123">
      <c r="A123" s="85" t="s">
        <v>922</v>
      </c>
      <c r="B123" s="72" t="s">
        <v>1449</v>
      </c>
      <c r="C123" s="73" t="s">
        <v>1628</v>
      </c>
      <c r="D123" s="73" t="s">
        <v>1629</v>
      </c>
      <c r="E123" s="73" t="s">
        <v>1782</v>
      </c>
      <c r="F123" s="73" t="s">
        <v>1631</v>
      </c>
      <c r="G123" s="73" t="s">
        <v>1780</v>
      </c>
      <c r="H123" s="73" t="s">
        <v>1637</v>
      </c>
      <c r="I123" s="73" t="s">
        <v>13</v>
      </c>
      <c r="J123" s="58"/>
      <c r="K123" s="58"/>
      <c r="L123" s="58"/>
      <c r="M123" s="58"/>
      <c r="N123" s="58"/>
      <c r="O123" s="58"/>
      <c r="P123" s="58"/>
      <c r="Q123" s="58"/>
      <c r="R123" s="58"/>
      <c r="S123" s="58"/>
      <c r="T123" s="58"/>
      <c r="U123" s="58"/>
      <c r="V123" s="58"/>
      <c r="W123" s="58"/>
      <c r="X123" s="58"/>
      <c r="Y123" s="58"/>
      <c r="Z123" s="58"/>
    </row>
    <row r="124">
      <c r="A124" s="85" t="s">
        <v>925</v>
      </c>
      <c r="B124" s="72" t="s">
        <v>1449</v>
      </c>
      <c r="C124" s="73" t="s">
        <v>1628</v>
      </c>
      <c r="D124" s="73" t="s">
        <v>1629</v>
      </c>
      <c r="E124" s="73" t="s">
        <v>1638</v>
      </c>
      <c r="F124" s="73" t="s">
        <v>1639</v>
      </c>
      <c r="G124" s="73" t="s">
        <v>1719</v>
      </c>
      <c r="H124" s="73" t="s">
        <v>1640</v>
      </c>
      <c r="I124" s="73" t="s">
        <v>13</v>
      </c>
      <c r="J124" s="58"/>
      <c r="K124" s="58"/>
      <c r="L124" s="58"/>
      <c r="M124" s="58"/>
      <c r="N124" s="58"/>
      <c r="O124" s="58"/>
      <c r="P124" s="58"/>
      <c r="Q124" s="58"/>
      <c r="R124" s="58"/>
      <c r="S124" s="58"/>
      <c r="T124" s="58"/>
      <c r="U124" s="58"/>
      <c r="V124" s="58"/>
      <c r="W124" s="58"/>
      <c r="X124" s="58"/>
      <c r="Y124" s="58"/>
      <c r="Z124" s="58"/>
    </row>
    <row r="125">
      <c r="A125" s="85" t="s">
        <v>929</v>
      </c>
      <c r="B125" s="72" t="s">
        <v>1449</v>
      </c>
      <c r="C125" s="73" t="s">
        <v>1628</v>
      </c>
      <c r="D125" s="73" t="s">
        <v>1641</v>
      </c>
      <c r="E125" s="73" t="s">
        <v>1783</v>
      </c>
      <c r="F125" s="73" t="s">
        <v>1631</v>
      </c>
      <c r="G125" s="73" t="s">
        <v>1784</v>
      </c>
      <c r="H125" s="73" t="s">
        <v>1644</v>
      </c>
      <c r="I125" s="73" t="s">
        <v>13</v>
      </c>
      <c r="J125" s="58"/>
      <c r="K125" s="58"/>
      <c r="L125" s="58"/>
      <c r="M125" s="58"/>
      <c r="N125" s="58"/>
      <c r="O125" s="58"/>
      <c r="P125" s="58"/>
      <c r="Q125" s="58"/>
      <c r="R125" s="58"/>
      <c r="S125" s="58"/>
      <c r="T125" s="58"/>
      <c r="U125" s="58"/>
      <c r="V125" s="58"/>
      <c r="W125" s="58"/>
      <c r="X125" s="58"/>
      <c r="Y125" s="58"/>
      <c r="Z125" s="58"/>
    </row>
    <row r="126">
      <c r="A126" s="85" t="s">
        <v>935</v>
      </c>
      <c r="B126" s="72" t="s">
        <v>1449</v>
      </c>
      <c r="C126" s="73" t="s">
        <v>1628</v>
      </c>
      <c r="D126" s="73" t="s">
        <v>1641</v>
      </c>
      <c r="E126" s="73" t="s">
        <v>1785</v>
      </c>
      <c r="F126" s="73" t="s">
        <v>1631</v>
      </c>
      <c r="G126" s="73" t="s">
        <v>1784</v>
      </c>
      <c r="H126" s="73" t="s">
        <v>1646</v>
      </c>
      <c r="I126" s="73" t="s">
        <v>13</v>
      </c>
      <c r="J126" s="58"/>
      <c r="K126" s="58"/>
      <c r="L126" s="58"/>
      <c r="M126" s="58"/>
      <c r="N126" s="58"/>
      <c r="O126" s="58"/>
      <c r="P126" s="58"/>
      <c r="Q126" s="58"/>
      <c r="R126" s="58"/>
      <c r="S126" s="58"/>
      <c r="T126" s="58"/>
      <c r="U126" s="58"/>
      <c r="V126" s="58"/>
      <c r="W126" s="58"/>
      <c r="X126" s="58"/>
      <c r="Y126" s="58"/>
      <c r="Z126" s="58"/>
    </row>
    <row r="127">
      <c r="A127" s="85" t="s">
        <v>938</v>
      </c>
      <c r="B127" s="72" t="s">
        <v>1449</v>
      </c>
      <c r="C127" s="73" t="s">
        <v>1628</v>
      </c>
      <c r="D127" s="73" t="s">
        <v>1641</v>
      </c>
      <c r="E127" s="73" t="s">
        <v>1786</v>
      </c>
      <c r="F127" s="73" t="s">
        <v>1648</v>
      </c>
      <c r="G127" s="73" t="s">
        <v>1719</v>
      </c>
      <c r="H127" s="73" t="s">
        <v>1649</v>
      </c>
      <c r="I127" s="73" t="s">
        <v>13</v>
      </c>
      <c r="J127" s="58"/>
      <c r="K127" s="58"/>
      <c r="L127" s="58"/>
      <c r="M127" s="58"/>
      <c r="N127" s="58"/>
      <c r="O127" s="58"/>
      <c r="P127" s="58"/>
      <c r="Q127" s="58"/>
      <c r="R127" s="58"/>
      <c r="S127" s="58"/>
      <c r="T127" s="58"/>
      <c r="U127" s="58"/>
      <c r="V127" s="58"/>
      <c r="W127" s="58"/>
      <c r="X127" s="58"/>
      <c r="Y127" s="58"/>
      <c r="Z127" s="58"/>
    </row>
    <row r="128">
      <c r="A128" s="85" t="s">
        <v>941</v>
      </c>
      <c r="B128" s="72" t="s">
        <v>1449</v>
      </c>
      <c r="C128" s="73" t="s">
        <v>1628</v>
      </c>
      <c r="D128" s="73" t="s">
        <v>1641</v>
      </c>
      <c r="E128" s="73" t="s">
        <v>1787</v>
      </c>
      <c r="F128" s="73" t="s">
        <v>1631</v>
      </c>
      <c r="G128" s="73" t="s">
        <v>1784</v>
      </c>
      <c r="H128" s="73" t="s">
        <v>1651</v>
      </c>
      <c r="I128" s="73" t="s">
        <v>13</v>
      </c>
      <c r="J128" s="58"/>
      <c r="K128" s="58"/>
      <c r="L128" s="58"/>
      <c r="M128" s="58"/>
      <c r="N128" s="58"/>
      <c r="O128" s="58"/>
      <c r="P128" s="58"/>
      <c r="Q128" s="58"/>
      <c r="R128" s="58"/>
      <c r="S128" s="58"/>
      <c r="T128" s="58"/>
      <c r="U128" s="58"/>
      <c r="V128" s="58"/>
      <c r="W128" s="58"/>
      <c r="X128" s="58"/>
      <c r="Y128" s="58"/>
      <c r="Z128" s="58"/>
    </row>
    <row r="129">
      <c r="A129" s="85" t="s">
        <v>945</v>
      </c>
      <c r="B129" s="72" t="s">
        <v>1449</v>
      </c>
      <c r="C129" s="73" t="s">
        <v>1628</v>
      </c>
      <c r="D129" s="73" t="s">
        <v>1641</v>
      </c>
      <c r="E129" s="73" t="s">
        <v>1788</v>
      </c>
      <c r="F129" s="73" t="s">
        <v>1631</v>
      </c>
      <c r="G129" s="73" t="s">
        <v>1784</v>
      </c>
      <c r="H129" s="73" t="s">
        <v>1653</v>
      </c>
      <c r="I129" s="73" t="s">
        <v>13</v>
      </c>
      <c r="J129" s="58"/>
      <c r="K129" s="58"/>
      <c r="L129" s="58"/>
      <c r="M129" s="58"/>
      <c r="N129" s="58"/>
      <c r="O129" s="58"/>
      <c r="P129" s="58"/>
      <c r="Q129" s="58"/>
      <c r="R129" s="58"/>
      <c r="S129" s="58"/>
      <c r="T129" s="58"/>
      <c r="U129" s="58"/>
      <c r="V129" s="58"/>
      <c r="W129" s="58"/>
      <c r="X129" s="58"/>
      <c r="Y129" s="58"/>
      <c r="Z129" s="58"/>
    </row>
    <row r="130">
      <c r="A130" s="85" t="s">
        <v>948</v>
      </c>
      <c r="B130" s="72" t="s">
        <v>1449</v>
      </c>
      <c r="C130" s="73" t="s">
        <v>1628</v>
      </c>
      <c r="D130" s="73" t="s">
        <v>1654</v>
      </c>
      <c r="E130" s="73" t="s">
        <v>1789</v>
      </c>
      <c r="F130" s="73" t="s">
        <v>1631</v>
      </c>
      <c r="G130" s="73" t="s">
        <v>1790</v>
      </c>
      <c r="H130" s="73" t="s">
        <v>1657</v>
      </c>
      <c r="I130" s="73" t="s">
        <v>13</v>
      </c>
      <c r="J130" s="58"/>
      <c r="K130" s="58"/>
      <c r="L130" s="58"/>
      <c r="M130" s="58"/>
      <c r="N130" s="58"/>
      <c r="O130" s="58"/>
      <c r="P130" s="58"/>
      <c r="Q130" s="58"/>
      <c r="R130" s="58"/>
      <c r="S130" s="58"/>
      <c r="T130" s="58"/>
      <c r="U130" s="58"/>
      <c r="V130" s="58"/>
      <c r="W130" s="58"/>
      <c r="X130" s="58"/>
      <c r="Y130" s="58"/>
      <c r="Z130" s="58"/>
    </row>
    <row r="131">
      <c r="A131" s="85" t="s">
        <v>951</v>
      </c>
      <c r="B131" s="72" t="s">
        <v>1449</v>
      </c>
      <c r="C131" s="73" t="s">
        <v>1628</v>
      </c>
      <c r="D131" s="73" t="s">
        <v>1654</v>
      </c>
      <c r="E131" s="73" t="s">
        <v>1791</v>
      </c>
      <c r="F131" s="73" t="s">
        <v>1631</v>
      </c>
      <c r="G131" s="73" t="s">
        <v>1790</v>
      </c>
      <c r="H131" s="73" t="s">
        <v>1659</v>
      </c>
      <c r="I131" s="73" t="s">
        <v>13</v>
      </c>
      <c r="J131" s="58"/>
      <c r="K131" s="58"/>
      <c r="L131" s="58"/>
      <c r="M131" s="58"/>
      <c r="N131" s="58"/>
      <c r="O131" s="58"/>
      <c r="P131" s="58"/>
      <c r="Q131" s="58"/>
      <c r="R131" s="58"/>
      <c r="S131" s="58"/>
      <c r="T131" s="58"/>
      <c r="U131" s="58"/>
      <c r="V131" s="58"/>
      <c r="W131" s="58"/>
      <c r="X131" s="58"/>
      <c r="Y131" s="58"/>
      <c r="Z131" s="58"/>
    </row>
    <row r="132">
      <c r="A132" s="85" t="s">
        <v>954</v>
      </c>
      <c r="B132" s="72" t="s">
        <v>1449</v>
      </c>
      <c r="C132" s="73" t="s">
        <v>1628</v>
      </c>
      <c r="D132" s="73" t="s">
        <v>1654</v>
      </c>
      <c r="E132" s="73" t="s">
        <v>1792</v>
      </c>
      <c r="F132" s="73" t="s">
        <v>1631</v>
      </c>
      <c r="G132" s="73" t="s">
        <v>1790</v>
      </c>
      <c r="H132" s="73" t="s">
        <v>1653</v>
      </c>
      <c r="I132" s="73" t="s">
        <v>13</v>
      </c>
      <c r="J132" s="58"/>
      <c r="K132" s="58"/>
      <c r="L132" s="58"/>
      <c r="M132" s="58"/>
      <c r="N132" s="58"/>
      <c r="O132" s="58"/>
      <c r="P132" s="58"/>
      <c r="Q132" s="58"/>
      <c r="R132" s="58"/>
      <c r="S132" s="58"/>
      <c r="T132" s="58"/>
      <c r="U132" s="58"/>
      <c r="V132" s="58"/>
      <c r="W132" s="58"/>
      <c r="X132" s="58"/>
      <c r="Y132" s="58"/>
      <c r="Z132" s="58"/>
    </row>
    <row r="133">
      <c r="A133" s="85" t="s">
        <v>957</v>
      </c>
      <c r="B133" s="72" t="s">
        <v>1449</v>
      </c>
      <c r="C133" s="73" t="s">
        <v>1628</v>
      </c>
      <c r="D133" s="73" t="s">
        <v>1654</v>
      </c>
      <c r="E133" s="73" t="s">
        <v>1793</v>
      </c>
      <c r="F133" s="73" t="s">
        <v>1631</v>
      </c>
      <c r="G133" s="73" t="s">
        <v>1790</v>
      </c>
      <c r="H133" s="73" t="s">
        <v>1653</v>
      </c>
      <c r="I133" s="73" t="s">
        <v>13</v>
      </c>
      <c r="J133" s="58"/>
      <c r="K133" s="58"/>
      <c r="L133" s="58"/>
      <c r="M133" s="58"/>
      <c r="N133" s="58"/>
      <c r="O133" s="58"/>
      <c r="P133" s="58"/>
      <c r="Q133" s="58"/>
      <c r="R133" s="58"/>
      <c r="S133" s="58"/>
      <c r="T133" s="58"/>
      <c r="U133" s="58"/>
      <c r="V133" s="58"/>
      <c r="W133" s="58"/>
      <c r="X133" s="58"/>
      <c r="Y133" s="58"/>
      <c r="Z133" s="58"/>
    </row>
    <row r="134">
      <c r="A134" s="85" t="s">
        <v>960</v>
      </c>
      <c r="B134" s="72" t="s">
        <v>1449</v>
      </c>
      <c r="C134" s="73" t="s">
        <v>1628</v>
      </c>
      <c r="D134" s="73" t="s">
        <v>1654</v>
      </c>
      <c r="E134" s="73" t="s">
        <v>1794</v>
      </c>
      <c r="F134" s="73" t="s">
        <v>1631</v>
      </c>
      <c r="G134" s="73" t="s">
        <v>1790</v>
      </c>
      <c r="H134" s="73" t="s">
        <v>1646</v>
      </c>
      <c r="I134" s="73" t="s">
        <v>13</v>
      </c>
      <c r="J134" s="58"/>
      <c r="K134" s="58"/>
      <c r="L134" s="58"/>
      <c r="M134" s="58"/>
      <c r="N134" s="58"/>
      <c r="O134" s="58"/>
      <c r="P134" s="58"/>
      <c r="Q134" s="58"/>
      <c r="R134" s="58"/>
      <c r="S134" s="58"/>
      <c r="T134" s="58"/>
      <c r="U134" s="58"/>
      <c r="V134" s="58"/>
      <c r="W134" s="58"/>
      <c r="X134" s="58"/>
      <c r="Y134" s="58"/>
      <c r="Z134" s="58"/>
    </row>
    <row r="135">
      <c r="A135" s="85" t="s">
        <v>965</v>
      </c>
      <c r="B135" s="72" t="s">
        <v>1449</v>
      </c>
      <c r="C135" s="65" t="s">
        <v>1628</v>
      </c>
      <c r="D135" s="65" t="s">
        <v>1641</v>
      </c>
      <c r="E135" s="59" t="s">
        <v>1795</v>
      </c>
      <c r="F135" s="65" t="s">
        <v>1648</v>
      </c>
      <c r="G135" s="111" t="s">
        <v>1719</v>
      </c>
      <c r="H135" s="65" t="s">
        <v>1649</v>
      </c>
      <c r="I135" s="73" t="s">
        <v>13</v>
      </c>
      <c r="J135" s="58"/>
      <c r="K135" s="58"/>
      <c r="L135" s="58"/>
      <c r="M135" s="58"/>
      <c r="N135" s="58"/>
      <c r="O135" s="58"/>
      <c r="P135" s="58"/>
      <c r="Q135" s="58"/>
      <c r="R135" s="58"/>
      <c r="S135" s="58"/>
      <c r="T135" s="58"/>
      <c r="U135" s="58"/>
      <c r="V135" s="58"/>
      <c r="W135" s="58"/>
      <c r="X135" s="58"/>
      <c r="Y135" s="58"/>
      <c r="Z135" s="58"/>
    </row>
    <row r="136">
      <c r="A136" s="85" t="s">
        <v>968</v>
      </c>
      <c r="B136" s="72" t="s">
        <v>1449</v>
      </c>
      <c r="C136" s="65" t="s">
        <v>1628</v>
      </c>
      <c r="D136" s="59" t="s">
        <v>1664</v>
      </c>
      <c r="E136" s="73" t="s">
        <v>1796</v>
      </c>
      <c r="F136" s="73" t="s">
        <v>1631</v>
      </c>
      <c r="G136" s="73" t="s">
        <v>1797</v>
      </c>
      <c r="H136" s="73" t="s">
        <v>1667</v>
      </c>
      <c r="I136" s="73" t="s">
        <v>13</v>
      </c>
      <c r="J136" s="58"/>
      <c r="K136" s="58"/>
      <c r="L136" s="58"/>
      <c r="M136" s="58"/>
      <c r="N136" s="58"/>
      <c r="O136" s="58"/>
      <c r="P136" s="58"/>
      <c r="Q136" s="58"/>
      <c r="R136" s="58"/>
      <c r="S136" s="58"/>
      <c r="T136" s="58"/>
      <c r="U136" s="58"/>
      <c r="V136" s="58"/>
      <c r="W136" s="58"/>
      <c r="X136" s="58"/>
      <c r="Y136" s="58"/>
      <c r="Z136" s="58"/>
    </row>
    <row r="137">
      <c r="A137" s="85" t="s">
        <v>1307</v>
      </c>
      <c r="B137" s="72" t="s">
        <v>1449</v>
      </c>
      <c r="C137" s="65" t="s">
        <v>1628</v>
      </c>
      <c r="D137" s="59" t="s">
        <v>1664</v>
      </c>
      <c r="E137" s="73" t="s">
        <v>1798</v>
      </c>
      <c r="F137" s="73" t="s">
        <v>1631</v>
      </c>
      <c r="G137" s="73" t="s">
        <v>1799</v>
      </c>
      <c r="H137" s="73" t="s">
        <v>1657</v>
      </c>
      <c r="I137" s="73" t="s">
        <v>13</v>
      </c>
      <c r="J137" s="58"/>
      <c r="K137" s="58"/>
      <c r="L137" s="58"/>
      <c r="M137" s="58"/>
      <c r="N137" s="58"/>
      <c r="O137" s="58"/>
      <c r="P137" s="58"/>
      <c r="Q137" s="58"/>
      <c r="R137" s="58"/>
      <c r="S137" s="58"/>
      <c r="T137" s="58"/>
      <c r="U137" s="58"/>
      <c r="V137" s="58"/>
      <c r="W137" s="58"/>
      <c r="X137" s="58"/>
      <c r="Y137" s="58"/>
      <c r="Z137" s="58"/>
    </row>
    <row r="138">
      <c r="A138" s="85" t="s">
        <v>1308</v>
      </c>
      <c r="B138" s="72" t="s">
        <v>1449</v>
      </c>
      <c r="C138" s="65" t="s">
        <v>1628</v>
      </c>
      <c r="D138" s="59" t="s">
        <v>1664</v>
      </c>
      <c r="E138" s="73" t="s">
        <v>1800</v>
      </c>
      <c r="F138" s="73" t="s">
        <v>1631</v>
      </c>
      <c r="G138" s="73" t="s">
        <v>1719</v>
      </c>
      <c r="H138" s="73" t="s">
        <v>1646</v>
      </c>
      <c r="I138" s="73" t="s">
        <v>13</v>
      </c>
      <c r="J138" s="58"/>
      <c r="K138" s="58"/>
      <c r="L138" s="58"/>
      <c r="M138" s="58"/>
      <c r="N138" s="58"/>
      <c r="O138" s="58"/>
      <c r="P138" s="58"/>
      <c r="Q138" s="58"/>
      <c r="R138" s="58"/>
      <c r="S138" s="58"/>
      <c r="T138" s="58"/>
      <c r="U138" s="58"/>
      <c r="V138" s="58"/>
      <c r="W138" s="58"/>
      <c r="X138" s="58"/>
      <c r="Y138" s="58"/>
      <c r="Z138" s="58"/>
    </row>
    <row r="139">
      <c r="A139" s="85" t="s">
        <v>1309</v>
      </c>
      <c r="B139" s="72" t="s">
        <v>1449</v>
      </c>
      <c r="C139" s="65" t="s">
        <v>1628</v>
      </c>
      <c r="D139" s="59" t="s">
        <v>1664</v>
      </c>
      <c r="E139" s="59" t="s">
        <v>1801</v>
      </c>
      <c r="F139" s="65" t="s">
        <v>1648</v>
      </c>
      <c r="G139" s="73" t="s">
        <v>1719</v>
      </c>
      <c r="H139" s="65" t="s">
        <v>1649</v>
      </c>
      <c r="I139" s="73" t="s">
        <v>13</v>
      </c>
      <c r="J139" s="58"/>
      <c r="K139" s="58"/>
      <c r="L139" s="58"/>
      <c r="M139" s="58"/>
      <c r="N139" s="58"/>
      <c r="O139" s="58"/>
      <c r="P139" s="58"/>
      <c r="Q139" s="58"/>
      <c r="R139" s="58"/>
      <c r="S139" s="58"/>
      <c r="T139" s="58"/>
      <c r="U139" s="58"/>
      <c r="V139" s="58"/>
      <c r="W139" s="58"/>
      <c r="X139" s="58"/>
      <c r="Y139" s="58"/>
      <c r="Z139" s="58"/>
    </row>
    <row r="140">
      <c r="A140" s="85" t="s">
        <v>1310</v>
      </c>
      <c r="B140" s="72" t="s">
        <v>1449</v>
      </c>
      <c r="C140" s="65" t="s">
        <v>1628</v>
      </c>
      <c r="D140" s="59" t="s">
        <v>1664</v>
      </c>
      <c r="E140" s="73" t="s">
        <v>1802</v>
      </c>
      <c r="F140" s="73" t="s">
        <v>1631</v>
      </c>
      <c r="G140" s="73" t="s">
        <v>1803</v>
      </c>
      <c r="H140" s="73" t="s">
        <v>1653</v>
      </c>
      <c r="I140" s="73" t="s">
        <v>13</v>
      </c>
      <c r="J140" s="58"/>
      <c r="K140" s="58"/>
      <c r="L140" s="58"/>
      <c r="M140" s="58"/>
      <c r="N140" s="58"/>
      <c r="O140" s="58"/>
      <c r="P140" s="58"/>
      <c r="Q140" s="58"/>
      <c r="R140" s="58"/>
      <c r="S140" s="58"/>
      <c r="T140" s="58"/>
      <c r="U140" s="58"/>
      <c r="V140" s="58"/>
      <c r="W140" s="58"/>
      <c r="X140" s="58"/>
      <c r="Y140" s="58"/>
      <c r="Z140" s="58"/>
    </row>
    <row r="141">
      <c r="A141" s="85" t="s">
        <v>1311</v>
      </c>
      <c r="B141" s="72" t="s">
        <v>1449</v>
      </c>
      <c r="C141" s="65" t="s">
        <v>1628</v>
      </c>
      <c r="D141" s="59" t="s">
        <v>1664</v>
      </c>
      <c r="E141" s="73" t="s">
        <v>1674</v>
      </c>
      <c r="F141" s="73" t="s">
        <v>1675</v>
      </c>
      <c r="G141" s="73" t="s">
        <v>1719</v>
      </c>
      <c r="H141" s="73" t="s">
        <v>1676</v>
      </c>
      <c r="I141" s="73" t="s">
        <v>13</v>
      </c>
      <c r="J141" s="58"/>
      <c r="K141" s="58"/>
      <c r="L141" s="58"/>
      <c r="M141" s="58"/>
      <c r="N141" s="58"/>
      <c r="O141" s="58"/>
      <c r="P141" s="58"/>
      <c r="Q141" s="58"/>
      <c r="R141" s="58"/>
      <c r="S141" s="58"/>
      <c r="T141" s="58"/>
      <c r="U141" s="58"/>
      <c r="V141" s="58"/>
      <c r="W141" s="58"/>
      <c r="X141" s="58"/>
      <c r="Y141" s="58"/>
      <c r="Z141" s="58"/>
    </row>
    <row r="142">
      <c r="A142" s="85" t="s">
        <v>1313</v>
      </c>
      <c r="B142" s="72" t="s">
        <v>1449</v>
      </c>
      <c r="C142" s="65" t="s">
        <v>1628</v>
      </c>
      <c r="D142" s="73" t="s">
        <v>1677</v>
      </c>
      <c r="E142" s="73" t="s">
        <v>1804</v>
      </c>
      <c r="F142" s="73" t="s">
        <v>1679</v>
      </c>
      <c r="G142" s="73" t="s">
        <v>1719</v>
      </c>
      <c r="H142" s="73" t="s">
        <v>1680</v>
      </c>
      <c r="I142" s="73" t="s">
        <v>13</v>
      </c>
      <c r="J142" s="58"/>
      <c r="K142" s="58"/>
      <c r="L142" s="58"/>
      <c r="M142" s="58"/>
      <c r="N142" s="58"/>
      <c r="O142" s="58"/>
      <c r="P142" s="58"/>
      <c r="Q142" s="58"/>
      <c r="R142" s="58"/>
      <c r="S142" s="58"/>
      <c r="T142" s="58"/>
      <c r="U142" s="58"/>
      <c r="V142" s="58"/>
      <c r="W142" s="58"/>
      <c r="X142" s="58"/>
      <c r="Y142" s="58"/>
      <c r="Z142" s="58"/>
    </row>
    <row r="143">
      <c r="A143" s="85" t="s">
        <v>1315</v>
      </c>
      <c r="B143" s="72" t="s">
        <v>1449</v>
      </c>
      <c r="C143" s="73" t="s">
        <v>1681</v>
      </c>
      <c r="D143" s="73" t="s">
        <v>1682</v>
      </c>
      <c r="E143" s="73" t="s">
        <v>1683</v>
      </c>
      <c r="F143" s="73" t="s">
        <v>1684</v>
      </c>
      <c r="G143" s="73" t="s">
        <v>1805</v>
      </c>
      <c r="H143" s="73" t="s">
        <v>1686</v>
      </c>
      <c r="I143" s="73" t="s">
        <v>13</v>
      </c>
      <c r="J143" s="58"/>
      <c r="K143" s="58"/>
      <c r="L143" s="58"/>
      <c r="M143" s="58"/>
      <c r="N143" s="58"/>
      <c r="O143" s="58"/>
      <c r="P143" s="58"/>
      <c r="Q143" s="58"/>
      <c r="R143" s="58"/>
      <c r="S143" s="58"/>
      <c r="T143" s="58"/>
      <c r="U143" s="58"/>
      <c r="V143" s="58"/>
      <c r="W143" s="58"/>
      <c r="X143" s="58"/>
      <c r="Y143" s="58"/>
      <c r="Z143" s="58"/>
    </row>
    <row r="144">
      <c r="A144" s="85" t="s">
        <v>1319</v>
      </c>
      <c r="B144" s="72" t="s">
        <v>1449</v>
      </c>
      <c r="C144" s="73" t="s">
        <v>1681</v>
      </c>
      <c r="D144" s="73" t="s">
        <v>1687</v>
      </c>
      <c r="E144" s="73" t="s">
        <v>1688</v>
      </c>
      <c r="F144" s="73" t="s">
        <v>1689</v>
      </c>
      <c r="G144" s="73" t="s">
        <v>1806</v>
      </c>
      <c r="H144" s="73" t="s">
        <v>1691</v>
      </c>
      <c r="I144" s="73" t="s">
        <v>13</v>
      </c>
      <c r="J144" s="58"/>
      <c r="K144" s="58"/>
      <c r="L144" s="58"/>
      <c r="M144" s="58"/>
      <c r="N144" s="58"/>
      <c r="O144" s="58"/>
      <c r="P144" s="58"/>
      <c r="Q144" s="58"/>
      <c r="R144" s="58"/>
      <c r="S144" s="58"/>
      <c r="T144" s="58"/>
      <c r="U144" s="58"/>
      <c r="V144" s="58"/>
      <c r="W144" s="58"/>
      <c r="X144" s="58"/>
      <c r="Y144" s="58"/>
      <c r="Z144" s="58"/>
    </row>
    <row r="145">
      <c r="A145" s="85" t="s">
        <v>1321</v>
      </c>
      <c r="B145" s="72" t="s">
        <v>1449</v>
      </c>
      <c r="C145" s="73" t="s">
        <v>1681</v>
      </c>
      <c r="D145" s="73" t="s">
        <v>1687</v>
      </c>
      <c r="E145" s="73" t="s">
        <v>1692</v>
      </c>
      <c r="F145" s="73" t="s">
        <v>1693</v>
      </c>
      <c r="G145" s="73" t="s">
        <v>1807</v>
      </c>
      <c r="H145" s="73" t="s">
        <v>1695</v>
      </c>
      <c r="I145" s="73" t="s">
        <v>13</v>
      </c>
      <c r="J145" s="58"/>
      <c r="K145" s="58"/>
      <c r="L145" s="58"/>
      <c r="M145" s="58"/>
      <c r="N145" s="58"/>
      <c r="O145" s="58"/>
      <c r="P145" s="58"/>
      <c r="Q145" s="58"/>
      <c r="R145" s="58"/>
      <c r="S145" s="58"/>
      <c r="T145" s="58"/>
      <c r="U145" s="58"/>
      <c r="V145" s="58"/>
      <c r="W145" s="58"/>
      <c r="X145" s="58"/>
      <c r="Y145" s="58"/>
      <c r="Z145" s="58"/>
    </row>
    <row r="146">
      <c r="A146" s="85" t="s">
        <v>1323</v>
      </c>
      <c r="B146" s="72" t="s">
        <v>1449</v>
      </c>
      <c r="C146" s="75"/>
      <c r="D146" s="75"/>
      <c r="E146" s="73" t="s">
        <v>1696</v>
      </c>
      <c r="F146" s="73" t="s">
        <v>1697</v>
      </c>
      <c r="G146" s="73" t="s">
        <v>1808</v>
      </c>
      <c r="H146" s="73" t="s">
        <v>1691</v>
      </c>
      <c r="I146" s="73" t="s">
        <v>13</v>
      </c>
      <c r="J146" s="58"/>
      <c r="K146" s="58"/>
      <c r="L146" s="58"/>
      <c r="M146" s="58"/>
      <c r="N146" s="58"/>
      <c r="O146" s="58"/>
      <c r="P146" s="58"/>
      <c r="Q146" s="58"/>
      <c r="R146" s="58"/>
      <c r="S146" s="58"/>
      <c r="T146" s="58"/>
      <c r="U146" s="58"/>
      <c r="V146" s="58"/>
      <c r="W146" s="58"/>
      <c r="X146" s="58"/>
      <c r="Y146" s="58"/>
      <c r="Z146" s="58"/>
    </row>
    <row r="147">
      <c r="A147" s="85" t="s">
        <v>1324</v>
      </c>
      <c r="B147" s="72" t="s">
        <v>1449</v>
      </c>
      <c r="C147" s="73" t="s">
        <v>1681</v>
      </c>
      <c r="D147" s="73" t="s">
        <v>1687</v>
      </c>
      <c r="E147" s="73" t="s">
        <v>1699</v>
      </c>
      <c r="F147" s="73" t="s">
        <v>1693</v>
      </c>
      <c r="G147" s="73" t="s">
        <v>1807</v>
      </c>
      <c r="H147" s="73" t="s">
        <v>1695</v>
      </c>
      <c r="I147" s="73" t="s">
        <v>13</v>
      </c>
      <c r="J147" s="58"/>
      <c r="K147" s="58"/>
      <c r="L147" s="58"/>
      <c r="M147" s="58"/>
      <c r="N147" s="58"/>
      <c r="O147" s="58"/>
      <c r="P147" s="58"/>
      <c r="Q147" s="58"/>
      <c r="R147" s="58"/>
      <c r="S147" s="58"/>
      <c r="T147" s="58"/>
      <c r="U147" s="58"/>
      <c r="V147" s="58"/>
      <c r="W147" s="58"/>
      <c r="X147" s="58"/>
      <c r="Y147" s="58"/>
      <c r="Z147" s="58"/>
    </row>
    <row r="148">
      <c r="A148" s="85" t="s">
        <v>1327</v>
      </c>
      <c r="B148" s="72" t="s">
        <v>1449</v>
      </c>
      <c r="C148" s="73" t="s">
        <v>1700</v>
      </c>
      <c r="D148" s="73" t="s">
        <v>1701</v>
      </c>
      <c r="E148" s="73" t="s">
        <v>1809</v>
      </c>
      <c r="F148" s="73" t="s">
        <v>1703</v>
      </c>
      <c r="G148" s="73" t="s">
        <v>1719</v>
      </c>
      <c r="H148" s="73" t="s">
        <v>1704</v>
      </c>
      <c r="I148" s="73" t="s">
        <v>13</v>
      </c>
      <c r="J148" s="58"/>
      <c r="K148" s="58"/>
      <c r="L148" s="58"/>
      <c r="M148" s="58"/>
      <c r="N148" s="58"/>
      <c r="O148" s="58"/>
      <c r="P148" s="58"/>
      <c r="Q148" s="58"/>
      <c r="R148" s="58"/>
      <c r="S148" s="58"/>
      <c r="T148" s="58"/>
      <c r="U148" s="58"/>
      <c r="V148" s="58"/>
      <c r="W148" s="58"/>
      <c r="X148" s="58"/>
      <c r="Y148" s="58"/>
      <c r="Z148" s="58"/>
    </row>
    <row r="149">
      <c r="A149" s="85" t="s">
        <v>1329</v>
      </c>
      <c r="B149" s="72" t="s">
        <v>1449</v>
      </c>
      <c r="C149" s="73" t="s">
        <v>1700</v>
      </c>
      <c r="D149" s="73" t="s">
        <v>1701</v>
      </c>
      <c r="E149" s="73" t="s">
        <v>1705</v>
      </c>
      <c r="F149" s="73" t="s">
        <v>1706</v>
      </c>
      <c r="G149" s="73" t="s">
        <v>1719</v>
      </c>
      <c r="H149" s="73" t="s">
        <v>1707</v>
      </c>
      <c r="I149" s="73" t="s">
        <v>13</v>
      </c>
      <c r="J149" s="58"/>
      <c r="K149" s="58"/>
      <c r="L149" s="58"/>
      <c r="M149" s="58"/>
      <c r="N149" s="58"/>
      <c r="O149" s="58"/>
      <c r="P149" s="58"/>
      <c r="Q149" s="58"/>
      <c r="R149" s="58"/>
      <c r="S149" s="58"/>
      <c r="T149" s="58"/>
      <c r="U149" s="58"/>
      <c r="V149" s="58"/>
      <c r="W149" s="58"/>
      <c r="X149" s="58"/>
      <c r="Y149" s="58"/>
      <c r="Z149" s="58"/>
    </row>
    <row r="150">
      <c r="A150" s="85" t="s">
        <v>1331</v>
      </c>
      <c r="B150" s="72" t="s">
        <v>1449</v>
      </c>
      <c r="C150" s="73" t="s">
        <v>1700</v>
      </c>
      <c r="D150" s="73" t="s">
        <v>1701</v>
      </c>
      <c r="E150" s="73" t="s">
        <v>1810</v>
      </c>
      <c r="F150" s="73" t="s">
        <v>1709</v>
      </c>
      <c r="G150" s="73" t="s">
        <v>1719</v>
      </c>
      <c r="H150" s="73" t="s">
        <v>1710</v>
      </c>
      <c r="I150" s="73" t="s">
        <v>13</v>
      </c>
      <c r="J150" s="58"/>
      <c r="K150" s="58"/>
      <c r="L150" s="58"/>
      <c r="M150" s="58"/>
      <c r="N150" s="58"/>
      <c r="O150" s="58"/>
      <c r="P150" s="58"/>
      <c r="Q150" s="58"/>
      <c r="R150" s="58"/>
      <c r="S150" s="58"/>
      <c r="T150" s="58"/>
      <c r="U150" s="58"/>
      <c r="V150" s="58"/>
      <c r="W150" s="58"/>
      <c r="X150" s="58"/>
      <c r="Y150" s="58"/>
      <c r="Z150" s="58"/>
    </row>
    <row r="151">
      <c r="A151" s="85" t="s">
        <v>1333</v>
      </c>
      <c r="B151" s="72" t="s">
        <v>1449</v>
      </c>
      <c r="C151" s="73" t="s">
        <v>1700</v>
      </c>
      <c r="D151" s="73" t="s">
        <v>1701</v>
      </c>
      <c r="E151" s="73" t="s">
        <v>1711</v>
      </c>
      <c r="F151" s="73" t="s">
        <v>1712</v>
      </c>
      <c r="G151" s="73" t="s">
        <v>1719</v>
      </c>
      <c r="H151" s="73" t="s">
        <v>1713</v>
      </c>
      <c r="I151" s="73" t="s">
        <v>13</v>
      </c>
      <c r="J151" s="58"/>
      <c r="K151" s="58"/>
      <c r="L151" s="58"/>
      <c r="M151" s="58"/>
      <c r="N151" s="58"/>
      <c r="O151" s="58"/>
      <c r="P151" s="58"/>
      <c r="Q151" s="58"/>
      <c r="R151" s="58"/>
      <c r="S151" s="58"/>
      <c r="T151" s="58"/>
      <c r="U151" s="58"/>
      <c r="V151" s="58"/>
      <c r="W151" s="58"/>
      <c r="X151" s="58"/>
      <c r="Y151" s="58"/>
      <c r="Z151" s="58"/>
    </row>
    <row r="152">
      <c r="A152" s="85" t="s">
        <v>1335</v>
      </c>
      <c r="B152" s="72" t="s">
        <v>1449</v>
      </c>
      <c r="C152" s="73" t="s">
        <v>1700</v>
      </c>
      <c r="D152" s="73" t="s">
        <v>1701</v>
      </c>
      <c r="E152" s="73" t="s">
        <v>1811</v>
      </c>
      <c r="F152" s="73" t="s">
        <v>1812</v>
      </c>
      <c r="G152" s="75"/>
      <c r="H152" s="73" t="s">
        <v>1813</v>
      </c>
      <c r="I152" s="73" t="s">
        <v>13</v>
      </c>
      <c r="J152" s="58"/>
      <c r="K152" s="58"/>
      <c r="L152" s="58"/>
      <c r="M152" s="58"/>
      <c r="N152" s="58"/>
      <c r="O152" s="58"/>
      <c r="P152" s="58"/>
      <c r="Q152" s="58"/>
      <c r="R152" s="58"/>
      <c r="S152" s="58"/>
      <c r="T152" s="58"/>
      <c r="U152" s="58"/>
      <c r="V152" s="58"/>
      <c r="W152" s="58"/>
      <c r="X152" s="58"/>
      <c r="Y152" s="58"/>
      <c r="Z152" s="58"/>
    </row>
    <row r="153">
      <c r="A153" s="85" t="s">
        <v>1337</v>
      </c>
      <c r="B153" s="72" t="s">
        <v>1449</v>
      </c>
      <c r="C153" s="73" t="s">
        <v>1700</v>
      </c>
      <c r="D153" s="73" t="s">
        <v>1701</v>
      </c>
      <c r="E153" s="73" t="s">
        <v>1814</v>
      </c>
      <c r="F153" s="73" t="s">
        <v>1815</v>
      </c>
      <c r="G153" s="73" t="s">
        <v>1816</v>
      </c>
      <c r="H153" s="73" t="s">
        <v>1813</v>
      </c>
      <c r="I153" s="73" t="s">
        <v>13</v>
      </c>
      <c r="J153" s="58"/>
      <c r="K153" s="58"/>
      <c r="L153" s="58"/>
      <c r="M153" s="58"/>
      <c r="N153" s="58"/>
      <c r="O153" s="58"/>
      <c r="P153" s="58"/>
      <c r="Q153" s="58"/>
      <c r="R153" s="58"/>
      <c r="S153" s="58"/>
      <c r="T153" s="58"/>
      <c r="U153" s="58"/>
      <c r="V153" s="58"/>
      <c r="W153" s="58"/>
      <c r="X153" s="58"/>
      <c r="Y153" s="58"/>
      <c r="Z153" s="58"/>
    </row>
    <row r="154">
      <c r="A154" s="85" t="s">
        <v>1339</v>
      </c>
      <c r="B154" s="72" t="s">
        <v>1449</v>
      </c>
      <c r="C154" s="73" t="s">
        <v>1700</v>
      </c>
      <c r="D154" s="73" t="s">
        <v>1701</v>
      </c>
      <c r="E154" s="73" t="s">
        <v>1817</v>
      </c>
      <c r="F154" s="73" t="s">
        <v>1818</v>
      </c>
      <c r="G154" s="73" t="s">
        <v>1819</v>
      </c>
      <c r="H154" s="73" t="s">
        <v>1813</v>
      </c>
      <c r="I154" s="73" t="s">
        <v>13</v>
      </c>
      <c r="J154" s="58"/>
      <c r="K154" s="58"/>
      <c r="L154" s="58"/>
      <c r="M154" s="58"/>
      <c r="N154" s="58"/>
      <c r="O154" s="58"/>
      <c r="P154" s="58"/>
      <c r="Q154" s="58"/>
      <c r="R154" s="58"/>
      <c r="S154" s="58"/>
      <c r="T154" s="58"/>
      <c r="U154" s="58"/>
      <c r="V154" s="58"/>
      <c r="W154" s="58"/>
      <c r="X154" s="58"/>
      <c r="Y154" s="58"/>
      <c r="Z154" s="58"/>
    </row>
    <row r="155">
      <c r="A155" s="85" t="s">
        <v>1341</v>
      </c>
      <c r="B155" s="72" t="s">
        <v>1449</v>
      </c>
      <c r="C155" s="73" t="s">
        <v>1700</v>
      </c>
      <c r="D155" s="73" t="s">
        <v>1701</v>
      </c>
      <c r="E155" s="73" t="s">
        <v>1711</v>
      </c>
      <c r="F155" s="73" t="s">
        <v>1820</v>
      </c>
      <c r="G155" s="75"/>
      <c r="H155" s="73" t="s">
        <v>1713</v>
      </c>
      <c r="I155" s="73" t="s">
        <v>13</v>
      </c>
      <c r="J155" s="58"/>
      <c r="K155" s="58"/>
      <c r="L155" s="58"/>
      <c r="M155" s="58"/>
      <c r="N155" s="58"/>
      <c r="O155" s="58"/>
      <c r="P155" s="58"/>
      <c r="Q155" s="58"/>
      <c r="R155" s="58"/>
      <c r="S155" s="58"/>
      <c r="T155" s="58"/>
      <c r="U155" s="58"/>
      <c r="V155" s="58"/>
      <c r="W155" s="58"/>
      <c r="X155" s="58"/>
      <c r="Y155" s="58"/>
      <c r="Z155" s="58"/>
    </row>
    <row r="156">
      <c r="A156" s="85" t="s">
        <v>1343</v>
      </c>
      <c r="B156" s="72" t="s">
        <v>1449</v>
      </c>
      <c r="C156" s="73" t="s">
        <v>1821</v>
      </c>
      <c r="D156" s="73" t="s">
        <v>1822</v>
      </c>
      <c r="E156" s="73" t="s">
        <v>1823</v>
      </c>
      <c r="F156" s="73" t="s">
        <v>1824</v>
      </c>
      <c r="G156" s="73" t="s">
        <v>1825</v>
      </c>
      <c r="H156" s="73" t="s">
        <v>1826</v>
      </c>
      <c r="I156" s="73" t="s">
        <v>13</v>
      </c>
      <c r="J156" s="58"/>
      <c r="K156" s="58"/>
      <c r="L156" s="58"/>
      <c r="M156" s="58"/>
      <c r="N156" s="58"/>
      <c r="O156" s="58"/>
      <c r="P156" s="58"/>
      <c r="Q156" s="58"/>
      <c r="R156" s="58"/>
      <c r="S156" s="58"/>
      <c r="T156" s="58"/>
      <c r="U156" s="58"/>
      <c r="V156" s="58"/>
      <c r="W156" s="58"/>
      <c r="X156" s="58"/>
      <c r="Y156" s="58"/>
      <c r="Z156" s="58"/>
    </row>
    <row r="157">
      <c r="A157" s="85" t="s">
        <v>1345</v>
      </c>
      <c r="B157" s="72" t="s">
        <v>1449</v>
      </c>
      <c r="C157" s="73" t="s">
        <v>1821</v>
      </c>
      <c r="D157" s="73" t="s">
        <v>1822</v>
      </c>
      <c r="E157" s="73" t="s">
        <v>1827</v>
      </c>
      <c r="F157" s="73" t="s">
        <v>1828</v>
      </c>
      <c r="G157" s="73" t="s">
        <v>1825</v>
      </c>
      <c r="H157" s="73" t="s">
        <v>1829</v>
      </c>
      <c r="I157" s="73" t="s">
        <v>13</v>
      </c>
      <c r="J157" s="58"/>
      <c r="K157" s="58"/>
      <c r="L157" s="58"/>
      <c r="M157" s="58"/>
      <c r="N157" s="58"/>
      <c r="O157" s="58"/>
      <c r="P157" s="58"/>
      <c r="Q157" s="58"/>
      <c r="R157" s="58"/>
      <c r="S157" s="58"/>
      <c r="T157" s="58"/>
      <c r="U157" s="58"/>
      <c r="V157" s="58"/>
      <c r="W157" s="58"/>
      <c r="X157" s="58"/>
      <c r="Y157" s="58"/>
      <c r="Z157" s="58"/>
    </row>
    <row r="158">
      <c r="A158" s="85" t="s">
        <v>1347</v>
      </c>
      <c r="B158" s="72" t="s">
        <v>1449</v>
      </c>
      <c r="C158" s="73" t="s">
        <v>1821</v>
      </c>
      <c r="D158" s="73" t="s">
        <v>1822</v>
      </c>
      <c r="E158" s="73" t="s">
        <v>1830</v>
      </c>
      <c r="F158" s="73" t="s">
        <v>1831</v>
      </c>
      <c r="G158" s="73" t="s">
        <v>1825</v>
      </c>
      <c r="H158" s="73" t="s">
        <v>1832</v>
      </c>
      <c r="I158" s="73" t="s">
        <v>13</v>
      </c>
      <c r="J158" s="58"/>
      <c r="K158" s="58"/>
      <c r="L158" s="58"/>
      <c r="M158" s="58"/>
      <c r="N158" s="58"/>
      <c r="O158" s="58"/>
      <c r="P158" s="58"/>
      <c r="Q158" s="58"/>
      <c r="R158" s="58"/>
      <c r="S158" s="58"/>
      <c r="T158" s="58"/>
      <c r="U158" s="58"/>
      <c r="V158" s="58"/>
      <c r="W158" s="58"/>
      <c r="X158" s="58"/>
      <c r="Y158" s="58"/>
      <c r="Z158" s="58"/>
    </row>
    <row r="159">
      <c r="A159" s="85" t="s">
        <v>1349</v>
      </c>
      <c r="B159" s="72" t="s">
        <v>1449</v>
      </c>
      <c r="C159" s="73" t="s">
        <v>1821</v>
      </c>
      <c r="D159" s="73" t="s">
        <v>1822</v>
      </c>
      <c r="E159" s="73" t="s">
        <v>1833</v>
      </c>
      <c r="F159" s="73" t="s">
        <v>1834</v>
      </c>
      <c r="G159" s="73" t="s">
        <v>1825</v>
      </c>
      <c r="H159" s="73" t="s">
        <v>1835</v>
      </c>
      <c r="I159" s="73" t="s">
        <v>13</v>
      </c>
      <c r="J159" s="58"/>
      <c r="K159" s="58"/>
      <c r="L159" s="58"/>
      <c r="M159" s="58"/>
      <c r="N159" s="58"/>
      <c r="O159" s="58"/>
      <c r="P159" s="58"/>
      <c r="Q159" s="58"/>
      <c r="R159" s="58"/>
      <c r="S159" s="58"/>
      <c r="T159" s="58"/>
      <c r="U159" s="58"/>
      <c r="V159" s="58"/>
      <c r="W159" s="58"/>
      <c r="X159" s="58"/>
      <c r="Y159" s="58"/>
      <c r="Z159" s="58"/>
    </row>
    <row r="160">
      <c r="A160" s="85" t="s">
        <v>1351</v>
      </c>
      <c r="B160" s="72" t="s">
        <v>1449</v>
      </c>
      <c r="C160" s="73" t="s">
        <v>1836</v>
      </c>
      <c r="D160" s="73" t="s">
        <v>1822</v>
      </c>
      <c r="E160" s="73" t="s">
        <v>1837</v>
      </c>
      <c r="F160" s="73" t="s">
        <v>1838</v>
      </c>
      <c r="G160" s="73" t="s">
        <v>1825</v>
      </c>
      <c r="H160" s="73" t="s">
        <v>1839</v>
      </c>
      <c r="I160" s="73" t="s">
        <v>13</v>
      </c>
      <c r="J160" s="58"/>
      <c r="K160" s="58"/>
      <c r="L160" s="58"/>
      <c r="M160" s="58"/>
      <c r="N160" s="58"/>
      <c r="O160" s="58"/>
      <c r="P160" s="58"/>
      <c r="Q160" s="58"/>
      <c r="R160" s="58"/>
      <c r="S160" s="58"/>
      <c r="T160" s="58"/>
      <c r="U160" s="58"/>
      <c r="V160" s="58"/>
      <c r="W160" s="58"/>
      <c r="X160" s="58"/>
      <c r="Y160" s="58"/>
      <c r="Z160" s="58"/>
    </row>
    <row r="161">
      <c r="A161" s="85" t="s">
        <v>1353</v>
      </c>
      <c r="B161" s="72" t="s">
        <v>1449</v>
      </c>
      <c r="C161" s="73" t="s">
        <v>1836</v>
      </c>
      <c r="D161" s="73" t="s">
        <v>1822</v>
      </c>
      <c r="E161" s="73" t="s">
        <v>1840</v>
      </c>
      <c r="F161" s="73" t="s">
        <v>1841</v>
      </c>
      <c r="G161" s="75"/>
      <c r="H161" s="73" t="s">
        <v>1842</v>
      </c>
      <c r="I161" s="73" t="s">
        <v>13</v>
      </c>
      <c r="J161" s="58"/>
      <c r="K161" s="58"/>
      <c r="L161" s="58"/>
      <c r="M161" s="58"/>
      <c r="N161" s="58"/>
      <c r="O161" s="58"/>
      <c r="P161" s="58"/>
      <c r="Q161" s="58"/>
      <c r="R161" s="58"/>
      <c r="S161" s="58"/>
      <c r="T161" s="58"/>
      <c r="U161" s="58"/>
      <c r="V161" s="58"/>
      <c r="W161" s="58"/>
      <c r="X161" s="58"/>
      <c r="Y161" s="58"/>
      <c r="Z161" s="58"/>
    </row>
    <row r="162">
      <c r="A162" s="85" t="s">
        <v>1356</v>
      </c>
      <c r="B162" s="72" t="s">
        <v>1449</v>
      </c>
      <c r="C162" s="73" t="s">
        <v>1836</v>
      </c>
      <c r="D162" s="73" t="s">
        <v>1822</v>
      </c>
      <c r="E162" s="73" t="s">
        <v>1843</v>
      </c>
      <c r="F162" s="73" t="s">
        <v>1838</v>
      </c>
      <c r="G162" s="75"/>
      <c r="H162" s="73" t="s">
        <v>1839</v>
      </c>
      <c r="I162" s="73" t="s">
        <v>13</v>
      </c>
      <c r="J162" s="58"/>
      <c r="K162" s="58"/>
      <c r="L162" s="58"/>
      <c r="M162" s="58"/>
      <c r="N162" s="58"/>
      <c r="O162" s="58"/>
      <c r="P162" s="58"/>
      <c r="Q162" s="58"/>
      <c r="R162" s="58"/>
      <c r="S162" s="58"/>
      <c r="T162" s="58"/>
      <c r="U162" s="58"/>
      <c r="V162" s="58"/>
      <c r="W162" s="58"/>
      <c r="X162" s="58"/>
      <c r="Y162" s="58"/>
      <c r="Z162" s="58"/>
    </row>
    <row r="163">
      <c r="A163" s="85" t="s">
        <v>1358</v>
      </c>
      <c r="B163" s="72" t="s">
        <v>1449</v>
      </c>
      <c r="C163" s="73" t="s">
        <v>1836</v>
      </c>
      <c r="D163" s="73" t="s">
        <v>1822</v>
      </c>
      <c r="E163" s="73" t="s">
        <v>1844</v>
      </c>
      <c r="F163" s="73" t="s">
        <v>1838</v>
      </c>
      <c r="G163" s="75"/>
      <c r="H163" s="73" t="s">
        <v>1839</v>
      </c>
      <c r="I163" s="73" t="s">
        <v>13</v>
      </c>
      <c r="J163" s="58"/>
      <c r="K163" s="58"/>
      <c r="L163" s="58"/>
      <c r="M163" s="58"/>
      <c r="N163" s="58"/>
      <c r="O163" s="58"/>
      <c r="P163" s="58"/>
      <c r="Q163" s="58"/>
      <c r="R163" s="58"/>
      <c r="S163" s="58"/>
      <c r="T163" s="58"/>
      <c r="U163" s="58"/>
      <c r="V163" s="58"/>
      <c r="W163" s="58"/>
      <c r="X163" s="58"/>
      <c r="Y163" s="58"/>
      <c r="Z163" s="58"/>
    </row>
    <row r="164">
      <c r="A164" s="85" t="s">
        <v>1360</v>
      </c>
      <c r="B164" s="72" t="s">
        <v>1449</v>
      </c>
      <c r="C164" s="73" t="s">
        <v>1836</v>
      </c>
      <c r="D164" s="73" t="s">
        <v>1822</v>
      </c>
      <c r="E164" s="73" t="s">
        <v>1845</v>
      </c>
      <c r="F164" s="73" t="s">
        <v>1838</v>
      </c>
      <c r="G164" s="75"/>
      <c r="H164" s="73" t="s">
        <v>1839</v>
      </c>
      <c r="I164" s="73" t="s">
        <v>13</v>
      </c>
      <c r="J164" s="58"/>
      <c r="K164" s="58"/>
      <c r="L164" s="58"/>
      <c r="M164" s="58"/>
      <c r="N164" s="58"/>
      <c r="O164" s="58"/>
      <c r="P164" s="58"/>
      <c r="Q164" s="58"/>
      <c r="R164" s="58"/>
      <c r="S164" s="58"/>
      <c r="T164" s="58"/>
      <c r="U164" s="58"/>
      <c r="V164" s="58"/>
      <c r="W164" s="58"/>
      <c r="X164" s="58"/>
      <c r="Y164" s="58"/>
      <c r="Z164" s="58"/>
    </row>
    <row r="165">
      <c r="A165" s="85" t="s">
        <v>1362</v>
      </c>
      <c r="B165" s="72" t="s">
        <v>1449</v>
      </c>
      <c r="C165" s="73" t="s">
        <v>1836</v>
      </c>
      <c r="D165" s="73" t="s">
        <v>1822</v>
      </c>
      <c r="E165" s="73" t="s">
        <v>1846</v>
      </c>
      <c r="F165" s="73" t="s">
        <v>1838</v>
      </c>
      <c r="G165" s="75"/>
      <c r="H165" s="73" t="s">
        <v>1839</v>
      </c>
      <c r="I165" s="73" t="s">
        <v>13</v>
      </c>
      <c r="J165" s="58"/>
      <c r="K165" s="58"/>
      <c r="L165" s="58"/>
      <c r="M165" s="58"/>
      <c r="N165" s="58"/>
      <c r="O165" s="58"/>
      <c r="P165" s="58"/>
      <c r="Q165" s="58"/>
      <c r="R165" s="58"/>
      <c r="S165" s="58"/>
      <c r="T165" s="58"/>
      <c r="U165" s="58"/>
      <c r="V165" s="58"/>
      <c r="W165" s="58"/>
      <c r="X165" s="58"/>
      <c r="Y165" s="58"/>
      <c r="Z165" s="58"/>
    </row>
    <row r="166">
      <c r="A166" s="85" t="s">
        <v>1364</v>
      </c>
      <c r="B166" s="72" t="s">
        <v>1449</v>
      </c>
      <c r="C166" s="73" t="s">
        <v>1836</v>
      </c>
      <c r="D166" s="73" t="s">
        <v>1822</v>
      </c>
      <c r="E166" s="73" t="s">
        <v>1847</v>
      </c>
      <c r="F166" s="73" t="s">
        <v>1848</v>
      </c>
      <c r="G166" s="75"/>
      <c r="H166" s="73" t="s">
        <v>1849</v>
      </c>
      <c r="I166" s="73" t="s">
        <v>13</v>
      </c>
      <c r="J166" s="58"/>
      <c r="K166" s="58"/>
      <c r="L166" s="58"/>
      <c r="M166" s="58"/>
      <c r="N166" s="58"/>
      <c r="O166" s="58"/>
      <c r="P166" s="58"/>
      <c r="Q166" s="58"/>
      <c r="R166" s="58"/>
      <c r="S166" s="58"/>
      <c r="T166" s="58"/>
      <c r="U166" s="58"/>
      <c r="V166" s="58"/>
      <c r="W166" s="58"/>
      <c r="X166" s="58"/>
      <c r="Y166" s="58"/>
      <c r="Z166" s="58"/>
    </row>
    <row r="167">
      <c r="A167" s="85" t="s">
        <v>1366</v>
      </c>
      <c r="B167" s="72" t="s">
        <v>1449</v>
      </c>
      <c r="C167" s="73" t="s">
        <v>1836</v>
      </c>
      <c r="D167" s="73" t="s">
        <v>1822</v>
      </c>
      <c r="E167" s="73" t="s">
        <v>1850</v>
      </c>
      <c r="F167" s="73" t="s">
        <v>1841</v>
      </c>
      <c r="G167" s="75"/>
      <c r="H167" s="73" t="s">
        <v>1842</v>
      </c>
      <c r="I167" s="73" t="s">
        <v>13</v>
      </c>
      <c r="J167" s="58"/>
      <c r="K167" s="58"/>
      <c r="L167" s="58"/>
      <c r="M167" s="58"/>
      <c r="N167" s="58"/>
      <c r="O167" s="58"/>
      <c r="P167" s="58"/>
      <c r="Q167" s="58"/>
      <c r="R167" s="58"/>
      <c r="S167" s="58"/>
      <c r="T167" s="58"/>
      <c r="U167" s="58"/>
      <c r="V167" s="58"/>
      <c r="W167" s="58"/>
      <c r="X167" s="58"/>
      <c r="Y167" s="58"/>
      <c r="Z167" s="58"/>
    </row>
    <row r="168">
      <c r="A168" s="85" t="s">
        <v>1368</v>
      </c>
      <c r="B168" s="72" t="s">
        <v>1449</v>
      </c>
      <c r="C168" s="73" t="s">
        <v>1851</v>
      </c>
      <c r="D168" s="73" t="s">
        <v>1852</v>
      </c>
      <c r="E168" s="73" t="s">
        <v>1853</v>
      </c>
      <c r="F168" s="73" t="s">
        <v>1854</v>
      </c>
      <c r="G168" s="75"/>
      <c r="H168" s="73" t="s">
        <v>1855</v>
      </c>
      <c r="I168" s="73" t="s">
        <v>13</v>
      </c>
      <c r="J168" s="58"/>
      <c r="K168" s="58"/>
      <c r="L168" s="58"/>
      <c r="M168" s="58"/>
      <c r="N168" s="58"/>
      <c r="O168" s="58"/>
      <c r="P168" s="58"/>
      <c r="Q168" s="58"/>
      <c r="R168" s="58"/>
      <c r="S168" s="58"/>
      <c r="T168" s="58"/>
      <c r="U168" s="58"/>
      <c r="V168" s="58"/>
      <c r="W168" s="58"/>
      <c r="X168" s="58"/>
      <c r="Y168" s="58"/>
      <c r="Z168" s="58"/>
    </row>
    <row r="169">
      <c r="A169" s="85" t="s">
        <v>1370</v>
      </c>
      <c r="B169" s="72" t="s">
        <v>1449</v>
      </c>
      <c r="C169" s="73" t="s">
        <v>1851</v>
      </c>
      <c r="D169" s="73" t="s">
        <v>1852</v>
      </c>
      <c r="E169" s="73" t="s">
        <v>1856</v>
      </c>
      <c r="F169" s="59" t="s">
        <v>1857</v>
      </c>
      <c r="G169" s="75"/>
      <c r="H169" s="73" t="s">
        <v>1858</v>
      </c>
      <c r="I169" s="73" t="s">
        <v>13</v>
      </c>
      <c r="J169" s="58"/>
      <c r="K169" s="58"/>
      <c r="L169" s="58"/>
      <c r="M169" s="58"/>
      <c r="N169" s="58"/>
      <c r="O169" s="58"/>
      <c r="P169" s="58"/>
      <c r="Q169" s="58"/>
      <c r="R169" s="58"/>
      <c r="S169" s="58"/>
      <c r="T169" s="58"/>
      <c r="U169" s="58"/>
      <c r="V169" s="58"/>
      <c r="W169" s="58"/>
      <c r="X169" s="58"/>
      <c r="Y169" s="58"/>
      <c r="Z169" s="58"/>
    </row>
    <row r="170">
      <c r="A170" s="85" t="s">
        <v>1372</v>
      </c>
      <c r="B170" s="72" t="s">
        <v>1449</v>
      </c>
      <c r="C170" s="73" t="s">
        <v>1851</v>
      </c>
      <c r="D170" s="73" t="s">
        <v>1859</v>
      </c>
      <c r="E170" s="73" t="s">
        <v>1860</v>
      </c>
      <c r="F170" s="73" t="s">
        <v>1861</v>
      </c>
      <c r="G170" s="75"/>
      <c r="H170" s="73" t="s">
        <v>1862</v>
      </c>
      <c r="I170" s="73" t="s">
        <v>13</v>
      </c>
      <c r="J170" s="58"/>
      <c r="K170" s="58"/>
      <c r="L170" s="58"/>
      <c r="M170" s="58"/>
      <c r="N170" s="58"/>
      <c r="O170" s="58"/>
      <c r="P170" s="58"/>
      <c r="Q170" s="58"/>
      <c r="R170" s="58"/>
      <c r="S170" s="58"/>
      <c r="T170" s="58"/>
      <c r="U170" s="58"/>
      <c r="V170" s="58"/>
      <c r="W170" s="58"/>
      <c r="X170" s="58"/>
      <c r="Y170" s="58"/>
      <c r="Z170" s="58"/>
    </row>
    <row r="171">
      <c r="A171" s="85" t="s">
        <v>1373</v>
      </c>
      <c r="B171" s="72" t="s">
        <v>1449</v>
      </c>
      <c r="C171" s="73" t="s">
        <v>1851</v>
      </c>
      <c r="D171" s="73" t="s">
        <v>1859</v>
      </c>
      <c r="E171" s="73" t="s">
        <v>1863</v>
      </c>
      <c r="F171" s="73" t="s">
        <v>1861</v>
      </c>
      <c r="G171" s="75"/>
      <c r="H171" s="73" t="s">
        <v>1864</v>
      </c>
      <c r="I171" s="73" t="s">
        <v>13</v>
      </c>
      <c r="J171" s="58"/>
      <c r="K171" s="58"/>
      <c r="L171" s="58"/>
      <c r="M171" s="58"/>
      <c r="N171" s="58"/>
      <c r="O171" s="58"/>
      <c r="P171" s="58"/>
      <c r="Q171" s="58"/>
      <c r="R171" s="58"/>
      <c r="S171" s="58"/>
      <c r="T171" s="58"/>
      <c r="U171" s="58"/>
      <c r="V171" s="58"/>
      <c r="W171" s="58"/>
      <c r="X171" s="58"/>
      <c r="Y171" s="58"/>
      <c r="Z171" s="58"/>
    </row>
    <row r="172">
      <c r="A172" s="85" t="s">
        <v>1376</v>
      </c>
      <c r="B172" s="72" t="s">
        <v>1449</v>
      </c>
      <c r="C172" s="73" t="s">
        <v>1851</v>
      </c>
      <c r="D172" s="73" t="s">
        <v>1859</v>
      </c>
      <c r="E172" s="73" t="s">
        <v>1865</v>
      </c>
      <c r="F172" s="73" t="s">
        <v>1861</v>
      </c>
      <c r="G172" s="75"/>
      <c r="H172" s="73" t="s">
        <v>1866</v>
      </c>
      <c r="I172" s="73" t="s">
        <v>13</v>
      </c>
      <c r="J172" s="58"/>
      <c r="K172" s="58"/>
      <c r="L172" s="58"/>
      <c r="M172" s="58"/>
      <c r="N172" s="58"/>
      <c r="O172" s="58"/>
      <c r="P172" s="58"/>
      <c r="Q172" s="58"/>
      <c r="R172" s="58"/>
      <c r="S172" s="58"/>
      <c r="T172" s="58"/>
      <c r="U172" s="58"/>
      <c r="V172" s="58"/>
      <c r="W172" s="58"/>
      <c r="X172" s="58"/>
      <c r="Y172" s="58"/>
      <c r="Z172" s="58"/>
    </row>
    <row r="173">
      <c r="A173" s="85" t="s">
        <v>1378</v>
      </c>
      <c r="B173" s="72" t="s">
        <v>1449</v>
      </c>
      <c r="C173" s="73" t="s">
        <v>1851</v>
      </c>
      <c r="D173" s="73" t="s">
        <v>1859</v>
      </c>
      <c r="E173" s="73" t="s">
        <v>1867</v>
      </c>
      <c r="F173" s="73" t="s">
        <v>1861</v>
      </c>
      <c r="G173" s="73" t="s">
        <v>1868</v>
      </c>
      <c r="H173" s="73" t="s">
        <v>1869</v>
      </c>
      <c r="I173" s="73" t="s">
        <v>13</v>
      </c>
      <c r="J173" s="58"/>
      <c r="K173" s="58"/>
      <c r="L173" s="58"/>
      <c r="M173" s="58"/>
      <c r="N173" s="58"/>
      <c r="O173" s="58"/>
      <c r="P173" s="58"/>
      <c r="Q173" s="58"/>
      <c r="R173" s="58"/>
      <c r="S173" s="58"/>
      <c r="T173" s="58"/>
      <c r="U173" s="58"/>
      <c r="V173" s="58"/>
      <c r="W173" s="58"/>
      <c r="X173" s="58"/>
      <c r="Y173" s="58"/>
      <c r="Z173" s="58"/>
    </row>
    <row r="174">
      <c r="A174" s="85" t="s">
        <v>1380</v>
      </c>
      <c r="B174" s="72" t="s">
        <v>1449</v>
      </c>
      <c r="C174" s="73" t="s">
        <v>1870</v>
      </c>
      <c r="D174" s="73" t="s">
        <v>1871</v>
      </c>
      <c r="E174" s="73" t="s">
        <v>1872</v>
      </c>
      <c r="F174" s="73" t="s">
        <v>1873</v>
      </c>
      <c r="G174" s="75"/>
      <c r="H174" s="73" t="s">
        <v>1874</v>
      </c>
      <c r="I174" s="73" t="s">
        <v>13</v>
      </c>
      <c r="J174" s="58"/>
      <c r="K174" s="58"/>
      <c r="L174" s="58"/>
      <c r="M174" s="58"/>
      <c r="N174" s="58"/>
      <c r="O174" s="58"/>
      <c r="P174" s="58"/>
      <c r="Q174" s="58"/>
      <c r="R174" s="58"/>
      <c r="S174" s="58"/>
      <c r="T174" s="58"/>
      <c r="U174" s="58"/>
      <c r="V174" s="58"/>
      <c r="W174" s="58"/>
      <c r="X174" s="58"/>
      <c r="Y174" s="58"/>
      <c r="Z174" s="58"/>
    </row>
    <row r="175">
      <c r="A175" s="85" t="s">
        <v>1382</v>
      </c>
      <c r="B175" s="72" t="s">
        <v>1449</v>
      </c>
      <c r="C175" s="73" t="s">
        <v>1875</v>
      </c>
      <c r="D175" s="73" t="s">
        <v>1822</v>
      </c>
      <c r="E175" s="73" t="s">
        <v>1876</v>
      </c>
      <c r="F175" s="73" t="s">
        <v>1877</v>
      </c>
      <c r="G175" s="75"/>
      <c r="H175" s="73" t="s">
        <v>1878</v>
      </c>
      <c r="I175" s="73" t="s">
        <v>13</v>
      </c>
      <c r="J175" s="58"/>
      <c r="K175" s="58"/>
      <c r="L175" s="58"/>
      <c r="M175" s="58"/>
      <c r="N175" s="58"/>
      <c r="O175" s="58"/>
      <c r="P175" s="58"/>
      <c r="Q175" s="58"/>
      <c r="R175" s="58"/>
      <c r="S175" s="58"/>
      <c r="T175" s="58"/>
      <c r="U175" s="58"/>
      <c r="V175" s="58"/>
      <c r="W175" s="58"/>
      <c r="X175" s="58"/>
      <c r="Y175" s="58"/>
      <c r="Z175" s="58"/>
    </row>
    <row r="176">
      <c r="A176" s="85" t="s">
        <v>1385</v>
      </c>
      <c r="B176" s="72" t="s">
        <v>1449</v>
      </c>
      <c r="C176" s="73" t="s">
        <v>1875</v>
      </c>
      <c r="D176" s="73" t="s">
        <v>1822</v>
      </c>
      <c r="E176" s="73" t="s">
        <v>1879</v>
      </c>
      <c r="F176" s="73" t="s">
        <v>1880</v>
      </c>
      <c r="G176" s="73" t="s">
        <v>1881</v>
      </c>
      <c r="H176" s="73" t="s">
        <v>1882</v>
      </c>
      <c r="I176" s="73" t="s">
        <v>13</v>
      </c>
      <c r="J176" s="58"/>
      <c r="K176" s="58"/>
      <c r="L176" s="58"/>
      <c r="M176" s="58"/>
      <c r="N176" s="58"/>
      <c r="O176" s="58"/>
      <c r="P176" s="58"/>
      <c r="Q176" s="58"/>
      <c r="R176" s="58"/>
      <c r="S176" s="58"/>
      <c r="T176" s="58"/>
      <c r="U176" s="58"/>
      <c r="V176" s="58"/>
      <c r="W176" s="58"/>
      <c r="X176" s="58"/>
      <c r="Y176" s="58"/>
      <c r="Z176" s="58"/>
    </row>
    <row r="177">
      <c r="A177" s="85" t="s">
        <v>1387</v>
      </c>
      <c r="B177" s="72" t="s">
        <v>1449</v>
      </c>
      <c r="C177" s="73" t="s">
        <v>1875</v>
      </c>
      <c r="D177" s="73" t="s">
        <v>1822</v>
      </c>
      <c r="E177" s="73" t="s">
        <v>1883</v>
      </c>
      <c r="F177" s="73" t="s">
        <v>1884</v>
      </c>
      <c r="G177" s="75"/>
      <c r="H177" s="73" t="s">
        <v>1885</v>
      </c>
      <c r="I177" s="73" t="s">
        <v>13</v>
      </c>
      <c r="J177" s="58"/>
      <c r="K177" s="58"/>
      <c r="L177" s="58"/>
      <c r="M177" s="58"/>
      <c r="N177" s="58"/>
      <c r="O177" s="58"/>
      <c r="P177" s="58"/>
      <c r="Q177" s="58"/>
      <c r="R177" s="58"/>
      <c r="S177" s="58"/>
      <c r="T177" s="58"/>
      <c r="U177" s="58"/>
      <c r="V177" s="58"/>
      <c r="W177" s="58"/>
      <c r="X177" s="58"/>
      <c r="Y177" s="58"/>
      <c r="Z177" s="58"/>
    </row>
    <row r="178">
      <c r="A178" s="85" t="s">
        <v>1389</v>
      </c>
      <c r="B178" s="72" t="s">
        <v>1449</v>
      </c>
      <c r="C178" s="73" t="s">
        <v>1875</v>
      </c>
      <c r="D178" s="73" t="s">
        <v>1886</v>
      </c>
      <c r="E178" s="73" t="s">
        <v>1887</v>
      </c>
      <c r="F178" s="73" t="s">
        <v>1888</v>
      </c>
      <c r="G178" s="75"/>
      <c r="H178" s="73" t="s">
        <v>1888</v>
      </c>
      <c r="I178" s="73" t="s">
        <v>13</v>
      </c>
      <c r="J178" s="58"/>
      <c r="K178" s="58"/>
      <c r="L178" s="58"/>
      <c r="M178" s="58"/>
      <c r="N178" s="58"/>
      <c r="O178" s="58"/>
      <c r="P178" s="58"/>
      <c r="Q178" s="58"/>
      <c r="R178" s="58"/>
      <c r="S178" s="58"/>
      <c r="T178" s="58"/>
      <c r="U178" s="58"/>
      <c r="V178" s="58"/>
      <c r="W178" s="58"/>
      <c r="X178" s="58"/>
      <c r="Y178" s="58"/>
      <c r="Z178" s="58"/>
    </row>
    <row r="179">
      <c r="A179" s="85" t="s">
        <v>1391</v>
      </c>
      <c r="B179" s="72" t="s">
        <v>1449</v>
      </c>
      <c r="C179" s="73" t="s">
        <v>1875</v>
      </c>
      <c r="D179" s="73" t="s">
        <v>1886</v>
      </c>
      <c r="E179" s="73" t="s">
        <v>1889</v>
      </c>
      <c r="F179" s="73" t="s">
        <v>1890</v>
      </c>
      <c r="G179" s="75"/>
      <c r="H179" s="75"/>
      <c r="I179" s="73" t="s">
        <v>13</v>
      </c>
      <c r="J179" s="58"/>
      <c r="K179" s="58"/>
      <c r="L179" s="58"/>
      <c r="M179" s="58"/>
      <c r="N179" s="58"/>
      <c r="O179" s="58"/>
      <c r="P179" s="58"/>
      <c r="Q179" s="58"/>
      <c r="R179" s="58"/>
      <c r="S179" s="58"/>
      <c r="T179" s="58"/>
      <c r="U179" s="58"/>
      <c r="V179" s="58"/>
      <c r="W179" s="58"/>
      <c r="X179" s="58"/>
      <c r="Y179" s="58"/>
      <c r="Z179" s="58"/>
    </row>
    <row r="180">
      <c r="A180" s="85" t="s">
        <v>1393</v>
      </c>
      <c r="B180" s="72" t="s">
        <v>1449</v>
      </c>
      <c r="C180" s="73" t="s">
        <v>1891</v>
      </c>
      <c r="D180" s="73" t="s">
        <v>1886</v>
      </c>
      <c r="E180" s="73" t="s">
        <v>1892</v>
      </c>
      <c r="F180" s="73" t="s">
        <v>1893</v>
      </c>
      <c r="G180" s="75"/>
      <c r="H180" s="73" t="s">
        <v>1893</v>
      </c>
      <c r="I180" s="73" t="s">
        <v>13</v>
      </c>
      <c r="J180" s="58"/>
      <c r="K180" s="58"/>
      <c r="L180" s="58"/>
      <c r="M180" s="58"/>
      <c r="N180" s="58"/>
      <c r="O180" s="58"/>
      <c r="P180" s="58"/>
      <c r="Q180" s="58"/>
      <c r="R180" s="58"/>
      <c r="S180" s="58"/>
      <c r="T180" s="58"/>
      <c r="U180" s="58"/>
      <c r="V180" s="58"/>
      <c r="W180" s="58"/>
      <c r="X180" s="58"/>
      <c r="Y180" s="58"/>
      <c r="Z180" s="58"/>
    </row>
    <row r="181">
      <c r="A181" s="85" t="s">
        <v>1395</v>
      </c>
      <c r="B181" s="72" t="s">
        <v>1449</v>
      </c>
      <c r="C181" s="73" t="s">
        <v>1894</v>
      </c>
      <c r="D181" s="73" t="s">
        <v>1886</v>
      </c>
      <c r="E181" s="73" t="s">
        <v>1895</v>
      </c>
      <c r="F181" s="73" t="s">
        <v>1896</v>
      </c>
      <c r="G181" s="75"/>
      <c r="H181" s="73" t="s">
        <v>1897</v>
      </c>
      <c r="I181" s="73" t="s">
        <v>13</v>
      </c>
      <c r="J181" s="58"/>
      <c r="K181" s="58"/>
      <c r="L181" s="58"/>
      <c r="M181" s="58"/>
      <c r="N181" s="58"/>
      <c r="O181" s="58"/>
      <c r="P181" s="58"/>
      <c r="Q181" s="58"/>
      <c r="R181" s="58"/>
      <c r="S181" s="58"/>
      <c r="T181" s="58"/>
      <c r="U181" s="58"/>
      <c r="V181" s="58"/>
      <c r="W181" s="58"/>
      <c r="X181" s="58"/>
      <c r="Y181" s="58"/>
      <c r="Z181" s="58"/>
    </row>
    <row r="182">
      <c r="A182" s="85" t="s">
        <v>1397</v>
      </c>
      <c r="B182" s="72" t="s">
        <v>1449</v>
      </c>
      <c r="C182" s="73" t="s">
        <v>1894</v>
      </c>
      <c r="D182" s="73" t="s">
        <v>1886</v>
      </c>
      <c r="E182" s="73" t="s">
        <v>1898</v>
      </c>
      <c r="F182" s="73" t="s">
        <v>1899</v>
      </c>
      <c r="G182" s="75"/>
      <c r="H182" s="73" t="s">
        <v>1899</v>
      </c>
      <c r="I182" s="73" t="s">
        <v>13</v>
      </c>
      <c r="J182" s="58"/>
      <c r="K182" s="58"/>
      <c r="L182" s="58"/>
      <c r="M182" s="58"/>
      <c r="N182" s="58"/>
      <c r="O182" s="58"/>
      <c r="P182" s="58"/>
      <c r="Q182" s="58"/>
      <c r="R182" s="58"/>
      <c r="S182" s="58"/>
      <c r="T182" s="58"/>
      <c r="U182" s="58"/>
      <c r="V182" s="58"/>
      <c r="W182" s="58"/>
      <c r="X182" s="58"/>
      <c r="Y182" s="58"/>
      <c r="Z182" s="58"/>
    </row>
    <row r="183">
      <c r="A183" s="85" t="s">
        <v>1399</v>
      </c>
      <c r="B183" s="72" t="s">
        <v>1449</v>
      </c>
      <c r="C183" s="73" t="s">
        <v>1894</v>
      </c>
      <c r="D183" s="73" t="s">
        <v>1900</v>
      </c>
      <c r="E183" s="73" t="s">
        <v>1901</v>
      </c>
      <c r="F183" s="73" t="s">
        <v>1902</v>
      </c>
      <c r="G183" s="75"/>
      <c r="H183" s="73" t="s">
        <v>1902</v>
      </c>
      <c r="I183" s="73" t="s">
        <v>13</v>
      </c>
      <c r="J183" s="58"/>
      <c r="K183" s="58"/>
      <c r="L183" s="58"/>
      <c r="M183" s="58"/>
      <c r="N183" s="58"/>
      <c r="O183" s="58"/>
      <c r="P183" s="58"/>
      <c r="Q183" s="58"/>
      <c r="R183" s="58"/>
      <c r="S183" s="58"/>
      <c r="T183" s="58"/>
      <c r="U183" s="58"/>
      <c r="V183" s="58"/>
      <c r="W183" s="58"/>
      <c r="X183" s="58"/>
      <c r="Y183" s="58"/>
      <c r="Z183" s="58"/>
    </row>
    <row r="184">
      <c r="A184" s="85" t="s">
        <v>1401</v>
      </c>
      <c r="B184" s="72" t="s">
        <v>1449</v>
      </c>
      <c r="C184" s="73" t="s">
        <v>1894</v>
      </c>
      <c r="D184" s="73" t="s">
        <v>1900</v>
      </c>
      <c r="E184" s="73" t="s">
        <v>1863</v>
      </c>
      <c r="F184" s="73" t="s">
        <v>1903</v>
      </c>
      <c r="G184" s="75"/>
      <c r="H184" s="73" t="s">
        <v>1904</v>
      </c>
      <c r="I184" s="73" t="s">
        <v>13</v>
      </c>
      <c r="J184" s="58"/>
      <c r="K184" s="58"/>
      <c r="L184" s="58"/>
      <c r="M184" s="58"/>
      <c r="N184" s="58"/>
      <c r="O184" s="58"/>
      <c r="P184" s="58"/>
      <c r="Q184" s="58"/>
      <c r="R184" s="58"/>
      <c r="S184" s="58"/>
      <c r="T184" s="58"/>
      <c r="U184" s="58"/>
      <c r="V184" s="58"/>
      <c r="W184" s="58"/>
      <c r="X184" s="58"/>
      <c r="Y184" s="58"/>
      <c r="Z184" s="58"/>
    </row>
    <row r="185">
      <c r="A185" s="85" t="s">
        <v>1403</v>
      </c>
      <c r="B185" s="72" t="s">
        <v>1449</v>
      </c>
      <c r="C185" s="73" t="s">
        <v>1894</v>
      </c>
      <c r="D185" s="73" t="s">
        <v>1900</v>
      </c>
      <c r="E185" s="73" t="s">
        <v>1865</v>
      </c>
      <c r="F185" s="73" t="s">
        <v>1905</v>
      </c>
      <c r="G185" s="75"/>
      <c r="H185" s="73" t="s">
        <v>1905</v>
      </c>
      <c r="I185" s="73" t="s">
        <v>13</v>
      </c>
      <c r="J185" s="58"/>
      <c r="K185" s="58"/>
      <c r="L185" s="58"/>
      <c r="M185" s="58"/>
      <c r="N185" s="58"/>
      <c r="O185" s="58"/>
      <c r="P185" s="58"/>
      <c r="Q185" s="58"/>
      <c r="R185" s="58"/>
      <c r="S185" s="58"/>
      <c r="T185" s="58"/>
      <c r="U185" s="58"/>
      <c r="V185" s="58"/>
      <c r="W185" s="58"/>
      <c r="X185" s="58"/>
      <c r="Y185" s="58"/>
      <c r="Z185" s="58"/>
    </row>
    <row r="186">
      <c r="A186" s="85" t="s">
        <v>1405</v>
      </c>
      <c r="B186" s="72" t="s">
        <v>1449</v>
      </c>
      <c r="C186" s="73" t="s">
        <v>1894</v>
      </c>
      <c r="D186" s="73" t="s">
        <v>1900</v>
      </c>
      <c r="E186" s="73" t="s">
        <v>1867</v>
      </c>
      <c r="F186" s="73" t="s">
        <v>1906</v>
      </c>
      <c r="G186" s="75"/>
      <c r="H186" s="73" t="s">
        <v>1907</v>
      </c>
      <c r="I186" s="73" t="s">
        <v>13</v>
      </c>
      <c r="J186" s="58"/>
      <c r="K186" s="58"/>
      <c r="L186" s="58"/>
      <c r="M186" s="58"/>
      <c r="N186" s="58"/>
      <c r="O186" s="58"/>
      <c r="P186" s="58"/>
      <c r="Q186" s="58"/>
      <c r="R186" s="58"/>
      <c r="S186" s="58"/>
      <c r="T186" s="58"/>
      <c r="U186" s="58"/>
      <c r="V186" s="58"/>
      <c r="W186" s="58"/>
      <c r="X186" s="58"/>
      <c r="Y186" s="58"/>
      <c r="Z186" s="58"/>
    </row>
    <row r="187">
      <c r="A187" s="85" t="s">
        <v>1407</v>
      </c>
      <c r="B187" s="72" t="s">
        <v>1449</v>
      </c>
      <c r="C187" s="73" t="s">
        <v>1908</v>
      </c>
      <c r="D187" s="73" t="s">
        <v>1886</v>
      </c>
      <c r="E187" s="73" t="s">
        <v>1909</v>
      </c>
      <c r="F187" s="73" t="s">
        <v>1910</v>
      </c>
      <c r="G187" s="75"/>
      <c r="H187" s="73" t="s">
        <v>1911</v>
      </c>
      <c r="I187" s="73" t="s">
        <v>13</v>
      </c>
      <c r="J187" s="58"/>
      <c r="K187" s="58"/>
      <c r="L187" s="58"/>
      <c r="M187" s="58"/>
      <c r="N187" s="58"/>
      <c r="O187" s="58"/>
      <c r="P187" s="58"/>
      <c r="Q187" s="58"/>
      <c r="R187" s="58"/>
      <c r="S187" s="58"/>
      <c r="T187" s="58"/>
      <c r="U187" s="58"/>
      <c r="V187" s="58"/>
      <c r="W187" s="58"/>
      <c r="X187" s="58"/>
      <c r="Y187" s="58"/>
      <c r="Z187" s="58"/>
    </row>
    <row r="188">
      <c r="A188" s="85" t="s">
        <v>1409</v>
      </c>
      <c r="B188" s="72" t="s">
        <v>1449</v>
      </c>
      <c r="C188" s="73" t="s">
        <v>1912</v>
      </c>
      <c r="D188" s="73" t="s">
        <v>1913</v>
      </c>
      <c r="E188" s="73" t="s">
        <v>1914</v>
      </c>
      <c r="F188" s="73" t="s">
        <v>1915</v>
      </c>
      <c r="G188" s="73"/>
      <c r="H188" s="73" t="s">
        <v>1916</v>
      </c>
      <c r="I188" s="73" t="s">
        <v>13</v>
      </c>
      <c r="J188" s="58"/>
      <c r="K188" s="58"/>
      <c r="L188" s="58"/>
      <c r="M188" s="58"/>
      <c r="N188" s="58"/>
      <c r="O188" s="58"/>
      <c r="P188" s="58"/>
      <c r="Q188" s="58"/>
      <c r="R188" s="58"/>
      <c r="S188" s="58"/>
      <c r="T188" s="58"/>
      <c r="U188" s="58"/>
      <c r="V188" s="58"/>
      <c r="W188" s="58"/>
      <c r="X188" s="58"/>
      <c r="Y188" s="58"/>
      <c r="Z188" s="58"/>
    </row>
    <row r="189">
      <c r="A189" s="85" t="s">
        <v>1411</v>
      </c>
      <c r="B189" s="72" t="s">
        <v>1449</v>
      </c>
      <c r="C189" s="73" t="s">
        <v>1912</v>
      </c>
      <c r="D189" s="73" t="s">
        <v>1917</v>
      </c>
      <c r="E189" s="73" t="s">
        <v>1918</v>
      </c>
      <c r="F189" s="73" t="s">
        <v>1919</v>
      </c>
      <c r="G189" s="75"/>
      <c r="H189" s="73" t="s">
        <v>1920</v>
      </c>
      <c r="I189" s="73" t="s">
        <v>13</v>
      </c>
      <c r="J189" s="58"/>
      <c r="K189" s="58"/>
      <c r="L189" s="58"/>
      <c r="M189" s="58"/>
      <c r="N189" s="58"/>
      <c r="O189" s="58"/>
      <c r="P189" s="58"/>
      <c r="Q189" s="58"/>
      <c r="R189" s="58"/>
      <c r="S189" s="58"/>
      <c r="T189" s="58"/>
      <c r="U189" s="58"/>
      <c r="V189" s="58"/>
      <c r="W189" s="58"/>
      <c r="X189" s="58"/>
      <c r="Y189" s="58"/>
      <c r="Z189" s="58"/>
    </row>
    <row r="190">
      <c r="A190" s="85" t="s">
        <v>1413</v>
      </c>
      <c r="B190" s="72" t="s">
        <v>1449</v>
      </c>
      <c r="C190" s="73" t="s">
        <v>1912</v>
      </c>
      <c r="D190" s="73" t="s">
        <v>1917</v>
      </c>
      <c r="E190" s="73" t="s">
        <v>1921</v>
      </c>
      <c r="F190" s="73" t="s">
        <v>1922</v>
      </c>
      <c r="G190" s="75"/>
      <c r="H190" s="73" t="s">
        <v>1923</v>
      </c>
      <c r="I190" s="73" t="s">
        <v>13</v>
      </c>
      <c r="J190" s="58"/>
      <c r="K190" s="58"/>
      <c r="L190" s="58"/>
      <c r="M190" s="58"/>
      <c r="N190" s="58"/>
      <c r="O190" s="58"/>
      <c r="P190" s="58"/>
      <c r="Q190" s="58"/>
      <c r="R190" s="58"/>
      <c r="S190" s="58"/>
      <c r="T190" s="58"/>
      <c r="U190" s="58"/>
      <c r="V190" s="58"/>
      <c r="W190" s="58"/>
      <c r="X190" s="58"/>
      <c r="Y190" s="58"/>
      <c r="Z190" s="58"/>
    </row>
    <row r="191">
      <c r="A191" s="85" t="s">
        <v>1415</v>
      </c>
      <c r="B191" s="72" t="s">
        <v>1449</v>
      </c>
      <c r="C191" s="73" t="s">
        <v>1912</v>
      </c>
      <c r="D191" s="73" t="s">
        <v>1924</v>
      </c>
      <c r="E191" s="73" t="s">
        <v>1925</v>
      </c>
      <c r="F191" s="73" t="s">
        <v>1926</v>
      </c>
      <c r="G191" s="75"/>
      <c r="H191" s="73" t="s">
        <v>1927</v>
      </c>
      <c r="I191" s="73" t="s">
        <v>13</v>
      </c>
      <c r="J191" s="58"/>
      <c r="K191" s="58"/>
      <c r="L191" s="58"/>
      <c r="M191" s="58"/>
      <c r="N191" s="58"/>
      <c r="O191" s="58"/>
      <c r="P191" s="58"/>
      <c r="Q191" s="58"/>
      <c r="R191" s="58"/>
      <c r="S191" s="58"/>
      <c r="T191" s="58"/>
      <c r="U191" s="58"/>
      <c r="V191" s="58"/>
      <c r="W191" s="58"/>
      <c r="X191" s="58"/>
      <c r="Y191" s="58"/>
      <c r="Z191" s="58"/>
    </row>
    <row r="192">
      <c r="A192" s="85" t="s">
        <v>1417</v>
      </c>
      <c r="B192" s="72" t="s">
        <v>1449</v>
      </c>
      <c r="C192" s="73" t="s">
        <v>1912</v>
      </c>
      <c r="D192" s="73" t="s">
        <v>1924</v>
      </c>
      <c r="E192" s="73" t="s">
        <v>1928</v>
      </c>
      <c r="F192" s="73" t="s">
        <v>1929</v>
      </c>
      <c r="G192" s="75"/>
      <c r="H192" s="73" t="s">
        <v>1930</v>
      </c>
      <c r="I192" s="73" t="s">
        <v>13</v>
      </c>
      <c r="J192" s="58"/>
      <c r="K192" s="58"/>
      <c r="L192" s="58"/>
      <c r="M192" s="58"/>
      <c r="N192" s="58"/>
      <c r="O192" s="58"/>
      <c r="P192" s="58"/>
      <c r="Q192" s="58"/>
      <c r="R192" s="58"/>
      <c r="S192" s="58"/>
      <c r="T192" s="58"/>
      <c r="U192" s="58"/>
      <c r="V192" s="58"/>
      <c r="W192" s="58"/>
      <c r="X192" s="58"/>
      <c r="Y192" s="58"/>
      <c r="Z192" s="58"/>
    </row>
    <row r="193">
      <c r="A193" s="85" t="s">
        <v>1419</v>
      </c>
      <c r="B193" s="72" t="s">
        <v>1449</v>
      </c>
      <c r="C193" s="73" t="s">
        <v>1912</v>
      </c>
      <c r="D193" s="73" t="s">
        <v>1924</v>
      </c>
      <c r="E193" s="73" t="s">
        <v>1931</v>
      </c>
      <c r="F193" s="73" t="s">
        <v>1932</v>
      </c>
      <c r="G193" s="75"/>
      <c r="H193" s="73" t="s">
        <v>1930</v>
      </c>
      <c r="I193" s="73" t="s">
        <v>13</v>
      </c>
      <c r="J193" s="58"/>
      <c r="K193" s="58"/>
      <c r="L193" s="58"/>
      <c r="M193" s="58"/>
      <c r="N193" s="58"/>
      <c r="O193" s="58"/>
      <c r="P193" s="58"/>
      <c r="Q193" s="58"/>
      <c r="R193" s="58"/>
      <c r="S193" s="58"/>
      <c r="T193" s="58"/>
      <c r="U193" s="58"/>
      <c r="V193" s="58"/>
      <c r="W193" s="58"/>
      <c r="X193" s="58"/>
      <c r="Y193" s="58"/>
      <c r="Z193" s="58"/>
    </row>
    <row r="194">
      <c r="A194" s="85" t="s">
        <v>1421</v>
      </c>
      <c r="B194" s="72" t="s">
        <v>1449</v>
      </c>
      <c r="C194" s="73" t="s">
        <v>1912</v>
      </c>
      <c r="D194" s="73" t="s">
        <v>1924</v>
      </c>
      <c r="E194" s="73" t="s">
        <v>1933</v>
      </c>
      <c r="F194" s="73" t="s">
        <v>1934</v>
      </c>
      <c r="G194" s="75"/>
      <c r="H194" s="73" t="s">
        <v>1935</v>
      </c>
      <c r="I194" s="73" t="s">
        <v>13</v>
      </c>
      <c r="J194" s="58"/>
      <c r="K194" s="58"/>
      <c r="L194" s="58"/>
      <c r="M194" s="58"/>
      <c r="N194" s="58"/>
      <c r="O194" s="58"/>
      <c r="P194" s="58"/>
      <c r="Q194" s="58"/>
      <c r="R194" s="58"/>
      <c r="S194" s="58"/>
      <c r="T194" s="58"/>
      <c r="U194" s="58"/>
      <c r="V194" s="58"/>
      <c r="W194" s="58"/>
      <c r="X194" s="58"/>
      <c r="Y194" s="58"/>
      <c r="Z194" s="58"/>
    </row>
    <row r="195">
      <c r="A195" s="85" t="s">
        <v>1423</v>
      </c>
      <c r="B195" s="72" t="s">
        <v>1449</v>
      </c>
      <c r="C195" s="73" t="s">
        <v>1912</v>
      </c>
      <c r="D195" s="73" t="s">
        <v>1924</v>
      </c>
      <c r="E195" s="73" t="s">
        <v>1936</v>
      </c>
      <c r="F195" s="73" t="s">
        <v>1937</v>
      </c>
      <c r="G195" s="75"/>
      <c r="H195" s="73" t="s">
        <v>1938</v>
      </c>
      <c r="I195" s="73" t="s">
        <v>13</v>
      </c>
      <c r="J195" s="58"/>
      <c r="K195" s="58"/>
      <c r="L195" s="58"/>
      <c r="M195" s="58"/>
      <c r="N195" s="58"/>
      <c r="O195" s="58"/>
      <c r="P195" s="58"/>
      <c r="Q195" s="58"/>
      <c r="R195" s="58"/>
      <c r="S195" s="58"/>
      <c r="T195" s="58"/>
      <c r="U195" s="58"/>
      <c r="V195" s="58"/>
      <c r="W195" s="58"/>
      <c r="X195" s="58"/>
      <c r="Y195" s="58"/>
      <c r="Z195" s="58"/>
    </row>
    <row r="196">
      <c r="A196" s="85" t="s">
        <v>1424</v>
      </c>
      <c r="B196" s="72" t="s">
        <v>1449</v>
      </c>
      <c r="C196" s="73" t="s">
        <v>1912</v>
      </c>
      <c r="D196" s="73" t="s">
        <v>1924</v>
      </c>
      <c r="E196" s="73" t="s">
        <v>1939</v>
      </c>
      <c r="F196" s="73" t="s">
        <v>1940</v>
      </c>
      <c r="G196" s="75"/>
      <c r="H196" s="73" t="s">
        <v>1941</v>
      </c>
      <c r="I196" s="73" t="s">
        <v>13</v>
      </c>
      <c r="J196" s="58"/>
      <c r="K196" s="58"/>
      <c r="L196" s="58"/>
      <c r="M196" s="58"/>
      <c r="N196" s="58"/>
      <c r="O196" s="58"/>
      <c r="P196" s="58"/>
      <c r="Q196" s="58"/>
      <c r="R196" s="58"/>
      <c r="S196" s="58"/>
      <c r="T196" s="58"/>
      <c r="U196" s="58"/>
      <c r="V196" s="58"/>
      <c r="W196" s="58"/>
      <c r="X196" s="58"/>
      <c r="Y196" s="58"/>
      <c r="Z196" s="58"/>
    </row>
    <row r="197">
      <c r="A197" s="85" t="s">
        <v>1426</v>
      </c>
      <c r="B197" s="72" t="s">
        <v>1449</v>
      </c>
      <c r="C197" s="73" t="s">
        <v>1942</v>
      </c>
      <c r="D197" s="73" t="s">
        <v>1943</v>
      </c>
      <c r="E197" s="73" t="s">
        <v>1944</v>
      </c>
      <c r="F197" s="73" t="s">
        <v>1945</v>
      </c>
      <c r="G197" s="75"/>
      <c r="H197" s="73" t="s">
        <v>1946</v>
      </c>
      <c r="I197" s="73" t="s">
        <v>13</v>
      </c>
      <c r="J197" s="58"/>
      <c r="K197" s="58"/>
      <c r="L197" s="58"/>
      <c r="M197" s="58"/>
      <c r="N197" s="58"/>
      <c r="O197" s="58"/>
      <c r="P197" s="58"/>
      <c r="Q197" s="58"/>
      <c r="R197" s="58"/>
      <c r="S197" s="58"/>
      <c r="T197" s="58"/>
      <c r="U197" s="58"/>
      <c r="V197" s="58"/>
      <c r="W197" s="58"/>
      <c r="X197" s="58"/>
      <c r="Y197" s="58"/>
      <c r="Z197" s="58"/>
    </row>
    <row r="198">
      <c r="A198" s="85" t="s">
        <v>1428</v>
      </c>
      <c r="B198" s="72" t="s">
        <v>1449</v>
      </c>
      <c r="C198" s="73" t="s">
        <v>1942</v>
      </c>
      <c r="D198" s="73" t="s">
        <v>1943</v>
      </c>
      <c r="E198" s="73" t="s">
        <v>1947</v>
      </c>
      <c r="F198" s="73" t="s">
        <v>1948</v>
      </c>
      <c r="G198" s="75"/>
      <c r="H198" s="73" t="s">
        <v>1949</v>
      </c>
      <c r="I198" s="73" t="s">
        <v>13</v>
      </c>
      <c r="J198" s="58"/>
      <c r="K198" s="58"/>
      <c r="L198" s="58"/>
      <c r="M198" s="58"/>
      <c r="N198" s="58"/>
      <c r="O198" s="58"/>
      <c r="P198" s="58"/>
      <c r="Q198" s="58"/>
      <c r="R198" s="58"/>
      <c r="S198" s="58"/>
      <c r="T198" s="58"/>
      <c r="U198" s="58"/>
      <c r="V198" s="58"/>
      <c r="W198" s="58"/>
      <c r="X198" s="58"/>
      <c r="Y198" s="58"/>
      <c r="Z198" s="58"/>
    </row>
    <row r="199">
      <c r="A199" s="85" t="s">
        <v>1430</v>
      </c>
      <c r="B199" s="72" t="s">
        <v>1449</v>
      </c>
      <c r="C199" s="73" t="s">
        <v>1950</v>
      </c>
      <c r="D199" s="73" t="s">
        <v>1943</v>
      </c>
      <c r="E199" s="73" t="s">
        <v>1951</v>
      </c>
      <c r="F199" s="75"/>
      <c r="G199" s="75"/>
      <c r="H199" s="75"/>
      <c r="I199" s="73" t="s">
        <v>13</v>
      </c>
      <c r="J199" s="58"/>
      <c r="K199" s="58"/>
      <c r="L199" s="58"/>
      <c r="M199" s="58"/>
      <c r="N199" s="58"/>
      <c r="O199" s="58"/>
      <c r="P199" s="58"/>
      <c r="Q199" s="58"/>
      <c r="R199" s="58"/>
      <c r="S199" s="58"/>
      <c r="T199" s="58"/>
      <c r="U199" s="58"/>
      <c r="V199" s="58"/>
      <c r="W199" s="58"/>
      <c r="X199" s="58"/>
      <c r="Y199" s="58"/>
      <c r="Z199" s="58"/>
    </row>
    <row r="200">
      <c r="A200" s="85" t="s">
        <v>1432</v>
      </c>
      <c r="B200" s="72" t="s">
        <v>1449</v>
      </c>
      <c r="C200" s="73" t="s">
        <v>1950</v>
      </c>
      <c r="D200" s="73" t="s">
        <v>1943</v>
      </c>
      <c r="E200" s="73" t="s">
        <v>1952</v>
      </c>
      <c r="F200" s="73" t="s">
        <v>1953</v>
      </c>
      <c r="G200" s="75"/>
      <c r="H200" s="73" t="s">
        <v>1954</v>
      </c>
      <c r="I200" s="73" t="s">
        <v>13</v>
      </c>
      <c r="J200" s="58"/>
      <c r="K200" s="58"/>
      <c r="L200" s="58"/>
      <c r="M200" s="58"/>
      <c r="N200" s="58"/>
      <c r="O200" s="58"/>
      <c r="P200" s="58"/>
      <c r="Q200" s="58"/>
      <c r="R200" s="58"/>
      <c r="S200" s="58"/>
      <c r="T200" s="58"/>
      <c r="U200" s="58"/>
      <c r="V200" s="58"/>
      <c r="W200" s="58"/>
      <c r="X200" s="58"/>
      <c r="Y200" s="58"/>
      <c r="Z200" s="58"/>
    </row>
    <row r="201">
      <c r="A201" s="85" t="s">
        <v>1434</v>
      </c>
      <c r="B201" s="72" t="s">
        <v>1449</v>
      </c>
      <c r="C201" s="73" t="s">
        <v>1950</v>
      </c>
      <c r="D201" s="73" t="s">
        <v>1943</v>
      </c>
      <c r="E201" s="73" t="s">
        <v>1955</v>
      </c>
      <c r="F201" s="73" t="s">
        <v>1953</v>
      </c>
      <c r="G201" s="75"/>
      <c r="H201" s="73" t="s">
        <v>1954</v>
      </c>
      <c r="I201" s="73" t="s">
        <v>13</v>
      </c>
      <c r="J201" s="58"/>
      <c r="K201" s="58"/>
      <c r="L201" s="58"/>
      <c r="M201" s="58"/>
      <c r="N201" s="58"/>
      <c r="O201" s="58"/>
      <c r="P201" s="58"/>
      <c r="Q201" s="58"/>
      <c r="R201" s="58"/>
      <c r="S201" s="58"/>
      <c r="T201" s="58"/>
      <c r="U201" s="58"/>
      <c r="V201" s="58"/>
      <c r="W201" s="58"/>
      <c r="X201" s="58"/>
      <c r="Y201" s="58"/>
      <c r="Z201" s="58"/>
    </row>
    <row r="202">
      <c r="A202" s="85" t="s">
        <v>1435</v>
      </c>
      <c r="B202" s="72" t="s">
        <v>1449</v>
      </c>
      <c r="C202" s="73" t="s">
        <v>1950</v>
      </c>
      <c r="D202" s="73" t="s">
        <v>1943</v>
      </c>
      <c r="E202" s="73" t="s">
        <v>1956</v>
      </c>
      <c r="F202" s="73" t="s">
        <v>1957</v>
      </c>
      <c r="G202" s="75"/>
      <c r="H202" s="73" t="s">
        <v>1958</v>
      </c>
      <c r="I202" s="73" t="s">
        <v>13</v>
      </c>
      <c r="J202" s="58"/>
      <c r="K202" s="58"/>
      <c r="L202" s="58"/>
      <c r="M202" s="58"/>
      <c r="N202" s="58"/>
      <c r="O202" s="58"/>
      <c r="P202" s="58"/>
      <c r="Q202" s="58"/>
      <c r="R202" s="58"/>
      <c r="S202" s="58"/>
      <c r="T202" s="58"/>
      <c r="U202" s="58"/>
      <c r="V202" s="58"/>
      <c r="W202" s="58"/>
      <c r="X202" s="58"/>
      <c r="Y202" s="58"/>
      <c r="Z202" s="58"/>
    </row>
    <row r="203">
      <c r="A203" s="85" t="s">
        <v>1437</v>
      </c>
      <c r="B203" s="72" t="s">
        <v>1449</v>
      </c>
      <c r="C203" s="73" t="s">
        <v>1950</v>
      </c>
      <c r="D203" s="73" t="s">
        <v>1943</v>
      </c>
      <c r="E203" s="73" t="s">
        <v>1959</v>
      </c>
      <c r="F203" s="73" t="s">
        <v>1960</v>
      </c>
      <c r="G203" s="75"/>
      <c r="H203" s="73" t="s">
        <v>1961</v>
      </c>
      <c r="I203" s="73" t="s">
        <v>13</v>
      </c>
      <c r="J203" s="58"/>
      <c r="K203" s="58"/>
      <c r="L203" s="58"/>
      <c r="M203" s="58"/>
      <c r="N203" s="58"/>
      <c r="O203" s="58"/>
      <c r="P203" s="58"/>
      <c r="Q203" s="58"/>
      <c r="R203" s="58"/>
      <c r="S203" s="58"/>
      <c r="T203" s="58"/>
      <c r="U203" s="58"/>
      <c r="V203" s="58"/>
      <c r="W203" s="58"/>
      <c r="X203" s="58"/>
      <c r="Y203" s="58"/>
      <c r="Z203" s="58"/>
    </row>
    <row r="204">
      <c r="A204" s="85" t="s">
        <v>1439</v>
      </c>
      <c r="B204" s="72" t="s">
        <v>1449</v>
      </c>
      <c r="C204" s="73" t="s">
        <v>1950</v>
      </c>
      <c r="D204" s="73" t="s">
        <v>1943</v>
      </c>
      <c r="E204" s="73" t="s">
        <v>1962</v>
      </c>
      <c r="F204" s="73" t="s">
        <v>1963</v>
      </c>
      <c r="G204" s="75"/>
      <c r="H204" s="73" t="s">
        <v>1964</v>
      </c>
      <c r="I204" s="73" t="s">
        <v>13</v>
      </c>
      <c r="J204" s="58"/>
      <c r="K204" s="58"/>
      <c r="L204" s="58"/>
      <c r="M204" s="58"/>
      <c r="N204" s="58"/>
      <c r="O204" s="58"/>
      <c r="P204" s="58"/>
      <c r="Q204" s="58"/>
      <c r="R204" s="58"/>
      <c r="S204" s="58"/>
      <c r="T204" s="58"/>
      <c r="U204" s="58"/>
      <c r="V204" s="58"/>
      <c r="W204" s="58"/>
      <c r="X204" s="58"/>
      <c r="Y204" s="58"/>
      <c r="Z204" s="58"/>
    </row>
    <row r="205">
      <c r="A205" s="85" t="s">
        <v>1440</v>
      </c>
      <c r="B205" s="72" t="s">
        <v>1449</v>
      </c>
      <c r="C205" s="73" t="s">
        <v>1950</v>
      </c>
      <c r="D205" s="73" t="s">
        <v>1943</v>
      </c>
      <c r="E205" s="73" t="s">
        <v>1965</v>
      </c>
      <c r="F205" s="73" t="s">
        <v>1966</v>
      </c>
      <c r="G205" s="73" t="s">
        <v>1967</v>
      </c>
      <c r="H205" s="73" t="s">
        <v>1968</v>
      </c>
      <c r="I205" s="73" t="s">
        <v>13</v>
      </c>
      <c r="J205" s="58"/>
      <c r="K205" s="58"/>
      <c r="L205" s="58"/>
      <c r="M205" s="58"/>
      <c r="N205" s="58"/>
      <c r="O205" s="58"/>
      <c r="P205" s="58"/>
      <c r="Q205" s="58"/>
      <c r="R205" s="58"/>
      <c r="S205" s="58"/>
      <c r="T205" s="58"/>
      <c r="U205" s="58"/>
      <c r="V205" s="58"/>
      <c r="W205" s="58"/>
      <c r="X205" s="58"/>
      <c r="Y205" s="58"/>
      <c r="Z205" s="58"/>
    </row>
    <row r="206">
      <c r="A206" s="85" t="s">
        <v>1441</v>
      </c>
      <c r="B206" s="72" t="s">
        <v>1449</v>
      </c>
      <c r="C206" s="73" t="s">
        <v>1950</v>
      </c>
      <c r="D206" s="73" t="s">
        <v>1943</v>
      </c>
      <c r="E206" s="73" t="s">
        <v>1969</v>
      </c>
      <c r="F206" s="73" t="s">
        <v>1970</v>
      </c>
      <c r="G206" s="73" t="s">
        <v>1971</v>
      </c>
      <c r="H206" s="73" t="s">
        <v>1972</v>
      </c>
      <c r="I206" s="73" t="s">
        <v>13</v>
      </c>
      <c r="J206" s="58"/>
      <c r="K206" s="58"/>
      <c r="L206" s="58"/>
      <c r="M206" s="58"/>
      <c r="N206" s="58"/>
      <c r="O206" s="58"/>
      <c r="P206" s="58"/>
      <c r="Q206" s="58"/>
      <c r="R206" s="58"/>
      <c r="S206" s="58"/>
      <c r="T206" s="58"/>
      <c r="U206" s="58"/>
      <c r="V206" s="58"/>
      <c r="W206" s="58"/>
      <c r="X206" s="58"/>
      <c r="Y206" s="58"/>
      <c r="Z206" s="58"/>
    </row>
    <row r="207">
      <c r="A207" s="85" t="s">
        <v>1443</v>
      </c>
      <c r="B207" s="72" t="s">
        <v>1449</v>
      </c>
      <c r="C207" s="73" t="s">
        <v>1950</v>
      </c>
      <c r="D207" s="73" t="s">
        <v>1943</v>
      </c>
      <c r="E207" s="73" t="s">
        <v>1973</v>
      </c>
      <c r="F207" s="73" t="s">
        <v>1974</v>
      </c>
      <c r="G207" s="75"/>
      <c r="H207" s="73" t="s">
        <v>1975</v>
      </c>
      <c r="I207" s="73" t="s">
        <v>13</v>
      </c>
      <c r="J207" s="58"/>
      <c r="K207" s="58"/>
      <c r="L207" s="58"/>
      <c r="M207" s="58"/>
      <c r="N207" s="58"/>
      <c r="O207" s="58"/>
      <c r="P207" s="58"/>
      <c r="Q207" s="58"/>
      <c r="R207" s="58"/>
      <c r="S207" s="58"/>
      <c r="T207" s="58"/>
      <c r="U207" s="58"/>
      <c r="V207" s="58"/>
      <c r="W207" s="58"/>
      <c r="X207" s="58"/>
      <c r="Y207" s="58"/>
      <c r="Z207" s="58"/>
    </row>
    <row r="208">
      <c r="A208" s="85" t="s">
        <v>1444</v>
      </c>
      <c r="B208" s="72" t="s">
        <v>1449</v>
      </c>
      <c r="C208" s="73" t="s">
        <v>1976</v>
      </c>
      <c r="D208" s="73" t="s">
        <v>1943</v>
      </c>
      <c r="E208" s="73" t="s">
        <v>1977</v>
      </c>
      <c r="F208" s="73" t="s">
        <v>1978</v>
      </c>
      <c r="G208" s="73"/>
      <c r="H208" s="73" t="s">
        <v>1979</v>
      </c>
      <c r="I208" s="73" t="s">
        <v>13</v>
      </c>
      <c r="J208" s="58"/>
      <c r="K208" s="58"/>
      <c r="L208" s="58"/>
      <c r="M208" s="58"/>
      <c r="N208" s="58"/>
      <c r="O208" s="58"/>
      <c r="P208" s="58"/>
      <c r="Q208" s="58"/>
      <c r="R208" s="58"/>
      <c r="S208" s="58"/>
      <c r="T208" s="58"/>
      <c r="U208" s="58"/>
      <c r="V208" s="58"/>
      <c r="W208" s="58"/>
      <c r="X208" s="58"/>
      <c r="Y208" s="58"/>
      <c r="Z208" s="58"/>
    </row>
    <row r="209">
      <c r="A209" s="85" t="s">
        <v>1445</v>
      </c>
      <c r="B209" s="72" t="s">
        <v>1449</v>
      </c>
      <c r="C209" s="73" t="s">
        <v>1976</v>
      </c>
      <c r="D209" s="73" t="s">
        <v>1943</v>
      </c>
      <c r="E209" s="73" t="s">
        <v>1980</v>
      </c>
      <c r="F209" s="73" t="s">
        <v>1981</v>
      </c>
      <c r="G209" s="75"/>
      <c r="H209" s="73" t="s">
        <v>1982</v>
      </c>
      <c r="I209" s="73" t="s">
        <v>13</v>
      </c>
      <c r="J209" s="58"/>
      <c r="K209" s="58"/>
      <c r="L209" s="58"/>
      <c r="M209" s="58"/>
      <c r="N209" s="58"/>
      <c r="O209" s="58"/>
      <c r="P209" s="58"/>
      <c r="Q209" s="58"/>
      <c r="R209" s="58"/>
      <c r="S209" s="58"/>
      <c r="T209" s="58"/>
      <c r="U209" s="58"/>
      <c r="V209" s="58"/>
      <c r="W209" s="58"/>
      <c r="X209" s="58"/>
      <c r="Y209" s="58"/>
      <c r="Z209" s="58"/>
    </row>
    <row r="210">
      <c r="A210" s="85" t="s">
        <v>1446</v>
      </c>
      <c r="B210" s="72" t="s">
        <v>1449</v>
      </c>
      <c r="C210" s="73" t="s">
        <v>1983</v>
      </c>
      <c r="D210" s="73" t="s">
        <v>1943</v>
      </c>
      <c r="E210" s="59" t="s">
        <v>1984</v>
      </c>
      <c r="F210" s="73" t="s">
        <v>1985</v>
      </c>
      <c r="G210" s="73" t="s">
        <v>1986</v>
      </c>
      <c r="H210" s="73" t="s">
        <v>1987</v>
      </c>
      <c r="I210" s="73" t="s">
        <v>13</v>
      </c>
      <c r="J210" s="58"/>
      <c r="K210" s="58"/>
      <c r="L210" s="58"/>
      <c r="M210" s="58"/>
      <c r="N210" s="58"/>
      <c r="O210" s="58"/>
      <c r="P210" s="58"/>
      <c r="Q210" s="58"/>
      <c r="R210" s="58"/>
      <c r="S210" s="58"/>
      <c r="T210" s="58"/>
      <c r="U210" s="58"/>
      <c r="V210" s="58"/>
      <c r="W210" s="58"/>
      <c r="X210" s="58"/>
      <c r="Y210" s="58"/>
      <c r="Z210" s="58"/>
    </row>
    <row r="211">
      <c r="A211" s="85" t="s">
        <v>1447</v>
      </c>
      <c r="B211" s="72" t="s">
        <v>1449</v>
      </c>
      <c r="C211" s="73" t="s">
        <v>1983</v>
      </c>
      <c r="D211" s="73" t="s">
        <v>1943</v>
      </c>
      <c r="E211" s="73" t="s">
        <v>1988</v>
      </c>
      <c r="F211" s="73" t="s">
        <v>1985</v>
      </c>
      <c r="G211" s="73" t="s">
        <v>1989</v>
      </c>
      <c r="H211" s="73" t="s">
        <v>1990</v>
      </c>
      <c r="I211" s="73" t="s">
        <v>13</v>
      </c>
      <c r="J211" s="58"/>
      <c r="K211" s="58"/>
      <c r="L211" s="58"/>
      <c r="M211" s="58"/>
      <c r="N211" s="58"/>
      <c r="O211" s="58"/>
      <c r="P211" s="58"/>
      <c r="Q211" s="58"/>
      <c r="R211" s="58"/>
      <c r="S211" s="58"/>
      <c r="T211" s="58"/>
      <c r="U211" s="58"/>
      <c r="V211" s="58"/>
      <c r="W211" s="58"/>
      <c r="X211" s="58"/>
      <c r="Y211" s="58"/>
      <c r="Z211" s="58"/>
    </row>
    <row r="212">
      <c r="A212" s="85" t="s">
        <v>1448</v>
      </c>
      <c r="B212" s="72" t="s">
        <v>1449</v>
      </c>
      <c r="C212" s="73" t="s">
        <v>1983</v>
      </c>
      <c r="D212" s="73" t="s">
        <v>1943</v>
      </c>
      <c r="E212" s="73" t="s">
        <v>1991</v>
      </c>
      <c r="F212" s="73" t="s">
        <v>1992</v>
      </c>
      <c r="G212" s="73" t="s">
        <v>1993</v>
      </c>
      <c r="H212" s="73" t="s">
        <v>1994</v>
      </c>
      <c r="I212" s="73" t="s">
        <v>13</v>
      </c>
      <c r="J212" s="58"/>
      <c r="K212" s="58"/>
      <c r="L212" s="58"/>
      <c r="M212" s="58"/>
      <c r="N212" s="58"/>
      <c r="O212" s="58"/>
      <c r="P212" s="58"/>
      <c r="Q212" s="58"/>
      <c r="R212" s="58"/>
      <c r="S212" s="58"/>
      <c r="T212" s="58"/>
      <c r="U212" s="58"/>
      <c r="V212" s="58"/>
      <c r="W212" s="58"/>
      <c r="X212" s="58"/>
      <c r="Y212" s="58"/>
      <c r="Z212" s="58"/>
    </row>
    <row r="213">
      <c r="A213" s="85" t="s">
        <v>1995</v>
      </c>
      <c r="B213" s="72" t="s">
        <v>1449</v>
      </c>
      <c r="C213" s="73" t="s">
        <v>1996</v>
      </c>
      <c r="D213" s="73" t="s">
        <v>1943</v>
      </c>
      <c r="E213" s="73" t="s">
        <v>1997</v>
      </c>
      <c r="F213" s="73" t="s">
        <v>1998</v>
      </c>
      <c r="G213" s="75"/>
      <c r="H213" s="73" t="s">
        <v>1999</v>
      </c>
      <c r="I213" s="73" t="s">
        <v>13</v>
      </c>
      <c r="J213" s="58"/>
      <c r="K213" s="58"/>
      <c r="L213" s="58"/>
      <c r="M213" s="58"/>
      <c r="N213" s="58"/>
      <c r="O213" s="58"/>
      <c r="P213" s="58"/>
      <c r="Q213" s="58"/>
      <c r="R213" s="58"/>
      <c r="S213" s="58"/>
      <c r="T213" s="58"/>
      <c r="U213" s="58"/>
      <c r="V213" s="58"/>
      <c r="W213" s="58"/>
      <c r="X213" s="58"/>
      <c r="Y213" s="58"/>
      <c r="Z213" s="58"/>
    </row>
    <row r="214">
      <c r="A214" s="85" t="s">
        <v>2000</v>
      </c>
      <c r="B214" s="72" t="s">
        <v>2001</v>
      </c>
      <c r="C214" s="72" t="s">
        <v>1450</v>
      </c>
      <c r="D214" s="72" t="s">
        <v>2002</v>
      </c>
      <c r="E214" s="73" t="s">
        <v>1452</v>
      </c>
      <c r="F214" s="73" t="s">
        <v>1453</v>
      </c>
      <c r="G214" s="73" t="s">
        <v>1454</v>
      </c>
      <c r="H214" s="73" t="s">
        <v>1455</v>
      </c>
      <c r="I214" s="73" t="s">
        <v>13</v>
      </c>
      <c r="J214" s="58"/>
      <c r="K214" s="58"/>
      <c r="L214" s="58"/>
      <c r="M214" s="58"/>
      <c r="N214" s="58"/>
      <c r="O214" s="58"/>
      <c r="P214" s="58"/>
      <c r="Q214" s="58"/>
      <c r="R214" s="58"/>
      <c r="S214" s="58"/>
      <c r="T214" s="58"/>
      <c r="U214" s="58"/>
      <c r="V214" s="58"/>
      <c r="W214" s="58"/>
      <c r="X214" s="58"/>
      <c r="Y214" s="58"/>
      <c r="Z214" s="58"/>
    </row>
    <row r="215">
      <c r="A215" s="85" t="s">
        <v>2003</v>
      </c>
      <c r="B215" s="72" t="s">
        <v>2001</v>
      </c>
      <c r="C215" s="72" t="s">
        <v>1450</v>
      </c>
      <c r="D215" s="72" t="s">
        <v>2002</v>
      </c>
      <c r="E215" s="110" t="s">
        <v>1456</v>
      </c>
      <c r="F215" s="73" t="s">
        <v>1457</v>
      </c>
      <c r="G215" s="73" t="s">
        <v>1458</v>
      </c>
      <c r="H215" s="73" t="s">
        <v>1459</v>
      </c>
      <c r="I215" s="73" t="s">
        <v>13</v>
      </c>
      <c r="J215" s="58"/>
      <c r="K215" s="58"/>
      <c r="L215" s="58"/>
      <c r="M215" s="58"/>
      <c r="N215" s="58"/>
      <c r="O215" s="58"/>
      <c r="P215" s="58"/>
      <c r="Q215" s="58"/>
      <c r="R215" s="58"/>
      <c r="S215" s="58"/>
      <c r="T215" s="58"/>
      <c r="U215" s="58"/>
      <c r="V215" s="58"/>
      <c r="W215" s="58"/>
      <c r="X215" s="58"/>
      <c r="Y215" s="58"/>
      <c r="Z215" s="58"/>
    </row>
    <row r="216">
      <c r="A216" s="85" t="s">
        <v>2004</v>
      </c>
      <c r="B216" s="72" t="s">
        <v>2001</v>
      </c>
      <c r="C216" s="72" t="s">
        <v>1450</v>
      </c>
      <c r="D216" s="72" t="s">
        <v>2002</v>
      </c>
      <c r="E216" s="110" t="s">
        <v>1460</v>
      </c>
      <c r="F216" s="73" t="s">
        <v>1461</v>
      </c>
      <c r="G216" s="73" t="s">
        <v>1462</v>
      </c>
      <c r="H216" s="73" t="s">
        <v>1461</v>
      </c>
      <c r="I216" s="73" t="s">
        <v>13</v>
      </c>
      <c r="J216" s="58"/>
      <c r="K216" s="58"/>
      <c r="L216" s="58"/>
      <c r="M216" s="58"/>
      <c r="N216" s="58"/>
      <c r="O216" s="58"/>
      <c r="P216" s="58"/>
      <c r="Q216" s="58"/>
      <c r="R216" s="58"/>
      <c r="S216" s="58"/>
      <c r="T216" s="58"/>
      <c r="U216" s="58"/>
      <c r="V216" s="58"/>
      <c r="W216" s="58"/>
      <c r="X216" s="58"/>
      <c r="Y216" s="58"/>
      <c r="Z216" s="58"/>
    </row>
    <row r="217">
      <c r="A217" s="85" t="s">
        <v>2005</v>
      </c>
      <c r="B217" s="72" t="s">
        <v>2001</v>
      </c>
      <c r="C217" s="72" t="s">
        <v>1450</v>
      </c>
      <c r="D217" s="72" t="s">
        <v>2002</v>
      </c>
      <c r="E217" s="110" t="s">
        <v>1463</v>
      </c>
      <c r="F217" s="73" t="s">
        <v>1464</v>
      </c>
      <c r="G217" s="75"/>
      <c r="H217" s="73" t="s">
        <v>1465</v>
      </c>
      <c r="I217" s="73" t="s">
        <v>13</v>
      </c>
      <c r="J217" s="58"/>
      <c r="K217" s="58"/>
      <c r="L217" s="58"/>
      <c r="M217" s="58"/>
      <c r="N217" s="58"/>
      <c r="O217" s="58"/>
      <c r="P217" s="58"/>
      <c r="Q217" s="58"/>
      <c r="R217" s="58"/>
      <c r="S217" s="58"/>
      <c r="T217" s="58"/>
      <c r="U217" s="58"/>
      <c r="V217" s="58"/>
      <c r="W217" s="58"/>
      <c r="X217" s="58"/>
      <c r="Y217" s="58"/>
      <c r="Z217" s="58"/>
    </row>
    <row r="218">
      <c r="A218" s="85" t="s">
        <v>2006</v>
      </c>
      <c r="B218" s="72" t="s">
        <v>2001</v>
      </c>
      <c r="C218" s="72" t="s">
        <v>1450</v>
      </c>
      <c r="D218" s="72" t="s">
        <v>2002</v>
      </c>
      <c r="E218" s="110" t="s">
        <v>1466</v>
      </c>
      <c r="F218" s="73" t="s">
        <v>1467</v>
      </c>
      <c r="G218" s="75"/>
      <c r="H218" s="73" t="s">
        <v>1468</v>
      </c>
      <c r="I218" s="73" t="s">
        <v>13</v>
      </c>
      <c r="J218" s="58"/>
      <c r="K218" s="58"/>
      <c r="L218" s="58"/>
      <c r="M218" s="58"/>
      <c r="N218" s="58"/>
      <c r="O218" s="58"/>
      <c r="P218" s="58"/>
      <c r="Q218" s="58"/>
      <c r="R218" s="58"/>
      <c r="S218" s="58"/>
      <c r="T218" s="58"/>
      <c r="U218" s="58"/>
      <c r="V218" s="58"/>
      <c r="W218" s="58"/>
      <c r="X218" s="58"/>
      <c r="Y218" s="58"/>
      <c r="Z218" s="58"/>
    </row>
    <row r="219">
      <c r="A219" s="85" t="s">
        <v>2007</v>
      </c>
      <c r="B219" s="72" t="s">
        <v>2001</v>
      </c>
      <c r="C219" s="72" t="s">
        <v>1450</v>
      </c>
      <c r="D219" s="72" t="s">
        <v>2002</v>
      </c>
      <c r="E219" s="110" t="s">
        <v>985</v>
      </c>
      <c r="F219" s="72" t="s">
        <v>1469</v>
      </c>
      <c r="G219" s="78"/>
      <c r="H219" s="72" t="s">
        <v>987</v>
      </c>
      <c r="I219" s="73" t="s">
        <v>13</v>
      </c>
      <c r="J219" s="58"/>
      <c r="K219" s="58"/>
      <c r="L219" s="58"/>
      <c r="M219" s="58"/>
      <c r="N219" s="58"/>
      <c r="O219" s="58"/>
      <c r="P219" s="58"/>
      <c r="Q219" s="58"/>
      <c r="R219" s="58"/>
      <c r="S219" s="58"/>
      <c r="T219" s="58"/>
      <c r="U219" s="58"/>
      <c r="V219" s="58"/>
      <c r="W219" s="58"/>
      <c r="X219" s="58"/>
      <c r="Y219" s="58"/>
      <c r="Z219" s="58"/>
    </row>
    <row r="220">
      <c r="A220" s="85" t="s">
        <v>2008</v>
      </c>
      <c r="B220" s="72" t="s">
        <v>2001</v>
      </c>
      <c r="C220" s="72" t="s">
        <v>1450</v>
      </c>
      <c r="D220" s="72" t="s">
        <v>2002</v>
      </c>
      <c r="E220" s="110" t="s">
        <v>988</v>
      </c>
      <c r="F220" s="73" t="s">
        <v>1470</v>
      </c>
      <c r="G220" s="75"/>
      <c r="H220" s="73" t="s">
        <v>1471</v>
      </c>
      <c r="I220" s="73" t="s">
        <v>13</v>
      </c>
      <c r="J220" s="58"/>
      <c r="K220" s="58"/>
      <c r="L220" s="58"/>
      <c r="M220" s="58"/>
      <c r="N220" s="58"/>
      <c r="O220" s="58"/>
      <c r="P220" s="58"/>
      <c r="Q220" s="58"/>
      <c r="R220" s="58"/>
      <c r="S220" s="58"/>
      <c r="T220" s="58"/>
      <c r="U220" s="58"/>
      <c r="V220" s="58"/>
      <c r="W220" s="58"/>
      <c r="X220" s="58"/>
      <c r="Y220" s="58"/>
      <c r="Z220" s="58"/>
    </row>
    <row r="221">
      <c r="A221" s="85" t="s">
        <v>2009</v>
      </c>
      <c r="B221" s="72" t="s">
        <v>2001</v>
      </c>
      <c r="C221" s="72" t="s">
        <v>1450</v>
      </c>
      <c r="D221" s="72" t="s">
        <v>2002</v>
      </c>
      <c r="E221" s="110" t="s">
        <v>1472</v>
      </c>
      <c r="F221" s="73" t="s">
        <v>1473</v>
      </c>
      <c r="G221" s="73" t="s">
        <v>1474</v>
      </c>
      <c r="H221" s="73" t="s">
        <v>1475</v>
      </c>
      <c r="I221" s="73" t="s">
        <v>13</v>
      </c>
      <c r="J221" s="58"/>
      <c r="K221" s="58"/>
      <c r="L221" s="58"/>
      <c r="M221" s="58"/>
      <c r="N221" s="58"/>
      <c r="O221" s="58"/>
      <c r="P221" s="58"/>
      <c r="Q221" s="58"/>
      <c r="R221" s="58"/>
      <c r="S221" s="58"/>
      <c r="T221" s="58"/>
      <c r="U221" s="58"/>
      <c r="V221" s="58"/>
      <c r="W221" s="58"/>
      <c r="X221" s="58"/>
      <c r="Y221" s="58"/>
      <c r="Z221" s="58"/>
    </row>
    <row r="222">
      <c r="A222" s="85" t="s">
        <v>2010</v>
      </c>
      <c r="B222" s="72" t="s">
        <v>2001</v>
      </c>
      <c r="C222" s="72" t="s">
        <v>1450</v>
      </c>
      <c r="D222" s="72" t="s">
        <v>2002</v>
      </c>
      <c r="E222" s="110" t="s">
        <v>1476</v>
      </c>
      <c r="F222" s="73" t="s">
        <v>1477</v>
      </c>
      <c r="G222" s="73" t="s">
        <v>1478</v>
      </c>
      <c r="H222" s="73" t="s">
        <v>1145</v>
      </c>
      <c r="I222" s="73" t="s">
        <v>13</v>
      </c>
      <c r="J222" s="58"/>
      <c r="K222" s="58"/>
      <c r="L222" s="58"/>
      <c r="M222" s="58"/>
      <c r="N222" s="58"/>
      <c r="O222" s="58"/>
      <c r="P222" s="58"/>
      <c r="Q222" s="58"/>
      <c r="R222" s="58"/>
      <c r="S222" s="58"/>
      <c r="T222" s="58"/>
      <c r="U222" s="58"/>
      <c r="V222" s="58"/>
      <c r="W222" s="58"/>
      <c r="X222" s="58"/>
      <c r="Y222" s="58"/>
      <c r="Z222" s="58"/>
    </row>
    <row r="223">
      <c r="A223" s="85" t="s">
        <v>2011</v>
      </c>
      <c r="B223" s="72" t="s">
        <v>2001</v>
      </c>
      <c r="C223" s="72" t="s">
        <v>1450</v>
      </c>
      <c r="D223" s="72" t="s">
        <v>2002</v>
      </c>
      <c r="E223" s="73" t="s">
        <v>1479</v>
      </c>
      <c r="F223" s="73" t="s">
        <v>1480</v>
      </c>
      <c r="G223" s="73"/>
      <c r="H223" s="73" t="s">
        <v>1481</v>
      </c>
      <c r="I223" s="73" t="s">
        <v>13</v>
      </c>
      <c r="J223" s="58"/>
      <c r="K223" s="58"/>
      <c r="L223" s="58"/>
      <c r="M223" s="58"/>
      <c r="N223" s="58"/>
      <c r="O223" s="58"/>
      <c r="P223" s="58"/>
      <c r="Q223" s="58"/>
      <c r="R223" s="58"/>
      <c r="S223" s="58"/>
      <c r="T223" s="58"/>
      <c r="U223" s="58"/>
      <c r="V223" s="58"/>
      <c r="W223" s="58"/>
      <c r="X223" s="58"/>
      <c r="Y223" s="58"/>
      <c r="Z223" s="58"/>
    </row>
    <row r="224">
      <c r="A224" s="85" t="s">
        <v>2012</v>
      </c>
      <c r="B224" s="72" t="s">
        <v>2001</v>
      </c>
      <c r="C224" s="73" t="s">
        <v>1482</v>
      </c>
      <c r="D224" s="72" t="s">
        <v>2002</v>
      </c>
      <c r="E224" s="73" t="s">
        <v>2013</v>
      </c>
      <c r="F224" s="73" t="s">
        <v>1485</v>
      </c>
      <c r="G224" s="73" t="s">
        <v>1486</v>
      </c>
      <c r="H224" s="73" t="s">
        <v>1487</v>
      </c>
      <c r="I224" s="73" t="s">
        <v>13</v>
      </c>
      <c r="J224" s="58"/>
      <c r="K224" s="58"/>
      <c r="L224" s="58"/>
      <c r="M224" s="58"/>
      <c r="N224" s="58"/>
      <c r="O224" s="58"/>
      <c r="P224" s="58"/>
      <c r="Q224" s="58"/>
      <c r="R224" s="58"/>
      <c r="S224" s="58"/>
      <c r="T224" s="58"/>
      <c r="U224" s="58"/>
      <c r="V224" s="58"/>
      <c r="W224" s="58"/>
      <c r="X224" s="58"/>
      <c r="Y224" s="58"/>
      <c r="Z224" s="58"/>
    </row>
    <row r="225">
      <c r="A225" s="85" t="s">
        <v>2014</v>
      </c>
      <c r="B225" s="72" t="s">
        <v>2001</v>
      </c>
      <c r="C225" s="73" t="s">
        <v>1488</v>
      </c>
      <c r="D225" s="72" t="s">
        <v>2015</v>
      </c>
      <c r="E225" s="73" t="s">
        <v>2016</v>
      </c>
      <c r="F225" s="73" t="s">
        <v>1491</v>
      </c>
      <c r="G225" s="41" t="s">
        <v>1492</v>
      </c>
      <c r="H225" s="73" t="s">
        <v>1493</v>
      </c>
      <c r="I225" s="73" t="s">
        <v>13</v>
      </c>
      <c r="J225" s="58"/>
      <c r="K225" s="58"/>
      <c r="L225" s="58"/>
      <c r="M225" s="58"/>
      <c r="N225" s="58"/>
      <c r="O225" s="58"/>
      <c r="P225" s="58"/>
      <c r="Q225" s="58"/>
      <c r="R225" s="58"/>
      <c r="S225" s="58"/>
      <c r="T225" s="58"/>
      <c r="U225" s="58"/>
      <c r="V225" s="58"/>
      <c r="W225" s="58"/>
      <c r="X225" s="58"/>
      <c r="Y225" s="58"/>
      <c r="Z225" s="58"/>
    </row>
    <row r="226">
      <c r="A226" s="85" t="s">
        <v>2017</v>
      </c>
      <c r="B226" s="72" t="s">
        <v>2001</v>
      </c>
      <c r="C226" s="73" t="s">
        <v>1488</v>
      </c>
      <c r="D226" s="72" t="s">
        <v>2015</v>
      </c>
      <c r="E226" s="73" t="s">
        <v>1495</v>
      </c>
      <c r="F226" s="73" t="s">
        <v>1496</v>
      </c>
      <c r="G226" s="73" t="s">
        <v>1492</v>
      </c>
      <c r="H226" s="73" t="s">
        <v>1497</v>
      </c>
      <c r="I226" s="73" t="s">
        <v>13</v>
      </c>
      <c r="J226" s="58"/>
      <c r="K226" s="58"/>
      <c r="L226" s="58"/>
      <c r="M226" s="58"/>
      <c r="N226" s="58"/>
      <c r="O226" s="58"/>
      <c r="P226" s="58"/>
      <c r="Q226" s="58"/>
      <c r="R226" s="58"/>
      <c r="S226" s="58"/>
      <c r="T226" s="58"/>
      <c r="U226" s="58"/>
      <c r="V226" s="58"/>
      <c r="W226" s="58"/>
      <c r="X226" s="58"/>
      <c r="Y226" s="58"/>
      <c r="Z226" s="58"/>
    </row>
    <row r="227">
      <c r="A227" s="85" t="s">
        <v>2018</v>
      </c>
      <c r="B227" s="72" t="s">
        <v>2001</v>
      </c>
      <c r="C227" s="73" t="s">
        <v>1488</v>
      </c>
      <c r="D227" s="72" t="s">
        <v>2015</v>
      </c>
      <c r="E227" s="73" t="s">
        <v>2019</v>
      </c>
      <c r="F227" s="73" t="s">
        <v>1500</v>
      </c>
      <c r="G227" s="73" t="s">
        <v>1501</v>
      </c>
      <c r="H227" s="73" t="s">
        <v>1502</v>
      </c>
      <c r="I227" s="73" t="s">
        <v>13</v>
      </c>
      <c r="J227" s="58"/>
      <c r="K227" s="58"/>
      <c r="L227" s="58"/>
      <c r="M227" s="58"/>
      <c r="N227" s="58"/>
      <c r="O227" s="58"/>
      <c r="P227" s="58"/>
      <c r="Q227" s="58"/>
      <c r="R227" s="58"/>
      <c r="S227" s="58"/>
      <c r="T227" s="58"/>
      <c r="U227" s="58"/>
      <c r="V227" s="58"/>
      <c r="W227" s="58"/>
      <c r="X227" s="58"/>
      <c r="Y227" s="58"/>
      <c r="Z227" s="58"/>
    </row>
    <row r="228">
      <c r="A228" s="85" t="s">
        <v>2020</v>
      </c>
      <c r="B228" s="72" t="s">
        <v>2001</v>
      </c>
      <c r="C228" s="73" t="s">
        <v>1488</v>
      </c>
      <c r="D228" s="72" t="s">
        <v>2015</v>
      </c>
      <c r="E228" s="73" t="s">
        <v>2021</v>
      </c>
      <c r="F228" s="73" t="s">
        <v>1500</v>
      </c>
      <c r="G228" s="73" t="s">
        <v>1501</v>
      </c>
      <c r="H228" s="73" t="s">
        <v>1502</v>
      </c>
      <c r="I228" s="73" t="s">
        <v>13</v>
      </c>
      <c r="J228" s="58"/>
      <c r="K228" s="58"/>
      <c r="L228" s="58"/>
      <c r="M228" s="58"/>
      <c r="N228" s="58"/>
      <c r="O228" s="58"/>
      <c r="P228" s="58"/>
      <c r="Q228" s="58"/>
      <c r="R228" s="58"/>
      <c r="S228" s="58"/>
      <c r="T228" s="58"/>
      <c r="U228" s="58"/>
      <c r="V228" s="58"/>
      <c r="W228" s="58"/>
      <c r="X228" s="58"/>
      <c r="Y228" s="58"/>
      <c r="Z228" s="58"/>
    </row>
    <row r="229">
      <c r="A229" s="85" t="s">
        <v>2022</v>
      </c>
      <c r="B229" s="72" t="s">
        <v>2001</v>
      </c>
      <c r="C229" s="73" t="s">
        <v>1488</v>
      </c>
      <c r="D229" s="72" t="s">
        <v>2015</v>
      </c>
      <c r="E229" s="73" t="s">
        <v>2023</v>
      </c>
      <c r="F229" s="73" t="s">
        <v>1500</v>
      </c>
      <c r="G229" s="73" t="s">
        <v>1501</v>
      </c>
      <c r="H229" s="73" t="s">
        <v>1502</v>
      </c>
      <c r="I229" s="73" t="s">
        <v>13</v>
      </c>
      <c r="J229" s="58"/>
      <c r="K229" s="58"/>
      <c r="L229" s="58"/>
      <c r="M229" s="58"/>
      <c r="N229" s="58"/>
      <c r="O229" s="58"/>
      <c r="P229" s="58"/>
      <c r="Q229" s="58"/>
      <c r="R229" s="58"/>
      <c r="S229" s="58"/>
      <c r="T229" s="58"/>
      <c r="U229" s="58"/>
      <c r="V229" s="58"/>
      <c r="W229" s="58"/>
      <c r="X229" s="58"/>
      <c r="Y229" s="58"/>
      <c r="Z229" s="58"/>
    </row>
    <row r="230">
      <c r="A230" s="85" t="s">
        <v>2024</v>
      </c>
      <c r="B230" s="72" t="s">
        <v>2001</v>
      </c>
      <c r="C230" s="73" t="s">
        <v>1488</v>
      </c>
      <c r="D230" s="72" t="s">
        <v>2015</v>
      </c>
      <c r="E230" s="73" t="s">
        <v>2025</v>
      </c>
      <c r="F230" s="73" t="s">
        <v>1500</v>
      </c>
      <c r="G230" s="73" t="s">
        <v>1501</v>
      </c>
      <c r="H230" s="73" t="s">
        <v>1502</v>
      </c>
      <c r="I230" s="73" t="s">
        <v>13</v>
      </c>
      <c r="J230" s="58"/>
      <c r="K230" s="58"/>
      <c r="L230" s="58"/>
      <c r="M230" s="58"/>
      <c r="N230" s="58"/>
      <c r="O230" s="58"/>
      <c r="P230" s="58"/>
      <c r="Q230" s="58"/>
      <c r="R230" s="58"/>
      <c r="S230" s="58"/>
      <c r="T230" s="58"/>
      <c r="U230" s="58"/>
      <c r="V230" s="58"/>
      <c r="W230" s="58"/>
      <c r="X230" s="58"/>
      <c r="Y230" s="58"/>
      <c r="Z230" s="58"/>
    </row>
    <row r="231">
      <c r="A231" s="85" t="s">
        <v>2026</v>
      </c>
      <c r="B231" s="72" t="s">
        <v>2001</v>
      </c>
      <c r="C231" s="73" t="s">
        <v>1488</v>
      </c>
      <c r="D231" s="72" t="s">
        <v>2015</v>
      </c>
      <c r="E231" s="73" t="s">
        <v>2027</v>
      </c>
      <c r="F231" s="73" t="s">
        <v>1511</v>
      </c>
      <c r="G231" s="73" t="s">
        <v>1512</v>
      </c>
      <c r="H231" s="73" t="s">
        <v>1513</v>
      </c>
      <c r="I231" s="73" t="s">
        <v>13</v>
      </c>
      <c r="J231" s="58"/>
      <c r="K231" s="58"/>
      <c r="L231" s="58"/>
      <c r="M231" s="58"/>
      <c r="N231" s="58"/>
      <c r="O231" s="58"/>
      <c r="P231" s="58"/>
      <c r="Q231" s="58"/>
      <c r="R231" s="58"/>
      <c r="S231" s="58"/>
      <c r="T231" s="58"/>
      <c r="U231" s="58"/>
      <c r="V231" s="58"/>
      <c r="W231" s="58"/>
      <c r="X231" s="58"/>
      <c r="Y231" s="58"/>
      <c r="Z231" s="58"/>
    </row>
    <row r="232">
      <c r="A232" s="85" t="s">
        <v>2028</v>
      </c>
      <c r="B232" s="72" t="s">
        <v>2001</v>
      </c>
      <c r="C232" s="73" t="s">
        <v>1488</v>
      </c>
      <c r="D232" s="72" t="s">
        <v>2015</v>
      </c>
      <c r="E232" s="73" t="s">
        <v>2029</v>
      </c>
      <c r="F232" s="73" t="s">
        <v>1500</v>
      </c>
      <c r="G232" s="73" t="s">
        <v>1501</v>
      </c>
      <c r="H232" s="73" t="s">
        <v>1502</v>
      </c>
      <c r="I232" s="73" t="s">
        <v>13</v>
      </c>
      <c r="J232" s="58"/>
      <c r="K232" s="58"/>
      <c r="L232" s="58"/>
      <c r="M232" s="58"/>
      <c r="N232" s="58"/>
      <c r="O232" s="58"/>
      <c r="P232" s="58"/>
      <c r="Q232" s="58"/>
      <c r="R232" s="58"/>
      <c r="S232" s="58"/>
      <c r="T232" s="58"/>
      <c r="U232" s="58"/>
      <c r="V232" s="58"/>
      <c r="W232" s="58"/>
      <c r="X232" s="58"/>
      <c r="Y232" s="58"/>
      <c r="Z232" s="58"/>
    </row>
    <row r="233">
      <c r="A233" s="85" t="s">
        <v>2030</v>
      </c>
      <c r="B233" s="72" t="s">
        <v>2001</v>
      </c>
      <c r="C233" s="73" t="s">
        <v>1488</v>
      </c>
      <c r="D233" s="72" t="s">
        <v>2015</v>
      </c>
      <c r="E233" s="73" t="s">
        <v>2031</v>
      </c>
      <c r="F233" s="73" t="s">
        <v>1518</v>
      </c>
      <c r="G233" s="73" t="s">
        <v>1519</v>
      </c>
      <c r="H233" s="73" t="s">
        <v>1520</v>
      </c>
      <c r="I233" s="73" t="s">
        <v>13</v>
      </c>
      <c r="J233" s="58"/>
      <c r="K233" s="58"/>
      <c r="L233" s="58"/>
      <c r="M233" s="58"/>
      <c r="N233" s="58"/>
      <c r="O233" s="58"/>
      <c r="P233" s="58"/>
      <c r="Q233" s="58"/>
      <c r="R233" s="58"/>
      <c r="S233" s="58"/>
      <c r="T233" s="58"/>
      <c r="U233" s="58"/>
      <c r="V233" s="58"/>
      <c r="W233" s="58"/>
      <c r="X233" s="58"/>
      <c r="Y233" s="58"/>
      <c r="Z233" s="58"/>
    </row>
    <row r="234">
      <c r="A234" s="85" t="s">
        <v>2032</v>
      </c>
      <c r="B234" s="72" t="s">
        <v>2001</v>
      </c>
      <c r="C234" s="73" t="s">
        <v>1488</v>
      </c>
      <c r="D234" s="72" t="s">
        <v>2015</v>
      </c>
      <c r="E234" s="73" t="s">
        <v>2033</v>
      </c>
      <c r="F234" s="73" t="s">
        <v>1518</v>
      </c>
      <c r="G234" s="73" t="s">
        <v>1519</v>
      </c>
      <c r="H234" s="73" t="s">
        <v>1523</v>
      </c>
      <c r="I234" s="73" t="s">
        <v>13</v>
      </c>
      <c r="J234" s="58"/>
      <c r="K234" s="58"/>
      <c r="L234" s="58"/>
      <c r="M234" s="58"/>
      <c r="N234" s="58"/>
      <c r="O234" s="58"/>
      <c r="P234" s="58"/>
      <c r="Q234" s="58"/>
      <c r="R234" s="58"/>
      <c r="S234" s="58"/>
      <c r="T234" s="58"/>
      <c r="U234" s="58"/>
      <c r="V234" s="58"/>
      <c r="W234" s="58"/>
      <c r="X234" s="58"/>
      <c r="Y234" s="58"/>
      <c r="Z234" s="58"/>
    </row>
    <row r="235">
      <c r="A235" s="85" t="s">
        <v>2034</v>
      </c>
      <c r="B235" s="72" t="s">
        <v>2001</v>
      </c>
      <c r="C235" s="73" t="s">
        <v>1488</v>
      </c>
      <c r="D235" s="72" t="s">
        <v>2015</v>
      </c>
      <c r="E235" s="73" t="s">
        <v>1525</v>
      </c>
      <c r="F235" s="73" t="s">
        <v>1526</v>
      </c>
      <c r="G235" s="73" t="s">
        <v>1492</v>
      </c>
      <c r="H235" s="73" t="s">
        <v>1527</v>
      </c>
      <c r="I235" s="73" t="s">
        <v>13</v>
      </c>
      <c r="J235" s="58"/>
      <c r="K235" s="58"/>
      <c r="L235" s="58"/>
      <c r="M235" s="58"/>
      <c r="N235" s="58"/>
      <c r="O235" s="58"/>
      <c r="P235" s="58"/>
      <c r="Q235" s="58"/>
      <c r="R235" s="58"/>
      <c r="S235" s="58"/>
      <c r="T235" s="58"/>
      <c r="U235" s="58"/>
      <c r="V235" s="58"/>
      <c r="W235" s="58"/>
      <c r="X235" s="58"/>
      <c r="Y235" s="58"/>
      <c r="Z235" s="58"/>
    </row>
    <row r="236">
      <c r="A236" s="85" t="s">
        <v>2035</v>
      </c>
      <c r="B236" s="72" t="s">
        <v>2001</v>
      </c>
      <c r="C236" s="73" t="s">
        <v>1488</v>
      </c>
      <c r="D236" s="72" t="s">
        <v>2015</v>
      </c>
      <c r="E236" s="73" t="s">
        <v>1529</v>
      </c>
      <c r="F236" s="73" t="s">
        <v>1530</v>
      </c>
      <c r="G236" s="73" t="s">
        <v>1492</v>
      </c>
      <c r="H236" s="73" t="s">
        <v>1527</v>
      </c>
      <c r="I236" s="73" t="s">
        <v>13</v>
      </c>
      <c r="J236" s="58"/>
      <c r="K236" s="58"/>
      <c r="L236" s="58"/>
      <c r="M236" s="58"/>
      <c r="N236" s="58"/>
      <c r="O236" s="58"/>
      <c r="P236" s="58"/>
      <c r="Q236" s="58"/>
      <c r="R236" s="58"/>
      <c r="S236" s="58"/>
      <c r="T236" s="58"/>
      <c r="U236" s="58"/>
      <c r="V236" s="58"/>
      <c r="W236" s="58"/>
      <c r="X236" s="58"/>
      <c r="Y236" s="58"/>
      <c r="Z236" s="58"/>
    </row>
    <row r="237">
      <c r="A237" s="85" t="s">
        <v>2036</v>
      </c>
      <c r="B237" s="72" t="s">
        <v>2001</v>
      </c>
      <c r="C237" s="73" t="s">
        <v>1488</v>
      </c>
      <c r="D237" s="72" t="s">
        <v>2015</v>
      </c>
      <c r="E237" s="73" t="s">
        <v>1532</v>
      </c>
      <c r="F237" s="73" t="s">
        <v>1533</v>
      </c>
      <c r="G237" s="73" t="s">
        <v>1492</v>
      </c>
      <c r="H237" s="73" t="s">
        <v>1534</v>
      </c>
      <c r="I237" s="73" t="s">
        <v>13</v>
      </c>
      <c r="J237" s="58"/>
      <c r="K237" s="58"/>
      <c r="L237" s="58"/>
      <c r="M237" s="58"/>
      <c r="N237" s="58"/>
      <c r="O237" s="58"/>
      <c r="P237" s="58"/>
      <c r="Q237" s="58"/>
      <c r="R237" s="58"/>
      <c r="S237" s="58"/>
      <c r="T237" s="58"/>
      <c r="U237" s="58"/>
      <c r="V237" s="58"/>
      <c r="W237" s="58"/>
      <c r="X237" s="58"/>
      <c r="Y237" s="58"/>
      <c r="Z237" s="58"/>
    </row>
    <row r="238">
      <c r="A238" s="85" t="s">
        <v>2037</v>
      </c>
      <c r="B238" s="72" t="s">
        <v>2001</v>
      </c>
      <c r="C238" s="73" t="s">
        <v>1488</v>
      </c>
      <c r="D238" s="72" t="s">
        <v>2015</v>
      </c>
      <c r="E238" s="73" t="s">
        <v>2038</v>
      </c>
      <c r="F238" s="73" t="s">
        <v>1537</v>
      </c>
      <c r="G238" s="73" t="s">
        <v>1486</v>
      </c>
      <c r="H238" s="73" t="s">
        <v>1538</v>
      </c>
      <c r="I238" s="73" t="s">
        <v>13</v>
      </c>
      <c r="J238" s="58"/>
      <c r="K238" s="58"/>
      <c r="L238" s="58"/>
      <c r="M238" s="58"/>
      <c r="N238" s="58"/>
      <c r="O238" s="58"/>
      <c r="P238" s="58"/>
      <c r="Q238" s="58"/>
      <c r="R238" s="58"/>
      <c r="S238" s="58"/>
      <c r="T238" s="58"/>
      <c r="U238" s="58"/>
      <c r="V238" s="58"/>
      <c r="W238" s="58"/>
      <c r="X238" s="58"/>
      <c r="Y238" s="58"/>
      <c r="Z238" s="58"/>
    </row>
    <row r="239">
      <c r="A239" s="85" t="s">
        <v>2039</v>
      </c>
      <c r="B239" s="72" t="s">
        <v>2001</v>
      </c>
      <c r="C239" s="73" t="s">
        <v>1488</v>
      </c>
      <c r="D239" s="72" t="s">
        <v>2015</v>
      </c>
      <c r="E239" s="73" t="s">
        <v>2040</v>
      </c>
      <c r="F239" s="73" t="s">
        <v>1541</v>
      </c>
      <c r="G239" s="73" t="s">
        <v>1542</v>
      </c>
      <c r="H239" s="73" t="s">
        <v>1541</v>
      </c>
      <c r="I239" s="73" t="s">
        <v>13</v>
      </c>
      <c r="J239" s="58"/>
      <c r="K239" s="58"/>
      <c r="L239" s="58"/>
      <c r="M239" s="58"/>
      <c r="N239" s="58"/>
      <c r="O239" s="58"/>
      <c r="P239" s="58"/>
      <c r="Q239" s="58"/>
      <c r="R239" s="58"/>
      <c r="S239" s="58"/>
      <c r="T239" s="58"/>
      <c r="U239" s="58"/>
      <c r="V239" s="58"/>
      <c r="W239" s="58"/>
      <c r="X239" s="58"/>
      <c r="Y239" s="58"/>
      <c r="Z239" s="58"/>
    </row>
    <row r="240">
      <c r="A240" s="85" t="s">
        <v>2041</v>
      </c>
      <c r="B240" s="72" t="s">
        <v>2001</v>
      </c>
      <c r="C240" s="73" t="s">
        <v>1488</v>
      </c>
      <c r="D240" s="72" t="s">
        <v>2015</v>
      </c>
      <c r="E240" s="73" t="s">
        <v>2042</v>
      </c>
      <c r="F240" s="73" t="s">
        <v>1545</v>
      </c>
      <c r="G240" s="73" t="s">
        <v>1546</v>
      </c>
      <c r="H240" s="73" t="s">
        <v>1547</v>
      </c>
      <c r="I240" s="73" t="s">
        <v>13</v>
      </c>
      <c r="J240" s="58"/>
      <c r="K240" s="58"/>
      <c r="L240" s="58"/>
      <c r="M240" s="58"/>
      <c r="N240" s="58"/>
      <c r="O240" s="58"/>
      <c r="P240" s="58"/>
      <c r="Q240" s="58"/>
      <c r="R240" s="58"/>
      <c r="S240" s="58"/>
      <c r="T240" s="58"/>
      <c r="U240" s="58"/>
      <c r="V240" s="58"/>
      <c r="W240" s="58"/>
      <c r="X240" s="58"/>
      <c r="Y240" s="58"/>
      <c r="Z240" s="58"/>
    </row>
    <row r="241">
      <c r="A241" s="85" t="s">
        <v>2043</v>
      </c>
      <c r="B241" s="72" t="s">
        <v>2001</v>
      </c>
      <c r="C241" s="73" t="s">
        <v>1488</v>
      </c>
      <c r="D241" s="72" t="s">
        <v>2015</v>
      </c>
      <c r="E241" s="73" t="s">
        <v>2044</v>
      </c>
      <c r="F241" s="73" t="s">
        <v>1550</v>
      </c>
      <c r="G241" s="73" t="s">
        <v>1546</v>
      </c>
      <c r="H241" s="73" t="s">
        <v>1551</v>
      </c>
      <c r="I241" s="73" t="s">
        <v>13</v>
      </c>
      <c r="J241" s="58"/>
      <c r="K241" s="58"/>
      <c r="L241" s="58"/>
      <c r="M241" s="58"/>
      <c r="N241" s="58"/>
      <c r="O241" s="58"/>
      <c r="P241" s="58"/>
      <c r="Q241" s="58"/>
      <c r="R241" s="58"/>
      <c r="S241" s="58"/>
      <c r="T241" s="58"/>
      <c r="U241" s="58"/>
      <c r="V241" s="58"/>
      <c r="W241" s="58"/>
      <c r="X241" s="58"/>
      <c r="Y241" s="58"/>
      <c r="Z241" s="58"/>
    </row>
    <row r="242">
      <c r="A242" s="85" t="s">
        <v>2045</v>
      </c>
      <c r="B242" s="72" t="s">
        <v>2001</v>
      </c>
      <c r="C242" s="73" t="s">
        <v>1488</v>
      </c>
      <c r="D242" s="72" t="s">
        <v>2015</v>
      </c>
      <c r="E242" s="73" t="s">
        <v>2046</v>
      </c>
      <c r="F242" s="73" t="s">
        <v>1554</v>
      </c>
      <c r="G242" s="73" t="s">
        <v>1492</v>
      </c>
      <c r="H242" s="73" t="s">
        <v>1555</v>
      </c>
      <c r="I242" s="73" t="s">
        <v>13</v>
      </c>
      <c r="J242" s="58"/>
      <c r="K242" s="58"/>
      <c r="L242" s="58"/>
      <c r="M242" s="58"/>
      <c r="N242" s="58"/>
      <c r="O242" s="58"/>
      <c r="P242" s="58"/>
      <c r="Q242" s="58"/>
      <c r="R242" s="58"/>
      <c r="S242" s="58"/>
      <c r="T242" s="58"/>
      <c r="U242" s="58"/>
      <c r="V242" s="58"/>
      <c r="W242" s="58"/>
      <c r="X242" s="58"/>
      <c r="Y242" s="58"/>
      <c r="Z242" s="58"/>
    </row>
    <row r="243">
      <c r="A243" s="85" t="s">
        <v>2047</v>
      </c>
      <c r="B243" s="72" t="s">
        <v>2001</v>
      </c>
      <c r="C243" s="73" t="s">
        <v>1556</v>
      </c>
      <c r="D243" s="72" t="s">
        <v>2015</v>
      </c>
      <c r="E243" s="73" t="s">
        <v>2048</v>
      </c>
      <c r="F243" s="73" t="s">
        <v>1559</v>
      </c>
      <c r="G243" s="73" t="s">
        <v>1492</v>
      </c>
      <c r="H243" s="73" t="s">
        <v>1559</v>
      </c>
      <c r="I243" s="73" t="s">
        <v>13</v>
      </c>
      <c r="J243" s="58"/>
      <c r="K243" s="58"/>
      <c r="L243" s="58"/>
      <c r="M243" s="58"/>
      <c r="N243" s="58"/>
      <c r="O243" s="58"/>
      <c r="P243" s="58"/>
      <c r="Q243" s="58"/>
      <c r="R243" s="58"/>
      <c r="S243" s="58"/>
      <c r="T243" s="58"/>
      <c r="U243" s="58"/>
      <c r="V243" s="58"/>
      <c r="W243" s="58"/>
      <c r="X243" s="58"/>
      <c r="Y243" s="58"/>
      <c r="Z243" s="58"/>
    </row>
    <row r="244">
      <c r="A244" s="85" t="s">
        <v>2049</v>
      </c>
      <c r="B244" s="72" t="s">
        <v>2001</v>
      </c>
      <c r="C244" s="73" t="s">
        <v>1556</v>
      </c>
      <c r="D244" s="73" t="s">
        <v>1560</v>
      </c>
      <c r="E244" s="73" t="s">
        <v>2050</v>
      </c>
      <c r="F244" s="73" t="s">
        <v>1562</v>
      </c>
      <c r="G244" s="73" t="s">
        <v>1563</v>
      </c>
      <c r="H244" s="73" t="s">
        <v>1564</v>
      </c>
      <c r="I244" s="73" t="s">
        <v>13</v>
      </c>
      <c r="J244" s="58"/>
      <c r="K244" s="58"/>
      <c r="L244" s="58"/>
      <c r="M244" s="58"/>
      <c r="N244" s="58"/>
      <c r="O244" s="58"/>
      <c r="P244" s="58"/>
      <c r="Q244" s="58"/>
      <c r="R244" s="58"/>
      <c r="S244" s="58"/>
      <c r="T244" s="58"/>
      <c r="U244" s="58"/>
      <c r="V244" s="58"/>
      <c r="W244" s="58"/>
      <c r="X244" s="58"/>
      <c r="Y244" s="58"/>
      <c r="Z244" s="58"/>
    </row>
    <row r="245">
      <c r="A245" s="85" t="s">
        <v>2051</v>
      </c>
      <c r="B245" s="72" t="s">
        <v>2001</v>
      </c>
      <c r="C245" s="73" t="s">
        <v>1556</v>
      </c>
      <c r="D245" s="73" t="s">
        <v>1560</v>
      </c>
      <c r="E245" s="73" t="s">
        <v>2052</v>
      </c>
      <c r="F245" s="73" t="s">
        <v>1566</v>
      </c>
      <c r="G245" s="73" t="s">
        <v>1567</v>
      </c>
      <c r="H245" s="73" t="s">
        <v>1568</v>
      </c>
      <c r="I245" s="73" t="s">
        <v>13</v>
      </c>
      <c r="J245" s="58"/>
      <c r="K245" s="58"/>
      <c r="L245" s="58"/>
      <c r="M245" s="58"/>
      <c r="N245" s="58"/>
      <c r="O245" s="58"/>
      <c r="P245" s="58"/>
      <c r="Q245" s="58"/>
      <c r="R245" s="58"/>
      <c r="S245" s="58"/>
      <c r="T245" s="58"/>
      <c r="U245" s="58"/>
      <c r="V245" s="58"/>
      <c r="W245" s="58"/>
      <c r="X245" s="58"/>
      <c r="Y245" s="58"/>
      <c r="Z245" s="58"/>
    </row>
    <row r="246">
      <c r="A246" s="85" t="s">
        <v>2053</v>
      </c>
      <c r="B246" s="72" t="s">
        <v>2001</v>
      </c>
      <c r="C246" s="73" t="s">
        <v>1556</v>
      </c>
      <c r="D246" s="73" t="s">
        <v>1569</v>
      </c>
      <c r="E246" s="73" t="s">
        <v>2054</v>
      </c>
      <c r="F246" s="73" t="s">
        <v>1571</v>
      </c>
      <c r="G246" s="73" t="s">
        <v>1572</v>
      </c>
      <c r="H246" s="73" t="s">
        <v>1573</v>
      </c>
      <c r="I246" s="73" t="s">
        <v>13</v>
      </c>
      <c r="J246" s="58"/>
      <c r="K246" s="58"/>
      <c r="L246" s="58"/>
      <c r="M246" s="58"/>
      <c r="N246" s="58"/>
      <c r="O246" s="58"/>
      <c r="P246" s="58"/>
      <c r="Q246" s="58"/>
      <c r="R246" s="58"/>
      <c r="S246" s="58"/>
      <c r="T246" s="58"/>
      <c r="U246" s="58"/>
      <c r="V246" s="58"/>
      <c r="W246" s="58"/>
      <c r="X246" s="58"/>
      <c r="Y246" s="58"/>
      <c r="Z246" s="58"/>
    </row>
    <row r="247">
      <c r="A247" s="85" t="s">
        <v>2055</v>
      </c>
      <c r="B247" s="72" t="s">
        <v>2001</v>
      </c>
      <c r="C247" s="73" t="s">
        <v>1556</v>
      </c>
      <c r="D247" s="73" t="s">
        <v>1574</v>
      </c>
      <c r="E247" s="73" t="s">
        <v>2056</v>
      </c>
      <c r="F247" s="73" t="s">
        <v>1576</v>
      </c>
      <c r="G247" s="73" t="s">
        <v>1577</v>
      </c>
      <c r="H247" s="73" t="s">
        <v>1578</v>
      </c>
      <c r="I247" s="73" t="s">
        <v>13</v>
      </c>
      <c r="J247" s="58"/>
      <c r="K247" s="58"/>
      <c r="L247" s="58"/>
      <c r="M247" s="58"/>
      <c r="N247" s="58"/>
      <c r="O247" s="58"/>
      <c r="P247" s="58"/>
      <c r="Q247" s="58"/>
      <c r="R247" s="58"/>
      <c r="S247" s="58"/>
      <c r="T247" s="58"/>
      <c r="U247" s="58"/>
      <c r="V247" s="58"/>
      <c r="W247" s="58"/>
      <c r="X247" s="58"/>
      <c r="Y247" s="58"/>
      <c r="Z247" s="58"/>
    </row>
    <row r="248">
      <c r="A248" s="85" t="s">
        <v>2057</v>
      </c>
      <c r="B248" s="72" t="s">
        <v>2001</v>
      </c>
      <c r="C248" s="73" t="s">
        <v>1556</v>
      </c>
      <c r="D248" s="73" t="s">
        <v>1574</v>
      </c>
      <c r="E248" s="73" t="s">
        <v>2058</v>
      </c>
      <c r="F248" s="73" t="s">
        <v>1580</v>
      </c>
      <c r="G248" s="73" t="s">
        <v>1492</v>
      </c>
      <c r="H248" s="73" t="s">
        <v>1581</v>
      </c>
      <c r="I248" s="73" t="s">
        <v>13</v>
      </c>
      <c r="J248" s="58"/>
      <c r="K248" s="58"/>
      <c r="L248" s="58"/>
      <c r="M248" s="58"/>
      <c r="N248" s="58"/>
      <c r="O248" s="58"/>
      <c r="P248" s="58"/>
      <c r="Q248" s="58"/>
      <c r="R248" s="58"/>
      <c r="S248" s="58"/>
      <c r="T248" s="58"/>
      <c r="U248" s="58"/>
      <c r="V248" s="58"/>
      <c r="W248" s="58"/>
      <c r="X248" s="58"/>
      <c r="Y248" s="58"/>
      <c r="Z248" s="58"/>
    </row>
    <row r="249">
      <c r="A249" s="85" t="s">
        <v>2059</v>
      </c>
      <c r="B249" s="72" t="s">
        <v>2001</v>
      </c>
      <c r="C249" s="73" t="s">
        <v>1556</v>
      </c>
      <c r="D249" s="73" t="s">
        <v>1574</v>
      </c>
      <c r="E249" s="73" t="s">
        <v>2060</v>
      </c>
      <c r="F249" s="73" t="s">
        <v>1583</v>
      </c>
      <c r="G249" s="73" t="s">
        <v>1492</v>
      </c>
      <c r="H249" s="75"/>
      <c r="I249" s="73" t="s">
        <v>13</v>
      </c>
      <c r="J249" s="58"/>
      <c r="K249" s="58"/>
      <c r="L249" s="58"/>
      <c r="M249" s="58"/>
      <c r="N249" s="58"/>
      <c r="O249" s="58"/>
      <c r="P249" s="58"/>
      <c r="Q249" s="58"/>
      <c r="R249" s="58"/>
      <c r="S249" s="58"/>
      <c r="T249" s="58"/>
      <c r="U249" s="58"/>
      <c r="V249" s="58"/>
      <c r="W249" s="58"/>
      <c r="X249" s="58"/>
      <c r="Y249" s="58"/>
      <c r="Z249" s="58"/>
    </row>
    <row r="250">
      <c r="A250" s="85" t="s">
        <v>2061</v>
      </c>
      <c r="B250" s="72" t="s">
        <v>2001</v>
      </c>
      <c r="C250" s="73" t="s">
        <v>1556</v>
      </c>
      <c r="D250" s="73" t="s">
        <v>1574</v>
      </c>
      <c r="E250" s="73" t="s">
        <v>1584</v>
      </c>
      <c r="F250" s="73" t="s">
        <v>1585</v>
      </c>
      <c r="G250" s="73" t="s">
        <v>1492</v>
      </c>
      <c r="H250" s="73" t="s">
        <v>1586</v>
      </c>
      <c r="I250" s="73" t="s">
        <v>13</v>
      </c>
      <c r="J250" s="58"/>
      <c r="K250" s="58"/>
      <c r="L250" s="58"/>
      <c r="M250" s="58"/>
      <c r="N250" s="58"/>
      <c r="O250" s="58"/>
      <c r="P250" s="58"/>
      <c r="Q250" s="58"/>
      <c r="R250" s="58"/>
      <c r="S250" s="58"/>
      <c r="T250" s="58"/>
      <c r="U250" s="58"/>
      <c r="V250" s="58"/>
      <c r="W250" s="58"/>
      <c r="X250" s="58"/>
      <c r="Y250" s="58"/>
      <c r="Z250" s="58"/>
    </row>
    <row r="251">
      <c r="A251" s="85" t="s">
        <v>2062</v>
      </c>
      <c r="B251" s="72" t="s">
        <v>2001</v>
      </c>
      <c r="C251" s="73" t="s">
        <v>1556</v>
      </c>
      <c r="D251" s="73" t="s">
        <v>1574</v>
      </c>
      <c r="E251" s="73" t="s">
        <v>2063</v>
      </c>
      <c r="F251" s="73" t="s">
        <v>1588</v>
      </c>
      <c r="G251" s="73" t="s">
        <v>1589</v>
      </c>
      <c r="H251" s="73" t="s">
        <v>1590</v>
      </c>
      <c r="I251" s="73" t="s">
        <v>13</v>
      </c>
      <c r="J251" s="58"/>
      <c r="K251" s="58"/>
      <c r="L251" s="58"/>
      <c r="M251" s="58"/>
      <c r="N251" s="58"/>
      <c r="O251" s="58"/>
      <c r="P251" s="58"/>
      <c r="Q251" s="58"/>
      <c r="R251" s="58"/>
      <c r="S251" s="58"/>
      <c r="T251" s="58"/>
      <c r="U251" s="58"/>
      <c r="V251" s="58"/>
      <c r="W251" s="58"/>
      <c r="X251" s="58"/>
      <c r="Y251" s="58"/>
      <c r="Z251" s="58"/>
    </row>
    <row r="252">
      <c r="A252" s="85" t="s">
        <v>2064</v>
      </c>
      <c r="B252" s="72" t="s">
        <v>2001</v>
      </c>
      <c r="C252" s="73" t="s">
        <v>1556</v>
      </c>
      <c r="D252" s="73" t="s">
        <v>1574</v>
      </c>
      <c r="E252" s="73" t="s">
        <v>2065</v>
      </c>
      <c r="F252" s="73" t="s">
        <v>1592</v>
      </c>
      <c r="G252" s="73" t="s">
        <v>1492</v>
      </c>
      <c r="H252" s="73" t="s">
        <v>1593</v>
      </c>
      <c r="I252" s="73" t="s">
        <v>13</v>
      </c>
      <c r="J252" s="58"/>
      <c r="K252" s="58"/>
      <c r="L252" s="58"/>
      <c r="M252" s="58"/>
      <c r="N252" s="58"/>
      <c r="O252" s="58"/>
      <c r="P252" s="58"/>
      <c r="Q252" s="58"/>
      <c r="R252" s="58"/>
      <c r="S252" s="58"/>
      <c r="T252" s="58"/>
      <c r="U252" s="58"/>
      <c r="V252" s="58"/>
      <c r="W252" s="58"/>
      <c r="X252" s="58"/>
      <c r="Y252" s="58"/>
      <c r="Z252" s="58"/>
    </row>
    <row r="253">
      <c r="A253" s="85" t="s">
        <v>2066</v>
      </c>
      <c r="B253" s="72" t="s">
        <v>2001</v>
      </c>
      <c r="C253" s="73" t="s">
        <v>1556</v>
      </c>
      <c r="D253" s="73" t="s">
        <v>1574</v>
      </c>
      <c r="E253" s="73" t="s">
        <v>2067</v>
      </c>
      <c r="F253" s="73" t="s">
        <v>1595</v>
      </c>
      <c r="G253" s="73" t="s">
        <v>1492</v>
      </c>
      <c r="H253" s="73" t="s">
        <v>1596</v>
      </c>
      <c r="I253" s="73" t="s">
        <v>13</v>
      </c>
      <c r="J253" s="58"/>
      <c r="K253" s="58"/>
      <c r="L253" s="58"/>
      <c r="M253" s="58"/>
      <c r="N253" s="58"/>
      <c r="O253" s="58"/>
      <c r="P253" s="58"/>
      <c r="Q253" s="58"/>
      <c r="R253" s="58"/>
      <c r="S253" s="58"/>
      <c r="T253" s="58"/>
      <c r="U253" s="58"/>
      <c r="V253" s="58"/>
      <c r="W253" s="58"/>
      <c r="X253" s="58"/>
      <c r="Y253" s="58"/>
      <c r="Z253" s="58"/>
    </row>
    <row r="254">
      <c r="A254" s="85" t="s">
        <v>2068</v>
      </c>
      <c r="B254" s="72" t="s">
        <v>2001</v>
      </c>
      <c r="C254" s="73" t="s">
        <v>1556</v>
      </c>
      <c r="D254" s="73" t="s">
        <v>1597</v>
      </c>
      <c r="E254" s="73" t="s">
        <v>2069</v>
      </c>
      <c r="F254" s="73" t="s">
        <v>1599</v>
      </c>
      <c r="G254" s="73" t="s">
        <v>1492</v>
      </c>
      <c r="H254" s="73" t="s">
        <v>1600</v>
      </c>
      <c r="I254" s="73" t="s">
        <v>13</v>
      </c>
      <c r="J254" s="58"/>
      <c r="K254" s="58"/>
      <c r="L254" s="58"/>
      <c r="M254" s="58"/>
      <c r="N254" s="58"/>
      <c r="O254" s="58"/>
      <c r="P254" s="58"/>
      <c r="Q254" s="58"/>
      <c r="R254" s="58"/>
      <c r="S254" s="58"/>
      <c r="T254" s="58"/>
      <c r="U254" s="58"/>
      <c r="V254" s="58"/>
      <c r="W254" s="58"/>
      <c r="X254" s="58"/>
      <c r="Y254" s="58"/>
      <c r="Z254" s="58"/>
    </row>
    <row r="255">
      <c r="A255" s="85" t="s">
        <v>2070</v>
      </c>
      <c r="B255" s="72" t="s">
        <v>2001</v>
      </c>
      <c r="C255" s="73" t="s">
        <v>1556</v>
      </c>
      <c r="D255" s="73" t="s">
        <v>1597</v>
      </c>
      <c r="E255" s="73" t="s">
        <v>2071</v>
      </c>
      <c r="F255" s="73" t="s">
        <v>1602</v>
      </c>
      <c r="G255" s="73" t="s">
        <v>1492</v>
      </c>
      <c r="H255" s="73" t="s">
        <v>1603</v>
      </c>
      <c r="I255" s="73" t="s">
        <v>13</v>
      </c>
      <c r="J255" s="58"/>
      <c r="K255" s="58"/>
      <c r="L255" s="58"/>
      <c r="M255" s="58"/>
      <c r="N255" s="58"/>
      <c r="O255" s="58"/>
      <c r="P255" s="58"/>
      <c r="Q255" s="58"/>
      <c r="R255" s="58"/>
      <c r="S255" s="58"/>
      <c r="T255" s="58"/>
      <c r="U255" s="58"/>
      <c r="V255" s="58"/>
      <c r="W255" s="58"/>
      <c r="X255" s="58"/>
      <c r="Y255" s="58"/>
      <c r="Z255" s="58"/>
    </row>
    <row r="256">
      <c r="A256" s="85" t="s">
        <v>2072</v>
      </c>
      <c r="B256" s="72" t="s">
        <v>2001</v>
      </c>
      <c r="C256" s="73" t="s">
        <v>1556</v>
      </c>
      <c r="D256" s="73" t="s">
        <v>1597</v>
      </c>
      <c r="E256" s="73" t="s">
        <v>1604</v>
      </c>
      <c r="F256" s="73" t="s">
        <v>1605</v>
      </c>
      <c r="G256" s="73" t="s">
        <v>1492</v>
      </c>
      <c r="H256" s="73" t="s">
        <v>1606</v>
      </c>
      <c r="I256" s="73" t="s">
        <v>13</v>
      </c>
      <c r="J256" s="58"/>
      <c r="K256" s="58"/>
      <c r="L256" s="58"/>
      <c r="M256" s="58"/>
      <c r="N256" s="58"/>
      <c r="O256" s="58"/>
      <c r="P256" s="58"/>
      <c r="Q256" s="58"/>
      <c r="R256" s="58"/>
      <c r="S256" s="58"/>
      <c r="T256" s="58"/>
      <c r="U256" s="58"/>
      <c r="V256" s="58"/>
      <c r="W256" s="58"/>
      <c r="X256" s="58"/>
      <c r="Y256" s="58"/>
      <c r="Z256" s="58"/>
    </row>
    <row r="257">
      <c r="A257" s="85" t="s">
        <v>2073</v>
      </c>
      <c r="B257" s="72" t="s">
        <v>2001</v>
      </c>
      <c r="C257" s="73" t="s">
        <v>1556</v>
      </c>
      <c r="D257" s="73" t="s">
        <v>1597</v>
      </c>
      <c r="E257" s="73" t="s">
        <v>1095</v>
      </c>
      <c r="F257" s="73" t="s">
        <v>1607</v>
      </c>
      <c r="G257" s="73" t="s">
        <v>1492</v>
      </c>
      <c r="H257" s="73" t="s">
        <v>1608</v>
      </c>
      <c r="I257" s="73" t="s">
        <v>13</v>
      </c>
      <c r="J257" s="58"/>
      <c r="K257" s="58"/>
      <c r="L257" s="58"/>
      <c r="M257" s="58"/>
      <c r="N257" s="58"/>
      <c r="O257" s="58"/>
      <c r="P257" s="58"/>
      <c r="Q257" s="58"/>
      <c r="R257" s="58"/>
      <c r="S257" s="58"/>
      <c r="T257" s="58"/>
      <c r="U257" s="58"/>
      <c r="V257" s="58"/>
      <c r="W257" s="58"/>
      <c r="X257" s="58"/>
      <c r="Y257" s="58"/>
      <c r="Z257" s="58"/>
    </row>
    <row r="258">
      <c r="A258" s="85" t="s">
        <v>2074</v>
      </c>
      <c r="B258" s="72" t="s">
        <v>2001</v>
      </c>
      <c r="C258" s="73" t="s">
        <v>1556</v>
      </c>
      <c r="D258" s="73" t="s">
        <v>1597</v>
      </c>
      <c r="E258" s="73" t="s">
        <v>2075</v>
      </c>
      <c r="F258" s="73" t="s">
        <v>1610</v>
      </c>
      <c r="G258" s="73" t="s">
        <v>1611</v>
      </c>
      <c r="H258" s="73" t="s">
        <v>1612</v>
      </c>
      <c r="I258" s="73" t="s">
        <v>13</v>
      </c>
      <c r="J258" s="58"/>
      <c r="K258" s="58"/>
      <c r="L258" s="58"/>
      <c r="M258" s="58"/>
      <c r="N258" s="58"/>
      <c r="O258" s="58"/>
      <c r="P258" s="58"/>
      <c r="Q258" s="58"/>
      <c r="R258" s="58"/>
      <c r="S258" s="58"/>
      <c r="T258" s="58"/>
      <c r="U258" s="58"/>
      <c r="V258" s="58"/>
      <c r="W258" s="58"/>
      <c r="X258" s="58"/>
      <c r="Y258" s="58"/>
      <c r="Z258" s="58"/>
    </row>
    <row r="259">
      <c r="A259" s="85" t="s">
        <v>2076</v>
      </c>
      <c r="B259" s="72" t="s">
        <v>2001</v>
      </c>
      <c r="C259" s="73" t="s">
        <v>1613</v>
      </c>
      <c r="D259" s="73" t="s">
        <v>1614</v>
      </c>
      <c r="E259" s="73" t="s">
        <v>2077</v>
      </c>
      <c r="F259" s="73" t="s">
        <v>1616</v>
      </c>
      <c r="G259" s="73" t="s">
        <v>1577</v>
      </c>
      <c r="H259" s="73" t="s">
        <v>1617</v>
      </c>
      <c r="I259" s="73" t="s">
        <v>13</v>
      </c>
      <c r="J259" s="58"/>
      <c r="K259" s="58"/>
      <c r="L259" s="58"/>
      <c r="M259" s="58"/>
      <c r="N259" s="58"/>
      <c r="O259" s="58"/>
      <c r="P259" s="58"/>
      <c r="Q259" s="58"/>
      <c r="R259" s="58"/>
      <c r="S259" s="58"/>
      <c r="T259" s="58"/>
      <c r="U259" s="58"/>
      <c r="V259" s="58"/>
      <c r="W259" s="58"/>
      <c r="X259" s="58"/>
      <c r="Y259" s="58"/>
      <c r="Z259" s="58"/>
    </row>
    <row r="260">
      <c r="A260" s="85" t="s">
        <v>2078</v>
      </c>
      <c r="B260" s="72" t="s">
        <v>2001</v>
      </c>
      <c r="C260" s="73" t="s">
        <v>1613</v>
      </c>
      <c r="D260" s="73" t="s">
        <v>1614</v>
      </c>
      <c r="E260" s="73" t="s">
        <v>2079</v>
      </c>
      <c r="F260" s="73" t="s">
        <v>1619</v>
      </c>
      <c r="G260" s="73" t="s">
        <v>1620</v>
      </c>
      <c r="H260" s="73" t="s">
        <v>1621</v>
      </c>
      <c r="I260" s="73" t="s">
        <v>13</v>
      </c>
      <c r="J260" s="58"/>
      <c r="K260" s="58"/>
      <c r="L260" s="58"/>
      <c r="M260" s="58"/>
      <c r="N260" s="58"/>
      <c r="O260" s="58"/>
      <c r="P260" s="58"/>
      <c r="Q260" s="58"/>
      <c r="R260" s="58"/>
      <c r="S260" s="58"/>
      <c r="T260" s="58"/>
      <c r="U260" s="58"/>
      <c r="V260" s="58"/>
      <c r="W260" s="58"/>
      <c r="X260" s="58"/>
      <c r="Y260" s="58"/>
      <c r="Z260" s="58"/>
    </row>
    <row r="261">
      <c r="A261" s="85" t="s">
        <v>2080</v>
      </c>
      <c r="B261" s="72" t="s">
        <v>2001</v>
      </c>
      <c r="C261" s="73" t="s">
        <v>1613</v>
      </c>
      <c r="D261" s="73" t="s">
        <v>1614</v>
      </c>
      <c r="E261" s="73" t="s">
        <v>1622</v>
      </c>
      <c r="F261" s="73" t="s">
        <v>1623</v>
      </c>
      <c r="G261" s="73" t="s">
        <v>1492</v>
      </c>
      <c r="H261" s="73" t="s">
        <v>1624</v>
      </c>
      <c r="I261" s="73" t="s">
        <v>13</v>
      </c>
      <c r="J261" s="58"/>
      <c r="K261" s="58"/>
      <c r="L261" s="58"/>
      <c r="M261" s="58"/>
      <c r="N261" s="58"/>
      <c r="O261" s="58"/>
      <c r="P261" s="58"/>
      <c r="Q261" s="58"/>
      <c r="R261" s="58"/>
      <c r="S261" s="58"/>
      <c r="T261" s="58"/>
      <c r="U261" s="58"/>
      <c r="V261" s="58"/>
      <c r="W261" s="58"/>
      <c r="X261" s="58"/>
      <c r="Y261" s="58"/>
      <c r="Z261" s="58"/>
    </row>
    <row r="262">
      <c r="A262" s="85" t="s">
        <v>2081</v>
      </c>
      <c r="B262" s="72" t="s">
        <v>2001</v>
      </c>
      <c r="C262" s="73" t="s">
        <v>1613</v>
      </c>
      <c r="D262" s="73" t="s">
        <v>1614</v>
      </c>
      <c r="E262" s="73" t="s">
        <v>2082</v>
      </c>
      <c r="F262" s="73" t="s">
        <v>1626</v>
      </c>
      <c r="G262" s="73" t="s">
        <v>1492</v>
      </c>
      <c r="H262" s="73" t="s">
        <v>1627</v>
      </c>
      <c r="I262" s="73" t="s">
        <v>13</v>
      </c>
      <c r="J262" s="58"/>
      <c r="K262" s="58"/>
      <c r="L262" s="58"/>
      <c r="M262" s="58"/>
      <c r="N262" s="58"/>
      <c r="O262" s="58"/>
      <c r="P262" s="58"/>
      <c r="Q262" s="58"/>
      <c r="R262" s="58"/>
      <c r="S262" s="58"/>
      <c r="T262" s="58"/>
      <c r="U262" s="58"/>
      <c r="V262" s="58"/>
      <c r="W262" s="58"/>
      <c r="X262" s="58"/>
      <c r="Y262" s="58"/>
      <c r="Z262" s="58"/>
    </row>
    <row r="263">
      <c r="A263" s="85" t="s">
        <v>2083</v>
      </c>
      <c r="B263" s="72" t="s">
        <v>2001</v>
      </c>
      <c r="C263" s="73" t="s">
        <v>1628</v>
      </c>
      <c r="D263" s="73" t="s">
        <v>1629</v>
      </c>
      <c r="E263" s="73" t="s">
        <v>2084</v>
      </c>
      <c r="F263" s="73" t="s">
        <v>1631</v>
      </c>
      <c r="G263" s="73" t="s">
        <v>1632</v>
      </c>
      <c r="H263" s="73" t="s">
        <v>1633</v>
      </c>
      <c r="I263" s="73" t="s">
        <v>13</v>
      </c>
      <c r="J263" s="58"/>
      <c r="K263" s="58"/>
      <c r="L263" s="58"/>
      <c r="M263" s="58"/>
      <c r="N263" s="58"/>
      <c r="O263" s="58"/>
      <c r="P263" s="58"/>
      <c r="Q263" s="58"/>
      <c r="R263" s="58"/>
      <c r="S263" s="58"/>
      <c r="T263" s="58"/>
      <c r="U263" s="58"/>
      <c r="V263" s="58"/>
      <c r="W263" s="58"/>
      <c r="X263" s="58"/>
      <c r="Y263" s="58"/>
      <c r="Z263" s="58"/>
    </row>
    <row r="264">
      <c r="A264" s="85" t="s">
        <v>2085</v>
      </c>
      <c r="B264" s="72" t="s">
        <v>2001</v>
      </c>
      <c r="C264" s="73" t="s">
        <v>1628</v>
      </c>
      <c r="D264" s="73" t="s">
        <v>1629</v>
      </c>
      <c r="E264" s="73" t="s">
        <v>2086</v>
      </c>
      <c r="F264" s="73" t="s">
        <v>1631</v>
      </c>
      <c r="G264" s="73" t="s">
        <v>1632</v>
      </c>
      <c r="H264" s="73" t="s">
        <v>1635</v>
      </c>
      <c r="I264" s="73" t="s">
        <v>13</v>
      </c>
      <c r="J264" s="58"/>
      <c r="K264" s="58"/>
      <c r="L264" s="58"/>
      <c r="M264" s="58"/>
      <c r="N264" s="58"/>
      <c r="O264" s="58"/>
      <c r="P264" s="58"/>
      <c r="Q264" s="58"/>
      <c r="R264" s="58"/>
      <c r="S264" s="58"/>
      <c r="T264" s="58"/>
      <c r="U264" s="58"/>
      <c r="V264" s="58"/>
      <c r="W264" s="58"/>
      <c r="X264" s="58"/>
      <c r="Y264" s="58"/>
      <c r="Z264" s="58"/>
    </row>
    <row r="265">
      <c r="A265" s="85" t="s">
        <v>2087</v>
      </c>
      <c r="B265" s="72" t="s">
        <v>2001</v>
      </c>
      <c r="C265" s="73" t="s">
        <v>1628</v>
      </c>
      <c r="D265" s="73" t="s">
        <v>1629</v>
      </c>
      <c r="E265" s="73" t="s">
        <v>2088</v>
      </c>
      <c r="F265" s="73" t="s">
        <v>1631</v>
      </c>
      <c r="G265" s="73" t="s">
        <v>1632</v>
      </c>
      <c r="H265" s="73" t="s">
        <v>1637</v>
      </c>
      <c r="I265" s="73" t="s">
        <v>13</v>
      </c>
      <c r="J265" s="58"/>
      <c r="K265" s="58"/>
      <c r="L265" s="58"/>
      <c r="M265" s="58"/>
      <c r="N265" s="58"/>
      <c r="O265" s="58"/>
      <c r="P265" s="58"/>
      <c r="Q265" s="58"/>
      <c r="R265" s="58"/>
      <c r="S265" s="58"/>
      <c r="T265" s="58"/>
      <c r="U265" s="58"/>
      <c r="V265" s="58"/>
      <c r="W265" s="58"/>
      <c r="X265" s="58"/>
      <c r="Y265" s="58"/>
      <c r="Z265" s="58"/>
    </row>
    <row r="266">
      <c r="A266" s="85" t="s">
        <v>2089</v>
      </c>
      <c r="B266" s="72" t="s">
        <v>2001</v>
      </c>
      <c r="C266" s="73" t="s">
        <v>1628</v>
      </c>
      <c r="D266" s="73" t="s">
        <v>1629</v>
      </c>
      <c r="E266" s="73" t="s">
        <v>1638</v>
      </c>
      <c r="F266" s="73" t="s">
        <v>1639</v>
      </c>
      <c r="G266" s="73" t="s">
        <v>1492</v>
      </c>
      <c r="H266" s="73" t="s">
        <v>1640</v>
      </c>
      <c r="I266" s="73" t="s">
        <v>13</v>
      </c>
      <c r="J266" s="58"/>
      <c r="K266" s="58"/>
      <c r="L266" s="58"/>
      <c r="M266" s="58"/>
      <c r="N266" s="58"/>
      <c r="O266" s="58"/>
      <c r="P266" s="58"/>
      <c r="Q266" s="58"/>
      <c r="R266" s="58"/>
      <c r="S266" s="58"/>
      <c r="T266" s="58"/>
      <c r="U266" s="58"/>
      <c r="V266" s="58"/>
      <c r="W266" s="58"/>
      <c r="X266" s="58"/>
      <c r="Y266" s="58"/>
      <c r="Z266" s="58"/>
    </row>
    <row r="267">
      <c r="A267" s="85" t="s">
        <v>2090</v>
      </c>
      <c r="B267" s="72" t="s">
        <v>2001</v>
      </c>
      <c r="C267" s="73" t="s">
        <v>1628</v>
      </c>
      <c r="D267" s="73" t="s">
        <v>1641</v>
      </c>
      <c r="E267" s="73" t="s">
        <v>2091</v>
      </c>
      <c r="F267" s="73" t="s">
        <v>1631</v>
      </c>
      <c r="G267" s="73" t="s">
        <v>1643</v>
      </c>
      <c r="H267" s="73" t="s">
        <v>1644</v>
      </c>
      <c r="I267" s="73" t="s">
        <v>13</v>
      </c>
      <c r="J267" s="58"/>
      <c r="K267" s="58"/>
      <c r="L267" s="58"/>
      <c r="M267" s="58"/>
      <c r="N267" s="58"/>
      <c r="O267" s="58"/>
      <c r="P267" s="58"/>
      <c r="Q267" s="58"/>
      <c r="R267" s="58"/>
      <c r="S267" s="58"/>
      <c r="T267" s="58"/>
      <c r="U267" s="58"/>
      <c r="V267" s="58"/>
      <c r="W267" s="58"/>
      <c r="X267" s="58"/>
      <c r="Y267" s="58"/>
      <c r="Z267" s="58"/>
    </row>
    <row r="268">
      <c r="A268" s="85" t="s">
        <v>2092</v>
      </c>
      <c r="B268" s="72" t="s">
        <v>2001</v>
      </c>
      <c r="C268" s="73" t="s">
        <v>1628</v>
      </c>
      <c r="D268" s="73" t="s">
        <v>1641</v>
      </c>
      <c r="E268" s="73" t="s">
        <v>2093</v>
      </c>
      <c r="F268" s="73" t="s">
        <v>1631</v>
      </c>
      <c r="G268" s="73" t="s">
        <v>1643</v>
      </c>
      <c r="H268" s="73" t="s">
        <v>1646</v>
      </c>
      <c r="I268" s="73" t="s">
        <v>13</v>
      </c>
      <c r="J268" s="58"/>
      <c r="K268" s="58"/>
      <c r="L268" s="58"/>
      <c r="M268" s="58"/>
      <c r="N268" s="58"/>
      <c r="O268" s="58"/>
      <c r="P268" s="58"/>
      <c r="Q268" s="58"/>
      <c r="R268" s="58"/>
      <c r="S268" s="58"/>
      <c r="T268" s="58"/>
      <c r="U268" s="58"/>
      <c r="V268" s="58"/>
      <c r="W268" s="58"/>
      <c r="X268" s="58"/>
      <c r="Y268" s="58"/>
      <c r="Z268" s="58"/>
    </row>
    <row r="269">
      <c r="A269" s="85" t="s">
        <v>2094</v>
      </c>
      <c r="B269" s="72" t="s">
        <v>2001</v>
      </c>
      <c r="C269" s="73" t="s">
        <v>1628</v>
      </c>
      <c r="D269" s="73" t="s">
        <v>1641</v>
      </c>
      <c r="E269" s="73" t="s">
        <v>2095</v>
      </c>
      <c r="F269" s="73" t="s">
        <v>1648</v>
      </c>
      <c r="G269" s="73" t="s">
        <v>1492</v>
      </c>
      <c r="H269" s="73" t="s">
        <v>1649</v>
      </c>
      <c r="I269" s="73" t="s">
        <v>13</v>
      </c>
      <c r="J269" s="58"/>
      <c r="K269" s="58"/>
      <c r="L269" s="58"/>
      <c r="M269" s="58"/>
      <c r="N269" s="58"/>
      <c r="O269" s="58"/>
      <c r="P269" s="58"/>
      <c r="Q269" s="58"/>
      <c r="R269" s="58"/>
      <c r="S269" s="58"/>
      <c r="T269" s="58"/>
      <c r="U269" s="58"/>
      <c r="V269" s="58"/>
      <c r="W269" s="58"/>
      <c r="X269" s="58"/>
      <c r="Y269" s="58"/>
      <c r="Z269" s="58"/>
    </row>
    <row r="270">
      <c r="A270" s="85" t="s">
        <v>2096</v>
      </c>
      <c r="B270" s="72" t="s">
        <v>2001</v>
      </c>
      <c r="C270" s="73" t="s">
        <v>1628</v>
      </c>
      <c r="D270" s="73" t="s">
        <v>1641</v>
      </c>
      <c r="E270" s="73" t="s">
        <v>2097</v>
      </c>
      <c r="F270" s="73" t="s">
        <v>1631</v>
      </c>
      <c r="G270" s="73" t="s">
        <v>1643</v>
      </c>
      <c r="H270" s="73" t="s">
        <v>1651</v>
      </c>
      <c r="I270" s="73" t="s">
        <v>13</v>
      </c>
      <c r="J270" s="58"/>
      <c r="K270" s="58"/>
      <c r="L270" s="58"/>
      <c r="M270" s="58"/>
      <c r="N270" s="58"/>
      <c r="O270" s="58"/>
      <c r="P270" s="58"/>
      <c r="Q270" s="58"/>
      <c r="R270" s="58"/>
      <c r="S270" s="58"/>
      <c r="T270" s="58"/>
      <c r="U270" s="58"/>
      <c r="V270" s="58"/>
      <c r="W270" s="58"/>
      <c r="X270" s="58"/>
      <c r="Y270" s="58"/>
      <c r="Z270" s="58"/>
    </row>
    <row r="271">
      <c r="A271" s="85" t="s">
        <v>2098</v>
      </c>
      <c r="B271" s="72" t="s">
        <v>2001</v>
      </c>
      <c r="C271" s="73" t="s">
        <v>1628</v>
      </c>
      <c r="D271" s="73" t="s">
        <v>1641</v>
      </c>
      <c r="E271" s="73" t="s">
        <v>2099</v>
      </c>
      <c r="F271" s="73" t="s">
        <v>1631</v>
      </c>
      <c r="G271" s="73" t="s">
        <v>1643</v>
      </c>
      <c r="H271" s="73" t="s">
        <v>1653</v>
      </c>
      <c r="I271" s="73" t="s">
        <v>13</v>
      </c>
      <c r="J271" s="58"/>
      <c r="K271" s="58"/>
      <c r="L271" s="58"/>
      <c r="M271" s="58"/>
      <c r="N271" s="58"/>
      <c r="O271" s="58"/>
      <c r="P271" s="58"/>
      <c r="Q271" s="58"/>
      <c r="R271" s="58"/>
      <c r="S271" s="58"/>
      <c r="T271" s="58"/>
      <c r="U271" s="58"/>
      <c r="V271" s="58"/>
      <c r="W271" s="58"/>
      <c r="X271" s="58"/>
      <c r="Y271" s="58"/>
      <c r="Z271" s="58"/>
    </row>
    <row r="272">
      <c r="A272" s="85" t="s">
        <v>2100</v>
      </c>
      <c r="B272" s="72" t="s">
        <v>2001</v>
      </c>
      <c r="C272" s="73" t="s">
        <v>1628</v>
      </c>
      <c r="D272" s="73" t="s">
        <v>1654</v>
      </c>
      <c r="E272" s="73" t="s">
        <v>2101</v>
      </c>
      <c r="F272" s="73" t="s">
        <v>1631</v>
      </c>
      <c r="G272" s="73" t="s">
        <v>1656</v>
      </c>
      <c r="H272" s="73" t="s">
        <v>1657</v>
      </c>
      <c r="I272" s="73" t="s">
        <v>13</v>
      </c>
      <c r="J272" s="58"/>
      <c r="K272" s="58"/>
      <c r="L272" s="58"/>
      <c r="M272" s="58"/>
      <c r="N272" s="58"/>
      <c r="O272" s="58"/>
      <c r="P272" s="58"/>
      <c r="Q272" s="58"/>
      <c r="R272" s="58"/>
      <c r="S272" s="58"/>
      <c r="T272" s="58"/>
      <c r="U272" s="58"/>
      <c r="V272" s="58"/>
      <c r="W272" s="58"/>
      <c r="X272" s="58"/>
      <c r="Y272" s="58"/>
      <c r="Z272" s="58"/>
    </row>
    <row r="273">
      <c r="A273" s="85" t="s">
        <v>2102</v>
      </c>
      <c r="B273" s="72" t="s">
        <v>2001</v>
      </c>
      <c r="C273" s="73" t="s">
        <v>1628</v>
      </c>
      <c r="D273" s="73" t="s">
        <v>1654</v>
      </c>
      <c r="E273" s="73" t="s">
        <v>2103</v>
      </c>
      <c r="F273" s="73" t="s">
        <v>1631</v>
      </c>
      <c r="G273" s="73" t="s">
        <v>1656</v>
      </c>
      <c r="H273" s="73" t="s">
        <v>1659</v>
      </c>
      <c r="I273" s="73" t="s">
        <v>13</v>
      </c>
      <c r="J273" s="58"/>
      <c r="K273" s="58"/>
      <c r="L273" s="58"/>
      <c r="M273" s="58"/>
      <c r="N273" s="58"/>
      <c r="O273" s="58"/>
      <c r="P273" s="58"/>
      <c r="Q273" s="58"/>
      <c r="R273" s="58"/>
      <c r="S273" s="58"/>
      <c r="T273" s="58"/>
      <c r="U273" s="58"/>
      <c r="V273" s="58"/>
      <c r="W273" s="58"/>
      <c r="X273" s="58"/>
      <c r="Y273" s="58"/>
      <c r="Z273" s="58"/>
    </row>
    <row r="274">
      <c r="A274" s="85" t="s">
        <v>2104</v>
      </c>
      <c r="B274" s="72" t="s">
        <v>2001</v>
      </c>
      <c r="C274" s="73" t="s">
        <v>1628</v>
      </c>
      <c r="D274" s="73" t="s">
        <v>1654</v>
      </c>
      <c r="E274" s="73" t="s">
        <v>2105</v>
      </c>
      <c r="F274" s="73" t="s">
        <v>1631</v>
      </c>
      <c r="G274" s="73" t="s">
        <v>1656</v>
      </c>
      <c r="H274" s="73" t="s">
        <v>1653</v>
      </c>
      <c r="I274" s="73" t="s">
        <v>13</v>
      </c>
      <c r="J274" s="58"/>
      <c r="K274" s="58"/>
      <c r="L274" s="58"/>
      <c r="M274" s="58"/>
      <c r="N274" s="58"/>
      <c r="O274" s="58"/>
      <c r="P274" s="58"/>
      <c r="Q274" s="58"/>
      <c r="R274" s="58"/>
      <c r="S274" s="58"/>
      <c r="T274" s="58"/>
      <c r="U274" s="58"/>
      <c r="V274" s="58"/>
      <c r="W274" s="58"/>
      <c r="X274" s="58"/>
      <c r="Y274" s="58"/>
      <c r="Z274" s="58"/>
    </row>
    <row r="275">
      <c r="A275" s="85" t="s">
        <v>2106</v>
      </c>
      <c r="B275" s="72" t="s">
        <v>2001</v>
      </c>
      <c r="C275" s="73" t="s">
        <v>1628</v>
      </c>
      <c r="D275" s="73" t="s">
        <v>1654</v>
      </c>
      <c r="E275" s="73" t="s">
        <v>2107</v>
      </c>
      <c r="F275" s="73" t="s">
        <v>1631</v>
      </c>
      <c r="G275" s="73" t="s">
        <v>1656</v>
      </c>
      <c r="H275" s="73" t="s">
        <v>1653</v>
      </c>
      <c r="I275" s="73" t="s">
        <v>13</v>
      </c>
      <c r="J275" s="58"/>
      <c r="K275" s="58"/>
      <c r="L275" s="58"/>
      <c r="M275" s="58"/>
      <c r="N275" s="58"/>
      <c r="O275" s="58"/>
      <c r="P275" s="58"/>
      <c r="Q275" s="58"/>
      <c r="R275" s="58"/>
      <c r="S275" s="58"/>
      <c r="T275" s="58"/>
      <c r="U275" s="58"/>
      <c r="V275" s="58"/>
      <c r="W275" s="58"/>
      <c r="X275" s="58"/>
      <c r="Y275" s="58"/>
      <c r="Z275" s="58"/>
    </row>
    <row r="276">
      <c r="A276" s="85" t="s">
        <v>2108</v>
      </c>
      <c r="B276" s="72" t="s">
        <v>2001</v>
      </c>
      <c r="C276" s="73" t="s">
        <v>1628</v>
      </c>
      <c r="D276" s="73" t="s">
        <v>1654</v>
      </c>
      <c r="E276" s="73" t="s">
        <v>2109</v>
      </c>
      <c r="F276" s="73" t="s">
        <v>1631</v>
      </c>
      <c r="G276" s="73" t="s">
        <v>1656</v>
      </c>
      <c r="H276" s="73" t="s">
        <v>1646</v>
      </c>
      <c r="I276" s="73" t="s">
        <v>13</v>
      </c>
      <c r="J276" s="58"/>
      <c r="K276" s="58"/>
      <c r="L276" s="58"/>
      <c r="M276" s="58"/>
      <c r="N276" s="58"/>
      <c r="O276" s="58"/>
      <c r="P276" s="58"/>
      <c r="Q276" s="58"/>
      <c r="R276" s="58"/>
      <c r="S276" s="58"/>
      <c r="T276" s="58"/>
      <c r="U276" s="58"/>
      <c r="V276" s="58"/>
      <c r="W276" s="58"/>
      <c r="X276" s="58"/>
      <c r="Y276" s="58"/>
      <c r="Z276" s="58"/>
    </row>
    <row r="277">
      <c r="A277" s="85" t="s">
        <v>2110</v>
      </c>
      <c r="B277" s="72" t="s">
        <v>2001</v>
      </c>
      <c r="C277" s="65" t="s">
        <v>1628</v>
      </c>
      <c r="D277" s="65" t="s">
        <v>1641</v>
      </c>
      <c r="E277" s="59" t="s">
        <v>2111</v>
      </c>
      <c r="F277" s="65" t="s">
        <v>1648</v>
      </c>
      <c r="G277" s="111" t="s">
        <v>1492</v>
      </c>
      <c r="H277" s="65" t="s">
        <v>1649</v>
      </c>
      <c r="I277" s="73" t="s">
        <v>13</v>
      </c>
      <c r="J277" s="58"/>
      <c r="K277" s="58"/>
      <c r="L277" s="58"/>
      <c r="M277" s="58"/>
      <c r="N277" s="58"/>
      <c r="O277" s="58"/>
      <c r="P277" s="58"/>
      <c r="Q277" s="58"/>
      <c r="R277" s="58"/>
      <c r="S277" s="58"/>
      <c r="T277" s="58"/>
      <c r="U277" s="58"/>
      <c r="V277" s="58"/>
      <c r="W277" s="58"/>
      <c r="X277" s="58"/>
      <c r="Y277" s="58"/>
      <c r="Z277" s="58"/>
    </row>
    <row r="278">
      <c r="A278" s="85" t="s">
        <v>2112</v>
      </c>
      <c r="B278" s="72" t="s">
        <v>2001</v>
      </c>
      <c r="C278" s="65" t="s">
        <v>1628</v>
      </c>
      <c r="D278" s="59" t="s">
        <v>1664</v>
      </c>
      <c r="E278" s="73" t="s">
        <v>2113</v>
      </c>
      <c r="F278" s="73" t="s">
        <v>1631</v>
      </c>
      <c r="G278" s="73" t="s">
        <v>1666</v>
      </c>
      <c r="H278" s="73" t="s">
        <v>1667</v>
      </c>
      <c r="I278" s="73" t="s">
        <v>13</v>
      </c>
      <c r="J278" s="58"/>
      <c r="K278" s="58"/>
      <c r="L278" s="58"/>
      <c r="M278" s="58"/>
      <c r="N278" s="58"/>
      <c r="O278" s="58"/>
      <c r="P278" s="58"/>
      <c r="Q278" s="58"/>
      <c r="R278" s="58"/>
      <c r="S278" s="58"/>
      <c r="T278" s="58"/>
      <c r="U278" s="58"/>
      <c r="V278" s="58"/>
      <c r="W278" s="58"/>
      <c r="X278" s="58"/>
      <c r="Y278" s="58"/>
      <c r="Z278" s="58"/>
    </row>
    <row r="279">
      <c r="A279" s="85" t="s">
        <v>2114</v>
      </c>
      <c r="B279" s="72" t="s">
        <v>2001</v>
      </c>
      <c r="C279" s="65" t="s">
        <v>1628</v>
      </c>
      <c r="D279" s="59" t="s">
        <v>1664</v>
      </c>
      <c r="E279" s="73" t="s">
        <v>2115</v>
      </c>
      <c r="F279" s="73" t="s">
        <v>1631</v>
      </c>
      <c r="G279" s="73" t="s">
        <v>1669</v>
      </c>
      <c r="H279" s="73" t="s">
        <v>1657</v>
      </c>
      <c r="I279" s="73" t="s">
        <v>13</v>
      </c>
      <c r="J279" s="58"/>
      <c r="K279" s="58"/>
      <c r="L279" s="58"/>
      <c r="M279" s="58"/>
      <c r="N279" s="58"/>
      <c r="O279" s="58"/>
      <c r="P279" s="58"/>
      <c r="Q279" s="58"/>
      <c r="R279" s="58"/>
      <c r="S279" s="58"/>
      <c r="T279" s="58"/>
      <c r="U279" s="58"/>
      <c r="V279" s="58"/>
      <c r="W279" s="58"/>
      <c r="X279" s="58"/>
      <c r="Y279" s="58"/>
      <c r="Z279" s="58"/>
    </row>
    <row r="280">
      <c r="A280" s="85" t="s">
        <v>2116</v>
      </c>
      <c r="B280" s="72" t="s">
        <v>2001</v>
      </c>
      <c r="C280" s="65" t="s">
        <v>1628</v>
      </c>
      <c r="D280" s="59" t="s">
        <v>1664</v>
      </c>
      <c r="E280" s="73" t="s">
        <v>2117</v>
      </c>
      <c r="F280" s="73" t="s">
        <v>1631</v>
      </c>
      <c r="G280" s="73" t="s">
        <v>1492</v>
      </c>
      <c r="H280" s="73" t="s">
        <v>1646</v>
      </c>
      <c r="I280" s="73" t="s">
        <v>13</v>
      </c>
      <c r="J280" s="58"/>
      <c r="K280" s="58"/>
      <c r="L280" s="58"/>
      <c r="M280" s="58"/>
      <c r="N280" s="58"/>
      <c r="O280" s="58"/>
      <c r="P280" s="58"/>
      <c r="Q280" s="58"/>
      <c r="R280" s="58"/>
      <c r="S280" s="58"/>
      <c r="T280" s="58"/>
      <c r="U280" s="58"/>
      <c r="V280" s="58"/>
      <c r="W280" s="58"/>
      <c r="X280" s="58"/>
      <c r="Y280" s="58"/>
      <c r="Z280" s="58"/>
    </row>
    <row r="281">
      <c r="A281" s="85" t="s">
        <v>2118</v>
      </c>
      <c r="B281" s="72" t="s">
        <v>2001</v>
      </c>
      <c r="C281" s="65" t="s">
        <v>1628</v>
      </c>
      <c r="D281" s="59" t="s">
        <v>1664</v>
      </c>
      <c r="E281" s="59" t="s">
        <v>2119</v>
      </c>
      <c r="F281" s="65" t="s">
        <v>1648</v>
      </c>
      <c r="G281" s="111" t="s">
        <v>1492</v>
      </c>
      <c r="H281" s="65" t="s">
        <v>1649</v>
      </c>
      <c r="I281" s="73" t="s">
        <v>13</v>
      </c>
      <c r="J281" s="58"/>
      <c r="K281" s="58"/>
      <c r="L281" s="58"/>
      <c r="M281" s="58"/>
      <c r="N281" s="58"/>
      <c r="O281" s="58"/>
      <c r="P281" s="58"/>
      <c r="Q281" s="58"/>
      <c r="R281" s="58"/>
      <c r="S281" s="58"/>
      <c r="T281" s="58"/>
      <c r="U281" s="58"/>
      <c r="V281" s="58"/>
      <c r="W281" s="58"/>
      <c r="X281" s="58"/>
      <c r="Y281" s="58"/>
      <c r="Z281" s="58"/>
    </row>
    <row r="282">
      <c r="A282" s="85" t="s">
        <v>2120</v>
      </c>
      <c r="B282" s="72" t="s">
        <v>2001</v>
      </c>
      <c r="C282" s="65" t="s">
        <v>1628</v>
      </c>
      <c r="D282" s="59" t="s">
        <v>1664</v>
      </c>
      <c r="E282" s="73" t="s">
        <v>2121</v>
      </c>
      <c r="F282" s="73" t="s">
        <v>1631</v>
      </c>
      <c r="G282" s="73" t="s">
        <v>1673</v>
      </c>
      <c r="H282" s="73" t="s">
        <v>1653</v>
      </c>
      <c r="I282" s="73" t="s">
        <v>13</v>
      </c>
      <c r="J282" s="58"/>
      <c r="K282" s="58"/>
      <c r="L282" s="58"/>
      <c r="M282" s="58"/>
      <c r="N282" s="58"/>
      <c r="O282" s="58"/>
      <c r="P282" s="58"/>
      <c r="Q282" s="58"/>
      <c r="R282" s="58"/>
      <c r="S282" s="58"/>
      <c r="T282" s="58"/>
      <c r="U282" s="58"/>
      <c r="V282" s="58"/>
      <c r="W282" s="58"/>
      <c r="X282" s="58"/>
      <c r="Y282" s="58"/>
      <c r="Z282" s="58"/>
    </row>
    <row r="283">
      <c r="A283" s="85" t="s">
        <v>2122</v>
      </c>
      <c r="B283" s="72" t="s">
        <v>2001</v>
      </c>
      <c r="C283" s="65" t="s">
        <v>1628</v>
      </c>
      <c r="D283" s="59" t="s">
        <v>1664</v>
      </c>
      <c r="E283" s="73" t="s">
        <v>1674</v>
      </c>
      <c r="F283" s="73" t="s">
        <v>1675</v>
      </c>
      <c r="G283" s="73" t="s">
        <v>1492</v>
      </c>
      <c r="H283" s="73" t="s">
        <v>1676</v>
      </c>
      <c r="I283" s="73" t="s">
        <v>13</v>
      </c>
      <c r="J283" s="58"/>
      <c r="K283" s="58"/>
      <c r="L283" s="58"/>
      <c r="M283" s="58"/>
      <c r="N283" s="58"/>
      <c r="O283" s="58"/>
      <c r="P283" s="58"/>
      <c r="Q283" s="58"/>
      <c r="R283" s="58"/>
      <c r="S283" s="58"/>
      <c r="T283" s="58"/>
      <c r="U283" s="58"/>
      <c r="V283" s="58"/>
      <c r="W283" s="58"/>
      <c r="X283" s="58"/>
      <c r="Y283" s="58"/>
      <c r="Z283" s="58"/>
    </row>
    <row r="284">
      <c r="A284" s="85" t="s">
        <v>2123</v>
      </c>
      <c r="B284" s="72" t="s">
        <v>2001</v>
      </c>
      <c r="C284" s="65" t="s">
        <v>1628</v>
      </c>
      <c r="D284" s="73" t="s">
        <v>1677</v>
      </c>
      <c r="E284" s="73" t="s">
        <v>2124</v>
      </c>
      <c r="F284" s="73" t="s">
        <v>1679</v>
      </c>
      <c r="G284" s="73" t="s">
        <v>1492</v>
      </c>
      <c r="H284" s="73" t="s">
        <v>1680</v>
      </c>
      <c r="I284" s="73" t="s">
        <v>13</v>
      </c>
      <c r="J284" s="58"/>
      <c r="K284" s="58"/>
      <c r="L284" s="58"/>
      <c r="M284" s="58"/>
      <c r="N284" s="58"/>
      <c r="O284" s="58"/>
      <c r="P284" s="58"/>
      <c r="Q284" s="58"/>
      <c r="R284" s="58"/>
      <c r="S284" s="58"/>
      <c r="T284" s="58"/>
      <c r="U284" s="58"/>
      <c r="V284" s="58"/>
      <c r="W284" s="58"/>
      <c r="X284" s="58"/>
      <c r="Y284" s="58"/>
      <c r="Z284" s="58"/>
    </row>
    <row r="285">
      <c r="A285" s="85" t="s">
        <v>2125</v>
      </c>
      <c r="B285" s="72" t="s">
        <v>2001</v>
      </c>
      <c r="C285" s="73" t="s">
        <v>1681</v>
      </c>
      <c r="D285" s="73" t="s">
        <v>1682</v>
      </c>
      <c r="E285" s="73" t="s">
        <v>1683</v>
      </c>
      <c r="F285" s="73" t="s">
        <v>1684</v>
      </c>
      <c r="G285" s="73" t="s">
        <v>1685</v>
      </c>
      <c r="H285" s="73" t="s">
        <v>1686</v>
      </c>
      <c r="I285" s="73" t="s">
        <v>13</v>
      </c>
      <c r="J285" s="58"/>
      <c r="K285" s="58"/>
      <c r="L285" s="58"/>
      <c r="M285" s="58"/>
      <c r="N285" s="58"/>
      <c r="O285" s="58"/>
      <c r="P285" s="58"/>
      <c r="Q285" s="58"/>
      <c r="R285" s="58"/>
      <c r="S285" s="58"/>
      <c r="T285" s="58"/>
      <c r="U285" s="58"/>
      <c r="V285" s="58"/>
      <c r="W285" s="58"/>
      <c r="X285" s="58"/>
      <c r="Y285" s="58"/>
      <c r="Z285" s="58"/>
    </row>
    <row r="286">
      <c r="A286" s="85" t="s">
        <v>2126</v>
      </c>
      <c r="B286" s="72" t="s">
        <v>2001</v>
      </c>
      <c r="C286" s="73" t="s">
        <v>1681</v>
      </c>
      <c r="D286" s="73" t="s">
        <v>1687</v>
      </c>
      <c r="E286" s="73" t="s">
        <v>1688</v>
      </c>
      <c r="F286" s="73" t="s">
        <v>1689</v>
      </c>
      <c r="G286" s="73" t="s">
        <v>1690</v>
      </c>
      <c r="H286" s="73" t="s">
        <v>1691</v>
      </c>
      <c r="I286" s="73" t="s">
        <v>13</v>
      </c>
      <c r="J286" s="58"/>
      <c r="K286" s="58"/>
      <c r="L286" s="58"/>
      <c r="M286" s="58"/>
      <c r="N286" s="58"/>
      <c r="O286" s="58"/>
      <c r="P286" s="58"/>
      <c r="Q286" s="58"/>
      <c r="R286" s="58"/>
      <c r="S286" s="58"/>
      <c r="T286" s="58"/>
      <c r="U286" s="58"/>
      <c r="V286" s="58"/>
      <c r="W286" s="58"/>
      <c r="X286" s="58"/>
      <c r="Y286" s="58"/>
      <c r="Z286" s="58"/>
    </row>
    <row r="287">
      <c r="A287" s="85" t="s">
        <v>2127</v>
      </c>
      <c r="B287" s="72" t="s">
        <v>2001</v>
      </c>
      <c r="C287" s="73" t="s">
        <v>1681</v>
      </c>
      <c r="D287" s="73" t="s">
        <v>1687</v>
      </c>
      <c r="E287" s="73" t="s">
        <v>1692</v>
      </c>
      <c r="F287" s="73" t="s">
        <v>1693</v>
      </c>
      <c r="G287" s="73" t="s">
        <v>1694</v>
      </c>
      <c r="H287" s="73" t="s">
        <v>1695</v>
      </c>
      <c r="I287" s="73" t="s">
        <v>13</v>
      </c>
      <c r="J287" s="58"/>
      <c r="K287" s="58"/>
      <c r="L287" s="58"/>
      <c r="M287" s="58"/>
      <c r="N287" s="58"/>
      <c r="O287" s="58"/>
      <c r="P287" s="58"/>
      <c r="Q287" s="58"/>
      <c r="R287" s="58"/>
      <c r="S287" s="58"/>
      <c r="T287" s="58"/>
      <c r="U287" s="58"/>
      <c r="V287" s="58"/>
      <c r="W287" s="58"/>
      <c r="X287" s="58"/>
      <c r="Y287" s="58"/>
      <c r="Z287" s="58"/>
    </row>
    <row r="288">
      <c r="A288" s="85" t="s">
        <v>2128</v>
      </c>
      <c r="B288" s="72" t="s">
        <v>2001</v>
      </c>
      <c r="C288" s="75"/>
      <c r="D288" s="75"/>
      <c r="E288" s="73" t="s">
        <v>1696</v>
      </c>
      <c r="F288" s="73" t="s">
        <v>1697</v>
      </c>
      <c r="G288" s="73" t="s">
        <v>1698</v>
      </c>
      <c r="H288" s="73" t="s">
        <v>1691</v>
      </c>
      <c r="I288" s="73" t="s">
        <v>13</v>
      </c>
      <c r="J288" s="58"/>
      <c r="K288" s="58"/>
      <c r="L288" s="58"/>
      <c r="M288" s="58"/>
      <c r="N288" s="58"/>
      <c r="O288" s="58"/>
      <c r="P288" s="58"/>
      <c r="Q288" s="58"/>
      <c r="R288" s="58"/>
      <c r="S288" s="58"/>
      <c r="T288" s="58"/>
      <c r="U288" s="58"/>
      <c r="V288" s="58"/>
      <c r="W288" s="58"/>
      <c r="X288" s="58"/>
      <c r="Y288" s="58"/>
      <c r="Z288" s="58"/>
    </row>
    <row r="289">
      <c r="A289" s="85" t="s">
        <v>2129</v>
      </c>
      <c r="B289" s="72" t="s">
        <v>2001</v>
      </c>
      <c r="C289" s="73" t="s">
        <v>1681</v>
      </c>
      <c r="D289" s="73" t="s">
        <v>1687</v>
      </c>
      <c r="E289" s="73" t="s">
        <v>1699</v>
      </c>
      <c r="F289" s="73" t="s">
        <v>1693</v>
      </c>
      <c r="G289" s="73" t="s">
        <v>1694</v>
      </c>
      <c r="H289" s="73" t="s">
        <v>1695</v>
      </c>
      <c r="I289" s="73" t="s">
        <v>13</v>
      </c>
      <c r="J289" s="58"/>
      <c r="K289" s="58"/>
      <c r="L289" s="58"/>
      <c r="M289" s="58"/>
      <c r="N289" s="58"/>
      <c r="O289" s="58"/>
      <c r="P289" s="58"/>
      <c r="Q289" s="58"/>
      <c r="R289" s="58"/>
      <c r="S289" s="58"/>
      <c r="T289" s="58"/>
      <c r="U289" s="58"/>
      <c r="V289" s="58"/>
      <c r="W289" s="58"/>
      <c r="X289" s="58"/>
      <c r="Y289" s="58"/>
      <c r="Z289" s="58"/>
    </row>
    <row r="290">
      <c r="A290" s="85" t="s">
        <v>2130</v>
      </c>
      <c r="B290" s="72" t="s">
        <v>2001</v>
      </c>
      <c r="C290" s="73" t="s">
        <v>1700</v>
      </c>
      <c r="D290" s="73" t="s">
        <v>1701</v>
      </c>
      <c r="E290" s="73" t="s">
        <v>2131</v>
      </c>
      <c r="F290" s="73" t="s">
        <v>1703</v>
      </c>
      <c r="G290" s="73" t="s">
        <v>1492</v>
      </c>
      <c r="H290" s="73" t="s">
        <v>1704</v>
      </c>
      <c r="I290" s="73" t="s">
        <v>13</v>
      </c>
      <c r="J290" s="58"/>
      <c r="K290" s="58"/>
      <c r="L290" s="58"/>
      <c r="M290" s="58"/>
      <c r="N290" s="58"/>
      <c r="O290" s="58"/>
      <c r="P290" s="58"/>
      <c r="Q290" s="58"/>
      <c r="R290" s="58"/>
      <c r="S290" s="58"/>
      <c r="T290" s="58"/>
      <c r="U290" s="58"/>
      <c r="V290" s="58"/>
      <c r="W290" s="58"/>
      <c r="X290" s="58"/>
      <c r="Y290" s="58"/>
      <c r="Z290" s="58"/>
    </row>
    <row r="291">
      <c r="A291" s="85" t="s">
        <v>2132</v>
      </c>
      <c r="B291" s="72" t="s">
        <v>2001</v>
      </c>
      <c r="C291" s="73" t="s">
        <v>1700</v>
      </c>
      <c r="D291" s="73" t="s">
        <v>1701</v>
      </c>
      <c r="E291" s="73" t="s">
        <v>1705</v>
      </c>
      <c r="F291" s="73" t="s">
        <v>1706</v>
      </c>
      <c r="G291" s="73" t="s">
        <v>1492</v>
      </c>
      <c r="H291" s="73" t="s">
        <v>1707</v>
      </c>
      <c r="I291" s="73" t="s">
        <v>13</v>
      </c>
      <c r="J291" s="58"/>
      <c r="K291" s="58"/>
      <c r="L291" s="58"/>
      <c r="M291" s="58"/>
      <c r="N291" s="58"/>
      <c r="O291" s="58"/>
      <c r="P291" s="58"/>
      <c r="Q291" s="58"/>
      <c r="R291" s="58"/>
      <c r="S291" s="58"/>
      <c r="T291" s="58"/>
      <c r="U291" s="58"/>
      <c r="V291" s="58"/>
      <c r="W291" s="58"/>
      <c r="X291" s="58"/>
      <c r="Y291" s="58"/>
      <c r="Z291" s="58"/>
    </row>
    <row r="292">
      <c r="A292" s="85" t="s">
        <v>2133</v>
      </c>
      <c r="B292" s="72" t="s">
        <v>2001</v>
      </c>
      <c r="C292" s="73" t="s">
        <v>1700</v>
      </c>
      <c r="D292" s="73" t="s">
        <v>1701</v>
      </c>
      <c r="E292" s="73" t="s">
        <v>2134</v>
      </c>
      <c r="F292" s="73" t="s">
        <v>1709</v>
      </c>
      <c r="G292" s="73" t="s">
        <v>1492</v>
      </c>
      <c r="H292" s="73" t="s">
        <v>1710</v>
      </c>
      <c r="I292" s="73" t="s">
        <v>13</v>
      </c>
      <c r="J292" s="58"/>
      <c r="K292" s="58"/>
      <c r="L292" s="58"/>
      <c r="M292" s="58"/>
      <c r="N292" s="58"/>
      <c r="O292" s="58"/>
      <c r="P292" s="58"/>
      <c r="Q292" s="58"/>
      <c r="R292" s="58"/>
      <c r="S292" s="58"/>
      <c r="T292" s="58"/>
      <c r="U292" s="58"/>
      <c r="V292" s="58"/>
      <c r="W292" s="58"/>
      <c r="X292" s="58"/>
      <c r="Y292" s="58"/>
      <c r="Z292" s="58"/>
    </row>
    <row r="293">
      <c r="A293" s="85" t="s">
        <v>2135</v>
      </c>
      <c r="B293" s="72" t="s">
        <v>2001</v>
      </c>
      <c r="C293" s="73" t="s">
        <v>1700</v>
      </c>
      <c r="D293" s="73" t="s">
        <v>1701</v>
      </c>
      <c r="E293" s="73" t="s">
        <v>1711</v>
      </c>
      <c r="F293" s="73" t="s">
        <v>1712</v>
      </c>
      <c r="G293" s="73" t="s">
        <v>1492</v>
      </c>
      <c r="H293" s="73" t="s">
        <v>1713</v>
      </c>
      <c r="I293" s="73" t="s">
        <v>13</v>
      </c>
      <c r="J293" s="58"/>
      <c r="K293" s="58"/>
      <c r="L293" s="58"/>
      <c r="M293" s="58"/>
      <c r="N293" s="58"/>
      <c r="O293" s="58"/>
      <c r="P293" s="58"/>
      <c r="Q293" s="58"/>
      <c r="R293" s="58"/>
      <c r="S293" s="58"/>
      <c r="T293" s="58"/>
      <c r="U293" s="58"/>
      <c r="V293" s="58"/>
      <c r="W293" s="58"/>
      <c r="X293" s="58"/>
      <c r="Y293" s="58"/>
      <c r="Z293" s="58"/>
    </row>
    <row r="294">
      <c r="A294" s="85" t="s">
        <v>2136</v>
      </c>
      <c r="B294" s="72" t="s">
        <v>2001</v>
      </c>
      <c r="C294" s="73" t="s">
        <v>1482</v>
      </c>
      <c r="D294" s="72" t="s">
        <v>2137</v>
      </c>
      <c r="E294" s="73" t="s">
        <v>2138</v>
      </c>
      <c r="F294" s="73" t="s">
        <v>1485</v>
      </c>
      <c r="G294" s="73" t="s">
        <v>1716</v>
      </c>
      <c r="H294" s="73" t="s">
        <v>1487</v>
      </c>
      <c r="I294" s="73" t="s">
        <v>13</v>
      </c>
      <c r="J294" s="58"/>
      <c r="K294" s="58"/>
      <c r="L294" s="58"/>
      <c r="M294" s="58"/>
      <c r="N294" s="58"/>
      <c r="O294" s="58"/>
      <c r="P294" s="58"/>
      <c r="Q294" s="58"/>
      <c r="R294" s="58"/>
      <c r="S294" s="58"/>
      <c r="T294" s="58"/>
      <c r="U294" s="58"/>
      <c r="V294" s="58"/>
      <c r="W294" s="58"/>
      <c r="X294" s="58"/>
      <c r="Y294" s="58"/>
      <c r="Z294" s="58"/>
    </row>
    <row r="295">
      <c r="A295" s="85" t="s">
        <v>2139</v>
      </c>
      <c r="B295" s="72" t="s">
        <v>2001</v>
      </c>
      <c r="C295" s="73" t="s">
        <v>1488</v>
      </c>
      <c r="D295" s="72" t="s">
        <v>2140</v>
      </c>
      <c r="E295" s="73" t="s">
        <v>2141</v>
      </c>
      <c r="F295" s="73" t="s">
        <v>1491</v>
      </c>
      <c r="G295" s="41" t="s">
        <v>1719</v>
      </c>
      <c r="H295" s="73" t="s">
        <v>1493</v>
      </c>
      <c r="I295" s="73" t="s">
        <v>13</v>
      </c>
      <c r="J295" s="58"/>
      <c r="K295" s="58"/>
      <c r="L295" s="58"/>
      <c r="M295" s="58"/>
      <c r="N295" s="58"/>
      <c r="O295" s="58"/>
      <c r="P295" s="58"/>
      <c r="Q295" s="58"/>
      <c r="R295" s="58"/>
      <c r="S295" s="58"/>
      <c r="T295" s="58"/>
      <c r="U295" s="58"/>
      <c r="V295" s="58"/>
      <c r="W295" s="58"/>
      <c r="X295" s="58"/>
      <c r="Y295" s="58"/>
      <c r="Z295" s="58"/>
    </row>
    <row r="296">
      <c r="A296" s="85" t="s">
        <v>2142</v>
      </c>
      <c r="B296" s="72" t="s">
        <v>2001</v>
      </c>
      <c r="C296" s="73" t="s">
        <v>1488</v>
      </c>
      <c r="D296" s="72" t="s">
        <v>2143</v>
      </c>
      <c r="E296" s="73" t="s">
        <v>1495</v>
      </c>
      <c r="F296" s="73" t="s">
        <v>1496</v>
      </c>
      <c r="G296" s="73" t="s">
        <v>1719</v>
      </c>
      <c r="H296" s="73" t="s">
        <v>1497</v>
      </c>
      <c r="I296" s="73" t="s">
        <v>13</v>
      </c>
      <c r="J296" s="58"/>
      <c r="K296" s="58"/>
      <c r="L296" s="58"/>
      <c r="M296" s="58"/>
      <c r="N296" s="58"/>
      <c r="O296" s="58"/>
      <c r="P296" s="58"/>
      <c r="Q296" s="58"/>
      <c r="R296" s="58"/>
      <c r="S296" s="58"/>
      <c r="T296" s="58"/>
      <c r="U296" s="58"/>
      <c r="V296" s="58"/>
      <c r="W296" s="58"/>
      <c r="X296" s="58"/>
      <c r="Y296" s="58"/>
      <c r="Z296" s="58"/>
    </row>
    <row r="297">
      <c r="A297" s="85" t="s">
        <v>2144</v>
      </c>
      <c r="B297" s="72" t="s">
        <v>2001</v>
      </c>
      <c r="C297" s="73" t="s">
        <v>1488</v>
      </c>
      <c r="D297" s="72" t="s">
        <v>2145</v>
      </c>
      <c r="E297" s="73" t="s">
        <v>2146</v>
      </c>
      <c r="F297" s="73" t="s">
        <v>1500</v>
      </c>
      <c r="G297" s="73" t="s">
        <v>1723</v>
      </c>
      <c r="H297" s="73" t="s">
        <v>1502</v>
      </c>
      <c r="I297" s="73" t="s">
        <v>13</v>
      </c>
      <c r="J297" s="58"/>
      <c r="K297" s="58"/>
      <c r="L297" s="58"/>
      <c r="M297" s="58"/>
      <c r="N297" s="58"/>
      <c r="O297" s="58"/>
      <c r="P297" s="58"/>
      <c r="Q297" s="58"/>
      <c r="R297" s="58"/>
      <c r="S297" s="58"/>
      <c r="T297" s="58"/>
      <c r="U297" s="58"/>
      <c r="V297" s="58"/>
      <c r="W297" s="58"/>
      <c r="X297" s="58"/>
      <c r="Y297" s="58"/>
      <c r="Z297" s="58"/>
    </row>
    <row r="298">
      <c r="A298" s="85" t="s">
        <v>2147</v>
      </c>
      <c r="B298" s="72" t="s">
        <v>2001</v>
      </c>
      <c r="C298" s="73" t="s">
        <v>1488</v>
      </c>
      <c r="D298" s="72" t="s">
        <v>2148</v>
      </c>
      <c r="E298" s="73" t="s">
        <v>2149</v>
      </c>
      <c r="F298" s="73" t="s">
        <v>1500</v>
      </c>
      <c r="G298" s="73" t="s">
        <v>1723</v>
      </c>
      <c r="H298" s="73" t="s">
        <v>1502</v>
      </c>
      <c r="I298" s="73" t="s">
        <v>13</v>
      </c>
      <c r="J298" s="58"/>
      <c r="K298" s="58"/>
      <c r="L298" s="58"/>
      <c r="M298" s="58"/>
      <c r="N298" s="58"/>
      <c r="O298" s="58"/>
      <c r="P298" s="58"/>
      <c r="Q298" s="58"/>
      <c r="R298" s="58"/>
      <c r="S298" s="58"/>
      <c r="T298" s="58"/>
      <c r="U298" s="58"/>
      <c r="V298" s="58"/>
      <c r="W298" s="58"/>
      <c r="X298" s="58"/>
      <c r="Y298" s="58"/>
      <c r="Z298" s="58"/>
    </row>
    <row r="299">
      <c r="A299" s="85" t="s">
        <v>2150</v>
      </c>
      <c r="B299" s="72" t="s">
        <v>2001</v>
      </c>
      <c r="C299" s="73" t="s">
        <v>1488</v>
      </c>
      <c r="D299" s="72" t="s">
        <v>2151</v>
      </c>
      <c r="E299" s="73" t="s">
        <v>2152</v>
      </c>
      <c r="F299" s="73" t="s">
        <v>1500</v>
      </c>
      <c r="G299" s="73" t="s">
        <v>1723</v>
      </c>
      <c r="H299" s="73" t="s">
        <v>1502</v>
      </c>
      <c r="I299" s="73" t="s">
        <v>13</v>
      </c>
      <c r="J299" s="58"/>
      <c r="K299" s="58"/>
      <c r="L299" s="58"/>
      <c r="M299" s="58"/>
      <c r="N299" s="58"/>
      <c r="O299" s="58"/>
      <c r="P299" s="58"/>
      <c r="Q299" s="58"/>
      <c r="R299" s="58"/>
      <c r="S299" s="58"/>
      <c r="T299" s="58"/>
      <c r="U299" s="58"/>
      <c r="V299" s="58"/>
      <c r="W299" s="58"/>
      <c r="X299" s="58"/>
      <c r="Y299" s="58"/>
      <c r="Z299" s="58"/>
    </row>
    <row r="300">
      <c r="A300" s="85" t="s">
        <v>2153</v>
      </c>
      <c r="B300" s="72" t="s">
        <v>2001</v>
      </c>
      <c r="C300" s="73" t="s">
        <v>1488</v>
      </c>
      <c r="D300" s="72" t="s">
        <v>2154</v>
      </c>
      <c r="E300" s="73" t="s">
        <v>2155</v>
      </c>
      <c r="F300" s="73" t="s">
        <v>1500</v>
      </c>
      <c r="G300" s="73" t="s">
        <v>1723</v>
      </c>
      <c r="H300" s="73" t="s">
        <v>1502</v>
      </c>
      <c r="I300" s="73" t="s">
        <v>13</v>
      </c>
      <c r="J300" s="58"/>
      <c r="K300" s="58"/>
      <c r="L300" s="58"/>
      <c r="M300" s="58"/>
      <c r="N300" s="58"/>
      <c r="O300" s="58"/>
      <c r="P300" s="58"/>
      <c r="Q300" s="58"/>
      <c r="R300" s="58"/>
      <c r="S300" s="58"/>
      <c r="T300" s="58"/>
      <c r="U300" s="58"/>
      <c r="V300" s="58"/>
      <c r="W300" s="58"/>
      <c r="X300" s="58"/>
      <c r="Y300" s="58"/>
      <c r="Z300" s="58"/>
    </row>
    <row r="301">
      <c r="A301" s="85" t="s">
        <v>2156</v>
      </c>
      <c r="B301" s="72" t="s">
        <v>2001</v>
      </c>
      <c r="C301" s="73" t="s">
        <v>1488</v>
      </c>
      <c r="D301" s="72" t="s">
        <v>2157</v>
      </c>
      <c r="E301" s="73" t="s">
        <v>2158</v>
      </c>
      <c r="F301" s="73" t="s">
        <v>1511</v>
      </c>
      <c r="G301" s="73" t="s">
        <v>1732</v>
      </c>
      <c r="H301" s="73" t="s">
        <v>1513</v>
      </c>
      <c r="I301" s="73" t="s">
        <v>13</v>
      </c>
      <c r="J301" s="58"/>
      <c r="K301" s="58"/>
      <c r="L301" s="58"/>
      <c r="M301" s="58"/>
      <c r="N301" s="58"/>
      <c r="O301" s="58"/>
      <c r="P301" s="58"/>
      <c r="Q301" s="58"/>
      <c r="R301" s="58"/>
      <c r="S301" s="58"/>
      <c r="T301" s="58"/>
      <c r="U301" s="58"/>
      <c r="V301" s="58"/>
      <c r="W301" s="58"/>
      <c r="X301" s="58"/>
      <c r="Y301" s="58"/>
      <c r="Z301" s="58"/>
    </row>
    <row r="302">
      <c r="A302" s="85" t="s">
        <v>2159</v>
      </c>
      <c r="B302" s="72" t="s">
        <v>2001</v>
      </c>
      <c r="C302" s="73" t="s">
        <v>1488</v>
      </c>
      <c r="D302" s="72" t="s">
        <v>2160</v>
      </c>
      <c r="E302" s="73" t="s">
        <v>2161</v>
      </c>
      <c r="F302" s="73" t="s">
        <v>1500</v>
      </c>
      <c r="G302" s="73" t="s">
        <v>1723</v>
      </c>
      <c r="H302" s="73" t="s">
        <v>1502</v>
      </c>
      <c r="I302" s="73" t="s">
        <v>13</v>
      </c>
      <c r="J302" s="58"/>
      <c r="K302" s="58"/>
      <c r="L302" s="58"/>
      <c r="M302" s="58"/>
      <c r="N302" s="58"/>
      <c r="O302" s="58"/>
      <c r="P302" s="58"/>
      <c r="Q302" s="58"/>
      <c r="R302" s="58"/>
      <c r="S302" s="58"/>
      <c r="T302" s="58"/>
      <c r="U302" s="58"/>
      <c r="V302" s="58"/>
      <c r="W302" s="58"/>
      <c r="X302" s="58"/>
      <c r="Y302" s="58"/>
      <c r="Z302" s="58"/>
    </row>
    <row r="303">
      <c r="A303" s="85" t="s">
        <v>2162</v>
      </c>
      <c r="B303" s="72" t="s">
        <v>2001</v>
      </c>
      <c r="C303" s="73" t="s">
        <v>1488</v>
      </c>
      <c r="D303" s="72" t="s">
        <v>2163</v>
      </c>
      <c r="E303" s="73" t="s">
        <v>2164</v>
      </c>
      <c r="F303" s="73" t="s">
        <v>1518</v>
      </c>
      <c r="G303" s="73" t="s">
        <v>1737</v>
      </c>
      <c r="H303" s="73" t="s">
        <v>1520</v>
      </c>
      <c r="I303" s="73" t="s">
        <v>13</v>
      </c>
      <c r="J303" s="58"/>
      <c r="K303" s="58"/>
      <c r="L303" s="58"/>
      <c r="M303" s="58"/>
      <c r="N303" s="58"/>
      <c r="O303" s="58"/>
      <c r="P303" s="58"/>
      <c r="Q303" s="58"/>
      <c r="R303" s="58"/>
      <c r="S303" s="58"/>
      <c r="T303" s="58"/>
      <c r="U303" s="58"/>
      <c r="V303" s="58"/>
      <c r="W303" s="58"/>
      <c r="X303" s="58"/>
      <c r="Y303" s="58"/>
      <c r="Z303" s="58"/>
    </row>
    <row r="304">
      <c r="A304" s="85" t="s">
        <v>2165</v>
      </c>
      <c r="B304" s="72" t="s">
        <v>2001</v>
      </c>
      <c r="C304" s="73" t="s">
        <v>1488</v>
      </c>
      <c r="D304" s="72" t="s">
        <v>2166</v>
      </c>
      <c r="E304" s="73" t="s">
        <v>2167</v>
      </c>
      <c r="F304" s="73" t="s">
        <v>1518</v>
      </c>
      <c r="G304" s="73" t="s">
        <v>1737</v>
      </c>
      <c r="H304" s="73" t="s">
        <v>1523</v>
      </c>
      <c r="I304" s="73" t="s">
        <v>13</v>
      </c>
      <c r="J304" s="58"/>
      <c r="K304" s="58"/>
      <c r="L304" s="58"/>
      <c r="M304" s="58"/>
      <c r="N304" s="58"/>
      <c r="O304" s="58"/>
      <c r="P304" s="58"/>
      <c r="Q304" s="58"/>
      <c r="R304" s="58"/>
      <c r="S304" s="58"/>
      <c r="T304" s="58"/>
      <c r="U304" s="58"/>
      <c r="V304" s="58"/>
      <c r="W304" s="58"/>
      <c r="X304" s="58"/>
      <c r="Y304" s="58"/>
      <c r="Z304" s="58"/>
    </row>
    <row r="305">
      <c r="A305" s="85" t="s">
        <v>2168</v>
      </c>
      <c r="B305" s="72" t="s">
        <v>2001</v>
      </c>
      <c r="C305" s="73" t="s">
        <v>1488</v>
      </c>
      <c r="D305" s="72" t="s">
        <v>2169</v>
      </c>
      <c r="E305" s="73" t="s">
        <v>1525</v>
      </c>
      <c r="F305" s="73" t="s">
        <v>1526</v>
      </c>
      <c r="G305" s="73" t="s">
        <v>1719</v>
      </c>
      <c r="H305" s="73" t="s">
        <v>1527</v>
      </c>
      <c r="I305" s="73" t="s">
        <v>13</v>
      </c>
      <c r="J305" s="58"/>
      <c r="K305" s="58"/>
      <c r="L305" s="58"/>
      <c r="M305" s="58"/>
      <c r="N305" s="58"/>
      <c r="O305" s="58"/>
      <c r="P305" s="58"/>
      <c r="Q305" s="58"/>
      <c r="R305" s="58"/>
      <c r="S305" s="58"/>
      <c r="T305" s="58"/>
      <c r="U305" s="58"/>
      <c r="V305" s="58"/>
      <c r="W305" s="58"/>
      <c r="X305" s="58"/>
      <c r="Y305" s="58"/>
      <c r="Z305" s="58"/>
    </row>
    <row r="306">
      <c r="A306" s="85" t="s">
        <v>2170</v>
      </c>
      <c r="B306" s="72" t="s">
        <v>2001</v>
      </c>
      <c r="C306" s="73" t="s">
        <v>1488</v>
      </c>
      <c r="D306" s="72" t="s">
        <v>2171</v>
      </c>
      <c r="E306" s="73" t="s">
        <v>1529</v>
      </c>
      <c r="F306" s="73" t="s">
        <v>1530</v>
      </c>
      <c r="G306" s="73" t="s">
        <v>1719</v>
      </c>
      <c r="H306" s="73" t="s">
        <v>1527</v>
      </c>
      <c r="I306" s="73" t="s">
        <v>13</v>
      </c>
      <c r="J306" s="58"/>
      <c r="K306" s="58"/>
      <c r="L306" s="58"/>
      <c r="M306" s="58"/>
      <c r="N306" s="58"/>
      <c r="O306" s="58"/>
      <c r="P306" s="58"/>
      <c r="Q306" s="58"/>
      <c r="R306" s="58"/>
      <c r="S306" s="58"/>
      <c r="T306" s="58"/>
      <c r="U306" s="58"/>
      <c r="V306" s="58"/>
      <c r="W306" s="58"/>
      <c r="X306" s="58"/>
      <c r="Y306" s="58"/>
      <c r="Z306" s="58"/>
    </row>
    <row r="307">
      <c r="A307" s="85" t="s">
        <v>2172</v>
      </c>
      <c r="B307" s="72" t="s">
        <v>2001</v>
      </c>
      <c r="C307" s="73" t="s">
        <v>1488</v>
      </c>
      <c r="D307" s="72" t="s">
        <v>2173</v>
      </c>
      <c r="E307" s="73" t="s">
        <v>1532</v>
      </c>
      <c r="F307" s="73" t="s">
        <v>1533</v>
      </c>
      <c r="G307" s="73" t="s">
        <v>1719</v>
      </c>
      <c r="H307" s="73" t="s">
        <v>1534</v>
      </c>
      <c r="I307" s="73" t="s">
        <v>13</v>
      </c>
      <c r="J307" s="58"/>
      <c r="K307" s="58"/>
      <c r="L307" s="58"/>
      <c r="M307" s="58"/>
      <c r="N307" s="58"/>
      <c r="O307" s="58"/>
      <c r="P307" s="58"/>
      <c r="Q307" s="58"/>
      <c r="R307" s="58"/>
      <c r="S307" s="58"/>
      <c r="T307" s="58"/>
      <c r="U307" s="58"/>
      <c r="V307" s="58"/>
      <c r="W307" s="58"/>
      <c r="X307" s="58"/>
      <c r="Y307" s="58"/>
      <c r="Z307" s="58"/>
    </row>
    <row r="308">
      <c r="A308" s="85" t="s">
        <v>2174</v>
      </c>
      <c r="B308" s="72" t="s">
        <v>2001</v>
      </c>
      <c r="C308" s="73" t="s">
        <v>1488</v>
      </c>
      <c r="D308" s="72" t="s">
        <v>2175</v>
      </c>
      <c r="E308" s="73" t="s">
        <v>2176</v>
      </c>
      <c r="F308" s="73" t="s">
        <v>1537</v>
      </c>
      <c r="G308" s="73" t="s">
        <v>1716</v>
      </c>
      <c r="H308" s="73" t="s">
        <v>1538</v>
      </c>
      <c r="I308" s="73" t="s">
        <v>13</v>
      </c>
      <c r="J308" s="58"/>
      <c r="K308" s="58"/>
      <c r="L308" s="58"/>
      <c r="M308" s="58"/>
      <c r="N308" s="58"/>
      <c r="O308" s="58"/>
      <c r="P308" s="58"/>
      <c r="Q308" s="58"/>
      <c r="R308" s="58"/>
      <c r="S308" s="58"/>
      <c r="T308" s="58"/>
      <c r="U308" s="58"/>
      <c r="V308" s="58"/>
      <c r="W308" s="58"/>
      <c r="X308" s="58"/>
      <c r="Y308" s="58"/>
      <c r="Z308" s="58"/>
    </row>
    <row r="309">
      <c r="A309" s="85" t="s">
        <v>2177</v>
      </c>
      <c r="B309" s="72" t="s">
        <v>2001</v>
      </c>
      <c r="C309" s="73" t="s">
        <v>1488</v>
      </c>
      <c r="D309" s="72" t="s">
        <v>2178</v>
      </c>
      <c r="E309" s="73" t="s">
        <v>2179</v>
      </c>
      <c r="F309" s="73" t="s">
        <v>1541</v>
      </c>
      <c r="G309" s="73" t="s">
        <v>1747</v>
      </c>
      <c r="H309" s="73" t="s">
        <v>1541</v>
      </c>
      <c r="I309" s="73" t="s">
        <v>13</v>
      </c>
      <c r="J309" s="58"/>
      <c r="K309" s="58"/>
      <c r="L309" s="58"/>
      <c r="M309" s="58"/>
      <c r="N309" s="58"/>
      <c r="O309" s="58"/>
      <c r="P309" s="58"/>
      <c r="Q309" s="58"/>
      <c r="R309" s="58"/>
      <c r="S309" s="58"/>
      <c r="T309" s="58"/>
      <c r="U309" s="58"/>
      <c r="V309" s="58"/>
      <c r="W309" s="58"/>
      <c r="X309" s="58"/>
      <c r="Y309" s="58"/>
      <c r="Z309" s="58"/>
    </row>
    <row r="310">
      <c r="A310" s="85" t="s">
        <v>2180</v>
      </c>
      <c r="B310" s="72" t="s">
        <v>2001</v>
      </c>
      <c r="C310" s="73" t="s">
        <v>1488</v>
      </c>
      <c r="D310" s="72" t="s">
        <v>2181</v>
      </c>
      <c r="E310" s="73" t="s">
        <v>2182</v>
      </c>
      <c r="F310" s="73" t="s">
        <v>1545</v>
      </c>
      <c r="G310" s="73" t="s">
        <v>1750</v>
      </c>
      <c r="H310" s="73" t="s">
        <v>1547</v>
      </c>
      <c r="I310" s="73" t="s">
        <v>13</v>
      </c>
      <c r="J310" s="58"/>
      <c r="K310" s="58"/>
      <c r="L310" s="58"/>
      <c r="M310" s="58"/>
      <c r="N310" s="58"/>
      <c r="O310" s="58"/>
      <c r="P310" s="58"/>
      <c r="Q310" s="58"/>
      <c r="R310" s="58"/>
      <c r="S310" s="58"/>
      <c r="T310" s="58"/>
      <c r="U310" s="58"/>
      <c r="V310" s="58"/>
      <c r="W310" s="58"/>
      <c r="X310" s="58"/>
      <c r="Y310" s="58"/>
      <c r="Z310" s="58"/>
    </row>
    <row r="311">
      <c r="A311" s="85" t="s">
        <v>2183</v>
      </c>
      <c r="B311" s="72" t="s">
        <v>2001</v>
      </c>
      <c r="C311" s="73" t="s">
        <v>1488</v>
      </c>
      <c r="D311" s="72" t="s">
        <v>2184</v>
      </c>
      <c r="E311" s="73" t="s">
        <v>2185</v>
      </c>
      <c r="F311" s="73" t="s">
        <v>1550</v>
      </c>
      <c r="G311" s="73" t="s">
        <v>1750</v>
      </c>
      <c r="H311" s="73" t="s">
        <v>1551</v>
      </c>
      <c r="I311" s="73" t="s">
        <v>13</v>
      </c>
      <c r="J311" s="58"/>
      <c r="K311" s="58"/>
      <c r="L311" s="58"/>
      <c r="M311" s="58"/>
      <c r="N311" s="58"/>
      <c r="O311" s="58"/>
      <c r="P311" s="58"/>
      <c r="Q311" s="58"/>
      <c r="R311" s="58"/>
      <c r="S311" s="58"/>
      <c r="T311" s="58"/>
      <c r="U311" s="58"/>
      <c r="V311" s="58"/>
      <c r="W311" s="58"/>
      <c r="X311" s="58"/>
      <c r="Y311" s="58"/>
      <c r="Z311" s="58"/>
    </row>
    <row r="312">
      <c r="A312" s="85" t="s">
        <v>2186</v>
      </c>
      <c r="B312" s="72" t="s">
        <v>2001</v>
      </c>
      <c r="C312" s="73" t="s">
        <v>1488</v>
      </c>
      <c r="D312" s="72" t="s">
        <v>2187</v>
      </c>
      <c r="E312" s="73" t="s">
        <v>2188</v>
      </c>
      <c r="F312" s="73" t="s">
        <v>1554</v>
      </c>
      <c r="G312" s="73" t="s">
        <v>1719</v>
      </c>
      <c r="H312" s="73" t="s">
        <v>1555</v>
      </c>
      <c r="I312" s="73" t="s">
        <v>13</v>
      </c>
      <c r="J312" s="58"/>
      <c r="K312" s="58"/>
      <c r="L312" s="58"/>
      <c r="M312" s="58"/>
      <c r="N312" s="58"/>
      <c r="O312" s="58"/>
      <c r="P312" s="58"/>
      <c r="Q312" s="58"/>
      <c r="R312" s="58"/>
      <c r="S312" s="58"/>
      <c r="T312" s="58"/>
      <c r="U312" s="58"/>
      <c r="V312" s="58"/>
      <c r="W312" s="58"/>
      <c r="X312" s="58"/>
      <c r="Y312" s="58"/>
      <c r="Z312" s="58"/>
    </row>
    <row r="313">
      <c r="A313" s="85" t="s">
        <v>2189</v>
      </c>
      <c r="B313" s="72" t="s">
        <v>2001</v>
      </c>
      <c r="C313" s="73" t="s">
        <v>1556</v>
      </c>
      <c r="D313" s="72" t="s">
        <v>2190</v>
      </c>
      <c r="E313" s="73" t="s">
        <v>2191</v>
      </c>
      <c r="F313" s="73" t="s">
        <v>1559</v>
      </c>
      <c r="G313" s="73" t="s">
        <v>1719</v>
      </c>
      <c r="H313" s="73" t="s">
        <v>1559</v>
      </c>
      <c r="I313" s="73" t="s">
        <v>13</v>
      </c>
      <c r="J313" s="58"/>
      <c r="K313" s="58"/>
      <c r="L313" s="58"/>
      <c r="M313" s="58"/>
      <c r="N313" s="58"/>
      <c r="O313" s="58"/>
      <c r="P313" s="58"/>
      <c r="Q313" s="58"/>
      <c r="R313" s="58"/>
      <c r="S313" s="58"/>
      <c r="T313" s="58"/>
      <c r="U313" s="58"/>
      <c r="V313" s="58"/>
      <c r="W313" s="58"/>
      <c r="X313" s="58"/>
      <c r="Y313" s="58"/>
      <c r="Z313" s="58"/>
    </row>
    <row r="314">
      <c r="A314" s="85" t="s">
        <v>2192</v>
      </c>
      <c r="B314" s="72" t="s">
        <v>2001</v>
      </c>
      <c r="C314" s="73" t="s">
        <v>1556</v>
      </c>
      <c r="D314" s="73" t="s">
        <v>1560</v>
      </c>
      <c r="E314" s="73" t="s">
        <v>2193</v>
      </c>
      <c r="F314" s="73" t="s">
        <v>1562</v>
      </c>
      <c r="G314" s="73" t="s">
        <v>1758</v>
      </c>
      <c r="H314" s="73" t="s">
        <v>1564</v>
      </c>
      <c r="I314" s="73" t="s">
        <v>13</v>
      </c>
      <c r="J314" s="58"/>
      <c r="K314" s="58"/>
      <c r="L314" s="58"/>
      <c r="M314" s="58"/>
      <c r="N314" s="58"/>
      <c r="O314" s="58"/>
      <c r="P314" s="58"/>
      <c r="Q314" s="58"/>
      <c r="R314" s="58"/>
      <c r="S314" s="58"/>
      <c r="T314" s="58"/>
      <c r="U314" s="58"/>
      <c r="V314" s="58"/>
      <c r="W314" s="58"/>
      <c r="X314" s="58"/>
      <c r="Y314" s="58"/>
      <c r="Z314" s="58"/>
    </row>
    <row r="315">
      <c r="A315" s="85" t="s">
        <v>2194</v>
      </c>
      <c r="B315" s="72" t="s">
        <v>2001</v>
      </c>
      <c r="C315" s="73" t="s">
        <v>1556</v>
      </c>
      <c r="D315" s="73" t="s">
        <v>1560</v>
      </c>
      <c r="E315" s="73" t="s">
        <v>2195</v>
      </c>
      <c r="F315" s="73" t="s">
        <v>1566</v>
      </c>
      <c r="G315" s="73" t="s">
        <v>1760</v>
      </c>
      <c r="H315" s="73" t="s">
        <v>1568</v>
      </c>
      <c r="I315" s="73" t="s">
        <v>13</v>
      </c>
      <c r="J315" s="58"/>
      <c r="K315" s="58"/>
      <c r="L315" s="58"/>
      <c r="M315" s="58"/>
      <c r="N315" s="58"/>
      <c r="O315" s="58"/>
      <c r="P315" s="58"/>
      <c r="Q315" s="58"/>
      <c r="R315" s="58"/>
      <c r="S315" s="58"/>
      <c r="T315" s="58"/>
      <c r="U315" s="58"/>
      <c r="V315" s="58"/>
      <c r="W315" s="58"/>
      <c r="X315" s="58"/>
      <c r="Y315" s="58"/>
      <c r="Z315" s="58"/>
    </row>
    <row r="316">
      <c r="A316" s="85" t="s">
        <v>2196</v>
      </c>
      <c r="B316" s="72" t="s">
        <v>2001</v>
      </c>
      <c r="C316" s="73" t="s">
        <v>1556</v>
      </c>
      <c r="D316" s="73" t="s">
        <v>1569</v>
      </c>
      <c r="E316" s="73" t="s">
        <v>2197</v>
      </c>
      <c r="F316" s="73" t="s">
        <v>1571</v>
      </c>
      <c r="G316" s="73" t="s">
        <v>1762</v>
      </c>
      <c r="H316" s="73" t="s">
        <v>1573</v>
      </c>
      <c r="I316" s="73" t="s">
        <v>13</v>
      </c>
      <c r="J316" s="58"/>
      <c r="K316" s="58"/>
      <c r="L316" s="58"/>
      <c r="M316" s="58"/>
      <c r="N316" s="58"/>
      <c r="O316" s="58"/>
      <c r="P316" s="58"/>
      <c r="Q316" s="58"/>
      <c r="R316" s="58"/>
      <c r="S316" s="58"/>
      <c r="T316" s="58"/>
      <c r="U316" s="58"/>
      <c r="V316" s="58"/>
      <c r="W316" s="58"/>
      <c r="X316" s="58"/>
      <c r="Y316" s="58"/>
      <c r="Z316" s="58"/>
    </row>
    <row r="317">
      <c r="A317" s="85" t="s">
        <v>2198</v>
      </c>
      <c r="B317" s="72" t="s">
        <v>2001</v>
      </c>
      <c r="C317" s="73" t="s">
        <v>1556</v>
      </c>
      <c r="D317" s="73" t="s">
        <v>1574</v>
      </c>
      <c r="E317" s="73" t="s">
        <v>2199</v>
      </c>
      <c r="F317" s="73" t="s">
        <v>1576</v>
      </c>
      <c r="G317" s="73" t="s">
        <v>1764</v>
      </c>
      <c r="H317" s="73" t="s">
        <v>1578</v>
      </c>
      <c r="I317" s="73" t="s">
        <v>13</v>
      </c>
      <c r="J317" s="58"/>
      <c r="K317" s="58"/>
      <c r="L317" s="58"/>
      <c r="M317" s="58"/>
      <c r="N317" s="58"/>
      <c r="O317" s="58"/>
      <c r="P317" s="58"/>
      <c r="Q317" s="58"/>
      <c r="R317" s="58"/>
      <c r="S317" s="58"/>
      <c r="T317" s="58"/>
      <c r="U317" s="58"/>
      <c r="V317" s="58"/>
      <c r="W317" s="58"/>
      <c r="X317" s="58"/>
      <c r="Y317" s="58"/>
      <c r="Z317" s="58"/>
    </row>
    <row r="318">
      <c r="A318" s="85" t="s">
        <v>2200</v>
      </c>
      <c r="B318" s="72" t="s">
        <v>2001</v>
      </c>
      <c r="C318" s="73" t="s">
        <v>1556</v>
      </c>
      <c r="D318" s="73" t="s">
        <v>1574</v>
      </c>
      <c r="E318" s="73" t="s">
        <v>2201</v>
      </c>
      <c r="F318" s="73" t="s">
        <v>1580</v>
      </c>
      <c r="G318" s="73" t="s">
        <v>1719</v>
      </c>
      <c r="H318" s="73" t="s">
        <v>1581</v>
      </c>
      <c r="I318" s="73" t="s">
        <v>13</v>
      </c>
      <c r="J318" s="58"/>
      <c r="K318" s="58"/>
      <c r="L318" s="58"/>
      <c r="M318" s="58"/>
      <c r="N318" s="58"/>
      <c r="O318" s="58"/>
      <c r="P318" s="58"/>
      <c r="Q318" s="58"/>
      <c r="R318" s="58"/>
      <c r="S318" s="58"/>
      <c r="T318" s="58"/>
      <c r="U318" s="58"/>
      <c r="V318" s="58"/>
      <c r="W318" s="58"/>
      <c r="X318" s="58"/>
      <c r="Y318" s="58"/>
      <c r="Z318" s="58"/>
    </row>
    <row r="319">
      <c r="A319" s="85" t="s">
        <v>2202</v>
      </c>
      <c r="B319" s="72" t="s">
        <v>2001</v>
      </c>
      <c r="C319" s="73" t="s">
        <v>1556</v>
      </c>
      <c r="D319" s="73" t="s">
        <v>1574</v>
      </c>
      <c r="E319" s="73" t="s">
        <v>2203</v>
      </c>
      <c r="F319" s="73" t="s">
        <v>1583</v>
      </c>
      <c r="G319" s="73" t="s">
        <v>1719</v>
      </c>
      <c r="H319" s="75"/>
      <c r="I319" s="73" t="s">
        <v>13</v>
      </c>
      <c r="J319" s="58"/>
      <c r="K319" s="58"/>
      <c r="L319" s="58"/>
      <c r="M319" s="58"/>
      <c r="N319" s="58"/>
      <c r="O319" s="58"/>
      <c r="P319" s="58"/>
      <c r="Q319" s="58"/>
      <c r="R319" s="58"/>
      <c r="S319" s="58"/>
      <c r="T319" s="58"/>
      <c r="U319" s="58"/>
      <c r="V319" s="58"/>
      <c r="W319" s="58"/>
      <c r="X319" s="58"/>
      <c r="Y319" s="58"/>
      <c r="Z319" s="58"/>
    </row>
    <row r="320">
      <c r="A320" s="85" t="s">
        <v>2204</v>
      </c>
      <c r="B320" s="72" t="s">
        <v>2001</v>
      </c>
      <c r="C320" s="73" t="s">
        <v>1556</v>
      </c>
      <c r="D320" s="73" t="s">
        <v>1574</v>
      </c>
      <c r="E320" s="73" t="s">
        <v>1584</v>
      </c>
      <c r="F320" s="73" t="s">
        <v>1585</v>
      </c>
      <c r="G320" s="73" t="s">
        <v>1719</v>
      </c>
      <c r="H320" s="73" t="s">
        <v>1586</v>
      </c>
      <c r="I320" s="73" t="s">
        <v>13</v>
      </c>
      <c r="J320" s="58"/>
      <c r="K320" s="58"/>
      <c r="L320" s="58"/>
      <c r="M320" s="58"/>
      <c r="N320" s="58"/>
      <c r="O320" s="58"/>
      <c r="P320" s="58"/>
      <c r="Q320" s="58"/>
      <c r="R320" s="58"/>
      <c r="S320" s="58"/>
      <c r="T320" s="58"/>
      <c r="U320" s="58"/>
      <c r="V320" s="58"/>
      <c r="W320" s="58"/>
      <c r="X320" s="58"/>
      <c r="Y320" s="58"/>
      <c r="Z320" s="58"/>
    </row>
    <row r="321">
      <c r="A321" s="85" t="s">
        <v>2205</v>
      </c>
      <c r="B321" s="72" t="s">
        <v>2001</v>
      </c>
      <c r="C321" s="73" t="s">
        <v>1556</v>
      </c>
      <c r="D321" s="73" t="s">
        <v>1574</v>
      </c>
      <c r="E321" s="73" t="s">
        <v>2206</v>
      </c>
      <c r="F321" s="73" t="s">
        <v>1588</v>
      </c>
      <c r="G321" s="73" t="s">
        <v>1768</v>
      </c>
      <c r="H321" s="73" t="s">
        <v>1590</v>
      </c>
      <c r="I321" s="73" t="s">
        <v>13</v>
      </c>
      <c r="J321" s="58"/>
      <c r="K321" s="58"/>
      <c r="L321" s="58"/>
      <c r="M321" s="58"/>
      <c r="N321" s="58"/>
      <c r="O321" s="58"/>
      <c r="P321" s="58"/>
      <c r="Q321" s="58"/>
      <c r="R321" s="58"/>
      <c r="S321" s="58"/>
      <c r="T321" s="58"/>
      <c r="U321" s="58"/>
      <c r="V321" s="58"/>
      <c r="W321" s="58"/>
      <c r="X321" s="58"/>
      <c r="Y321" s="58"/>
      <c r="Z321" s="58"/>
    </row>
    <row r="322">
      <c r="A322" s="85" t="s">
        <v>2207</v>
      </c>
      <c r="B322" s="72" t="s">
        <v>2001</v>
      </c>
      <c r="C322" s="73" t="s">
        <v>1556</v>
      </c>
      <c r="D322" s="73" t="s">
        <v>1574</v>
      </c>
      <c r="E322" s="73" t="s">
        <v>2208</v>
      </c>
      <c r="F322" s="73" t="s">
        <v>1592</v>
      </c>
      <c r="G322" s="73" t="s">
        <v>1719</v>
      </c>
      <c r="H322" s="73" t="s">
        <v>1593</v>
      </c>
      <c r="I322" s="73" t="s">
        <v>13</v>
      </c>
      <c r="J322" s="58"/>
      <c r="K322" s="58"/>
      <c r="L322" s="58"/>
      <c r="M322" s="58"/>
      <c r="N322" s="58"/>
      <c r="O322" s="58"/>
      <c r="P322" s="58"/>
      <c r="Q322" s="58"/>
      <c r="R322" s="58"/>
      <c r="S322" s="58"/>
      <c r="T322" s="58"/>
      <c r="U322" s="58"/>
      <c r="V322" s="58"/>
      <c r="W322" s="58"/>
      <c r="X322" s="58"/>
      <c r="Y322" s="58"/>
      <c r="Z322" s="58"/>
    </row>
    <row r="323">
      <c r="A323" s="85" t="s">
        <v>2209</v>
      </c>
      <c r="B323" s="72" t="s">
        <v>2001</v>
      </c>
      <c r="C323" s="73" t="s">
        <v>1556</v>
      </c>
      <c r="D323" s="73" t="s">
        <v>1574</v>
      </c>
      <c r="E323" s="73" t="s">
        <v>2210</v>
      </c>
      <c r="F323" s="73" t="s">
        <v>1595</v>
      </c>
      <c r="G323" s="73" t="s">
        <v>1719</v>
      </c>
      <c r="H323" s="73" t="s">
        <v>1596</v>
      </c>
      <c r="I323" s="73" t="s">
        <v>13</v>
      </c>
      <c r="J323" s="58"/>
      <c r="K323" s="58"/>
      <c r="L323" s="58"/>
      <c r="M323" s="58"/>
      <c r="N323" s="58"/>
      <c r="O323" s="58"/>
      <c r="P323" s="58"/>
      <c r="Q323" s="58"/>
      <c r="R323" s="58"/>
      <c r="S323" s="58"/>
      <c r="T323" s="58"/>
      <c r="U323" s="58"/>
      <c r="V323" s="58"/>
      <c r="W323" s="58"/>
      <c r="X323" s="58"/>
      <c r="Y323" s="58"/>
      <c r="Z323" s="58"/>
    </row>
    <row r="324">
      <c r="A324" s="85" t="s">
        <v>2211</v>
      </c>
      <c r="B324" s="72" t="s">
        <v>2001</v>
      </c>
      <c r="C324" s="73" t="s">
        <v>1556</v>
      </c>
      <c r="D324" s="73" t="s">
        <v>1597</v>
      </c>
      <c r="E324" s="73" t="s">
        <v>2212</v>
      </c>
      <c r="F324" s="73" t="s">
        <v>1599</v>
      </c>
      <c r="G324" s="73" t="s">
        <v>1719</v>
      </c>
      <c r="H324" s="73" t="s">
        <v>1600</v>
      </c>
      <c r="I324" s="73" t="s">
        <v>13</v>
      </c>
      <c r="J324" s="58"/>
      <c r="K324" s="58"/>
      <c r="L324" s="58"/>
      <c r="M324" s="58"/>
      <c r="N324" s="58"/>
      <c r="O324" s="58"/>
      <c r="P324" s="58"/>
      <c r="Q324" s="58"/>
      <c r="R324" s="58"/>
      <c r="S324" s="58"/>
      <c r="T324" s="58"/>
      <c r="U324" s="58"/>
      <c r="V324" s="58"/>
      <c r="W324" s="58"/>
      <c r="X324" s="58"/>
      <c r="Y324" s="58"/>
      <c r="Z324" s="58"/>
    </row>
    <row r="325">
      <c r="A325" s="85" t="s">
        <v>2213</v>
      </c>
      <c r="B325" s="72" t="s">
        <v>2001</v>
      </c>
      <c r="C325" s="73" t="s">
        <v>1556</v>
      </c>
      <c r="D325" s="73" t="s">
        <v>1597</v>
      </c>
      <c r="E325" s="73" t="s">
        <v>2214</v>
      </c>
      <c r="F325" s="73" t="s">
        <v>1602</v>
      </c>
      <c r="G325" s="73" t="s">
        <v>1719</v>
      </c>
      <c r="H325" s="73" t="s">
        <v>1603</v>
      </c>
      <c r="I325" s="73" t="s">
        <v>13</v>
      </c>
      <c r="J325" s="58"/>
      <c r="K325" s="58"/>
      <c r="L325" s="58"/>
      <c r="M325" s="58"/>
      <c r="N325" s="58"/>
      <c r="O325" s="58"/>
      <c r="P325" s="58"/>
      <c r="Q325" s="58"/>
      <c r="R325" s="58"/>
      <c r="S325" s="58"/>
      <c r="T325" s="58"/>
      <c r="U325" s="58"/>
      <c r="V325" s="58"/>
      <c r="W325" s="58"/>
      <c r="X325" s="58"/>
      <c r="Y325" s="58"/>
      <c r="Z325" s="58"/>
    </row>
    <row r="326">
      <c r="A326" s="85" t="s">
        <v>2215</v>
      </c>
      <c r="B326" s="72" t="s">
        <v>2001</v>
      </c>
      <c r="C326" s="73" t="s">
        <v>1556</v>
      </c>
      <c r="D326" s="73" t="s">
        <v>1597</v>
      </c>
      <c r="E326" s="73" t="s">
        <v>1604</v>
      </c>
      <c r="F326" s="73" t="s">
        <v>1605</v>
      </c>
      <c r="G326" s="73" t="s">
        <v>1719</v>
      </c>
      <c r="H326" s="73" t="s">
        <v>1606</v>
      </c>
      <c r="I326" s="73" t="s">
        <v>13</v>
      </c>
      <c r="J326" s="58"/>
      <c r="K326" s="58"/>
      <c r="L326" s="58"/>
      <c r="M326" s="58"/>
      <c r="N326" s="58"/>
      <c r="O326" s="58"/>
      <c r="P326" s="58"/>
      <c r="Q326" s="58"/>
      <c r="R326" s="58"/>
      <c r="S326" s="58"/>
      <c r="T326" s="58"/>
      <c r="U326" s="58"/>
      <c r="V326" s="58"/>
      <c r="W326" s="58"/>
      <c r="X326" s="58"/>
      <c r="Y326" s="58"/>
      <c r="Z326" s="58"/>
    </row>
    <row r="327">
      <c r="A327" s="85" t="s">
        <v>2216</v>
      </c>
      <c r="B327" s="72" t="s">
        <v>2001</v>
      </c>
      <c r="C327" s="73" t="s">
        <v>1556</v>
      </c>
      <c r="D327" s="73" t="s">
        <v>1597</v>
      </c>
      <c r="E327" s="73" t="s">
        <v>1095</v>
      </c>
      <c r="F327" s="73" t="s">
        <v>1607</v>
      </c>
      <c r="G327" s="73" t="s">
        <v>1719</v>
      </c>
      <c r="H327" s="73" t="s">
        <v>1608</v>
      </c>
      <c r="I327" s="73" t="s">
        <v>13</v>
      </c>
      <c r="J327" s="58"/>
      <c r="K327" s="58"/>
      <c r="L327" s="58"/>
      <c r="M327" s="58"/>
      <c r="N327" s="58"/>
      <c r="O327" s="58"/>
      <c r="P327" s="58"/>
      <c r="Q327" s="58"/>
      <c r="R327" s="58"/>
      <c r="S327" s="58"/>
      <c r="T327" s="58"/>
      <c r="U327" s="58"/>
      <c r="V327" s="58"/>
      <c r="W327" s="58"/>
      <c r="X327" s="58"/>
      <c r="Y327" s="58"/>
      <c r="Z327" s="58"/>
    </row>
    <row r="328">
      <c r="A328" s="85" t="s">
        <v>2217</v>
      </c>
      <c r="B328" s="72" t="s">
        <v>2001</v>
      </c>
      <c r="C328" s="73" t="s">
        <v>1556</v>
      </c>
      <c r="D328" s="73" t="s">
        <v>1597</v>
      </c>
      <c r="E328" s="73" t="s">
        <v>2218</v>
      </c>
      <c r="F328" s="73" t="s">
        <v>1610</v>
      </c>
      <c r="G328" s="73" t="s">
        <v>1774</v>
      </c>
      <c r="H328" s="73" t="s">
        <v>1612</v>
      </c>
      <c r="I328" s="73" t="s">
        <v>13</v>
      </c>
      <c r="J328" s="58"/>
      <c r="K328" s="58"/>
      <c r="L328" s="58"/>
      <c r="M328" s="58"/>
      <c r="N328" s="58"/>
      <c r="O328" s="58"/>
      <c r="P328" s="58"/>
      <c r="Q328" s="58"/>
      <c r="R328" s="58"/>
      <c r="S328" s="58"/>
      <c r="T328" s="58"/>
      <c r="U328" s="58"/>
      <c r="V328" s="58"/>
      <c r="W328" s="58"/>
      <c r="X328" s="58"/>
      <c r="Y328" s="58"/>
      <c r="Z328" s="58"/>
    </row>
    <row r="329">
      <c r="A329" s="85" t="s">
        <v>2219</v>
      </c>
      <c r="B329" s="72" t="s">
        <v>2001</v>
      </c>
      <c r="C329" s="73" t="s">
        <v>1613</v>
      </c>
      <c r="D329" s="73" t="s">
        <v>1614</v>
      </c>
      <c r="E329" s="73" t="s">
        <v>2220</v>
      </c>
      <c r="F329" s="73" t="s">
        <v>1616</v>
      </c>
      <c r="G329" s="73" t="s">
        <v>1764</v>
      </c>
      <c r="H329" s="73" t="s">
        <v>1617</v>
      </c>
      <c r="I329" s="73" t="s">
        <v>13</v>
      </c>
      <c r="J329" s="58"/>
      <c r="K329" s="58"/>
      <c r="L329" s="58"/>
      <c r="M329" s="58"/>
      <c r="N329" s="58"/>
      <c r="O329" s="58"/>
      <c r="P329" s="58"/>
      <c r="Q329" s="58"/>
      <c r="R329" s="58"/>
      <c r="S329" s="58"/>
      <c r="T329" s="58"/>
      <c r="U329" s="58"/>
      <c r="V329" s="58"/>
      <c r="W329" s="58"/>
      <c r="X329" s="58"/>
      <c r="Y329" s="58"/>
      <c r="Z329" s="58"/>
    </row>
    <row r="330">
      <c r="A330" s="85" t="s">
        <v>2221</v>
      </c>
      <c r="B330" s="72" t="s">
        <v>2001</v>
      </c>
      <c r="C330" s="73" t="s">
        <v>1613</v>
      </c>
      <c r="D330" s="73" t="s">
        <v>1614</v>
      </c>
      <c r="E330" s="73" t="s">
        <v>2222</v>
      </c>
      <c r="F330" s="73" t="s">
        <v>1619</v>
      </c>
      <c r="G330" s="73" t="s">
        <v>1777</v>
      </c>
      <c r="H330" s="73" t="s">
        <v>1621</v>
      </c>
      <c r="I330" s="73" t="s">
        <v>13</v>
      </c>
      <c r="J330" s="58"/>
      <c r="K330" s="58"/>
      <c r="L330" s="58"/>
      <c r="M330" s="58"/>
      <c r="N330" s="58"/>
      <c r="O330" s="58"/>
      <c r="P330" s="58"/>
      <c r="Q330" s="58"/>
      <c r="R330" s="58"/>
      <c r="S330" s="58"/>
      <c r="T330" s="58"/>
      <c r="U330" s="58"/>
      <c r="V330" s="58"/>
      <c r="W330" s="58"/>
      <c r="X330" s="58"/>
      <c r="Y330" s="58"/>
      <c r="Z330" s="58"/>
    </row>
    <row r="331">
      <c r="A331" s="85" t="s">
        <v>2223</v>
      </c>
      <c r="B331" s="72" t="s">
        <v>2001</v>
      </c>
      <c r="C331" s="73" t="s">
        <v>1613</v>
      </c>
      <c r="D331" s="73" t="s">
        <v>1614</v>
      </c>
      <c r="E331" s="73" t="s">
        <v>1622</v>
      </c>
      <c r="F331" s="73" t="s">
        <v>1623</v>
      </c>
      <c r="G331" s="73" t="s">
        <v>1719</v>
      </c>
      <c r="H331" s="73" t="s">
        <v>1624</v>
      </c>
      <c r="I331" s="73" t="s">
        <v>13</v>
      </c>
      <c r="J331" s="58"/>
      <c r="K331" s="58"/>
      <c r="L331" s="58"/>
      <c r="M331" s="58"/>
      <c r="N331" s="58"/>
      <c r="O331" s="58"/>
      <c r="P331" s="58"/>
      <c r="Q331" s="58"/>
      <c r="R331" s="58"/>
      <c r="S331" s="58"/>
      <c r="T331" s="58"/>
      <c r="U331" s="58"/>
      <c r="V331" s="58"/>
      <c r="W331" s="58"/>
      <c r="X331" s="58"/>
      <c r="Y331" s="58"/>
      <c r="Z331" s="58"/>
    </row>
    <row r="332">
      <c r="A332" s="85" t="s">
        <v>2224</v>
      </c>
      <c r="B332" s="72" t="s">
        <v>2001</v>
      </c>
      <c r="C332" s="73" t="s">
        <v>1613</v>
      </c>
      <c r="D332" s="73" t="s">
        <v>1614</v>
      </c>
      <c r="E332" s="73" t="s">
        <v>2225</v>
      </c>
      <c r="F332" s="73" t="s">
        <v>1626</v>
      </c>
      <c r="G332" s="73" t="s">
        <v>1719</v>
      </c>
      <c r="H332" s="73" t="s">
        <v>1627</v>
      </c>
      <c r="I332" s="73" t="s">
        <v>13</v>
      </c>
      <c r="J332" s="58"/>
      <c r="K332" s="58"/>
      <c r="L332" s="58"/>
      <c r="M332" s="58"/>
      <c r="N332" s="58"/>
      <c r="O332" s="58"/>
      <c r="P332" s="58"/>
      <c r="Q332" s="58"/>
      <c r="R332" s="58"/>
      <c r="S332" s="58"/>
      <c r="T332" s="58"/>
      <c r="U332" s="58"/>
      <c r="V332" s="58"/>
      <c r="W332" s="58"/>
      <c r="X332" s="58"/>
      <c r="Y332" s="58"/>
      <c r="Z332" s="58"/>
    </row>
    <row r="333">
      <c r="A333" s="85" t="s">
        <v>2226</v>
      </c>
      <c r="B333" s="72" t="s">
        <v>2001</v>
      </c>
      <c r="C333" s="73" t="s">
        <v>1628</v>
      </c>
      <c r="D333" s="73" t="s">
        <v>1629</v>
      </c>
      <c r="E333" s="73" t="s">
        <v>2227</v>
      </c>
      <c r="F333" s="73" t="s">
        <v>1631</v>
      </c>
      <c r="G333" s="73" t="s">
        <v>1780</v>
      </c>
      <c r="H333" s="73" t="s">
        <v>1633</v>
      </c>
      <c r="I333" s="73" t="s">
        <v>13</v>
      </c>
      <c r="J333" s="58"/>
      <c r="K333" s="58"/>
      <c r="L333" s="58"/>
      <c r="M333" s="58"/>
      <c r="N333" s="58"/>
      <c r="O333" s="58"/>
      <c r="P333" s="58"/>
      <c r="Q333" s="58"/>
      <c r="R333" s="58"/>
      <c r="S333" s="58"/>
      <c r="T333" s="58"/>
      <c r="U333" s="58"/>
      <c r="V333" s="58"/>
      <c r="W333" s="58"/>
      <c r="X333" s="58"/>
      <c r="Y333" s="58"/>
      <c r="Z333" s="58"/>
    </row>
    <row r="334">
      <c r="A334" s="85" t="s">
        <v>2228</v>
      </c>
      <c r="B334" s="72" t="s">
        <v>2001</v>
      </c>
      <c r="C334" s="73" t="s">
        <v>1628</v>
      </c>
      <c r="D334" s="73" t="s">
        <v>1629</v>
      </c>
      <c r="E334" s="73" t="s">
        <v>2229</v>
      </c>
      <c r="F334" s="73" t="s">
        <v>1631</v>
      </c>
      <c r="G334" s="73" t="s">
        <v>1780</v>
      </c>
      <c r="H334" s="73" t="s">
        <v>1635</v>
      </c>
      <c r="I334" s="73" t="s">
        <v>13</v>
      </c>
      <c r="J334" s="58"/>
      <c r="K334" s="58"/>
      <c r="L334" s="58"/>
      <c r="M334" s="58"/>
      <c r="N334" s="58"/>
      <c r="O334" s="58"/>
      <c r="P334" s="58"/>
      <c r="Q334" s="58"/>
      <c r="R334" s="58"/>
      <c r="S334" s="58"/>
      <c r="T334" s="58"/>
      <c r="U334" s="58"/>
      <c r="V334" s="58"/>
      <c r="W334" s="58"/>
      <c r="X334" s="58"/>
      <c r="Y334" s="58"/>
      <c r="Z334" s="58"/>
    </row>
    <row r="335">
      <c r="A335" s="85" t="s">
        <v>2230</v>
      </c>
      <c r="B335" s="72" t="s">
        <v>2001</v>
      </c>
      <c r="C335" s="73" t="s">
        <v>1628</v>
      </c>
      <c r="D335" s="73" t="s">
        <v>1629</v>
      </c>
      <c r="E335" s="73" t="s">
        <v>2231</v>
      </c>
      <c r="F335" s="73" t="s">
        <v>1631</v>
      </c>
      <c r="G335" s="73" t="s">
        <v>1780</v>
      </c>
      <c r="H335" s="73" t="s">
        <v>1637</v>
      </c>
      <c r="I335" s="73" t="s">
        <v>13</v>
      </c>
      <c r="J335" s="58"/>
      <c r="K335" s="58"/>
      <c r="L335" s="58"/>
      <c r="M335" s="58"/>
      <c r="N335" s="58"/>
      <c r="O335" s="58"/>
      <c r="P335" s="58"/>
      <c r="Q335" s="58"/>
      <c r="R335" s="58"/>
      <c r="S335" s="58"/>
      <c r="T335" s="58"/>
      <c r="U335" s="58"/>
      <c r="V335" s="58"/>
      <c r="W335" s="58"/>
      <c r="X335" s="58"/>
      <c r="Y335" s="58"/>
      <c r="Z335" s="58"/>
    </row>
    <row r="336">
      <c r="A336" s="85" t="s">
        <v>2232</v>
      </c>
      <c r="B336" s="72" t="s">
        <v>2001</v>
      </c>
      <c r="C336" s="73" t="s">
        <v>1628</v>
      </c>
      <c r="D336" s="73" t="s">
        <v>1629</v>
      </c>
      <c r="E336" s="73" t="s">
        <v>1638</v>
      </c>
      <c r="F336" s="73" t="s">
        <v>1639</v>
      </c>
      <c r="G336" s="73" t="s">
        <v>1719</v>
      </c>
      <c r="H336" s="73" t="s">
        <v>1640</v>
      </c>
      <c r="I336" s="73" t="s">
        <v>13</v>
      </c>
      <c r="J336" s="58"/>
      <c r="K336" s="58"/>
      <c r="L336" s="58"/>
      <c r="M336" s="58"/>
      <c r="N336" s="58"/>
      <c r="O336" s="58"/>
      <c r="P336" s="58"/>
      <c r="Q336" s="58"/>
      <c r="R336" s="58"/>
      <c r="S336" s="58"/>
      <c r="T336" s="58"/>
      <c r="U336" s="58"/>
      <c r="V336" s="58"/>
      <c r="W336" s="58"/>
      <c r="X336" s="58"/>
      <c r="Y336" s="58"/>
      <c r="Z336" s="58"/>
    </row>
    <row r="337">
      <c r="A337" s="85" t="s">
        <v>2233</v>
      </c>
      <c r="B337" s="72" t="s">
        <v>2001</v>
      </c>
      <c r="C337" s="73" t="s">
        <v>1628</v>
      </c>
      <c r="D337" s="73" t="s">
        <v>1641</v>
      </c>
      <c r="E337" s="73" t="s">
        <v>2234</v>
      </c>
      <c r="F337" s="73" t="s">
        <v>1631</v>
      </c>
      <c r="G337" s="73" t="s">
        <v>1784</v>
      </c>
      <c r="H337" s="73" t="s">
        <v>1644</v>
      </c>
      <c r="I337" s="73" t="s">
        <v>13</v>
      </c>
      <c r="J337" s="58"/>
      <c r="K337" s="58"/>
      <c r="L337" s="58"/>
      <c r="M337" s="58"/>
      <c r="N337" s="58"/>
      <c r="O337" s="58"/>
      <c r="P337" s="58"/>
      <c r="Q337" s="58"/>
      <c r="R337" s="58"/>
      <c r="S337" s="58"/>
      <c r="T337" s="58"/>
      <c r="U337" s="58"/>
      <c r="V337" s="58"/>
      <c r="W337" s="58"/>
      <c r="X337" s="58"/>
      <c r="Y337" s="58"/>
      <c r="Z337" s="58"/>
    </row>
    <row r="338">
      <c r="A338" s="85" t="s">
        <v>2235</v>
      </c>
      <c r="B338" s="72" t="s">
        <v>2001</v>
      </c>
      <c r="C338" s="73" t="s">
        <v>1628</v>
      </c>
      <c r="D338" s="73" t="s">
        <v>1641</v>
      </c>
      <c r="E338" s="73" t="s">
        <v>2236</v>
      </c>
      <c r="F338" s="73" t="s">
        <v>1631</v>
      </c>
      <c r="G338" s="73" t="s">
        <v>1784</v>
      </c>
      <c r="H338" s="73" t="s">
        <v>1646</v>
      </c>
      <c r="I338" s="73" t="s">
        <v>13</v>
      </c>
      <c r="J338" s="58"/>
      <c r="K338" s="58"/>
      <c r="L338" s="58"/>
      <c r="M338" s="58"/>
      <c r="N338" s="58"/>
      <c r="O338" s="58"/>
      <c r="P338" s="58"/>
      <c r="Q338" s="58"/>
      <c r="R338" s="58"/>
      <c r="S338" s="58"/>
      <c r="T338" s="58"/>
      <c r="U338" s="58"/>
      <c r="V338" s="58"/>
      <c r="W338" s="58"/>
      <c r="X338" s="58"/>
      <c r="Y338" s="58"/>
      <c r="Z338" s="58"/>
    </row>
    <row r="339">
      <c r="A339" s="85" t="s">
        <v>2237</v>
      </c>
      <c r="B339" s="72" t="s">
        <v>2001</v>
      </c>
      <c r="C339" s="73" t="s">
        <v>1628</v>
      </c>
      <c r="D339" s="73" t="s">
        <v>1641</v>
      </c>
      <c r="E339" s="73" t="s">
        <v>2238</v>
      </c>
      <c r="F339" s="73" t="s">
        <v>1648</v>
      </c>
      <c r="G339" s="73" t="s">
        <v>1719</v>
      </c>
      <c r="H339" s="73" t="s">
        <v>1649</v>
      </c>
      <c r="I339" s="73" t="s">
        <v>13</v>
      </c>
      <c r="J339" s="58"/>
      <c r="K339" s="58"/>
      <c r="L339" s="58"/>
      <c r="M339" s="58"/>
      <c r="N339" s="58"/>
      <c r="O339" s="58"/>
      <c r="P339" s="58"/>
      <c r="Q339" s="58"/>
      <c r="R339" s="58"/>
      <c r="S339" s="58"/>
      <c r="T339" s="58"/>
      <c r="U339" s="58"/>
      <c r="V339" s="58"/>
      <c r="W339" s="58"/>
      <c r="X339" s="58"/>
      <c r="Y339" s="58"/>
      <c r="Z339" s="58"/>
    </row>
    <row r="340">
      <c r="A340" s="85" t="s">
        <v>2239</v>
      </c>
      <c r="B340" s="72" t="s">
        <v>2001</v>
      </c>
      <c r="C340" s="73" t="s">
        <v>1628</v>
      </c>
      <c r="D340" s="73" t="s">
        <v>1641</v>
      </c>
      <c r="E340" s="73" t="s">
        <v>2240</v>
      </c>
      <c r="F340" s="73" t="s">
        <v>1631</v>
      </c>
      <c r="G340" s="73" t="s">
        <v>1784</v>
      </c>
      <c r="H340" s="73" t="s">
        <v>1651</v>
      </c>
      <c r="I340" s="73" t="s">
        <v>13</v>
      </c>
      <c r="J340" s="58"/>
      <c r="K340" s="58"/>
      <c r="L340" s="58"/>
      <c r="M340" s="58"/>
      <c r="N340" s="58"/>
      <c r="O340" s="58"/>
      <c r="P340" s="58"/>
      <c r="Q340" s="58"/>
      <c r="R340" s="58"/>
      <c r="S340" s="58"/>
      <c r="T340" s="58"/>
      <c r="U340" s="58"/>
      <c r="V340" s="58"/>
      <c r="W340" s="58"/>
      <c r="X340" s="58"/>
      <c r="Y340" s="58"/>
      <c r="Z340" s="58"/>
    </row>
    <row r="341">
      <c r="A341" s="85" t="s">
        <v>2241</v>
      </c>
      <c r="B341" s="72" t="s">
        <v>2001</v>
      </c>
      <c r="C341" s="73" t="s">
        <v>1628</v>
      </c>
      <c r="D341" s="73" t="s">
        <v>1641</v>
      </c>
      <c r="E341" s="73" t="s">
        <v>2242</v>
      </c>
      <c r="F341" s="73" t="s">
        <v>1631</v>
      </c>
      <c r="G341" s="73" t="s">
        <v>1784</v>
      </c>
      <c r="H341" s="73" t="s">
        <v>1653</v>
      </c>
      <c r="I341" s="73" t="s">
        <v>13</v>
      </c>
      <c r="J341" s="58"/>
      <c r="K341" s="58"/>
      <c r="L341" s="58"/>
      <c r="M341" s="58"/>
      <c r="N341" s="58"/>
      <c r="O341" s="58"/>
      <c r="P341" s="58"/>
      <c r="Q341" s="58"/>
      <c r="R341" s="58"/>
      <c r="S341" s="58"/>
      <c r="T341" s="58"/>
      <c r="U341" s="58"/>
      <c r="V341" s="58"/>
      <c r="W341" s="58"/>
      <c r="X341" s="58"/>
      <c r="Y341" s="58"/>
      <c r="Z341" s="58"/>
    </row>
    <row r="342">
      <c r="A342" s="85" t="s">
        <v>2243</v>
      </c>
      <c r="B342" s="72" t="s">
        <v>2001</v>
      </c>
      <c r="C342" s="73" t="s">
        <v>1628</v>
      </c>
      <c r="D342" s="73" t="s">
        <v>1654</v>
      </c>
      <c r="E342" s="73" t="s">
        <v>2244</v>
      </c>
      <c r="F342" s="73" t="s">
        <v>1631</v>
      </c>
      <c r="G342" s="73" t="s">
        <v>1790</v>
      </c>
      <c r="H342" s="73" t="s">
        <v>1657</v>
      </c>
      <c r="I342" s="73" t="s">
        <v>13</v>
      </c>
      <c r="J342" s="58"/>
      <c r="K342" s="58"/>
      <c r="L342" s="58"/>
      <c r="M342" s="58"/>
      <c r="N342" s="58"/>
      <c r="O342" s="58"/>
      <c r="P342" s="58"/>
      <c r="Q342" s="58"/>
      <c r="R342" s="58"/>
      <c r="S342" s="58"/>
      <c r="T342" s="58"/>
      <c r="U342" s="58"/>
      <c r="V342" s="58"/>
      <c r="W342" s="58"/>
      <c r="X342" s="58"/>
      <c r="Y342" s="58"/>
      <c r="Z342" s="58"/>
    </row>
    <row r="343">
      <c r="A343" s="85" t="s">
        <v>2245</v>
      </c>
      <c r="B343" s="72" t="s">
        <v>2001</v>
      </c>
      <c r="C343" s="73" t="s">
        <v>1628</v>
      </c>
      <c r="D343" s="73" t="s">
        <v>1654</v>
      </c>
      <c r="E343" s="73" t="s">
        <v>2246</v>
      </c>
      <c r="F343" s="73" t="s">
        <v>1631</v>
      </c>
      <c r="G343" s="73" t="s">
        <v>1790</v>
      </c>
      <c r="H343" s="73" t="s">
        <v>1659</v>
      </c>
      <c r="I343" s="73" t="s">
        <v>13</v>
      </c>
      <c r="J343" s="58"/>
      <c r="K343" s="58"/>
      <c r="L343" s="58"/>
      <c r="M343" s="58"/>
      <c r="N343" s="58"/>
      <c r="O343" s="58"/>
      <c r="P343" s="58"/>
      <c r="Q343" s="58"/>
      <c r="R343" s="58"/>
      <c r="S343" s="58"/>
      <c r="T343" s="58"/>
      <c r="U343" s="58"/>
      <c r="V343" s="58"/>
      <c r="W343" s="58"/>
      <c r="X343" s="58"/>
      <c r="Y343" s="58"/>
      <c r="Z343" s="58"/>
    </row>
    <row r="344">
      <c r="A344" s="85" t="s">
        <v>2247</v>
      </c>
      <c r="B344" s="72" t="s">
        <v>2001</v>
      </c>
      <c r="C344" s="73" t="s">
        <v>1628</v>
      </c>
      <c r="D344" s="73" t="s">
        <v>1654</v>
      </c>
      <c r="E344" s="73" t="s">
        <v>2248</v>
      </c>
      <c r="F344" s="73" t="s">
        <v>1631</v>
      </c>
      <c r="G344" s="73" t="s">
        <v>1790</v>
      </c>
      <c r="H344" s="73" t="s">
        <v>1653</v>
      </c>
      <c r="I344" s="73" t="s">
        <v>13</v>
      </c>
      <c r="J344" s="58"/>
      <c r="K344" s="58"/>
      <c r="L344" s="58"/>
      <c r="M344" s="58"/>
      <c r="N344" s="58"/>
      <c r="O344" s="58"/>
      <c r="P344" s="58"/>
      <c r="Q344" s="58"/>
      <c r="R344" s="58"/>
      <c r="S344" s="58"/>
      <c r="T344" s="58"/>
      <c r="U344" s="58"/>
      <c r="V344" s="58"/>
      <c r="W344" s="58"/>
      <c r="X344" s="58"/>
      <c r="Y344" s="58"/>
      <c r="Z344" s="58"/>
    </row>
    <row r="345">
      <c r="A345" s="85" t="s">
        <v>2249</v>
      </c>
      <c r="B345" s="72" t="s">
        <v>2001</v>
      </c>
      <c r="C345" s="73" t="s">
        <v>1628</v>
      </c>
      <c r="D345" s="73" t="s">
        <v>1654</v>
      </c>
      <c r="E345" s="73" t="s">
        <v>2250</v>
      </c>
      <c r="F345" s="73" t="s">
        <v>1631</v>
      </c>
      <c r="G345" s="73" t="s">
        <v>1790</v>
      </c>
      <c r="H345" s="73" t="s">
        <v>1653</v>
      </c>
      <c r="I345" s="73" t="s">
        <v>13</v>
      </c>
      <c r="J345" s="58"/>
      <c r="K345" s="58"/>
      <c r="L345" s="58"/>
      <c r="M345" s="58"/>
      <c r="N345" s="58"/>
      <c r="O345" s="58"/>
      <c r="P345" s="58"/>
      <c r="Q345" s="58"/>
      <c r="R345" s="58"/>
      <c r="S345" s="58"/>
      <c r="T345" s="58"/>
      <c r="U345" s="58"/>
      <c r="V345" s="58"/>
      <c r="W345" s="58"/>
      <c r="X345" s="58"/>
      <c r="Y345" s="58"/>
      <c r="Z345" s="58"/>
    </row>
    <row r="346">
      <c r="A346" s="85" t="s">
        <v>2251</v>
      </c>
      <c r="B346" s="72" t="s">
        <v>2001</v>
      </c>
      <c r="C346" s="73" t="s">
        <v>1628</v>
      </c>
      <c r="D346" s="73" t="s">
        <v>1654</v>
      </c>
      <c r="E346" s="73" t="s">
        <v>2252</v>
      </c>
      <c r="F346" s="73" t="s">
        <v>1631</v>
      </c>
      <c r="G346" s="73" t="s">
        <v>1790</v>
      </c>
      <c r="H346" s="73" t="s">
        <v>1646</v>
      </c>
      <c r="I346" s="73" t="s">
        <v>13</v>
      </c>
      <c r="J346" s="58"/>
      <c r="K346" s="58"/>
      <c r="L346" s="58"/>
      <c r="M346" s="58"/>
      <c r="N346" s="58"/>
      <c r="O346" s="58"/>
      <c r="P346" s="58"/>
      <c r="Q346" s="58"/>
      <c r="R346" s="58"/>
      <c r="S346" s="58"/>
      <c r="T346" s="58"/>
      <c r="U346" s="58"/>
      <c r="V346" s="58"/>
      <c r="W346" s="58"/>
      <c r="X346" s="58"/>
      <c r="Y346" s="58"/>
      <c r="Z346" s="58"/>
    </row>
    <row r="347">
      <c r="A347" s="85" t="s">
        <v>2253</v>
      </c>
      <c r="B347" s="72" t="s">
        <v>2001</v>
      </c>
      <c r="C347" s="65" t="s">
        <v>1628</v>
      </c>
      <c r="D347" s="65" t="s">
        <v>1641</v>
      </c>
      <c r="E347" s="59" t="s">
        <v>2254</v>
      </c>
      <c r="F347" s="65" t="s">
        <v>1648</v>
      </c>
      <c r="G347" s="111" t="s">
        <v>1719</v>
      </c>
      <c r="H347" s="65" t="s">
        <v>1649</v>
      </c>
      <c r="I347" s="73" t="s">
        <v>13</v>
      </c>
      <c r="J347" s="58"/>
      <c r="K347" s="58"/>
      <c r="L347" s="58"/>
      <c r="M347" s="58"/>
      <c r="N347" s="58"/>
      <c r="O347" s="58"/>
      <c r="P347" s="58"/>
      <c r="Q347" s="58"/>
      <c r="R347" s="58"/>
      <c r="S347" s="58"/>
      <c r="T347" s="58"/>
      <c r="U347" s="58"/>
      <c r="V347" s="58"/>
      <c r="W347" s="58"/>
      <c r="X347" s="58"/>
      <c r="Y347" s="58"/>
      <c r="Z347" s="58"/>
    </row>
    <row r="348">
      <c r="A348" s="85" t="s">
        <v>2255</v>
      </c>
      <c r="B348" s="72" t="s">
        <v>2001</v>
      </c>
      <c r="C348" s="65" t="s">
        <v>1628</v>
      </c>
      <c r="D348" s="59" t="s">
        <v>1664</v>
      </c>
      <c r="E348" s="73" t="s">
        <v>2256</v>
      </c>
      <c r="F348" s="73" t="s">
        <v>1631</v>
      </c>
      <c r="G348" s="73" t="s">
        <v>1797</v>
      </c>
      <c r="H348" s="73" t="s">
        <v>1667</v>
      </c>
      <c r="I348" s="73" t="s">
        <v>13</v>
      </c>
      <c r="J348" s="58"/>
      <c r="K348" s="58"/>
      <c r="L348" s="58"/>
      <c r="M348" s="58"/>
      <c r="N348" s="58"/>
      <c r="O348" s="58"/>
      <c r="P348" s="58"/>
      <c r="Q348" s="58"/>
      <c r="R348" s="58"/>
      <c r="S348" s="58"/>
      <c r="T348" s="58"/>
      <c r="U348" s="58"/>
      <c r="V348" s="58"/>
      <c r="W348" s="58"/>
      <c r="X348" s="58"/>
      <c r="Y348" s="58"/>
      <c r="Z348" s="58"/>
    </row>
    <row r="349">
      <c r="A349" s="85" t="s">
        <v>2257</v>
      </c>
      <c r="B349" s="72" t="s">
        <v>2001</v>
      </c>
      <c r="C349" s="65" t="s">
        <v>1628</v>
      </c>
      <c r="D349" s="59" t="s">
        <v>1664</v>
      </c>
      <c r="E349" s="73" t="s">
        <v>2258</v>
      </c>
      <c r="F349" s="73" t="s">
        <v>1631</v>
      </c>
      <c r="G349" s="73" t="s">
        <v>1799</v>
      </c>
      <c r="H349" s="73" t="s">
        <v>1657</v>
      </c>
      <c r="I349" s="73" t="s">
        <v>13</v>
      </c>
      <c r="J349" s="58"/>
      <c r="K349" s="58"/>
      <c r="L349" s="58"/>
      <c r="M349" s="58"/>
      <c r="N349" s="58"/>
      <c r="O349" s="58"/>
      <c r="P349" s="58"/>
      <c r="Q349" s="58"/>
      <c r="R349" s="58"/>
      <c r="S349" s="58"/>
      <c r="T349" s="58"/>
      <c r="U349" s="58"/>
      <c r="V349" s="58"/>
      <c r="W349" s="58"/>
      <c r="X349" s="58"/>
      <c r="Y349" s="58"/>
      <c r="Z349" s="58"/>
    </row>
    <row r="350">
      <c r="A350" s="85" t="s">
        <v>2259</v>
      </c>
      <c r="B350" s="72" t="s">
        <v>2001</v>
      </c>
      <c r="C350" s="65" t="s">
        <v>1628</v>
      </c>
      <c r="D350" s="59" t="s">
        <v>1664</v>
      </c>
      <c r="E350" s="73" t="s">
        <v>2260</v>
      </c>
      <c r="F350" s="73" t="s">
        <v>1631</v>
      </c>
      <c r="G350" s="73" t="s">
        <v>1719</v>
      </c>
      <c r="H350" s="73" t="s">
        <v>1646</v>
      </c>
      <c r="I350" s="73" t="s">
        <v>13</v>
      </c>
      <c r="J350" s="58"/>
      <c r="K350" s="58"/>
      <c r="L350" s="58"/>
      <c r="M350" s="58"/>
      <c r="N350" s="58"/>
      <c r="O350" s="58"/>
      <c r="P350" s="58"/>
      <c r="Q350" s="58"/>
      <c r="R350" s="58"/>
      <c r="S350" s="58"/>
      <c r="T350" s="58"/>
      <c r="U350" s="58"/>
      <c r="V350" s="58"/>
      <c r="W350" s="58"/>
      <c r="X350" s="58"/>
      <c r="Y350" s="58"/>
      <c r="Z350" s="58"/>
    </row>
    <row r="351">
      <c r="A351" s="85" t="s">
        <v>2261</v>
      </c>
      <c r="B351" s="72" t="s">
        <v>2001</v>
      </c>
      <c r="C351" s="65" t="s">
        <v>1628</v>
      </c>
      <c r="D351" s="59" t="s">
        <v>1664</v>
      </c>
      <c r="E351" s="59" t="s">
        <v>2262</v>
      </c>
      <c r="F351" s="65" t="s">
        <v>1648</v>
      </c>
      <c r="G351" s="73" t="s">
        <v>1719</v>
      </c>
      <c r="H351" s="65" t="s">
        <v>1649</v>
      </c>
      <c r="I351" s="73" t="s">
        <v>13</v>
      </c>
      <c r="J351" s="58"/>
      <c r="K351" s="58"/>
      <c r="L351" s="58"/>
      <c r="M351" s="58"/>
      <c r="N351" s="58"/>
      <c r="O351" s="58"/>
      <c r="P351" s="58"/>
      <c r="Q351" s="58"/>
      <c r="R351" s="58"/>
      <c r="S351" s="58"/>
      <c r="T351" s="58"/>
      <c r="U351" s="58"/>
      <c r="V351" s="58"/>
      <c r="W351" s="58"/>
      <c r="X351" s="58"/>
      <c r="Y351" s="58"/>
      <c r="Z351" s="58"/>
    </row>
    <row r="352">
      <c r="A352" s="85" t="s">
        <v>2263</v>
      </c>
      <c r="B352" s="72" t="s">
        <v>2001</v>
      </c>
      <c r="C352" s="65" t="s">
        <v>1628</v>
      </c>
      <c r="D352" s="59" t="s">
        <v>1664</v>
      </c>
      <c r="E352" s="73" t="s">
        <v>2264</v>
      </c>
      <c r="F352" s="73" t="s">
        <v>1631</v>
      </c>
      <c r="G352" s="73" t="s">
        <v>1803</v>
      </c>
      <c r="H352" s="73" t="s">
        <v>1653</v>
      </c>
      <c r="I352" s="73" t="s">
        <v>13</v>
      </c>
      <c r="J352" s="58"/>
      <c r="K352" s="58"/>
      <c r="L352" s="58"/>
      <c r="M352" s="58"/>
      <c r="N352" s="58"/>
      <c r="O352" s="58"/>
      <c r="P352" s="58"/>
      <c r="Q352" s="58"/>
      <c r="R352" s="58"/>
      <c r="S352" s="58"/>
      <c r="T352" s="58"/>
      <c r="U352" s="58"/>
      <c r="V352" s="58"/>
      <c r="W352" s="58"/>
      <c r="X352" s="58"/>
      <c r="Y352" s="58"/>
      <c r="Z352" s="58"/>
    </row>
    <row r="353">
      <c r="A353" s="85" t="s">
        <v>2265</v>
      </c>
      <c r="B353" s="72" t="s">
        <v>2001</v>
      </c>
      <c r="C353" s="65" t="s">
        <v>1628</v>
      </c>
      <c r="D353" s="59" t="s">
        <v>1664</v>
      </c>
      <c r="E353" s="73" t="s">
        <v>1674</v>
      </c>
      <c r="F353" s="73" t="s">
        <v>1675</v>
      </c>
      <c r="G353" s="73" t="s">
        <v>1719</v>
      </c>
      <c r="H353" s="73" t="s">
        <v>1676</v>
      </c>
      <c r="I353" s="73" t="s">
        <v>13</v>
      </c>
      <c r="J353" s="58"/>
      <c r="K353" s="58"/>
      <c r="L353" s="58"/>
      <c r="M353" s="58"/>
      <c r="N353" s="58"/>
      <c r="O353" s="58"/>
      <c r="P353" s="58"/>
      <c r="Q353" s="58"/>
      <c r="R353" s="58"/>
      <c r="S353" s="58"/>
      <c r="T353" s="58"/>
      <c r="U353" s="58"/>
      <c r="V353" s="58"/>
      <c r="W353" s="58"/>
      <c r="X353" s="58"/>
      <c r="Y353" s="58"/>
      <c r="Z353" s="58"/>
    </row>
    <row r="354">
      <c r="A354" s="85" t="s">
        <v>2266</v>
      </c>
      <c r="B354" s="72" t="s">
        <v>2001</v>
      </c>
      <c r="C354" s="65" t="s">
        <v>1628</v>
      </c>
      <c r="D354" s="73" t="s">
        <v>1677</v>
      </c>
      <c r="E354" s="73" t="s">
        <v>2267</v>
      </c>
      <c r="F354" s="73" t="s">
        <v>1679</v>
      </c>
      <c r="G354" s="73" t="s">
        <v>1719</v>
      </c>
      <c r="H354" s="73" t="s">
        <v>1680</v>
      </c>
      <c r="I354" s="73" t="s">
        <v>13</v>
      </c>
      <c r="J354" s="58"/>
      <c r="K354" s="58"/>
      <c r="L354" s="58"/>
      <c r="M354" s="58"/>
      <c r="N354" s="58"/>
      <c r="O354" s="58"/>
      <c r="P354" s="58"/>
      <c r="Q354" s="58"/>
      <c r="R354" s="58"/>
      <c r="S354" s="58"/>
      <c r="T354" s="58"/>
      <c r="U354" s="58"/>
      <c r="V354" s="58"/>
      <c r="W354" s="58"/>
      <c r="X354" s="58"/>
      <c r="Y354" s="58"/>
      <c r="Z354" s="58"/>
    </row>
    <row r="355">
      <c r="A355" s="85" t="s">
        <v>2268</v>
      </c>
      <c r="B355" s="72" t="s">
        <v>2001</v>
      </c>
      <c r="C355" s="73" t="s">
        <v>1681</v>
      </c>
      <c r="D355" s="73" t="s">
        <v>1682</v>
      </c>
      <c r="E355" s="73" t="s">
        <v>1683</v>
      </c>
      <c r="F355" s="73" t="s">
        <v>1684</v>
      </c>
      <c r="G355" s="73" t="s">
        <v>1805</v>
      </c>
      <c r="H355" s="73" t="s">
        <v>1686</v>
      </c>
      <c r="I355" s="73" t="s">
        <v>13</v>
      </c>
      <c r="J355" s="58"/>
      <c r="K355" s="58"/>
      <c r="L355" s="58"/>
      <c r="M355" s="58"/>
      <c r="N355" s="58"/>
      <c r="O355" s="58"/>
      <c r="P355" s="58"/>
      <c r="Q355" s="58"/>
      <c r="R355" s="58"/>
      <c r="S355" s="58"/>
      <c r="T355" s="58"/>
      <c r="U355" s="58"/>
      <c r="V355" s="58"/>
      <c r="W355" s="58"/>
      <c r="X355" s="58"/>
      <c r="Y355" s="58"/>
      <c r="Z355" s="58"/>
    </row>
    <row r="356">
      <c r="A356" s="85" t="s">
        <v>2269</v>
      </c>
      <c r="B356" s="72" t="s">
        <v>2001</v>
      </c>
      <c r="C356" s="73" t="s">
        <v>1681</v>
      </c>
      <c r="D356" s="73" t="s">
        <v>1687</v>
      </c>
      <c r="E356" s="73" t="s">
        <v>1688</v>
      </c>
      <c r="F356" s="73" t="s">
        <v>1689</v>
      </c>
      <c r="G356" s="73" t="s">
        <v>1806</v>
      </c>
      <c r="H356" s="73" t="s">
        <v>1691</v>
      </c>
      <c r="I356" s="73" t="s">
        <v>13</v>
      </c>
      <c r="J356" s="58"/>
      <c r="K356" s="58"/>
      <c r="L356" s="58"/>
      <c r="M356" s="58"/>
      <c r="N356" s="58"/>
      <c r="O356" s="58"/>
      <c r="P356" s="58"/>
      <c r="Q356" s="58"/>
      <c r="R356" s="58"/>
      <c r="S356" s="58"/>
      <c r="T356" s="58"/>
      <c r="U356" s="58"/>
      <c r="V356" s="58"/>
      <c r="W356" s="58"/>
      <c r="X356" s="58"/>
      <c r="Y356" s="58"/>
      <c r="Z356" s="58"/>
    </row>
    <row r="357">
      <c r="A357" s="85" t="s">
        <v>2270</v>
      </c>
      <c r="B357" s="72" t="s">
        <v>2001</v>
      </c>
      <c r="C357" s="73" t="s">
        <v>1681</v>
      </c>
      <c r="D357" s="73" t="s">
        <v>1687</v>
      </c>
      <c r="E357" s="73" t="s">
        <v>1692</v>
      </c>
      <c r="F357" s="73" t="s">
        <v>1693</v>
      </c>
      <c r="G357" s="73" t="s">
        <v>1807</v>
      </c>
      <c r="H357" s="73" t="s">
        <v>1695</v>
      </c>
      <c r="I357" s="73" t="s">
        <v>13</v>
      </c>
      <c r="J357" s="58"/>
      <c r="K357" s="58"/>
      <c r="L357" s="58"/>
      <c r="M357" s="58"/>
      <c r="N357" s="58"/>
      <c r="O357" s="58"/>
      <c r="P357" s="58"/>
      <c r="Q357" s="58"/>
      <c r="R357" s="58"/>
      <c r="S357" s="58"/>
      <c r="T357" s="58"/>
      <c r="U357" s="58"/>
      <c r="V357" s="58"/>
      <c r="W357" s="58"/>
      <c r="X357" s="58"/>
      <c r="Y357" s="58"/>
      <c r="Z357" s="58"/>
    </row>
    <row r="358">
      <c r="A358" s="85" t="s">
        <v>2271</v>
      </c>
      <c r="B358" s="72" t="s">
        <v>2001</v>
      </c>
      <c r="C358" s="75"/>
      <c r="D358" s="75"/>
      <c r="E358" s="73" t="s">
        <v>1696</v>
      </c>
      <c r="F358" s="73" t="s">
        <v>1697</v>
      </c>
      <c r="G358" s="73" t="s">
        <v>1808</v>
      </c>
      <c r="H358" s="73" t="s">
        <v>1691</v>
      </c>
      <c r="I358" s="73" t="s">
        <v>13</v>
      </c>
      <c r="J358" s="58"/>
      <c r="K358" s="58"/>
      <c r="L358" s="58"/>
      <c r="M358" s="58"/>
      <c r="N358" s="58"/>
      <c r="O358" s="58"/>
      <c r="P358" s="58"/>
      <c r="Q358" s="58"/>
      <c r="R358" s="58"/>
      <c r="S358" s="58"/>
      <c r="T358" s="58"/>
      <c r="U358" s="58"/>
      <c r="V358" s="58"/>
      <c r="W358" s="58"/>
      <c r="X358" s="58"/>
      <c r="Y358" s="58"/>
      <c r="Z358" s="58"/>
    </row>
    <row r="359">
      <c r="A359" s="85" t="s">
        <v>2272</v>
      </c>
      <c r="B359" s="72" t="s">
        <v>2001</v>
      </c>
      <c r="C359" s="73" t="s">
        <v>1681</v>
      </c>
      <c r="D359" s="73" t="s">
        <v>1687</v>
      </c>
      <c r="E359" s="73" t="s">
        <v>1699</v>
      </c>
      <c r="F359" s="73" t="s">
        <v>1693</v>
      </c>
      <c r="G359" s="73" t="s">
        <v>1807</v>
      </c>
      <c r="H359" s="73" t="s">
        <v>1695</v>
      </c>
      <c r="I359" s="73" t="s">
        <v>13</v>
      </c>
      <c r="J359" s="58"/>
      <c r="K359" s="58"/>
      <c r="L359" s="58"/>
      <c r="M359" s="58"/>
      <c r="N359" s="58"/>
      <c r="O359" s="58"/>
      <c r="P359" s="58"/>
      <c r="Q359" s="58"/>
      <c r="R359" s="58"/>
      <c r="S359" s="58"/>
      <c r="T359" s="58"/>
      <c r="U359" s="58"/>
      <c r="V359" s="58"/>
      <c r="W359" s="58"/>
      <c r="X359" s="58"/>
      <c r="Y359" s="58"/>
      <c r="Z359" s="58"/>
    </row>
    <row r="360">
      <c r="A360" s="85" t="s">
        <v>2273</v>
      </c>
      <c r="B360" s="72" t="s">
        <v>2001</v>
      </c>
      <c r="C360" s="73" t="s">
        <v>1700</v>
      </c>
      <c r="D360" s="73" t="s">
        <v>1701</v>
      </c>
      <c r="E360" s="73" t="s">
        <v>2274</v>
      </c>
      <c r="F360" s="73" t="s">
        <v>1703</v>
      </c>
      <c r="G360" s="73" t="s">
        <v>1719</v>
      </c>
      <c r="H360" s="73" t="s">
        <v>1704</v>
      </c>
      <c r="I360" s="73" t="s">
        <v>13</v>
      </c>
      <c r="J360" s="58"/>
      <c r="K360" s="58"/>
      <c r="L360" s="58"/>
      <c r="M360" s="58"/>
      <c r="N360" s="58"/>
      <c r="O360" s="58"/>
      <c r="P360" s="58"/>
      <c r="Q360" s="58"/>
      <c r="R360" s="58"/>
      <c r="S360" s="58"/>
      <c r="T360" s="58"/>
      <c r="U360" s="58"/>
      <c r="V360" s="58"/>
      <c r="W360" s="58"/>
      <c r="X360" s="58"/>
      <c r="Y360" s="58"/>
      <c r="Z360" s="58"/>
    </row>
    <row r="361">
      <c r="A361" s="85" t="s">
        <v>2275</v>
      </c>
      <c r="B361" s="72" t="s">
        <v>2001</v>
      </c>
      <c r="C361" s="73" t="s">
        <v>1700</v>
      </c>
      <c r="D361" s="73" t="s">
        <v>1701</v>
      </c>
      <c r="E361" s="73" t="s">
        <v>1705</v>
      </c>
      <c r="F361" s="73" t="s">
        <v>1706</v>
      </c>
      <c r="G361" s="73" t="s">
        <v>1719</v>
      </c>
      <c r="H361" s="73" t="s">
        <v>1707</v>
      </c>
      <c r="I361" s="73" t="s">
        <v>13</v>
      </c>
      <c r="J361" s="58"/>
      <c r="K361" s="58"/>
      <c r="L361" s="58"/>
      <c r="M361" s="58"/>
      <c r="N361" s="58"/>
      <c r="O361" s="58"/>
      <c r="P361" s="58"/>
      <c r="Q361" s="58"/>
      <c r="R361" s="58"/>
      <c r="S361" s="58"/>
      <c r="T361" s="58"/>
      <c r="U361" s="58"/>
      <c r="V361" s="58"/>
      <c r="W361" s="58"/>
      <c r="X361" s="58"/>
      <c r="Y361" s="58"/>
      <c r="Z361" s="58"/>
    </row>
    <row r="362">
      <c r="A362" s="85" t="s">
        <v>2276</v>
      </c>
      <c r="B362" s="72" t="s">
        <v>2001</v>
      </c>
      <c r="C362" s="73" t="s">
        <v>1700</v>
      </c>
      <c r="D362" s="73" t="s">
        <v>1701</v>
      </c>
      <c r="E362" s="73" t="s">
        <v>2277</v>
      </c>
      <c r="F362" s="73" t="s">
        <v>1709</v>
      </c>
      <c r="G362" s="73" t="s">
        <v>1719</v>
      </c>
      <c r="H362" s="73" t="s">
        <v>1710</v>
      </c>
      <c r="I362" s="73" t="s">
        <v>13</v>
      </c>
      <c r="J362" s="58"/>
      <c r="K362" s="58"/>
      <c r="L362" s="58"/>
      <c r="M362" s="58"/>
      <c r="N362" s="58"/>
      <c r="O362" s="58"/>
      <c r="P362" s="58"/>
      <c r="Q362" s="58"/>
      <c r="R362" s="58"/>
      <c r="S362" s="58"/>
      <c r="T362" s="58"/>
      <c r="U362" s="58"/>
      <c r="V362" s="58"/>
      <c r="W362" s="58"/>
      <c r="X362" s="58"/>
      <c r="Y362" s="58"/>
      <c r="Z362" s="58"/>
    </row>
    <row r="363">
      <c r="A363" s="85" t="s">
        <v>2278</v>
      </c>
      <c r="B363" s="72" t="s">
        <v>2001</v>
      </c>
      <c r="C363" s="73" t="s">
        <v>1700</v>
      </c>
      <c r="D363" s="73" t="s">
        <v>1701</v>
      </c>
      <c r="E363" s="73" t="s">
        <v>1711</v>
      </c>
      <c r="F363" s="73" t="s">
        <v>1712</v>
      </c>
      <c r="G363" s="73" t="s">
        <v>1719</v>
      </c>
      <c r="H363" s="73" t="s">
        <v>1713</v>
      </c>
      <c r="I363" s="73" t="s">
        <v>13</v>
      </c>
      <c r="J363" s="58"/>
      <c r="K363" s="58"/>
      <c r="L363" s="58"/>
      <c r="M363" s="58"/>
      <c r="N363" s="58"/>
      <c r="O363" s="58"/>
      <c r="P363" s="58"/>
      <c r="Q363" s="58"/>
      <c r="R363" s="58"/>
      <c r="S363" s="58"/>
      <c r="T363" s="58"/>
      <c r="U363" s="58"/>
      <c r="V363" s="58"/>
      <c r="W363" s="58"/>
      <c r="X363" s="58"/>
      <c r="Y363" s="58"/>
      <c r="Z363" s="58"/>
    </row>
    <row r="364">
      <c r="A364" s="85" t="s">
        <v>2279</v>
      </c>
      <c r="B364" s="72" t="s">
        <v>2001</v>
      </c>
      <c r="C364" s="73" t="s">
        <v>1700</v>
      </c>
      <c r="D364" s="73" t="s">
        <v>1701</v>
      </c>
      <c r="E364" s="73" t="s">
        <v>2280</v>
      </c>
      <c r="F364" s="73" t="s">
        <v>1812</v>
      </c>
      <c r="G364" s="75"/>
      <c r="H364" s="73" t="s">
        <v>1813</v>
      </c>
      <c r="I364" s="73" t="s">
        <v>13</v>
      </c>
      <c r="J364" s="58"/>
      <c r="K364" s="58"/>
      <c r="L364" s="58"/>
      <c r="M364" s="58"/>
      <c r="N364" s="58"/>
      <c r="O364" s="58"/>
      <c r="P364" s="58"/>
      <c r="Q364" s="58"/>
      <c r="R364" s="58"/>
      <c r="S364" s="58"/>
      <c r="T364" s="58"/>
      <c r="U364" s="58"/>
      <c r="V364" s="58"/>
      <c r="W364" s="58"/>
      <c r="X364" s="58"/>
      <c r="Y364" s="58"/>
      <c r="Z364" s="58"/>
    </row>
    <row r="365">
      <c r="A365" s="85" t="s">
        <v>2281</v>
      </c>
      <c r="B365" s="72" t="s">
        <v>2001</v>
      </c>
      <c r="C365" s="73" t="s">
        <v>1700</v>
      </c>
      <c r="D365" s="73" t="s">
        <v>1701</v>
      </c>
      <c r="E365" s="73" t="s">
        <v>1814</v>
      </c>
      <c r="F365" s="73" t="s">
        <v>1815</v>
      </c>
      <c r="G365" s="73" t="s">
        <v>1816</v>
      </c>
      <c r="H365" s="73" t="s">
        <v>1813</v>
      </c>
      <c r="I365" s="73" t="s">
        <v>13</v>
      </c>
      <c r="J365" s="58"/>
      <c r="K365" s="58"/>
      <c r="L365" s="58"/>
      <c r="M365" s="58"/>
      <c r="N365" s="58"/>
      <c r="O365" s="58"/>
      <c r="P365" s="58"/>
      <c r="Q365" s="58"/>
      <c r="R365" s="58"/>
      <c r="S365" s="58"/>
      <c r="T365" s="58"/>
      <c r="U365" s="58"/>
      <c r="V365" s="58"/>
      <c r="W365" s="58"/>
      <c r="X365" s="58"/>
      <c r="Y365" s="58"/>
      <c r="Z365" s="58"/>
    </row>
    <row r="366">
      <c r="A366" s="85" t="s">
        <v>2282</v>
      </c>
      <c r="B366" s="72" t="s">
        <v>2001</v>
      </c>
      <c r="C366" s="73" t="s">
        <v>1700</v>
      </c>
      <c r="D366" s="73" t="s">
        <v>1701</v>
      </c>
      <c r="E366" s="73" t="s">
        <v>2283</v>
      </c>
      <c r="F366" s="73" t="s">
        <v>1818</v>
      </c>
      <c r="G366" s="73" t="s">
        <v>1819</v>
      </c>
      <c r="H366" s="73" t="s">
        <v>1813</v>
      </c>
      <c r="I366" s="73" t="s">
        <v>13</v>
      </c>
      <c r="J366" s="58"/>
      <c r="K366" s="58"/>
      <c r="L366" s="58"/>
      <c r="M366" s="58"/>
      <c r="N366" s="58"/>
      <c r="O366" s="58"/>
      <c r="P366" s="58"/>
      <c r="Q366" s="58"/>
      <c r="R366" s="58"/>
      <c r="S366" s="58"/>
      <c r="T366" s="58"/>
      <c r="U366" s="58"/>
      <c r="V366" s="58"/>
      <c r="W366" s="58"/>
      <c r="X366" s="58"/>
      <c r="Y366" s="58"/>
      <c r="Z366" s="58"/>
    </row>
    <row r="367">
      <c r="A367" s="85" t="s">
        <v>2284</v>
      </c>
      <c r="B367" s="72" t="s">
        <v>2001</v>
      </c>
      <c r="C367" s="73" t="s">
        <v>1700</v>
      </c>
      <c r="D367" s="73" t="s">
        <v>1701</v>
      </c>
      <c r="E367" s="73" t="s">
        <v>1711</v>
      </c>
      <c r="F367" s="73" t="s">
        <v>1820</v>
      </c>
      <c r="G367" s="75"/>
      <c r="H367" s="73" t="s">
        <v>1713</v>
      </c>
      <c r="I367" s="73" t="s">
        <v>13</v>
      </c>
      <c r="J367" s="58"/>
      <c r="K367" s="58"/>
      <c r="L367" s="58"/>
      <c r="M367" s="58"/>
      <c r="N367" s="58"/>
      <c r="O367" s="58"/>
      <c r="P367" s="58"/>
      <c r="Q367" s="58"/>
      <c r="R367" s="58"/>
      <c r="S367" s="58"/>
      <c r="T367" s="58"/>
      <c r="U367" s="58"/>
      <c r="V367" s="58"/>
      <c r="W367" s="58"/>
      <c r="X367" s="58"/>
      <c r="Y367" s="58"/>
      <c r="Z367" s="58"/>
    </row>
    <row r="368">
      <c r="A368" s="85" t="s">
        <v>2285</v>
      </c>
      <c r="B368" s="72" t="s">
        <v>2001</v>
      </c>
      <c r="C368" s="73" t="s">
        <v>1821</v>
      </c>
      <c r="D368" s="73" t="s">
        <v>1822</v>
      </c>
      <c r="E368" s="73" t="s">
        <v>1823</v>
      </c>
      <c r="F368" s="73" t="s">
        <v>1824</v>
      </c>
      <c r="G368" s="73" t="s">
        <v>1825</v>
      </c>
      <c r="H368" s="73" t="s">
        <v>1826</v>
      </c>
      <c r="I368" s="73" t="s">
        <v>13</v>
      </c>
      <c r="J368" s="58"/>
      <c r="K368" s="58"/>
      <c r="L368" s="58"/>
      <c r="M368" s="58"/>
      <c r="N368" s="58"/>
      <c r="O368" s="58"/>
      <c r="P368" s="58"/>
      <c r="Q368" s="58"/>
      <c r="R368" s="58"/>
      <c r="S368" s="58"/>
      <c r="T368" s="58"/>
      <c r="U368" s="58"/>
      <c r="V368" s="58"/>
      <c r="W368" s="58"/>
      <c r="X368" s="58"/>
      <c r="Y368" s="58"/>
      <c r="Z368" s="58"/>
    </row>
    <row r="369">
      <c r="A369" s="85" t="s">
        <v>2286</v>
      </c>
      <c r="B369" s="72" t="s">
        <v>2001</v>
      </c>
      <c r="C369" s="73" t="s">
        <v>1821</v>
      </c>
      <c r="D369" s="73" t="s">
        <v>1822</v>
      </c>
      <c r="E369" s="73" t="s">
        <v>2287</v>
      </c>
      <c r="F369" s="73" t="s">
        <v>1828</v>
      </c>
      <c r="G369" s="73" t="s">
        <v>1825</v>
      </c>
      <c r="H369" s="73" t="s">
        <v>1829</v>
      </c>
      <c r="I369" s="73" t="s">
        <v>13</v>
      </c>
      <c r="J369" s="58"/>
      <c r="K369" s="58"/>
      <c r="L369" s="58"/>
      <c r="M369" s="58"/>
      <c r="N369" s="58"/>
      <c r="O369" s="58"/>
      <c r="P369" s="58"/>
      <c r="Q369" s="58"/>
      <c r="R369" s="58"/>
      <c r="S369" s="58"/>
      <c r="T369" s="58"/>
      <c r="U369" s="58"/>
      <c r="V369" s="58"/>
      <c r="W369" s="58"/>
      <c r="X369" s="58"/>
      <c r="Y369" s="58"/>
      <c r="Z369" s="58"/>
    </row>
    <row r="370">
      <c r="A370" s="85" t="s">
        <v>2288</v>
      </c>
      <c r="B370" s="72" t="s">
        <v>2001</v>
      </c>
      <c r="C370" s="73" t="s">
        <v>1821</v>
      </c>
      <c r="D370" s="73" t="s">
        <v>1822</v>
      </c>
      <c r="E370" s="73" t="s">
        <v>2289</v>
      </c>
      <c r="F370" s="73" t="s">
        <v>1831</v>
      </c>
      <c r="G370" s="73" t="s">
        <v>1825</v>
      </c>
      <c r="H370" s="73" t="s">
        <v>1832</v>
      </c>
      <c r="I370" s="73" t="s">
        <v>13</v>
      </c>
      <c r="J370" s="58"/>
      <c r="K370" s="58"/>
      <c r="L370" s="58"/>
      <c r="M370" s="58"/>
      <c r="N370" s="58"/>
      <c r="O370" s="58"/>
      <c r="P370" s="58"/>
      <c r="Q370" s="58"/>
      <c r="R370" s="58"/>
      <c r="S370" s="58"/>
      <c r="T370" s="58"/>
      <c r="U370" s="58"/>
      <c r="V370" s="58"/>
      <c r="W370" s="58"/>
      <c r="X370" s="58"/>
      <c r="Y370" s="58"/>
      <c r="Z370" s="58"/>
    </row>
    <row r="371">
      <c r="A371" s="85" t="s">
        <v>2290</v>
      </c>
      <c r="B371" s="72" t="s">
        <v>2001</v>
      </c>
      <c r="C371" s="73" t="s">
        <v>1821</v>
      </c>
      <c r="D371" s="73" t="s">
        <v>1822</v>
      </c>
      <c r="E371" s="73" t="s">
        <v>2291</v>
      </c>
      <c r="F371" s="73" t="s">
        <v>1834</v>
      </c>
      <c r="G371" s="73" t="s">
        <v>1825</v>
      </c>
      <c r="H371" s="73" t="s">
        <v>1835</v>
      </c>
      <c r="I371" s="73" t="s">
        <v>13</v>
      </c>
      <c r="J371" s="58"/>
      <c r="K371" s="58"/>
      <c r="L371" s="58"/>
      <c r="M371" s="58"/>
      <c r="N371" s="58"/>
      <c r="O371" s="58"/>
      <c r="P371" s="58"/>
      <c r="Q371" s="58"/>
      <c r="R371" s="58"/>
      <c r="S371" s="58"/>
      <c r="T371" s="58"/>
      <c r="U371" s="58"/>
      <c r="V371" s="58"/>
      <c r="W371" s="58"/>
      <c r="X371" s="58"/>
      <c r="Y371" s="58"/>
      <c r="Z371" s="58"/>
    </row>
    <row r="372">
      <c r="A372" s="85" t="s">
        <v>2292</v>
      </c>
      <c r="B372" s="72" t="s">
        <v>2001</v>
      </c>
      <c r="C372" s="73" t="s">
        <v>1836</v>
      </c>
      <c r="D372" s="73" t="s">
        <v>1822</v>
      </c>
      <c r="E372" s="73" t="s">
        <v>2293</v>
      </c>
      <c r="F372" s="73" t="s">
        <v>1838</v>
      </c>
      <c r="G372" s="73" t="s">
        <v>1825</v>
      </c>
      <c r="H372" s="73" t="s">
        <v>1839</v>
      </c>
      <c r="I372" s="73" t="s">
        <v>13</v>
      </c>
      <c r="J372" s="58"/>
      <c r="K372" s="58"/>
      <c r="L372" s="58"/>
      <c r="M372" s="58"/>
      <c r="N372" s="58"/>
      <c r="O372" s="58"/>
      <c r="P372" s="58"/>
      <c r="Q372" s="58"/>
      <c r="R372" s="58"/>
      <c r="S372" s="58"/>
      <c r="T372" s="58"/>
      <c r="U372" s="58"/>
      <c r="V372" s="58"/>
      <c r="W372" s="58"/>
      <c r="X372" s="58"/>
      <c r="Y372" s="58"/>
      <c r="Z372" s="58"/>
    </row>
    <row r="373">
      <c r="A373" s="85" t="s">
        <v>2294</v>
      </c>
      <c r="B373" s="72" t="s">
        <v>2001</v>
      </c>
      <c r="C373" s="73" t="s">
        <v>1836</v>
      </c>
      <c r="D373" s="73" t="s">
        <v>1822</v>
      </c>
      <c r="E373" s="73" t="s">
        <v>1840</v>
      </c>
      <c r="F373" s="73" t="s">
        <v>1841</v>
      </c>
      <c r="G373" s="75"/>
      <c r="H373" s="73" t="s">
        <v>1842</v>
      </c>
      <c r="I373" s="73" t="s">
        <v>13</v>
      </c>
      <c r="J373" s="58"/>
      <c r="K373" s="58"/>
      <c r="L373" s="58"/>
      <c r="M373" s="58"/>
      <c r="N373" s="58"/>
      <c r="O373" s="58"/>
      <c r="P373" s="58"/>
      <c r="Q373" s="58"/>
      <c r="R373" s="58"/>
      <c r="S373" s="58"/>
      <c r="T373" s="58"/>
      <c r="U373" s="58"/>
      <c r="V373" s="58"/>
      <c r="W373" s="58"/>
      <c r="X373" s="58"/>
      <c r="Y373" s="58"/>
      <c r="Z373" s="58"/>
    </row>
    <row r="374">
      <c r="A374" s="85" t="s">
        <v>2295</v>
      </c>
      <c r="B374" s="72" t="s">
        <v>2001</v>
      </c>
      <c r="C374" s="73" t="s">
        <v>1836</v>
      </c>
      <c r="D374" s="73" t="s">
        <v>1822</v>
      </c>
      <c r="E374" s="73" t="s">
        <v>2296</v>
      </c>
      <c r="F374" s="73" t="s">
        <v>1838</v>
      </c>
      <c r="G374" s="75"/>
      <c r="H374" s="73" t="s">
        <v>1839</v>
      </c>
      <c r="I374" s="73" t="s">
        <v>13</v>
      </c>
      <c r="J374" s="58"/>
      <c r="K374" s="58"/>
      <c r="L374" s="58"/>
      <c r="M374" s="58"/>
      <c r="N374" s="58"/>
      <c r="O374" s="58"/>
      <c r="P374" s="58"/>
      <c r="Q374" s="58"/>
      <c r="R374" s="58"/>
      <c r="S374" s="58"/>
      <c r="T374" s="58"/>
      <c r="U374" s="58"/>
      <c r="V374" s="58"/>
      <c r="W374" s="58"/>
      <c r="X374" s="58"/>
      <c r="Y374" s="58"/>
      <c r="Z374" s="58"/>
    </row>
    <row r="375">
      <c r="A375" s="85" t="s">
        <v>2297</v>
      </c>
      <c r="B375" s="72" t="s">
        <v>2001</v>
      </c>
      <c r="C375" s="73" t="s">
        <v>1836</v>
      </c>
      <c r="D375" s="73" t="s">
        <v>1822</v>
      </c>
      <c r="E375" s="73" t="s">
        <v>2298</v>
      </c>
      <c r="F375" s="73" t="s">
        <v>1838</v>
      </c>
      <c r="G375" s="75"/>
      <c r="H375" s="73" t="s">
        <v>1839</v>
      </c>
      <c r="I375" s="73" t="s">
        <v>13</v>
      </c>
      <c r="J375" s="58"/>
      <c r="K375" s="58"/>
      <c r="L375" s="58"/>
      <c r="M375" s="58"/>
      <c r="N375" s="58"/>
      <c r="O375" s="58"/>
      <c r="P375" s="58"/>
      <c r="Q375" s="58"/>
      <c r="R375" s="58"/>
      <c r="S375" s="58"/>
      <c r="T375" s="58"/>
      <c r="U375" s="58"/>
      <c r="V375" s="58"/>
      <c r="W375" s="58"/>
      <c r="X375" s="58"/>
      <c r="Y375" s="58"/>
      <c r="Z375" s="58"/>
    </row>
    <row r="376">
      <c r="A376" s="85" t="s">
        <v>2299</v>
      </c>
      <c r="B376" s="72" t="s">
        <v>2001</v>
      </c>
      <c r="C376" s="73" t="s">
        <v>1836</v>
      </c>
      <c r="D376" s="73" t="s">
        <v>1822</v>
      </c>
      <c r="E376" s="73" t="s">
        <v>2300</v>
      </c>
      <c r="F376" s="73" t="s">
        <v>1838</v>
      </c>
      <c r="G376" s="75"/>
      <c r="H376" s="73" t="s">
        <v>1839</v>
      </c>
      <c r="I376" s="73" t="s">
        <v>13</v>
      </c>
      <c r="J376" s="58"/>
      <c r="K376" s="58"/>
      <c r="L376" s="58"/>
      <c r="M376" s="58"/>
      <c r="N376" s="58"/>
      <c r="O376" s="58"/>
      <c r="P376" s="58"/>
      <c r="Q376" s="58"/>
      <c r="R376" s="58"/>
      <c r="S376" s="58"/>
      <c r="T376" s="58"/>
      <c r="U376" s="58"/>
      <c r="V376" s="58"/>
      <c r="W376" s="58"/>
      <c r="X376" s="58"/>
      <c r="Y376" s="58"/>
      <c r="Z376" s="58"/>
    </row>
    <row r="377">
      <c r="A377" s="85" t="s">
        <v>2301</v>
      </c>
      <c r="B377" s="72" t="s">
        <v>2001</v>
      </c>
      <c r="C377" s="73" t="s">
        <v>1836</v>
      </c>
      <c r="D377" s="73" t="s">
        <v>1822</v>
      </c>
      <c r="E377" s="73" t="s">
        <v>2302</v>
      </c>
      <c r="F377" s="73" t="s">
        <v>1838</v>
      </c>
      <c r="G377" s="75"/>
      <c r="H377" s="73" t="s">
        <v>1839</v>
      </c>
      <c r="I377" s="73" t="s">
        <v>13</v>
      </c>
      <c r="J377" s="58"/>
      <c r="K377" s="58"/>
      <c r="L377" s="58"/>
      <c r="M377" s="58"/>
      <c r="N377" s="58"/>
      <c r="O377" s="58"/>
      <c r="P377" s="58"/>
      <c r="Q377" s="58"/>
      <c r="R377" s="58"/>
      <c r="S377" s="58"/>
      <c r="T377" s="58"/>
      <c r="U377" s="58"/>
      <c r="V377" s="58"/>
      <c r="W377" s="58"/>
      <c r="X377" s="58"/>
      <c r="Y377" s="58"/>
      <c r="Z377" s="58"/>
    </row>
    <row r="378">
      <c r="A378" s="85" t="s">
        <v>2303</v>
      </c>
      <c r="B378" s="72" t="s">
        <v>2001</v>
      </c>
      <c r="C378" s="73" t="s">
        <v>1836</v>
      </c>
      <c r="D378" s="73" t="s">
        <v>1822</v>
      </c>
      <c r="E378" s="73" t="s">
        <v>2304</v>
      </c>
      <c r="F378" s="73" t="s">
        <v>1848</v>
      </c>
      <c r="G378" s="75"/>
      <c r="H378" s="73" t="s">
        <v>1849</v>
      </c>
      <c r="I378" s="73" t="s">
        <v>13</v>
      </c>
      <c r="J378" s="58"/>
      <c r="K378" s="58"/>
      <c r="L378" s="58"/>
      <c r="M378" s="58"/>
      <c r="N378" s="58"/>
      <c r="O378" s="58"/>
      <c r="P378" s="58"/>
      <c r="Q378" s="58"/>
      <c r="R378" s="58"/>
      <c r="S378" s="58"/>
      <c r="T378" s="58"/>
      <c r="U378" s="58"/>
      <c r="V378" s="58"/>
      <c r="W378" s="58"/>
      <c r="X378" s="58"/>
      <c r="Y378" s="58"/>
      <c r="Z378" s="58"/>
    </row>
    <row r="379">
      <c r="A379" s="85" t="s">
        <v>2305</v>
      </c>
      <c r="B379" s="72" t="s">
        <v>2001</v>
      </c>
      <c r="C379" s="73" t="s">
        <v>1836</v>
      </c>
      <c r="D379" s="73" t="s">
        <v>1822</v>
      </c>
      <c r="E379" s="73" t="s">
        <v>1850</v>
      </c>
      <c r="F379" s="73" t="s">
        <v>1841</v>
      </c>
      <c r="G379" s="75"/>
      <c r="H379" s="73" t="s">
        <v>1842</v>
      </c>
      <c r="I379" s="73" t="s">
        <v>13</v>
      </c>
      <c r="J379" s="58"/>
      <c r="K379" s="58"/>
      <c r="L379" s="58"/>
      <c r="M379" s="58"/>
      <c r="N379" s="58"/>
      <c r="O379" s="58"/>
      <c r="P379" s="58"/>
      <c r="Q379" s="58"/>
      <c r="R379" s="58"/>
      <c r="S379" s="58"/>
      <c r="T379" s="58"/>
      <c r="U379" s="58"/>
      <c r="V379" s="58"/>
      <c r="W379" s="58"/>
      <c r="X379" s="58"/>
      <c r="Y379" s="58"/>
      <c r="Z379" s="58"/>
    </row>
    <row r="380">
      <c r="A380" s="85" t="s">
        <v>2306</v>
      </c>
      <c r="B380" s="72" t="s">
        <v>2001</v>
      </c>
      <c r="C380" s="73" t="s">
        <v>1851</v>
      </c>
      <c r="D380" s="73" t="s">
        <v>1852</v>
      </c>
      <c r="E380" s="73" t="s">
        <v>2307</v>
      </c>
      <c r="F380" s="73" t="s">
        <v>1854</v>
      </c>
      <c r="G380" s="75"/>
      <c r="H380" s="73" t="s">
        <v>1855</v>
      </c>
      <c r="I380" s="73" t="s">
        <v>13</v>
      </c>
      <c r="J380" s="58"/>
      <c r="K380" s="58"/>
      <c r="L380" s="58"/>
      <c r="M380" s="58"/>
      <c r="N380" s="58"/>
      <c r="O380" s="58"/>
      <c r="P380" s="58"/>
      <c r="Q380" s="58"/>
      <c r="R380" s="58"/>
      <c r="S380" s="58"/>
      <c r="T380" s="58"/>
      <c r="U380" s="58"/>
      <c r="V380" s="58"/>
      <c r="W380" s="58"/>
      <c r="X380" s="58"/>
      <c r="Y380" s="58"/>
      <c r="Z380" s="58"/>
    </row>
    <row r="381">
      <c r="A381" s="85" t="s">
        <v>2308</v>
      </c>
      <c r="B381" s="72" t="s">
        <v>2001</v>
      </c>
      <c r="C381" s="73" t="s">
        <v>1851</v>
      </c>
      <c r="D381" s="73" t="s">
        <v>1852</v>
      </c>
      <c r="E381" s="73" t="s">
        <v>2309</v>
      </c>
      <c r="F381" s="59" t="s">
        <v>1857</v>
      </c>
      <c r="G381" s="75"/>
      <c r="H381" s="73" t="s">
        <v>1858</v>
      </c>
      <c r="I381" s="73" t="s">
        <v>13</v>
      </c>
      <c r="J381" s="58"/>
      <c r="K381" s="58"/>
      <c r="L381" s="58"/>
      <c r="M381" s="58"/>
      <c r="N381" s="58"/>
      <c r="O381" s="58"/>
      <c r="P381" s="58"/>
      <c r="Q381" s="58"/>
      <c r="R381" s="58"/>
      <c r="S381" s="58"/>
      <c r="T381" s="58"/>
      <c r="U381" s="58"/>
      <c r="V381" s="58"/>
      <c r="W381" s="58"/>
      <c r="X381" s="58"/>
      <c r="Y381" s="58"/>
      <c r="Z381" s="58"/>
    </row>
    <row r="382">
      <c r="A382" s="85" t="s">
        <v>2310</v>
      </c>
      <c r="B382" s="72" t="s">
        <v>2001</v>
      </c>
      <c r="C382" s="73" t="s">
        <v>1851</v>
      </c>
      <c r="D382" s="73" t="s">
        <v>1859</v>
      </c>
      <c r="E382" s="73" t="s">
        <v>2311</v>
      </c>
      <c r="F382" s="73" t="s">
        <v>1861</v>
      </c>
      <c r="G382" s="75"/>
      <c r="H382" s="73" t="s">
        <v>1862</v>
      </c>
      <c r="I382" s="73" t="s">
        <v>13</v>
      </c>
      <c r="J382" s="58"/>
      <c r="K382" s="58"/>
      <c r="L382" s="58"/>
      <c r="M382" s="58"/>
      <c r="N382" s="58"/>
      <c r="O382" s="58"/>
      <c r="P382" s="58"/>
      <c r="Q382" s="58"/>
      <c r="R382" s="58"/>
      <c r="S382" s="58"/>
      <c r="T382" s="58"/>
      <c r="U382" s="58"/>
      <c r="V382" s="58"/>
      <c r="W382" s="58"/>
      <c r="X382" s="58"/>
      <c r="Y382" s="58"/>
      <c r="Z382" s="58"/>
    </row>
    <row r="383">
      <c r="A383" s="85" t="s">
        <v>2312</v>
      </c>
      <c r="B383" s="72" t="s">
        <v>2001</v>
      </c>
      <c r="C383" s="73" t="s">
        <v>1851</v>
      </c>
      <c r="D383" s="73" t="s">
        <v>1859</v>
      </c>
      <c r="E383" s="73" t="s">
        <v>1863</v>
      </c>
      <c r="F383" s="73" t="s">
        <v>1861</v>
      </c>
      <c r="G383" s="75"/>
      <c r="H383" s="73" t="s">
        <v>1864</v>
      </c>
      <c r="I383" s="73" t="s">
        <v>13</v>
      </c>
      <c r="J383" s="58"/>
      <c r="K383" s="58"/>
      <c r="L383" s="58"/>
      <c r="M383" s="58"/>
      <c r="N383" s="58"/>
      <c r="O383" s="58"/>
      <c r="P383" s="58"/>
      <c r="Q383" s="58"/>
      <c r="R383" s="58"/>
      <c r="S383" s="58"/>
      <c r="T383" s="58"/>
      <c r="U383" s="58"/>
      <c r="V383" s="58"/>
      <c r="W383" s="58"/>
      <c r="X383" s="58"/>
      <c r="Y383" s="58"/>
      <c r="Z383" s="58"/>
    </row>
    <row r="384">
      <c r="A384" s="85" t="s">
        <v>2313</v>
      </c>
      <c r="B384" s="72" t="s">
        <v>2001</v>
      </c>
      <c r="C384" s="73" t="s">
        <v>1851</v>
      </c>
      <c r="D384" s="73" t="s">
        <v>1859</v>
      </c>
      <c r="E384" s="73" t="s">
        <v>1865</v>
      </c>
      <c r="F384" s="73" t="s">
        <v>1861</v>
      </c>
      <c r="G384" s="75"/>
      <c r="H384" s="73" t="s">
        <v>1866</v>
      </c>
      <c r="I384" s="73" t="s">
        <v>13</v>
      </c>
      <c r="J384" s="58"/>
      <c r="K384" s="58"/>
      <c r="L384" s="58"/>
      <c r="M384" s="58"/>
      <c r="N384" s="58"/>
      <c r="O384" s="58"/>
      <c r="P384" s="58"/>
      <c r="Q384" s="58"/>
      <c r="R384" s="58"/>
      <c r="S384" s="58"/>
      <c r="T384" s="58"/>
      <c r="U384" s="58"/>
      <c r="V384" s="58"/>
      <c r="W384" s="58"/>
      <c r="X384" s="58"/>
      <c r="Y384" s="58"/>
      <c r="Z384" s="58"/>
    </row>
    <row r="385">
      <c r="A385" s="85" t="s">
        <v>2314</v>
      </c>
      <c r="B385" s="72" t="s">
        <v>2001</v>
      </c>
      <c r="C385" s="73" t="s">
        <v>1851</v>
      </c>
      <c r="D385" s="73" t="s">
        <v>1859</v>
      </c>
      <c r="E385" s="73" t="s">
        <v>1867</v>
      </c>
      <c r="F385" s="73" t="s">
        <v>1861</v>
      </c>
      <c r="G385" s="73" t="s">
        <v>1868</v>
      </c>
      <c r="H385" s="73" t="s">
        <v>1869</v>
      </c>
      <c r="I385" s="73" t="s">
        <v>13</v>
      </c>
      <c r="J385" s="58"/>
      <c r="K385" s="58"/>
      <c r="L385" s="58"/>
      <c r="M385" s="58"/>
      <c r="N385" s="58"/>
      <c r="O385" s="58"/>
      <c r="P385" s="58"/>
      <c r="Q385" s="58"/>
      <c r="R385" s="58"/>
      <c r="S385" s="58"/>
      <c r="T385" s="58"/>
      <c r="U385" s="58"/>
      <c r="V385" s="58"/>
      <c r="W385" s="58"/>
      <c r="X385" s="58"/>
      <c r="Y385" s="58"/>
      <c r="Z385" s="58"/>
    </row>
    <row r="386">
      <c r="A386" s="85" t="s">
        <v>2315</v>
      </c>
      <c r="B386" s="72" t="s">
        <v>2001</v>
      </c>
      <c r="C386" s="73" t="s">
        <v>1870</v>
      </c>
      <c r="D386" s="73" t="s">
        <v>1871</v>
      </c>
      <c r="E386" s="73" t="s">
        <v>1872</v>
      </c>
      <c r="F386" s="73" t="s">
        <v>1873</v>
      </c>
      <c r="G386" s="75"/>
      <c r="H386" s="73" t="s">
        <v>1874</v>
      </c>
      <c r="I386" s="73" t="s">
        <v>13</v>
      </c>
      <c r="J386" s="58"/>
      <c r="K386" s="58"/>
      <c r="L386" s="58"/>
      <c r="M386" s="58"/>
      <c r="N386" s="58"/>
      <c r="O386" s="58"/>
      <c r="P386" s="58"/>
      <c r="Q386" s="58"/>
      <c r="R386" s="58"/>
      <c r="S386" s="58"/>
      <c r="T386" s="58"/>
      <c r="U386" s="58"/>
      <c r="V386" s="58"/>
      <c r="W386" s="58"/>
      <c r="X386" s="58"/>
      <c r="Y386" s="58"/>
      <c r="Z386" s="58"/>
    </row>
    <row r="387">
      <c r="A387" s="85" t="s">
        <v>2316</v>
      </c>
      <c r="B387" s="72" t="s">
        <v>2001</v>
      </c>
      <c r="C387" s="73" t="s">
        <v>1875</v>
      </c>
      <c r="D387" s="73" t="s">
        <v>1822</v>
      </c>
      <c r="E387" s="73" t="s">
        <v>2317</v>
      </c>
      <c r="F387" s="73" t="s">
        <v>1877</v>
      </c>
      <c r="G387" s="75"/>
      <c r="H387" s="73" t="s">
        <v>1878</v>
      </c>
      <c r="I387" s="73" t="s">
        <v>13</v>
      </c>
      <c r="J387" s="58"/>
      <c r="K387" s="58"/>
      <c r="L387" s="58"/>
      <c r="M387" s="58"/>
      <c r="N387" s="58"/>
      <c r="O387" s="58"/>
      <c r="P387" s="58"/>
      <c r="Q387" s="58"/>
      <c r="R387" s="58"/>
      <c r="S387" s="58"/>
      <c r="T387" s="58"/>
      <c r="U387" s="58"/>
      <c r="V387" s="58"/>
      <c r="W387" s="58"/>
      <c r="X387" s="58"/>
      <c r="Y387" s="58"/>
      <c r="Z387" s="58"/>
    </row>
    <row r="388">
      <c r="A388" s="85" t="s">
        <v>2318</v>
      </c>
      <c r="B388" s="72" t="s">
        <v>2001</v>
      </c>
      <c r="C388" s="73" t="s">
        <v>1875</v>
      </c>
      <c r="D388" s="73" t="s">
        <v>1822</v>
      </c>
      <c r="E388" s="73" t="s">
        <v>2319</v>
      </c>
      <c r="F388" s="73" t="s">
        <v>1880</v>
      </c>
      <c r="G388" s="73" t="s">
        <v>1881</v>
      </c>
      <c r="H388" s="73" t="s">
        <v>1882</v>
      </c>
      <c r="I388" s="73" t="s">
        <v>13</v>
      </c>
      <c r="J388" s="58"/>
      <c r="K388" s="58"/>
      <c r="L388" s="58"/>
      <c r="M388" s="58"/>
      <c r="N388" s="58"/>
      <c r="O388" s="58"/>
      <c r="P388" s="58"/>
      <c r="Q388" s="58"/>
      <c r="R388" s="58"/>
      <c r="S388" s="58"/>
      <c r="T388" s="58"/>
      <c r="U388" s="58"/>
      <c r="V388" s="58"/>
      <c r="W388" s="58"/>
      <c r="X388" s="58"/>
      <c r="Y388" s="58"/>
      <c r="Z388" s="58"/>
    </row>
    <row r="389">
      <c r="A389" s="85" t="s">
        <v>2320</v>
      </c>
      <c r="B389" s="72" t="s">
        <v>2001</v>
      </c>
      <c r="C389" s="73" t="s">
        <v>1875</v>
      </c>
      <c r="D389" s="73" t="s">
        <v>1822</v>
      </c>
      <c r="E389" s="73" t="s">
        <v>2321</v>
      </c>
      <c r="F389" s="73" t="s">
        <v>1884</v>
      </c>
      <c r="G389" s="75"/>
      <c r="H389" s="73" t="s">
        <v>1885</v>
      </c>
      <c r="I389" s="73" t="s">
        <v>13</v>
      </c>
      <c r="J389" s="58"/>
      <c r="K389" s="58"/>
      <c r="L389" s="58"/>
      <c r="M389" s="58"/>
      <c r="N389" s="58"/>
      <c r="O389" s="58"/>
      <c r="P389" s="58"/>
      <c r="Q389" s="58"/>
      <c r="R389" s="58"/>
      <c r="S389" s="58"/>
      <c r="T389" s="58"/>
      <c r="U389" s="58"/>
      <c r="V389" s="58"/>
      <c r="W389" s="58"/>
      <c r="X389" s="58"/>
      <c r="Y389" s="58"/>
      <c r="Z389" s="58"/>
    </row>
    <row r="390">
      <c r="A390" s="85" t="s">
        <v>2322</v>
      </c>
      <c r="B390" s="72" t="s">
        <v>2001</v>
      </c>
      <c r="C390" s="73" t="s">
        <v>1875</v>
      </c>
      <c r="D390" s="73" t="s">
        <v>1886</v>
      </c>
      <c r="E390" s="73" t="s">
        <v>2323</v>
      </c>
      <c r="F390" s="73" t="s">
        <v>1888</v>
      </c>
      <c r="G390" s="75"/>
      <c r="H390" s="73" t="s">
        <v>1888</v>
      </c>
      <c r="I390" s="73" t="s">
        <v>13</v>
      </c>
      <c r="J390" s="58"/>
      <c r="K390" s="58"/>
      <c r="L390" s="58"/>
      <c r="M390" s="58"/>
      <c r="N390" s="58"/>
      <c r="O390" s="58"/>
      <c r="P390" s="58"/>
      <c r="Q390" s="58"/>
      <c r="R390" s="58"/>
      <c r="S390" s="58"/>
      <c r="T390" s="58"/>
      <c r="U390" s="58"/>
      <c r="V390" s="58"/>
      <c r="W390" s="58"/>
      <c r="X390" s="58"/>
      <c r="Y390" s="58"/>
      <c r="Z390" s="58"/>
    </row>
    <row r="391">
      <c r="A391" s="85" t="s">
        <v>2324</v>
      </c>
      <c r="B391" s="72" t="s">
        <v>2001</v>
      </c>
      <c r="C391" s="73" t="s">
        <v>1875</v>
      </c>
      <c r="D391" s="73" t="s">
        <v>1886</v>
      </c>
      <c r="E391" s="73" t="s">
        <v>2325</v>
      </c>
      <c r="F391" s="73" t="s">
        <v>1890</v>
      </c>
      <c r="G391" s="75"/>
      <c r="H391" s="75"/>
      <c r="I391" s="73" t="s">
        <v>13</v>
      </c>
      <c r="J391" s="58"/>
      <c r="K391" s="58"/>
      <c r="L391" s="58"/>
      <c r="M391" s="58"/>
      <c r="N391" s="58"/>
      <c r="O391" s="58"/>
      <c r="P391" s="58"/>
      <c r="Q391" s="58"/>
      <c r="R391" s="58"/>
      <c r="S391" s="58"/>
      <c r="T391" s="58"/>
      <c r="U391" s="58"/>
      <c r="V391" s="58"/>
      <c r="W391" s="58"/>
      <c r="X391" s="58"/>
      <c r="Y391" s="58"/>
      <c r="Z391" s="58"/>
    </row>
    <row r="392">
      <c r="A392" s="85" t="s">
        <v>2326</v>
      </c>
      <c r="B392" s="72" t="s">
        <v>2001</v>
      </c>
      <c r="C392" s="73" t="s">
        <v>1891</v>
      </c>
      <c r="D392" s="73" t="s">
        <v>1886</v>
      </c>
      <c r="E392" s="73" t="s">
        <v>1892</v>
      </c>
      <c r="F392" s="73" t="s">
        <v>1893</v>
      </c>
      <c r="G392" s="75"/>
      <c r="H392" s="73" t="s">
        <v>1893</v>
      </c>
      <c r="I392" s="73" t="s">
        <v>13</v>
      </c>
      <c r="J392" s="58"/>
      <c r="K392" s="58"/>
      <c r="L392" s="58"/>
      <c r="M392" s="58"/>
      <c r="N392" s="58"/>
      <c r="O392" s="58"/>
      <c r="P392" s="58"/>
      <c r="Q392" s="58"/>
      <c r="R392" s="58"/>
      <c r="S392" s="58"/>
      <c r="T392" s="58"/>
      <c r="U392" s="58"/>
      <c r="V392" s="58"/>
      <c r="W392" s="58"/>
      <c r="X392" s="58"/>
      <c r="Y392" s="58"/>
      <c r="Z392" s="58"/>
    </row>
    <row r="393">
      <c r="A393" s="85" t="s">
        <v>2327</v>
      </c>
      <c r="B393" s="72" t="s">
        <v>2001</v>
      </c>
      <c r="C393" s="73" t="s">
        <v>1894</v>
      </c>
      <c r="D393" s="73" t="s">
        <v>1886</v>
      </c>
      <c r="E393" s="73" t="s">
        <v>2328</v>
      </c>
      <c r="F393" s="73" t="s">
        <v>1896</v>
      </c>
      <c r="G393" s="75"/>
      <c r="H393" s="73" t="s">
        <v>1897</v>
      </c>
      <c r="I393" s="73" t="s">
        <v>13</v>
      </c>
      <c r="J393" s="58"/>
      <c r="K393" s="58"/>
      <c r="L393" s="58"/>
      <c r="M393" s="58"/>
      <c r="N393" s="58"/>
      <c r="O393" s="58"/>
      <c r="P393" s="58"/>
      <c r="Q393" s="58"/>
      <c r="R393" s="58"/>
      <c r="S393" s="58"/>
      <c r="T393" s="58"/>
      <c r="U393" s="58"/>
      <c r="V393" s="58"/>
      <c r="W393" s="58"/>
      <c r="X393" s="58"/>
      <c r="Y393" s="58"/>
      <c r="Z393" s="58"/>
    </row>
    <row r="394">
      <c r="A394" s="85" t="s">
        <v>2329</v>
      </c>
      <c r="B394" s="72" t="s">
        <v>2001</v>
      </c>
      <c r="C394" s="73" t="s">
        <v>1894</v>
      </c>
      <c r="D394" s="73" t="s">
        <v>1886</v>
      </c>
      <c r="E394" s="73" t="s">
        <v>2330</v>
      </c>
      <c r="F394" s="73" t="s">
        <v>1899</v>
      </c>
      <c r="G394" s="75"/>
      <c r="H394" s="73" t="s">
        <v>1899</v>
      </c>
      <c r="I394" s="73" t="s">
        <v>13</v>
      </c>
      <c r="J394" s="58"/>
      <c r="K394" s="58"/>
      <c r="L394" s="58"/>
      <c r="M394" s="58"/>
      <c r="N394" s="58"/>
      <c r="O394" s="58"/>
      <c r="P394" s="58"/>
      <c r="Q394" s="58"/>
      <c r="R394" s="58"/>
      <c r="S394" s="58"/>
      <c r="T394" s="58"/>
      <c r="U394" s="58"/>
      <c r="V394" s="58"/>
      <c r="W394" s="58"/>
      <c r="X394" s="58"/>
      <c r="Y394" s="58"/>
      <c r="Z394" s="58"/>
    </row>
    <row r="395">
      <c r="A395" s="85" t="s">
        <v>2331</v>
      </c>
      <c r="B395" s="72" t="s">
        <v>2001</v>
      </c>
      <c r="C395" s="73" t="s">
        <v>1894</v>
      </c>
      <c r="D395" s="73" t="s">
        <v>1900</v>
      </c>
      <c r="E395" s="73" t="s">
        <v>2332</v>
      </c>
      <c r="F395" s="73" t="s">
        <v>1902</v>
      </c>
      <c r="G395" s="75"/>
      <c r="H395" s="73" t="s">
        <v>1902</v>
      </c>
      <c r="I395" s="73" t="s">
        <v>13</v>
      </c>
      <c r="J395" s="58"/>
      <c r="K395" s="58"/>
      <c r="L395" s="58"/>
      <c r="M395" s="58"/>
      <c r="N395" s="58"/>
      <c r="O395" s="58"/>
      <c r="P395" s="58"/>
      <c r="Q395" s="58"/>
      <c r="R395" s="58"/>
      <c r="S395" s="58"/>
      <c r="T395" s="58"/>
      <c r="U395" s="58"/>
      <c r="V395" s="58"/>
      <c r="W395" s="58"/>
      <c r="X395" s="58"/>
      <c r="Y395" s="58"/>
      <c r="Z395" s="58"/>
    </row>
    <row r="396">
      <c r="A396" s="85" t="s">
        <v>2333</v>
      </c>
      <c r="B396" s="72" t="s">
        <v>2001</v>
      </c>
      <c r="C396" s="73" t="s">
        <v>1894</v>
      </c>
      <c r="D396" s="73" t="s">
        <v>1900</v>
      </c>
      <c r="E396" s="73" t="s">
        <v>1863</v>
      </c>
      <c r="F396" s="73" t="s">
        <v>1903</v>
      </c>
      <c r="G396" s="75"/>
      <c r="H396" s="73" t="s">
        <v>1904</v>
      </c>
      <c r="I396" s="73" t="s">
        <v>13</v>
      </c>
      <c r="J396" s="58"/>
      <c r="K396" s="58"/>
      <c r="L396" s="58"/>
      <c r="M396" s="58"/>
      <c r="N396" s="58"/>
      <c r="O396" s="58"/>
      <c r="P396" s="58"/>
      <c r="Q396" s="58"/>
      <c r="R396" s="58"/>
      <c r="S396" s="58"/>
      <c r="T396" s="58"/>
      <c r="U396" s="58"/>
      <c r="V396" s="58"/>
      <c r="W396" s="58"/>
      <c r="X396" s="58"/>
      <c r="Y396" s="58"/>
      <c r="Z396" s="58"/>
    </row>
    <row r="397">
      <c r="A397" s="85" t="s">
        <v>2334</v>
      </c>
      <c r="B397" s="72" t="s">
        <v>2001</v>
      </c>
      <c r="C397" s="73" t="s">
        <v>1894</v>
      </c>
      <c r="D397" s="73" t="s">
        <v>1900</v>
      </c>
      <c r="E397" s="73" t="s">
        <v>1865</v>
      </c>
      <c r="F397" s="73" t="s">
        <v>1905</v>
      </c>
      <c r="G397" s="75"/>
      <c r="H397" s="73" t="s">
        <v>1905</v>
      </c>
      <c r="I397" s="73" t="s">
        <v>13</v>
      </c>
      <c r="J397" s="58"/>
      <c r="K397" s="58"/>
      <c r="L397" s="58"/>
      <c r="M397" s="58"/>
      <c r="N397" s="58"/>
      <c r="O397" s="58"/>
      <c r="P397" s="58"/>
      <c r="Q397" s="58"/>
      <c r="R397" s="58"/>
      <c r="S397" s="58"/>
      <c r="T397" s="58"/>
      <c r="U397" s="58"/>
      <c r="V397" s="58"/>
      <c r="W397" s="58"/>
      <c r="X397" s="58"/>
      <c r="Y397" s="58"/>
      <c r="Z397" s="58"/>
    </row>
    <row r="398">
      <c r="A398" s="85" t="s">
        <v>2335</v>
      </c>
      <c r="B398" s="72" t="s">
        <v>2001</v>
      </c>
      <c r="C398" s="73" t="s">
        <v>1894</v>
      </c>
      <c r="D398" s="73" t="s">
        <v>1900</v>
      </c>
      <c r="E398" s="73" t="s">
        <v>1867</v>
      </c>
      <c r="F398" s="73" t="s">
        <v>1906</v>
      </c>
      <c r="G398" s="75"/>
      <c r="H398" s="73" t="s">
        <v>1907</v>
      </c>
      <c r="I398" s="73" t="s">
        <v>13</v>
      </c>
      <c r="J398" s="58"/>
      <c r="K398" s="58"/>
      <c r="L398" s="58"/>
      <c r="M398" s="58"/>
      <c r="N398" s="58"/>
      <c r="O398" s="58"/>
      <c r="P398" s="58"/>
      <c r="Q398" s="58"/>
      <c r="R398" s="58"/>
      <c r="S398" s="58"/>
      <c r="T398" s="58"/>
      <c r="U398" s="58"/>
      <c r="V398" s="58"/>
      <c r="W398" s="58"/>
      <c r="X398" s="58"/>
      <c r="Y398" s="58"/>
      <c r="Z398" s="58"/>
    </row>
    <row r="399">
      <c r="A399" s="85" t="s">
        <v>2336</v>
      </c>
      <c r="B399" s="72" t="s">
        <v>2001</v>
      </c>
      <c r="C399" s="73" t="s">
        <v>1908</v>
      </c>
      <c r="D399" s="73" t="s">
        <v>1886</v>
      </c>
      <c r="E399" s="73" t="s">
        <v>1909</v>
      </c>
      <c r="F399" s="73" t="s">
        <v>1910</v>
      </c>
      <c r="G399" s="75"/>
      <c r="H399" s="73" t="s">
        <v>1911</v>
      </c>
      <c r="I399" s="73" t="s">
        <v>13</v>
      </c>
      <c r="J399" s="58"/>
      <c r="K399" s="58"/>
      <c r="L399" s="58"/>
      <c r="M399" s="58"/>
      <c r="N399" s="58"/>
      <c r="O399" s="58"/>
      <c r="P399" s="58"/>
      <c r="Q399" s="58"/>
      <c r="R399" s="58"/>
      <c r="S399" s="58"/>
      <c r="T399" s="58"/>
      <c r="U399" s="58"/>
      <c r="V399" s="58"/>
      <c r="W399" s="58"/>
      <c r="X399" s="58"/>
      <c r="Y399" s="58"/>
      <c r="Z399" s="58"/>
    </row>
    <row r="400">
      <c r="A400" s="85" t="s">
        <v>2337</v>
      </c>
      <c r="B400" s="72" t="s">
        <v>2001</v>
      </c>
      <c r="C400" s="73" t="s">
        <v>1912</v>
      </c>
      <c r="D400" s="73" t="s">
        <v>1913</v>
      </c>
      <c r="E400" s="73" t="s">
        <v>1914</v>
      </c>
      <c r="F400" s="73" t="s">
        <v>1915</v>
      </c>
      <c r="G400" s="73"/>
      <c r="H400" s="73" t="s">
        <v>1916</v>
      </c>
      <c r="I400" s="73" t="s">
        <v>13</v>
      </c>
      <c r="J400" s="58"/>
      <c r="K400" s="58"/>
      <c r="L400" s="58"/>
      <c r="M400" s="58"/>
      <c r="N400" s="58"/>
      <c r="O400" s="58"/>
      <c r="P400" s="58"/>
      <c r="Q400" s="58"/>
      <c r="R400" s="58"/>
      <c r="S400" s="58"/>
      <c r="T400" s="58"/>
      <c r="U400" s="58"/>
      <c r="V400" s="58"/>
      <c r="W400" s="58"/>
      <c r="X400" s="58"/>
      <c r="Y400" s="58"/>
      <c r="Z400" s="58"/>
    </row>
    <row r="401">
      <c r="A401" s="85" t="s">
        <v>2338</v>
      </c>
      <c r="B401" s="72" t="s">
        <v>2001</v>
      </c>
      <c r="C401" s="73" t="s">
        <v>1912</v>
      </c>
      <c r="D401" s="73" t="s">
        <v>1917</v>
      </c>
      <c r="E401" s="73" t="s">
        <v>1918</v>
      </c>
      <c r="F401" s="73" t="s">
        <v>1919</v>
      </c>
      <c r="G401" s="75"/>
      <c r="H401" s="73" t="s">
        <v>1920</v>
      </c>
      <c r="I401" s="73" t="s">
        <v>13</v>
      </c>
      <c r="J401" s="58"/>
      <c r="K401" s="58"/>
      <c r="L401" s="58"/>
      <c r="M401" s="58"/>
      <c r="N401" s="58"/>
      <c r="O401" s="58"/>
      <c r="P401" s="58"/>
      <c r="Q401" s="58"/>
      <c r="R401" s="58"/>
      <c r="S401" s="58"/>
      <c r="T401" s="58"/>
      <c r="U401" s="58"/>
      <c r="V401" s="58"/>
      <c r="W401" s="58"/>
      <c r="X401" s="58"/>
      <c r="Y401" s="58"/>
      <c r="Z401" s="58"/>
    </row>
    <row r="402">
      <c r="A402" s="85" t="s">
        <v>2339</v>
      </c>
      <c r="B402" s="72" t="s">
        <v>2001</v>
      </c>
      <c r="C402" s="73" t="s">
        <v>1912</v>
      </c>
      <c r="D402" s="73" t="s">
        <v>1917</v>
      </c>
      <c r="E402" s="73" t="s">
        <v>1921</v>
      </c>
      <c r="F402" s="73" t="s">
        <v>1922</v>
      </c>
      <c r="G402" s="75"/>
      <c r="H402" s="73" t="s">
        <v>1923</v>
      </c>
      <c r="I402" s="73" t="s">
        <v>13</v>
      </c>
      <c r="J402" s="58"/>
      <c r="K402" s="58"/>
      <c r="L402" s="58"/>
      <c r="M402" s="58"/>
      <c r="N402" s="58"/>
      <c r="O402" s="58"/>
      <c r="P402" s="58"/>
      <c r="Q402" s="58"/>
      <c r="R402" s="58"/>
      <c r="S402" s="58"/>
      <c r="T402" s="58"/>
      <c r="U402" s="58"/>
      <c r="V402" s="58"/>
      <c r="W402" s="58"/>
      <c r="X402" s="58"/>
      <c r="Y402" s="58"/>
      <c r="Z402" s="58"/>
    </row>
    <row r="403">
      <c r="A403" s="85" t="s">
        <v>2340</v>
      </c>
      <c r="B403" s="72" t="s">
        <v>2001</v>
      </c>
      <c r="C403" s="73" t="s">
        <v>1912</v>
      </c>
      <c r="D403" s="73" t="s">
        <v>1924</v>
      </c>
      <c r="E403" s="73" t="s">
        <v>1925</v>
      </c>
      <c r="F403" s="73" t="s">
        <v>1926</v>
      </c>
      <c r="G403" s="75"/>
      <c r="H403" s="73" t="s">
        <v>1927</v>
      </c>
      <c r="I403" s="73" t="s">
        <v>13</v>
      </c>
      <c r="J403" s="58"/>
      <c r="K403" s="58"/>
      <c r="L403" s="58"/>
      <c r="M403" s="58"/>
      <c r="N403" s="58"/>
      <c r="O403" s="58"/>
      <c r="P403" s="58"/>
      <c r="Q403" s="58"/>
      <c r="R403" s="58"/>
      <c r="S403" s="58"/>
      <c r="T403" s="58"/>
      <c r="U403" s="58"/>
      <c r="V403" s="58"/>
      <c r="W403" s="58"/>
      <c r="X403" s="58"/>
      <c r="Y403" s="58"/>
      <c r="Z403" s="58"/>
    </row>
    <row r="404">
      <c r="A404" s="85" t="s">
        <v>2341</v>
      </c>
      <c r="B404" s="72" t="s">
        <v>2001</v>
      </c>
      <c r="C404" s="73" t="s">
        <v>1912</v>
      </c>
      <c r="D404" s="73" t="s">
        <v>1924</v>
      </c>
      <c r="E404" s="73" t="s">
        <v>1928</v>
      </c>
      <c r="F404" s="73" t="s">
        <v>1929</v>
      </c>
      <c r="G404" s="75"/>
      <c r="H404" s="73" t="s">
        <v>1930</v>
      </c>
      <c r="I404" s="73" t="s">
        <v>13</v>
      </c>
      <c r="J404" s="58"/>
      <c r="K404" s="58"/>
      <c r="L404" s="58"/>
      <c r="M404" s="58"/>
      <c r="N404" s="58"/>
      <c r="O404" s="58"/>
      <c r="P404" s="58"/>
      <c r="Q404" s="58"/>
      <c r="R404" s="58"/>
      <c r="S404" s="58"/>
      <c r="T404" s="58"/>
      <c r="U404" s="58"/>
      <c r="V404" s="58"/>
      <c r="W404" s="58"/>
      <c r="X404" s="58"/>
      <c r="Y404" s="58"/>
      <c r="Z404" s="58"/>
    </row>
    <row r="405">
      <c r="A405" s="85" t="s">
        <v>2342</v>
      </c>
      <c r="B405" s="72" t="s">
        <v>2001</v>
      </c>
      <c r="C405" s="73" t="s">
        <v>1912</v>
      </c>
      <c r="D405" s="73" t="s">
        <v>1924</v>
      </c>
      <c r="E405" s="73" t="s">
        <v>1931</v>
      </c>
      <c r="F405" s="73" t="s">
        <v>1932</v>
      </c>
      <c r="G405" s="75"/>
      <c r="H405" s="73" t="s">
        <v>1930</v>
      </c>
      <c r="I405" s="73" t="s">
        <v>13</v>
      </c>
      <c r="J405" s="58"/>
      <c r="K405" s="58"/>
      <c r="L405" s="58"/>
      <c r="M405" s="58"/>
      <c r="N405" s="58"/>
      <c r="O405" s="58"/>
      <c r="P405" s="58"/>
      <c r="Q405" s="58"/>
      <c r="R405" s="58"/>
      <c r="S405" s="58"/>
      <c r="T405" s="58"/>
      <c r="U405" s="58"/>
      <c r="V405" s="58"/>
      <c r="W405" s="58"/>
      <c r="X405" s="58"/>
      <c r="Y405" s="58"/>
      <c r="Z405" s="58"/>
    </row>
    <row r="406">
      <c r="A406" s="85" t="s">
        <v>2343</v>
      </c>
      <c r="B406" s="72" t="s">
        <v>2001</v>
      </c>
      <c r="C406" s="73" t="s">
        <v>1912</v>
      </c>
      <c r="D406" s="73" t="s">
        <v>1924</v>
      </c>
      <c r="E406" s="73" t="s">
        <v>1933</v>
      </c>
      <c r="F406" s="73" t="s">
        <v>1934</v>
      </c>
      <c r="G406" s="75"/>
      <c r="H406" s="73" t="s">
        <v>1935</v>
      </c>
      <c r="I406" s="73" t="s">
        <v>13</v>
      </c>
      <c r="J406" s="58"/>
      <c r="K406" s="58"/>
      <c r="L406" s="58"/>
      <c r="M406" s="58"/>
      <c r="N406" s="58"/>
      <c r="O406" s="58"/>
      <c r="P406" s="58"/>
      <c r="Q406" s="58"/>
      <c r="R406" s="58"/>
      <c r="S406" s="58"/>
      <c r="T406" s="58"/>
      <c r="U406" s="58"/>
      <c r="V406" s="58"/>
      <c r="W406" s="58"/>
      <c r="X406" s="58"/>
      <c r="Y406" s="58"/>
      <c r="Z406" s="58"/>
    </row>
    <row r="407">
      <c r="A407" s="85" t="s">
        <v>2344</v>
      </c>
      <c r="B407" s="72" t="s">
        <v>2001</v>
      </c>
      <c r="C407" s="73" t="s">
        <v>1912</v>
      </c>
      <c r="D407" s="73" t="s">
        <v>1924</v>
      </c>
      <c r="E407" s="73" t="s">
        <v>1936</v>
      </c>
      <c r="F407" s="73" t="s">
        <v>1937</v>
      </c>
      <c r="G407" s="75"/>
      <c r="H407" s="73" t="s">
        <v>1938</v>
      </c>
      <c r="I407" s="73" t="s">
        <v>13</v>
      </c>
      <c r="J407" s="58"/>
      <c r="K407" s="58"/>
      <c r="L407" s="58"/>
      <c r="M407" s="58"/>
      <c r="N407" s="58"/>
      <c r="O407" s="58"/>
      <c r="P407" s="58"/>
      <c r="Q407" s="58"/>
      <c r="R407" s="58"/>
      <c r="S407" s="58"/>
      <c r="T407" s="58"/>
      <c r="U407" s="58"/>
      <c r="V407" s="58"/>
      <c r="W407" s="58"/>
      <c r="X407" s="58"/>
      <c r="Y407" s="58"/>
      <c r="Z407" s="58"/>
    </row>
    <row r="408">
      <c r="A408" s="85" t="s">
        <v>2345</v>
      </c>
      <c r="B408" s="72" t="s">
        <v>2001</v>
      </c>
      <c r="C408" s="73" t="s">
        <v>1912</v>
      </c>
      <c r="D408" s="73" t="s">
        <v>1924</v>
      </c>
      <c r="E408" s="73" t="s">
        <v>1939</v>
      </c>
      <c r="F408" s="73" t="s">
        <v>1940</v>
      </c>
      <c r="G408" s="75"/>
      <c r="H408" s="73" t="s">
        <v>1941</v>
      </c>
      <c r="I408" s="73" t="s">
        <v>13</v>
      </c>
      <c r="J408" s="58"/>
      <c r="K408" s="58"/>
      <c r="L408" s="58"/>
      <c r="M408" s="58"/>
      <c r="N408" s="58"/>
      <c r="O408" s="58"/>
      <c r="P408" s="58"/>
      <c r="Q408" s="58"/>
      <c r="R408" s="58"/>
      <c r="S408" s="58"/>
      <c r="T408" s="58"/>
      <c r="U408" s="58"/>
      <c r="V408" s="58"/>
      <c r="W408" s="58"/>
      <c r="X408" s="58"/>
      <c r="Y408" s="58"/>
      <c r="Z408" s="58"/>
    </row>
    <row r="409">
      <c r="A409" s="85" t="s">
        <v>2346</v>
      </c>
      <c r="B409" s="72" t="s">
        <v>2001</v>
      </c>
      <c r="C409" s="73" t="s">
        <v>1942</v>
      </c>
      <c r="D409" s="73" t="s">
        <v>1943</v>
      </c>
      <c r="E409" s="73" t="s">
        <v>2347</v>
      </c>
      <c r="F409" s="73" t="s">
        <v>1945</v>
      </c>
      <c r="G409" s="75"/>
      <c r="H409" s="73" t="s">
        <v>1946</v>
      </c>
      <c r="I409" s="73" t="s">
        <v>13</v>
      </c>
      <c r="J409" s="58"/>
      <c r="K409" s="58"/>
      <c r="L409" s="58"/>
      <c r="M409" s="58"/>
      <c r="N409" s="58"/>
      <c r="O409" s="58"/>
      <c r="P409" s="58"/>
      <c r="Q409" s="58"/>
      <c r="R409" s="58"/>
      <c r="S409" s="58"/>
      <c r="T409" s="58"/>
      <c r="U409" s="58"/>
      <c r="V409" s="58"/>
      <c r="W409" s="58"/>
      <c r="X409" s="58"/>
      <c r="Y409" s="58"/>
      <c r="Z409" s="58"/>
    </row>
    <row r="410">
      <c r="A410" s="85" t="s">
        <v>2348</v>
      </c>
      <c r="B410" s="72" t="s">
        <v>2001</v>
      </c>
      <c r="C410" s="73" t="s">
        <v>1942</v>
      </c>
      <c r="D410" s="73" t="s">
        <v>1943</v>
      </c>
      <c r="E410" s="73" t="s">
        <v>2349</v>
      </c>
      <c r="F410" s="73" t="s">
        <v>1948</v>
      </c>
      <c r="G410" s="75"/>
      <c r="H410" s="73" t="s">
        <v>1949</v>
      </c>
      <c r="I410" s="73" t="s">
        <v>13</v>
      </c>
      <c r="J410" s="58"/>
      <c r="K410" s="58"/>
      <c r="L410" s="58"/>
      <c r="M410" s="58"/>
      <c r="N410" s="58"/>
      <c r="O410" s="58"/>
      <c r="P410" s="58"/>
      <c r="Q410" s="58"/>
      <c r="R410" s="58"/>
      <c r="S410" s="58"/>
      <c r="T410" s="58"/>
      <c r="U410" s="58"/>
      <c r="V410" s="58"/>
      <c r="W410" s="58"/>
      <c r="X410" s="58"/>
      <c r="Y410" s="58"/>
      <c r="Z410" s="58"/>
    </row>
    <row r="411">
      <c r="A411" s="85" t="s">
        <v>2350</v>
      </c>
      <c r="B411" s="72" t="s">
        <v>2001</v>
      </c>
      <c r="C411" s="73" t="s">
        <v>1950</v>
      </c>
      <c r="D411" s="73" t="s">
        <v>1943</v>
      </c>
      <c r="E411" s="73" t="s">
        <v>2351</v>
      </c>
      <c r="F411" s="75"/>
      <c r="G411" s="75"/>
      <c r="H411" s="75"/>
      <c r="I411" s="73" t="s">
        <v>13</v>
      </c>
      <c r="J411" s="58"/>
      <c r="K411" s="58"/>
      <c r="L411" s="58"/>
      <c r="M411" s="58"/>
      <c r="N411" s="58"/>
      <c r="O411" s="58"/>
      <c r="P411" s="58"/>
      <c r="Q411" s="58"/>
      <c r="R411" s="58"/>
      <c r="S411" s="58"/>
      <c r="T411" s="58"/>
      <c r="U411" s="58"/>
      <c r="V411" s="58"/>
      <c r="W411" s="58"/>
      <c r="X411" s="58"/>
      <c r="Y411" s="58"/>
      <c r="Z411" s="58"/>
    </row>
    <row r="412">
      <c r="A412" s="85" t="s">
        <v>2352</v>
      </c>
      <c r="B412" s="72" t="s">
        <v>2001</v>
      </c>
      <c r="C412" s="73" t="s">
        <v>1950</v>
      </c>
      <c r="D412" s="73" t="s">
        <v>1943</v>
      </c>
      <c r="E412" s="73" t="s">
        <v>2353</v>
      </c>
      <c r="F412" s="73" t="s">
        <v>1953</v>
      </c>
      <c r="G412" s="75"/>
      <c r="H412" s="73" t="s">
        <v>1954</v>
      </c>
      <c r="I412" s="73" t="s">
        <v>13</v>
      </c>
      <c r="J412" s="58"/>
      <c r="K412" s="58"/>
      <c r="L412" s="58"/>
      <c r="M412" s="58"/>
      <c r="N412" s="58"/>
      <c r="O412" s="58"/>
      <c r="P412" s="58"/>
      <c r="Q412" s="58"/>
      <c r="R412" s="58"/>
      <c r="S412" s="58"/>
      <c r="T412" s="58"/>
      <c r="U412" s="58"/>
      <c r="V412" s="58"/>
      <c r="W412" s="58"/>
      <c r="X412" s="58"/>
      <c r="Y412" s="58"/>
      <c r="Z412" s="58"/>
    </row>
    <row r="413">
      <c r="A413" s="85" t="s">
        <v>2354</v>
      </c>
      <c r="B413" s="72" t="s">
        <v>2001</v>
      </c>
      <c r="C413" s="73" t="s">
        <v>1950</v>
      </c>
      <c r="D413" s="73" t="s">
        <v>1943</v>
      </c>
      <c r="E413" s="73" t="s">
        <v>1955</v>
      </c>
      <c r="F413" s="73" t="s">
        <v>1953</v>
      </c>
      <c r="G413" s="75"/>
      <c r="H413" s="73" t="s">
        <v>1954</v>
      </c>
      <c r="I413" s="73" t="s">
        <v>13</v>
      </c>
      <c r="J413" s="58"/>
      <c r="K413" s="58"/>
      <c r="L413" s="58"/>
      <c r="M413" s="58"/>
      <c r="N413" s="58"/>
      <c r="O413" s="58"/>
      <c r="P413" s="58"/>
      <c r="Q413" s="58"/>
      <c r="R413" s="58"/>
      <c r="S413" s="58"/>
      <c r="T413" s="58"/>
      <c r="U413" s="58"/>
      <c r="V413" s="58"/>
      <c r="W413" s="58"/>
      <c r="X413" s="58"/>
      <c r="Y413" s="58"/>
      <c r="Z413" s="58"/>
    </row>
    <row r="414">
      <c r="A414" s="85" t="s">
        <v>2355</v>
      </c>
      <c r="B414" s="72" t="s">
        <v>2001</v>
      </c>
      <c r="C414" s="73" t="s">
        <v>1950</v>
      </c>
      <c r="D414" s="73" t="s">
        <v>1943</v>
      </c>
      <c r="E414" s="73" t="s">
        <v>2356</v>
      </c>
      <c r="F414" s="73" t="s">
        <v>1957</v>
      </c>
      <c r="G414" s="75"/>
      <c r="H414" s="73" t="s">
        <v>1958</v>
      </c>
      <c r="I414" s="73" t="s">
        <v>13</v>
      </c>
      <c r="J414" s="58"/>
      <c r="K414" s="58"/>
      <c r="L414" s="58"/>
      <c r="M414" s="58"/>
      <c r="N414" s="58"/>
      <c r="O414" s="58"/>
      <c r="P414" s="58"/>
      <c r="Q414" s="58"/>
      <c r="R414" s="58"/>
      <c r="S414" s="58"/>
      <c r="T414" s="58"/>
      <c r="U414" s="58"/>
      <c r="V414" s="58"/>
      <c r="W414" s="58"/>
      <c r="X414" s="58"/>
      <c r="Y414" s="58"/>
      <c r="Z414" s="58"/>
    </row>
    <row r="415">
      <c r="A415" s="85" t="s">
        <v>2357</v>
      </c>
      <c r="B415" s="72" t="s">
        <v>2001</v>
      </c>
      <c r="C415" s="73" t="s">
        <v>1950</v>
      </c>
      <c r="D415" s="73" t="s">
        <v>1943</v>
      </c>
      <c r="E415" s="73" t="s">
        <v>1959</v>
      </c>
      <c r="F415" s="73" t="s">
        <v>1960</v>
      </c>
      <c r="G415" s="75"/>
      <c r="H415" s="73" t="s">
        <v>1961</v>
      </c>
      <c r="I415" s="73" t="s">
        <v>13</v>
      </c>
      <c r="J415" s="58"/>
      <c r="K415" s="58"/>
      <c r="L415" s="58"/>
      <c r="M415" s="58"/>
      <c r="N415" s="58"/>
      <c r="O415" s="58"/>
      <c r="P415" s="58"/>
      <c r="Q415" s="58"/>
      <c r="R415" s="58"/>
      <c r="S415" s="58"/>
      <c r="T415" s="58"/>
      <c r="U415" s="58"/>
      <c r="V415" s="58"/>
      <c r="W415" s="58"/>
      <c r="X415" s="58"/>
      <c r="Y415" s="58"/>
      <c r="Z415" s="58"/>
    </row>
    <row r="416">
      <c r="A416" s="85" t="s">
        <v>2358</v>
      </c>
      <c r="B416" s="72" t="s">
        <v>2001</v>
      </c>
      <c r="C416" s="73" t="s">
        <v>1950</v>
      </c>
      <c r="D416" s="73" t="s">
        <v>1943</v>
      </c>
      <c r="E416" s="73" t="s">
        <v>1962</v>
      </c>
      <c r="F416" s="73" t="s">
        <v>1963</v>
      </c>
      <c r="G416" s="75"/>
      <c r="H416" s="73" t="s">
        <v>1964</v>
      </c>
      <c r="I416" s="73" t="s">
        <v>13</v>
      </c>
      <c r="J416" s="58"/>
      <c r="K416" s="58"/>
      <c r="L416" s="58"/>
      <c r="M416" s="58"/>
      <c r="N416" s="58"/>
      <c r="O416" s="58"/>
      <c r="P416" s="58"/>
      <c r="Q416" s="58"/>
      <c r="R416" s="58"/>
      <c r="S416" s="58"/>
      <c r="T416" s="58"/>
      <c r="U416" s="58"/>
      <c r="V416" s="58"/>
      <c r="W416" s="58"/>
      <c r="X416" s="58"/>
      <c r="Y416" s="58"/>
      <c r="Z416" s="58"/>
    </row>
    <row r="417">
      <c r="A417" s="85" t="s">
        <v>2359</v>
      </c>
      <c r="B417" s="72" t="s">
        <v>2001</v>
      </c>
      <c r="C417" s="73" t="s">
        <v>1950</v>
      </c>
      <c r="D417" s="73" t="s">
        <v>1943</v>
      </c>
      <c r="E417" s="73" t="s">
        <v>2360</v>
      </c>
      <c r="F417" s="73" t="s">
        <v>1966</v>
      </c>
      <c r="G417" s="73" t="s">
        <v>1967</v>
      </c>
      <c r="H417" s="73" t="s">
        <v>1968</v>
      </c>
      <c r="I417" s="73" t="s">
        <v>13</v>
      </c>
      <c r="J417" s="58"/>
      <c r="K417" s="58"/>
      <c r="L417" s="58"/>
      <c r="M417" s="58"/>
      <c r="N417" s="58"/>
      <c r="O417" s="58"/>
      <c r="P417" s="58"/>
      <c r="Q417" s="58"/>
      <c r="R417" s="58"/>
      <c r="S417" s="58"/>
      <c r="T417" s="58"/>
      <c r="U417" s="58"/>
      <c r="V417" s="58"/>
      <c r="W417" s="58"/>
      <c r="X417" s="58"/>
      <c r="Y417" s="58"/>
      <c r="Z417" s="58"/>
    </row>
    <row r="418">
      <c r="A418" s="85" t="s">
        <v>2361</v>
      </c>
      <c r="B418" s="72" t="s">
        <v>2001</v>
      </c>
      <c r="C418" s="73" t="s">
        <v>1950</v>
      </c>
      <c r="D418" s="73" t="s">
        <v>1943</v>
      </c>
      <c r="E418" s="73" t="s">
        <v>2362</v>
      </c>
      <c r="F418" s="73" t="s">
        <v>1970</v>
      </c>
      <c r="G418" s="73" t="s">
        <v>1971</v>
      </c>
      <c r="H418" s="73" t="s">
        <v>1972</v>
      </c>
      <c r="I418" s="73" t="s">
        <v>13</v>
      </c>
      <c r="J418" s="58"/>
      <c r="K418" s="58"/>
      <c r="L418" s="58"/>
      <c r="M418" s="58"/>
      <c r="N418" s="58"/>
      <c r="O418" s="58"/>
      <c r="P418" s="58"/>
      <c r="Q418" s="58"/>
      <c r="R418" s="58"/>
      <c r="S418" s="58"/>
      <c r="T418" s="58"/>
      <c r="U418" s="58"/>
      <c r="V418" s="58"/>
      <c r="W418" s="58"/>
      <c r="X418" s="58"/>
      <c r="Y418" s="58"/>
      <c r="Z418" s="58"/>
    </row>
    <row r="419">
      <c r="A419" s="85" t="s">
        <v>2363</v>
      </c>
      <c r="B419" s="72" t="s">
        <v>2001</v>
      </c>
      <c r="C419" s="73" t="s">
        <v>1950</v>
      </c>
      <c r="D419" s="73" t="s">
        <v>1943</v>
      </c>
      <c r="E419" s="73" t="s">
        <v>1973</v>
      </c>
      <c r="F419" s="73" t="s">
        <v>1974</v>
      </c>
      <c r="G419" s="75"/>
      <c r="H419" s="73" t="s">
        <v>1975</v>
      </c>
      <c r="I419" s="73" t="s">
        <v>13</v>
      </c>
      <c r="J419" s="58"/>
      <c r="K419" s="58"/>
      <c r="L419" s="58"/>
      <c r="M419" s="58"/>
      <c r="N419" s="58"/>
      <c r="O419" s="58"/>
      <c r="P419" s="58"/>
      <c r="Q419" s="58"/>
      <c r="R419" s="58"/>
      <c r="S419" s="58"/>
      <c r="T419" s="58"/>
      <c r="U419" s="58"/>
      <c r="V419" s="58"/>
      <c r="W419" s="58"/>
      <c r="X419" s="58"/>
      <c r="Y419" s="58"/>
      <c r="Z419" s="58"/>
    </row>
    <row r="420">
      <c r="A420" s="85" t="s">
        <v>2364</v>
      </c>
      <c r="B420" s="72" t="s">
        <v>2001</v>
      </c>
      <c r="C420" s="73" t="s">
        <v>1976</v>
      </c>
      <c r="D420" s="73" t="s">
        <v>1943</v>
      </c>
      <c r="E420" s="73" t="s">
        <v>1977</v>
      </c>
      <c r="F420" s="73" t="s">
        <v>1978</v>
      </c>
      <c r="G420" s="73"/>
      <c r="H420" s="73" t="s">
        <v>1979</v>
      </c>
      <c r="I420" s="73" t="s">
        <v>13</v>
      </c>
      <c r="J420" s="58"/>
      <c r="K420" s="58"/>
      <c r="L420" s="58"/>
      <c r="M420" s="58"/>
      <c r="N420" s="58"/>
      <c r="O420" s="58"/>
      <c r="P420" s="58"/>
      <c r="Q420" s="58"/>
      <c r="R420" s="58"/>
      <c r="S420" s="58"/>
      <c r="T420" s="58"/>
      <c r="U420" s="58"/>
      <c r="V420" s="58"/>
      <c r="W420" s="58"/>
      <c r="X420" s="58"/>
      <c r="Y420" s="58"/>
      <c r="Z420" s="58"/>
    </row>
    <row r="421">
      <c r="A421" s="85" t="s">
        <v>2365</v>
      </c>
      <c r="B421" s="72" t="s">
        <v>2001</v>
      </c>
      <c r="C421" s="73" t="s">
        <v>1976</v>
      </c>
      <c r="D421" s="73" t="s">
        <v>1943</v>
      </c>
      <c r="E421" s="73" t="s">
        <v>1980</v>
      </c>
      <c r="F421" s="73" t="s">
        <v>1981</v>
      </c>
      <c r="G421" s="75"/>
      <c r="H421" s="73" t="s">
        <v>1982</v>
      </c>
      <c r="I421" s="73" t="s">
        <v>13</v>
      </c>
      <c r="J421" s="58"/>
      <c r="K421" s="58"/>
      <c r="L421" s="58"/>
      <c r="M421" s="58"/>
      <c r="N421" s="58"/>
      <c r="O421" s="58"/>
      <c r="P421" s="58"/>
      <c r="Q421" s="58"/>
      <c r="R421" s="58"/>
      <c r="S421" s="58"/>
      <c r="T421" s="58"/>
      <c r="U421" s="58"/>
      <c r="V421" s="58"/>
      <c r="W421" s="58"/>
      <c r="X421" s="58"/>
      <c r="Y421" s="58"/>
      <c r="Z421" s="58"/>
    </row>
    <row r="422">
      <c r="A422" s="85" t="s">
        <v>2366</v>
      </c>
      <c r="B422" s="72" t="s">
        <v>2001</v>
      </c>
      <c r="C422" s="73" t="s">
        <v>1983</v>
      </c>
      <c r="D422" s="73" t="s">
        <v>1943</v>
      </c>
      <c r="E422" s="59" t="s">
        <v>1984</v>
      </c>
      <c r="F422" s="73" t="s">
        <v>1985</v>
      </c>
      <c r="G422" s="73" t="s">
        <v>1986</v>
      </c>
      <c r="H422" s="73" t="s">
        <v>1987</v>
      </c>
      <c r="I422" s="73" t="s">
        <v>13</v>
      </c>
      <c r="J422" s="58"/>
      <c r="K422" s="58"/>
      <c r="L422" s="58"/>
      <c r="M422" s="58"/>
      <c r="N422" s="58"/>
      <c r="O422" s="58"/>
      <c r="P422" s="58"/>
      <c r="Q422" s="58"/>
      <c r="R422" s="58"/>
      <c r="S422" s="58"/>
      <c r="T422" s="58"/>
      <c r="U422" s="58"/>
      <c r="V422" s="58"/>
      <c r="W422" s="58"/>
      <c r="X422" s="58"/>
      <c r="Y422" s="58"/>
      <c r="Z422" s="58"/>
    </row>
    <row r="423">
      <c r="A423" s="85" t="s">
        <v>2367</v>
      </c>
      <c r="B423" s="72" t="s">
        <v>2001</v>
      </c>
      <c r="C423" s="73" t="s">
        <v>1983</v>
      </c>
      <c r="D423" s="73" t="s">
        <v>1943</v>
      </c>
      <c r="E423" s="73" t="s">
        <v>2368</v>
      </c>
      <c r="F423" s="73" t="s">
        <v>1985</v>
      </c>
      <c r="G423" s="73" t="s">
        <v>1989</v>
      </c>
      <c r="H423" s="73" t="s">
        <v>1990</v>
      </c>
      <c r="I423" s="73" t="s">
        <v>13</v>
      </c>
      <c r="J423" s="58"/>
      <c r="K423" s="58"/>
      <c r="L423" s="58"/>
      <c r="M423" s="58"/>
      <c r="N423" s="58"/>
      <c r="O423" s="58"/>
      <c r="P423" s="58"/>
      <c r="Q423" s="58"/>
      <c r="R423" s="58"/>
      <c r="S423" s="58"/>
      <c r="T423" s="58"/>
      <c r="U423" s="58"/>
      <c r="V423" s="58"/>
      <c r="W423" s="58"/>
      <c r="X423" s="58"/>
      <c r="Y423" s="58"/>
      <c r="Z423" s="58"/>
    </row>
    <row r="424">
      <c r="A424" s="85" t="s">
        <v>2369</v>
      </c>
      <c r="B424" s="72" t="s">
        <v>2001</v>
      </c>
      <c r="C424" s="73" t="s">
        <v>1983</v>
      </c>
      <c r="D424" s="73" t="s">
        <v>1943</v>
      </c>
      <c r="E424" s="73" t="s">
        <v>1991</v>
      </c>
      <c r="F424" s="73" t="s">
        <v>1992</v>
      </c>
      <c r="G424" s="73" t="s">
        <v>1993</v>
      </c>
      <c r="H424" s="73" t="s">
        <v>1994</v>
      </c>
      <c r="I424" s="73" t="s">
        <v>13</v>
      </c>
      <c r="J424" s="58"/>
      <c r="K424" s="58"/>
      <c r="L424" s="58"/>
      <c r="M424" s="58"/>
      <c r="N424" s="58"/>
      <c r="O424" s="58"/>
      <c r="P424" s="58"/>
      <c r="Q424" s="58"/>
      <c r="R424" s="58"/>
      <c r="S424" s="58"/>
      <c r="T424" s="58"/>
      <c r="U424" s="58"/>
      <c r="V424" s="58"/>
      <c r="W424" s="58"/>
      <c r="X424" s="58"/>
      <c r="Y424" s="58"/>
      <c r="Z424" s="58"/>
    </row>
    <row r="425">
      <c r="A425" s="113" t="s">
        <v>2370</v>
      </c>
      <c r="B425" s="72" t="s">
        <v>2001</v>
      </c>
      <c r="C425" s="73" t="s">
        <v>1996</v>
      </c>
      <c r="D425" s="73" t="s">
        <v>1943</v>
      </c>
      <c r="E425" s="73" t="s">
        <v>2371</v>
      </c>
      <c r="F425" s="73" t="s">
        <v>1998</v>
      </c>
      <c r="G425" s="75"/>
      <c r="H425" s="73" t="s">
        <v>1999</v>
      </c>
      <c r="I425" s="73" t="s">
        <v>13</v>
      </c>
      <c r="J425" s="58"/>
      <c r="K425" s="58"/>
      <c r="L425" s="58"/>
      <c r="M425" s="58"/>
      <c r="N425" s="58"/>
      <c r="O425" s="58"/>
      <c r="P425" s="58"/>
      <c r="Q425" s="58"/>
      <c r="R425" s="58"/>
      <c r="S425" s="58"/>
      <c r="T425" s="58"/>
      <c r="U425" s="58"/>
      <c r="V425" s="58"/>
      <c r="W425" s="58"/>
      <c r="X425" s="58"/>
      <c r="Y425" s="58"/>
      <c r="Z425" s="58"/>
    </row>
    <row r="426">
      <c r="A426" s="114"/>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115"/>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115"/>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115"/>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115"/>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115"/>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115"/>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115"/>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115"/>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115"/>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115"/>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115"/>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58"/>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58"/>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row r="1005">
      <c r="A1005" s="58"/>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row>
    <row r="1006">
      <c r="A1006" s="58"/>
      <c r="B1006" s="58"/>
      <c r="C1006" s="58"/>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row>
    <row r="1007">
      <c r="A1007" s="58"/>
      <c r="B1007" s="58"/>
      <c r="C1007" s="58"/>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row>
    <row r="1008">
      <c r="A1008" s="58"/>
      <c r="B1008" s="58"/>
      <c r="C1008" s="58"/>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row>
    <row r="1009">
      <c r="A1009" s="58"/>
      <c r="B1009" s="58"/>
      <c r="C1009" s="58"/>
      <c r="D1009" s="58"/>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row>
    <row r="1010">
      <c r="A1010" s="58"/>
      <c r="B1010" s="58"/>
      <c r="C1010" s="58"/>
      <c r="D1010" s="58"/>
      <c r="E1010" s="58"/>
      <c r="F1010" s="58"/>
      <c r="G1010" s="58"/>
      <c r="H1010" s="58"/>
      <c r="I1010" s="58"/>
      <c r="J1010" s="58"/>
      <c r="K1010" s="58"/>
      <c r="L1010" s="58"/>
      <c r="M1010" s="58"/>
      <c r="N1010" s="58"/>
      <c r="O1010" s="58"/>
      <c r="P1010" s="58"/>
      <c r="Q1010" s="58"/>
      <c r="R1010" s="58"/>
      <c r="S1010" s="58"/>
      <c r="T1010" s="58"/>
      <c r="U1010" s="58"/>
      <c r="V1010" s="58"/>
      <c r="W1010" s="58"/>
      <c r="X1010" s="58"/>
      <c r="Y1010" s="58"/>
      <c r="Z1010" s="58"/>
    </row>
    <row r="1011">
      <c r="A1011" s="58"/>
      <c r="B1011" s="58"/>
      <c r="C1011" s="58"/>
      <c r="D1011" s="58"/>
      <c r="E1011" s="58"/>
      <c r="F1011" s="58"/>
      <c r="G1011" s="58"/>
      <c r="H1011" s="58"/>
      <c r="I1011" s="58"/>
      <c r="J1011" s="58"/>
      <c r="K1011" s="58"/>
      <c r="L1011" s="58"/>
      <c r="M1011" s="58"/>
      <c r="N1011" s="58"/>
      <c r="O1011" s="58"/>
      <c r="P1011" s="58"/>
      <c r="Q1011" s="58"/>
      <c r="R1011" s="58"/>
      <c r="S1011" s="58"/>
      <c r="T1011" s="58"/>
      <c r="U1011" s="58"/>
      <c r="V1011" s="58"/>
      <c r="W1011" s="58"/>
      <c r="X1011" s="58"/>
      <c r="Y1011" s="58"/>
      <c r="Z1011" s="58"/>
    </row>
    <row r="1012">
      <c r="A1012" s="58"/>
      <c r="B1012" s="58"/>
      <c r="C1012" s="58"/>
      <c r="D1012" s="58"/>
      <c r="E1012" s="58"/>
      <c r="F1012" s="58"/>
      <c r="G1012" s="58"/>
      <c r="H1012" s="58"/>
      <c r="I1012" s="58"/>
      <c r="J1012" s="58"/>
      <c r="K1012" s="58"/>
      <c r="L1012" s="58"/>
      <c r="M1012" s="58"/>
      <c r="N1012" s="58"/>
      <c r="O1012" s="58"/>
      <c r="P1012" s="58"/>
      <c r="Q1012" s="58"/>
      <c r="R1012" s="58"/>
      <c r="S1012" s="58"/>
      <c r="T1012" s="58"/>
      <c r="U1012" s="58"/>
      <c r="V1012" s="58"/>
      <c r="W1012" s="58"/>
      <c r="X1012" s="58"/>
      <c r="Y1012" s="58"/>
      <c r="Z1012" s="58"/>
    </row>
    <row r="1013">
      <c r="A1013" s="58"/>
      <c r="B1013" s="58"/>
      <c r="C1013" s="58"/>
      <c r="D1013" s="58"/>
      <c r="E1013" s="58"/>
      <c r="F1013" s="58"/>
      <c r="G1013" s="58"/>
      <c r="H1013" s="58"/>
      <c r="I1013" s="58"/>
      <c r="J1013" s="58"/>
      <c r="K1013" s="58"/>
      <c r="L1013" s="58"/>
      <c r="M1013" s="58"/>
      <c r="N1013" s="58"/>
      <c r="O1013" s="58"/>
      <c r="P1013" s="58"/>
      <c r="Q1013" s="58"/>
      <c r="R1013" s="58"/>
      <c r="S1013" s="58"/>
      <c r="T1013" s="58"/>
      <c r="U1013" s="58"/>
      <c r="V1013" s="58"/>
      <c r="W1013" s="58"/>
      <c r="X1013" s="58"/>
      <c r="Y1013" s="58"/>
      <c r="Z1013" s="58"/>
    </row>
    <row r="1014">
      <c r="A1014" s="58"/>
      <c r="B1014" s="58"/>
      <c r="C1014" s="58"/>
      <c r="D1014" s="58"/>
      <c r="E1014" s="58"/>
      <c r="F1014" s="58"/>
      <c r="G1014" s="58"/>
      <c r="H1014" s="58"/>
      <c r="I1014" s="58"/>
      <c r="J1014" s="58"/>
      <c r="K1014" s="58"/>
      <c r="L1014" s="58"/>
      <c r="M1014" s="58"/>
      <c r="N1014" s="58"/>
      <c r="O1014" s="58"/>
      <c r="P1014" s="58"/>
      <c r="Q1014" s="58"/>
      <c r="R1014" s="58"/>
      <c r="S1014" s="58"/>
      <c r="T1014" s="58"/>
      <c r="U1014" s="58"/>
      <c r="V1014" s="58"/>
      <c r="W1014" s="58"/>
      <c r="X1014" s="58"/>
      <c r="Y1014" s="58"/>
      <c r="Z1014" s="58"/>
    </row>
    <row r="1015">
      <c r="A1015" s="58"/>
      <c r="B1015" s="58"/>
      <c r="C1015" s="58"/>
      <c r="D1015" s="58"/>
      <c r="E1015" s="58"/>
      <c r="F1015" s="58"/>
      <c r="G1015" s="58"/>
      <c r="H1015" s="58"/>
      <c r="I1015" s="58"/>
      <c r="J1015" s="58"/>
      <c r="K1015" s="58"/>
      <c r="L1015" s="58"/>
      <c r="M1015" s="58"/>
      <c r="N1015" s="58"/>
      <c r="O1015" s="58"/>
      <c r="P1015" s="58"/>
      <c r="Q1015" s="58"/>
      <c r="R1015" s="58"/>
      <c r="S1015" s="58"/>
      <c r="T1015" s="58"/>
      <c r="U1015" s="58"/>
      <c r="V1015" s="58"/>
      <c r="W1015" s="58"/>
      <c r="X1015" s="58"/>
      <c r="Y1015" s="58"/>
      <c r="Z1015" s="58"/>
    </row>
    <row r="1016">
      <c r="A1016" s="58"/>
      <c r="B1016" s="58"/>
      <c r="C1016" s="58"/>
      <c r="D1016" s="58"/>
      <c r="E1016" s="58"/>
      <c r="F1016" s="58"/>
      <c r="G1016" s="58"/>
      <c r="H1016" s="58"/>
      <c r="I1016" s="58"/>
      <c r="J1016" s="58"/>
      <c r="K1016" s="58"/>
      <c r="L1016" s="58"/>
      <c r="M1016" s="58"/>
      <c r="N1016" s="58"/>
      <c r="O1016" s="58"/>
      <c r="P1016" s="58"/>
      <c r="Q1016" s="58"/>
      <c r="R1016" s="58"/>
      <c r="S1016" s="58"/>
      <c r="T1016" s="58"/>
      <c r="U1016" s="58"/>
      <c r="V1016" s="58"/>
      <c r="W1016" s="58"/>
      <c r="X1016" s="58"/>
      <c r="Y1016" s="58"/>
      <c r="Z1016" s="58"/>
    </row>
    <row r="1017">
      <c r="A1017" s="58"/>
      <c r="B1017" s="58"/>
      <c r="C1017" s="58"/>
      <c r="D1017" s="58"/>
      <c r="E1017" s="58"/>
      <c r="F1017" s="58"/>
      <c r="G1017" s="58"/>
      <c r="H1017" s="58"/>
      <c r="I1017" s="58"/>
      <c r="J1017" s="58"/>
      <c r="K1017" s="58"/>
      <c r="L1017" s="58"/>
      <c r="M1017" s="58"/>
      <c r="N1017" s="58"/>
      <c r="O1017" s="58"/>
      <c r="P1017" s="58"/>
      <c r="Q1017" s="58"/>
      <c r="R1017" s="58"/>
      <c r="S1017" s="58"/>
      <c r="T1017" s="58"/>
      <c r="U1017" s="58"/>
      <c r="V1017" s="58"/>
      <c r="W1017" s="58"/>
      <c r="X1017" s="58"/>
      <c r="Y1017" s="58"/>
      <c r="Z1017" s="58"/>
    </row>
    <row r="1018">
      <c r="A1018" s="58"/>
      <c r="B1018" s="58"/>
      <c r="C1018" s="58"/>
      <c r="D1018" s="58"/>
      <c r="E1018" s="58"/>
      <c r="F1018" s="58"/>
      <c r="G1018" s="58"/>
      <c r="H1018" s="58"/>
      <c r="I1018" s="58"/>
      <c r="J1018" s="58"/>
      <c r="K1018" s="58"/>
      <c r="L1018" s="58"/>
      <c r="M1018" s="58"/>
      <c r="N1018" s="58"/>
      <c r="O1018" s="58"/>
      <c r="P1018" s="58"/>
      <c r="Q1018" s="58"/>
      <c r="R1018" s="58"/>
      <c r="S1018" s="58"/>
      <c r="T1018" s="58"/>
      <c r="U1018" s="58"/>
      <c r="V1018" s="58"/>
      <c r="W1018" s="58"/>
      <c r="X1018" s="58"/>
      <c r="Y1018" s="58"/>
      <c r="Z1018" s="58"/>
    </row>
    <row r="1019">
      <c r="A1019" s="58"/>
      <c r="B1019" s="58"/>
      <c r="C1019" s="58"/>
      <c r="D1019" s="58"/>
      <c r="E1019" s="58"/>
      <c r="F1019" s="58"/>
      <c r="G1019" s="58"/>
      <c r="H1019" s="58"/>
      <c r="I1019" s="58"/>
      <c r="J1019" s="58"/>
      <c r="K1019" s="58"/>
      <c r="L1019" s="58"/>
      <c r="M1019" s="58"/>
      <c r="N1019" s="58"/>
      <c r="O1019" s="58"/>
      <c r="P1019" s="58"/>
      <c r="Q1019" s="58"/>
      <c r="R1019" s="58"/>
      <c r="S1019" s="58"/>
      <c r="T1019" s="58"/>
      <c r="U1019" s="58"/>
      <c r="V1019" s="58"/>
      <c r="W1019" s="58"/>
      <c r="X1019" s="58"/>
      <c r="Y1019" s="58"/>
      <c r="Z1019" s="58"/>
    </row>
    <row r="1020">
      <c r="A1020" s="58"/>
      <c r="B1020" s="58"/>
      <c r="C1020" s="58"/>
      <c r="D1020" s="58"/>
      <c r="E1020" s="58"/>
      <c r="F1020" s="58"/>
      <c r="G1020" s="58"/>
      <c r="H1020" s="58"/>
      <c r="I1020" s="58"/>
      <c r="J1020" s="58"/>
      <c r="K1020" s="58"/>
      <c r="L1020" s="58"/>
      <c r="M1020" s="58"/>
      <c r="N1020" s="58"/>
      <c r="O1020" s="58"/>
      <c r="P1020" s="58"/>
      <c r="Q1020" s="58"/>
      <c r="R1020" s="58"/>
      <c r="S1020" s="58"/>
      <c r="T1020" s="58"/>
      <c r="U1020" s="58"/>
      <c r="V1020" s="58"/>
      <c r="W1020" s="58"/>
      <c r="X1020" s="58"/>
      <c r="Y1020" s="58"/>
      <c r="Z1020" s="58"/>
    </row>
    <row r="1021">
      <c r="A1021" s="58"/>
      <c r="B1021" s="58"/>
      <c r="C1021" s="58"/>
      <c r="D1021" s="58"/>
      <c r="E1021" s="58"/>
      <c r="F1021" s="58"/>
      <c r="G1021" s="58"/>
      <c r="H1021" s="58"/>
      <c r="I1021" s="58"/>
      <c r="J1021" s="58"/>
      <c r="K1021" s="58"/>
      <c r="L1021" s="58"/>
      <c r="M1021" s="58"/>
      <c r="N1021" s="58"/>
      <c r="O1021" s="58"/>
      <c r="P1021" s="58"/>
      <c r="Q1021" s="58"/>
      <c r="R1021" s="58"/>
      <c r="S1021" s="58"/>
      <c r="T1021" s="58"/>
      <c r="U1021" s="58"/>
      <c r="V1021" s="58"/>
      <c r="W1021" s="58"/>
      <c r="X1021" s="58"/>
      <c r="Y1021" s="58"/>
      <c r="Z1021" s="58"/>
    </row>
    <row r="1022">
      <c r="A1022" s="58"/>
      <c r="B1022" s="58"/>
      <c r="C1022" s="58"/>
      <c r="D1022" s="58"/>
      <c r="E1022" s="58"/>
      <c r="F1022" s="58"/>
      <c r="G1022" s="58"/>
      <c r="H1022" s="58"/>
      <c r="I1022" s="58"/>
      <c r="J1022" s="58"/>
      <c r="K1022" s="58"/>
      <c r="L1022" s="58"/>
      <c r="M1022" s="58"/>
      <c r="N1022" s="58"/>
      <c r="O1022" s="58"/>
      <c r="P1022" s="58"/>
      <c r="Q1022" s="58"/>
      <c r="R1022" s="58"/>
      <c r="S1022" s="58"/>
      <c r="T1022" s="58"/>
      <c r="U1022" s="58"/>
      <c r="V1022" s="58"/>
      <c r="W1022" s="58"/>
      <c r="X1022" s="58"/>
      <c r="Y1022" s="58"/>
      <c r="Z1022" s="58"/>
    </row>
    <row r="1023">
      <c r="A1023" s="58"/>
      <c r="B1023" s="58"/>
      <c r="C1023" s="58"/>
      <c r="D1023" s="58"/>
      <c r="E1023" s="58"/>
      <c r="F1023" s="58"/>
      <c r="G1023" s="58"/>
      <c r="H1023" s="58"/>
      <c r="I1023" s="58"/>
      <c r="J1023" s="58"/>
      <c r="K1023" s="58"/>
      <c r="L1023" s="58"/>
      <c r="M1023" s="58"/>
      <c r="N1023" s="58"/>
      <c r="O1023" s="58"/>
      <c r="P1023" s="58"/>
      <c r="Q1023" s="58"/>
      <c r="R1023" s="58"/>
      <c r="S1023" s="58"/>
      <c r="T1023" s="58"/>
      <c r="U1023" s="58"/>
      <c r="V1023" s="58"/>
      <c r="W1023" s="58"/>
      <c r="X1023" s="58"/>
      <c r="Y1023" s="58"/>
      <c r="Z1023" s="5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1.5"/>
    <col customWidth="1" min="3" max="3" width="16.13"/>
    <col customWidth="1" min="4" max="4" width="18.5"/>
    <col customWidth="1" min="5" max="5" width="62.0"/>
    <col customWidth="1" min="6" max="6" width="25.75"/>
    <col customWidth="1" min="7" max="7" width="22.5"/>
    <col customWidth="1" min="8" max="8" width="33.75"/>
  </cols>
  <sheetData>
    <row r="1">
      <c r="A1" s="31" t="s">
        <v>78</v>
      </c>
      <c r="B1" s="32" t="s">
        <v>79</v>
      </c>
      <c r="C1" s="66" t="s">
        <v>80</v>
      </c>
      <c r="D1" s="66" t="s">
        <v>81</v>
      </c>
      <c r="E1" s="67" t="s">
        <v>82</v>
      </c>
      <c r="F1" s="68" t="s">
        <v>413</v>
      </c>
      <c r="G1" s="68" t="s">
        <v>414</v>
      </c>
      <c r="H1" s="31" t="s">
        <v>83</v>
      </c>
      <c r="I1" s="31" t="s">
        <v>971</v>
      </c>
      <c r="J1" s="106"/>
      <c r="K1" s="106"/>
      <c r="L1" s="106"/>
      <c r="M1" s="106"/>
      <c r="N1" s="106"/>
      <c r="O1" s="106"/>
      <c r="P1" s="106"/>
      <c r="Q1" s="106"/>
      <c r="R1" s="106"/>
      <c r="S1" s="106"/>
      <c r="T1" s="106"/>
      <c r="U1" s="106"/>
      <c r="V1" s="106"/>
      <c r="W1" s="106"/>
      <c r="X1" s="106"/>
      <c r="Y1" s="106"/>
      <c r="Z1" s="106"/>
    </row>
    <row r="2">
      <c r="A2" s="85" t="s">
        <v>84</v>
      </c>
      <c r="B2" s="72" t="s">
        <v>2372</v>
      </c>
      <c r="C2" s="72" t="s">
        <v>2373</v>
      </c>
      <c r="D2" s="72" t="s">
        <v>2374</v>
      </c>
      <c r="E2" s="72" t="s">
        <v>631</v>
      </c>
      <c r="F2" s="72" t="s">
        <v>2375</v>
      </c>
      <c r="G2" s="72" t="s">
        <v>46</v>
      </c>
      <c r="H2" s="72" t="s">
        <v>632</v>
      </c>
      <c r="I2" s="72" t="s">
        <v>13</v>
      </c>
      <c r="J2" s="58"/>
      <c r="K2" s="58"/>
      <c r="L2" s="58"/>
      <c r="M2" s="76" t="s">
        <v>284</v>
      </c>
      <c r="N2" s="58">
        <f>COUNTA(I2:I220)</f>
        <v>219</v>
      </c>
      <c r="O2" s="58"/>
      <c r="P2" s="58"/>
      <c r="Q2" s="58"/>
      <c r="R2" s="58"/>
      <c r="S2" s="58"/>
      <c r="T2" s="58"/>
      <c r="U2" s="58"/>
      <c r="V2" s="58"/>
      <c r="W2" s="58"/>
      <c r="X2" s="58"/>
      <c r="Y2" s="58"/>
      <c r="Z2" s="58"/>
    </row>
    <row r="3">
      <c r="A3" s="85" t="s">
        <v>92</v>
      </c>
      <c r="B3" s="72" t="s">
        <v>2372</v>
      </c>
      <c r="C3" s="72" t="s">
        <v>2373</v>
      </c>
      <c r="D3" s="72" t="s">
        <v>625</v>
      </c>
      <c r="E3" s="72" t="s">
        <v>2376</v>
      </c>
      <c r="F3" s="72" t="s">
        <v>2377</v>
      </c>
      <c r="G3" s="72" t="s">
        <v>46</v>
      </c>
      <c r="H3" s="72" t="s">
        <v>2378</v>
      </c>
      <c r="I3" s="72" t="s">
        <v>13</v>
      </c>
      <c r="J3" s="58"/>
      <c r="K3" s="58"/>
      <c r="L3" s="58"/>
      <c r="M3" s="58"/>
      <c r="N3" s="58"/>
      <c r="O3" s="58"/>
      <c r="P3" s="58"/>
      <c r="Q3" s="58"/>
      <c r="R3" s="58"/>
      <c r="S3" s="58"/>
      <c r="T3" s="58"/>
      <c r="U3" s="58"/>
      <c r="V3" s="58"/>
      <c r="W3" s="58"/>
      <c r="X3" s="58"/>
      <c r="Y3" s="58"/>
      <c r="Z3" s="58"/>
    </row>
    <row r="4">
      <c r="A4" s="85" t="s">
        <v>96</v>
      </c>
      <c r="B4" s="72" t="s">
        <v>2372</v>
      </c>
      <c r="C4" s="72" t="s">
        <v>2373</v>
      </c>
      <c r="D4" s="72" t="s">
        <v>625</v>
      </c>
      <c r="E4" s="72" t="s">
        <v>2379</v>
      </c>
      <c r="F4" s="72" t="s">
        <v>46</v>
      </c>
      <c r="G4" s="72" t="s">
        <v>2380</v>
      </c>
      <c r="H4" s="72" t="s">
        <v>2381</v>
      </c>
      <c r="I4" s="72" t="s">
        <v>13</v>
      </c>
      <c r="J4" s="58"/>
      <c r="K4" s="58"/>
      <c r="L4" s="58"/>
      <c r="M4" s="58"/>
      <c r="N4" s="58"/>
      <c r="O4" s="58"/>
      <c r="P4" s="58"/>
      <c r="Q4" s="58"/>
      <c r="R4" s="58"/>
      <c r="S4" s="58"/>
      <c r="T4" s="58"/>
      <c r="U4" s="58"/>
      <c r="V4" s="58"/>
      <c r="W4" s="58"/>
      <c r="X4" s="58"/>
      <c r="Y4" s="58"/>
      <c r="Z4" s="58"/>
    </row>
    <row r="5">
      <c r="A5" s="85" t="s">
        <v>101</v>
      </c>
      <c r="B5" s="72" t="s">
        <v>2372</v>
      </c>
      <c r="C5" s="72" t="s">
        <v>2373</v>
      </c>
      <c r="D5" s="72" t="s">
        <v>2382</v>
      </c>
      <c r="E5" s="72" t="s">
        <v>2383</v>
      </c>
      <c r="F5" s="72" t="s">
        <v>2384</v>
      </c>
      <c r="G5" s="72" t="s">
        <v>2385</v>
      </c>
      <c r="H5" s="72" t="s">
        <v>2386</v>
      </c>
      <c r="I5" s="72" t="s">
        <v>13</v>
      </c>
      <c r="J5" s="58"/>
      <c r="K5" s="58"/>
      <c r="L5" s="58"/>
      <c r="M5" s="58"/>
      <c r="N5" s="58"/>
      <c r="O5" s="58"/>
      <c r="P5" s="58"/>
      <c r="Q5" s="58"/>
      <c r="R5" s="58"/>
      <c r="S5" s="58"/>
      <c r="T5" s="58"/>
      <c r="U5" s="58"/>
      <c r="V5" s="58"/>
      <c r="W5" s="58"/>
      <c r="X5" s="58"/>
      <c r="Y5" s="58"/>
      <c r="Z5" s="58"/>
    </row>
    <row r="6">
      <c r="A6" s="85" t="s">
        <v>106</v>
      </c>
      <c r="B6" s="72" t="s">
        <v>2372</v>
      </c>
      <c r="C6" s="72" t="s">
        <v>2373</v>
      </c>
      <c r="D6" s="72" t="s">
        <v>2382</v>
      </c>
      <c r="E6" s="72" t="s">
        <v>2387</v>
      </c>
      <c r="F6" s="72" t="s">
        <v>2384</v>
      </c>
      <c r="G6" s="72" t="s">
        <v>2385</v>
      </c>
      <c r="H6" s="72" t="s">
        <v>2388</v>
      </c>
      <c r="I6" s="72" t="s">
        <v>13</v>
      </c>
      <c r="J6" s="58"/>
      <c r="K6" s="58"/>
      <c r="L6" s="58"/>
      <c r="M6" s="58"/>
      <c r="N6" s="58"/>
      <c r="O6" s="58"/>
      <c r="P6" s="58"/>
      <c r="Q6" s="58"/>
      <c r="R6" s="58"/>
      <c r="S6" s="58"/>
      <c r="T6" s="58"/>
      <c r="U6" s="58"/>
      <c r="V6" s="58"/>
      <c r="W6" s="58"/>
      <c r="X6" s="58"/>
      <c r="Y6" s="58"/>
      <c r="Z6" s="58"/>
    </row>
    <row r="7">
      <c r="A7" s="85" t="s">
        <v>110</v>
      </c>
      <c r="B7" s="72" t="s">
        <v>2372</v>
      </c>
      <c r="C7" s="72" t="s">
        <v>2389</v>
      </c>
      <c r="D7" s="72" t="s">
        <v>2390</v>
      </c>
      <c r="E7" s="72" t="s">
        <v>2391</v>
      </c>
      <c r="F7" s="72" t="s">
        <v>2392</v>
      </c>
      <c r="G7" s="72" t="s">
        <v>2393</v>
      </c>
      <c r="H7" s="72" t="s">
        <v>2394</v>
      </c>
      <c r="I7" s="72" t="s">
        <v>13</v>
      </c>
      <c r="J7" s="58"/>
      <c r="K7" s="58"/>
      <c r="L7" s="58"/>
      <c r="M7" s="58"/>
      <c r="N7" s="58"/>
      <c r="O7" s="58"/>
      <c r="P7" s="58"/>
      <c r="Q7" s="58"/>
      <c r="R7" s="58"/>
      <c r="S7" s="58"/>
      <c r="T7" s="58"/>
      <c r="U7" s="58"/>
      <c r="V7" s="58"/>
      <c r="W7" s="58"/>
      <c r="X7" s="58"/>
      <c r="Y7" s="58"/>
      <c r="Z7" s="58"/>
    </row>
    <row r="8">
      <c r="A8" s="85" t="s">
        <v>115</v>
      </c>
      <c r="B8" s="72" t="s">
        <v>2372</v>
      </c>
      <c r="C8" s="72" t="s">
        <v>2389</v>
      </c>
      <c r="D8" s="72" t="s">
        <v>2390</v>
      </c>
      <c r="E8" s="72" t="s">
        <v>2395</v>
      </c>
      <c r="F8" s="72" t="s">
        <v>2396</v>
      </c>
      <c r="G8" s="72" t="s">
        <v>2397</v>
      </c>
      <c r="H8" s="72" t="s">
        <v>2398</v>
      </c>
      <c r="I8" s="72" t="s">
        <v>13</v>
      </c>
      <c r="J8" s="58"/>
      <c r="K8" s="58"/>
      <c r="L8" s="58"/>
      <c r="M8" s="58"/>
      <c r="N8" s="58"/>
      <c r="O8" s="58"/>
      <c r="P8" s="58"/>
      <c r="Q8" s="58"/>
      <c r="R8" s="58"/>
      <c r="S8" s="58"/>
      <c r="T8" s="58"/>
      <c r="U8" s="58"/>
      <c r="V8" s="58"/>
      <c r="W8" s="58"/>
      <c r="X8" s="58"/>
      <c r="Y8" s="58"/>
      <c r="Z8" s="58"/>
    </row>
    <row r="9">
      <c r="A9" s="85" t="s">
        <v>120</v>
      </c>
      <c r="B9" s="72" t="s">
        <v>2372</v>
      </c>
      <c r="C9" s="72" t="s">
        <v>2389</v>
      </c>
      <c r="D9" s="72" t="s">
        <v>2390</v>
      </c>
      <c r="E9" s="72" t="s">
        <v>2399</v>
      </c>
      <c r="F9" s="72" t="s">
        <v>2396</v>
      </c>
      <c r="G9" s="72" t="s">
        <v>2400</v>
      </c>
      <c r="H9" s="72" t="s">
        <v>2398</v>
      </c>
      <c r="I9" s="72" t="s">
        <v>13</v>
      </c>
      <c r="J9" s="58"/>
      <c r="K9" s="58"/>
      <c r="L9" s="58"/>
      <c r="M9" s="58"/>
      <c r="N9" s="58"/>
      <c r="O9" s="58"/>
      <c r="P9" s="58"/>
      <c r="Q9" s="58"/>
      <c r="R9" s="58"/>
      <c r="S9" s="58"/>
      <c r="T9" s="58"/>
      <c r="U9" s="58"/>
      <c r="V9" s="58"/>
      <c r="W9" s="58"/>
      <c r="X9" s="58"/>
      <c r="Y9" s="58"/>
      <c r="Z9" s="58"/>
    </row>
    <row r="10">
      <c r="A10" s="85" t="s">
        <v>125</v>
      </c>
      <c r="B10" s="72" t="s">
        <v>2372</v>
      </c>
      <c r="C10" s="72" t="s">
        <v>2389</v>
      </c>
      <c r="D10" s="72" t="s">
        <v>2390</v>
      </c>
      <c r="E10" s="72" t="s">
        <v>2401</v>
      </c>
      <c r="F10" s="72" t="s">
        <v>2396</v>
      </c>
      <c r="G10" s="72" t="s">
        <v>2400</v>
      </c>
      <c r="H10" s="72" t="s">
        <v>2398</v>
      </c>
      <c r="I10" s="72" t="s">
        <v>13</v>
      </c>
      <c r="J10" s="58"/>
      <c r="K10" s="58"/>
      <c r="L10" s="58"/>
      <c r="M10" s="58"/>
      <c r="N10" s="58"/>
      <c r="O10" s="58"/>
      <c r="P10" s="58"/>
      <c r="Q10" s="58"/>
      <c r="R10" s="58"/>
      <c r="S10" s="58"/>
      <c r="T10" s="58"/>
      <c r="U10" s="58"/>
      <c r="V10" s="58"/>
      <c r="W10" s="58"/>
      <c r="X10" s="58"/>
      <c r="Y10" s="58"/>
      <c r="Z10" s="58"/>
    </row>
    <row r="11">
      <c r="A11" s="85" t="s">
        <v>129</v>
      </c>
      <c r="B11" s="72" t="s">
        <v>2372</v>
      </c>
      <c r="C11" s="72" t="s">
        <v>2389</v>
      </c>
      <c r="D11" s="72" t="s">
        <v>2390</v>
      </c>
      <c r="E11" s="72" t="s">
        <v>2402</v>
      </c>
      <c r="F11" s="72" t="s">
        <v>2396</v>
      </c>
      <c r="G11" s="72" t="s">
        <v>2400</v>
      </c>
      <c r="H11" s="72" t="s">
        <v>2398</v>
      </c>
      <c r="I11" s="72" t="s">
        <v>13</v>
      </c>
      <c r="J11" s="58"/>
      <c r="K11" s="58"/>
      <c r="L11" s="58"/>
      <c r="M11" s="58"/>
      <c r="N11" s="58"/>
      <c r="O11" s="58"/>
      <c r="P11" s="58"/>
      <c r="Q11" s="58"/>
      <c r="R11" s="58"/>
      <c r="S11" s="58"/>
      <c r="T11" s="58"/>
      <c r="U11" s="58"/>
      <c r="V11" s="58"/>
      <c r="W11" s="58"/>
      <c r="X11" s="58"/>
      <c r="Y11" s="58"/>
      <c r="Z11" s="58"/>
    </row>
    <row r="12">
      <c r="A12" s="85" t="s">
        <v>134</v>
      </c>
      <c r="B12" s="72" t="s">
        <v>2372</v>
      </c>
      <c r="C12" s="72" t="s">
        <v>2403</v>
      </c>
      <c r="D12" s="72" t="s">
        <v>2404</v>
      </c>
      <c r="E12" s="72" t="s">
        <v>2405</v>
      </c>
      <c r="F12" s="72" t="s">
        <v>2392</v>
      </c>
      <c r="G12" s="72" t="s">
        <v>2393</v>
      </c>
      <c r="H12" s="72" t="s">
        <v>2394</v>
      </c>
      <c r="I12" s="72" t="s">
        <v>13</v>
      </c>
      <c r="J12" s="58"/>
      <c r="K12" s="58"/>
      <c r="L12" s="58"/>
      <c r="M12" s="58"/>
      <c r="N12" s="58"/>
      <c r="O12" s="58"/>
      <c r="P12" s="58"/>
      <c r="Q12" s="58"/>
      <c r="R12" s="58"/>
      <c r="S12" s="58"/>
      <c r="T12" s="58"/>
      <c r="U12" s="58"/>
      <c r="V12" s="58"/>
      <c r="W12" s="58"/>
      <c r="X12" s="58"/>
      <c r="Y12" s="58"/>
      <c r="Z12" s="58"/>
    </row>
    <row r="13">
      <c r="A13" s="85" t="s">
        <v>139</v>
      </c>
      <c r="B13" s="72" t="s">
        <v>2372</v>
      </c>
      <c r="C13" s="72" t="s">
        <v>2403</v>
      </c>
      <c r="D13" s="72" t="s">
        <v>2404</v>
      </c>
      <c r="E13" s="72" t="s">
        <v>2406</v>
      </c>
      <c r="F13" s="72" t="s">
        <v>2407</v>
      </c>
      <c r="G13" s="72" t="s">
        <v>46</v>
      </c>
      <c r="H13" s="72" t="s">
        <v>2408</v>
      </c>
      <c r="I13" s="72" t="s">
        <v>13</v>
      </c>
      <c r="J13" s="58"/>
      <c r="K13" s="58"/>
      <c r="L13" s="58"/>
      <c r="M13" s="58"/>
      <c r="N13" s="58"/>
      <c r="O13" s="58"/>
      <c r="P13" s="58"/>
      <c r="Q13" s="58"/>
      <c r="R13" s="58"/>
      <c r="S13" s="58"/>
      <c r="T13" s="58"/>
      <c r="U13" s="58"/>
      <c r="V13" s="58"/>
      <c r="W13" s="58"/>
      <c r="X13" s="58"/>
      <c r="Y13" s="58"/>
      <c r="Z13" s="58"/>
    </row>
    <row r="14">
      <c r="A14" s="85" t="s">
        <v>144</v>
      </c>
      <c r="B14" s="72" t="s">
        <v>2372</v>
      </c>
      <c r="C14" s="72" t="s">
        <v>2409</v>
      </c>
      <c r="D14" s="72" t="s">
        <v>2410</v>
      </c>
      <c r="E14" s="72" t="s">
        <v>2411</v>
      </c>
      <c r="F14" s="72" t="s">
        <v>2412</v>
      </c>
      <c r="G14" s="72" t="s">
        <v>46</v>
      </c>
      <c r="H14" s="72" t="s">
        <v>2413</v>
      </c>
      <c r="I14" s="72" t="s">
        <v>13</v>
      </c>
      <c r="J14" s="58"/>
      <c r="K14" s="58"/>
      <c r="L14" s="58"/>
      <c r="M14" s="58"/>
      <c r="N14" s="58"/>
      <c r="O14" s="58"/>
      <c r="P14" s="58"/>
      <c r="Q14" s="58"/>
      <c r="R14" s="58"/>
      <c r="S14" s="58"/>
      <c r="T14" s="58"/>
      <c r="U14" s="58"/>
      <c r="V14" s="58"/>
      <c r="W14" s="58"/>
      <c r="X14" s="58"/>
      <c r="Y14" s="58"/>
      <c r="Z14" s="58"/>
    </row>
    <row r="15">
      <c r="A15" s="85" t="s">
        <v>149</v>
      </c>
      <c r="B15" s="72" t="s">
        <v>2372</v>
      </c>
      <c r="C15" s="72" t="s">
        <v>2409</v>
      </c>
      <c r="D15" s="72" t="s">
        <v>2410</v>
      </c>
      <c r="E15" s="72" t="s">
        <v>2414</v>
      </c>
      <c r="F15" s="72" t="s">
        <v>2412</v>
      </c>
      <c r="G15" s="72" t="s">
        <v>46</v>
      </c>
      <c r="H15" s="72" t="s">
        <v>2415</v>
      </c>
      <c r="I15" s="72" t="s">
        <v>13</v>
      </c>
      <c r="J15" s="58"/>
      <c r="K15" s="58"/>
      <c r="L15" s="58"/>
      <c r="M15" s="58"/>
      <c r="N15" s="58"/>
      <c r="O15" s="58"/>
      <c r="P15" s="58"/>
      <c r="Q15" s="58"/>
      <c r="R15" s="58"/>
      <c r="S15" s="58"/>
      <c r="T15" s="58"/>
      <c r="U15" s="58"/>
      <c r="V15" s="58"/>
      <c r="W15" s="58"/>
      <c r="X15" s="58"/>
      <c r="Y15" s="58"/>
      <c r="Z15" s="58"/>
    </row>
    <row r="16">
      <c r="A16" s="85" t="s">
        <v>153</v>
      </c>
      <c r="B16" s="72" t="s">
        <v>2372</v>
      </c>
      <c r="C16" s="72" t="s">
        <v>2409</v>
      </c>
      <c r="D16" s="72" t="s">
        <v>2410</v>
      </c>
      <c r="E16" s="72" t="s">
        <v>2416</v>
      </c>
      <c r="F16" s="72" t="s">
        <v>2417</v>
      </c>
      <c r="G16" s="72" t="s">
        <v>46</v>
      </c>
      <c r="H16" s="72" t="s">
        <v>2418</v>
      </c>
      <c r="I16" s="72" t="s">
        <v>13</v>
      </c>
      <c r="J16" s="58"/>
      <c r="K16" s="58"/>
      <c r="L16" s="58"/>
      <c r="M16" s="58"/>
      <c r="N16" s="58"/>
      <c r="O16" s="58"/>
      <c r="P16" s="58"/>
      <c r="Q16" s="58"/>
      <c r="R16" s="58"/>
      <c r="S16" s="58"/>
      <c r="T16" s="58"/>
      <c r="U16" s="58"/>
      <c r="V16" s="58"/>
      <c r="W16" s="58"/>
      <c r="X16" s="58"/>
      <c r="Y16" s="58"/>
      <c r="Z16" s="58"/>
    </row>
    <row r="17">
      <c r="A17" s="85" t="s">
        <v>158</v>
      </c>
      <c r="B17" s="72" t="s">
        <v>2372</v>
      </c>
      <c r="C17" s="72" t="s">
        <v>2409</v>
      </c>
      <c r="D17" s="72" t="s">
        <v>2410</v>
      </c>
      <c r="E17" s="72" t="s">
        <v>2419</v>
      </c>
      <c r="F17" s="72" t="s">
        <v>2420</v>
      </c>
      <c r="G17" s="72" t="s">
        <v>46</v>
      </c>
      <c r="H17" s="72" t="s">
        <v>2421</v>
      </c>
      <c r="I17" s="72" t="s">
        <v>13</v>
      </c>
      <c r="J17" s="58"/>
      <c r="K17" s="58"/>
      <c r="L17" s="58"/>
      <c r="M17" s="58"/>
      <c r="N17" s="58"/>
      <c r="O17" s="58"/>
      <c r="P17" s="58"/>
      <c r="Q17" s="58"/>
      <c r="R17" s="58"/>
      <c r="S17" s="58"/>
      <c r="T17" s="58"/>
      <c r="U17" s="58"/>
      <c r="V17" s="58"/>
      <c r="W17" s="58"/>
      <c r="X17" s="58"/>
      <c r="Y17" s="58"/>
      <c r="Z17" s="58"/>
    </row>
    <row r="18">
      <c r="A18" s="85" t="s">
        <v>162</v>
      </c>
      <c r="B18" s="72" t="s">
        <v>2372</v>
      </c>
      <c r="C18" s="72" t="s">
        <v>2409</v>
      </c>
      <c r="D18" s="72" t="s">
        <v>2410</v>
      </c>
      <c r="E18" s="72" t="s">
        <v>2422</v>
      </c>
      <c r="F18" s="72" t="s">
        <v>1872</v>
      </c>
      <c r="G18" s="72" t="s">
        <v>46</v>
      </c>
      <c r="H18" s="72" t="s">
        <v>2423</v>
      </c>
      <c r="I18" s="72" t="s">
        <v>13</v>
      </c>
      <c r="J18" s="58"/>
      <c r="K18" s="58"/>
      <c r="L18" s="58"/>
      <c r="M18" s="58"/>
      <c r="N18" s="58"/>
      <c r="O18" s="58"/>
      <c r="P18" s="58"/>
      <c r="Q18" s="58"/>
      <c r="R18" s="58"/>
      <c r="S18" s="58"/>
      <c r="T18" s="58"/>
      <c r="U18" s="58"/>
      <c r="V18" s="58"/>
      <c r="W18" s="58"/>
      <c r="X18" s="58"/>
      <c r="Y18" s="58"/>
      <c r="Z18" s="58"/>
    </row>
    <row r="19">
      <c r="A19" s="85" t="s">
        <v>165</v>
      </c>
      <c r="B19" s="72" t="s">
        <v>2372</v>
      </c>
      <c r="C19" s="72" t="s">
        <v>2409</v>
      </c>
      <c r="D19" s="72" t="s">
        <v>2410</v>
      </c>
      <c r="E19" s="72" t="s">
        <v>2424</v>
      </c>
      <c r="F19" s="72"/>
      <c r="G19" s="72" t="s">
        <v>2425</v>
      </c>
      <c r="H19" s="72" t="s">
        <v>2426</v>
      </c>
      <c r="I19" s="72" t="s">
        <v>13</v>
      </c>
      <c r="J19" s="58"/>
      <c r="K19" s="58"/>
      <c r="L19" s="58"/>
      <c r="M19" s="58"/>
      <c r="N19" s="58"/>
      <c r="O19" s="58"/>
      <c r="P19" s="58"/>
      <c r="Q19" s="58"/>
      <c r="R19" s="58"/>
      <c r="S19" s="58"/>
      <c r="T19" s="58"/>
      <c r="U19" s="58"/>
      <c r="V19" s="58"/>
      <c r="W19" s="58"/>
      <c r="X19" s="58"/>
      <c r="Y19" s="58"/>
      <c r="Z19" s="58"/>
    </row>
    <row r="20">
      <c r="A20" s="85" t="s">
        <v>167</v>
      </c>
      <c r="B20" s="72" t="s">
        <v>2372</v>
      </c>
      <c r="C20" s="72" t="s">
        <v>2427</v>
      </c>
      <c r="D20" s="72" t="s">
        <v>2428</v>
      </c>
      <c r="E20" s="72" t="s">
        <v>2429</v>
      </c>
      <c r="F20" s="72"/>
      <c r="G20" s="72" t="s">
        <v>2430</v>
      </c>
      <c r="H20" s="72" t="s">
        <v>2431</v>
      </c>
      <c r="I20" s="72" t="s">
        <v>13</v>
      </c>
      <c r="J20" s="58"/>
      <c r="K20" s="58"/>
      <c r="L20" s="58"/>
      <c r="M20" s="58"/>
      <c r="N20" s="58"/>
      <c r="O20" s="58"/>
      <c r="P20" s="58"/>
      <c r="Q20" s="58"/>
      <c r="R20" s="58"/>
      <c r="S20" s="58"/>
      <c r="T20" s="58"/>
      <c r="U20" s="58"/>
      <c r="V20" s="58"/>
      <c r="W20" s="58"/>
      <c r="X20" s="58"/>
      <c r="Y20" s="58"/>
      <c r="Z20" s="58"/>
    </row>
    <row r="21">
      <c r="A21" s="85" t="s">
        <v>170</v>
      </c>
      <c r="B21" s="72" t="s">
        <v>2372</v>
      </c>
      <c r="C21" s="72" t="s">
        <v>2427</v>
      </c>
      <c r="D21" s="72" t="s">
        <v>2428</v>
      </c>
      <c r="E21" s="72" t="s">
        <v>2432</v>
      </c>
      <c r="F21" s="72" t="s">
        <v>2433</v>
      </c>
      <c r="G21" s="72" t="s">
        <v>2434</v>
      </c>
      <c r="H21" s="72" t="s">
        <v>1586</v>
      </c>
      <c r="I21" s="72" t="s">
        <v>13</v>
      </c>
      <c r="J21" s="58"/>
      <c r="K21" s="58"/>
      <c r="L21" s="58"/>
      <c r="M21" s="58"/>
      <c r="N21" s="58"/>
      <c r="O21" s="58"/>
      <c r="P21" s="58"/>
      <c r="Q21" s="58"/>
      <c r="R21" s="58"/>
      <c r="S21" s="58"/>
      <c r="T21" s="58"/>
      <c r="U21" s="58"/>
      <c r="V21" s="58"/>
      <c r="W21" s="58"/>
      <c r="X21" s="58"/>
      <c r="Y21" s="58"/>
      <c r="Z21" s="58"/>
    </row>
    <row r="22">
      <c r="A22" s="85" t="s">
        <v>175</v>
      </c>
      <c r="B22" s="72" t="s">
        <v>2372</v>
      </c>
      <c r="C22" s="72" t="s">
        <v>2435</v>
      </c>
      <c r="D22" s="72" t="s">
        <v>2428</v>
      </c>
      <c r="E22" s="72" t="s">
        <v>2436</v>
      </c>
      <c r="F22" s="72" t="s">
        <v>2437</v>
      </c>
      <c r="G22" s="72" t="s">
        <v>2438</v>
      </c>
      <c r="H22" s="72" t="s">
        <v>2439</v>
      </c>
      <c r="I22" s="72" t="s">
        <v>13</v>
      </c>
      <c r="J22" s="58"/>
      <c r="K22" s="58"/>
      <c r="L22" s="58"/>
      <c r="M22" s="58"/>
      <c r="N22" s="58"/>
      <c r="O22" s="58"/>
      <c r="P22" s="58"/>
      <c r="Q22" s="58"/>
      <c r="R22" s="58"/>
      <c r="S22" s="58"/>
      <c r="T22" s="58"/>
      <c r="U22" s="58"/>
      <c r="V22" s="58"/>
      <c r="W22" s="58"/>
      <c r="X22" s="58"/>
      <c r="Y22" s="58"/>
      <c r="Z22" s="58"/>
    </row>
    <row r="23">
      <c r="A23" s="85" t="s">
        <v>180</v>
      </c>
      <c r="B23" s="72" t="s">
        <v>2372</v>
      </c>
      <c r="C23" s="72" t="s">
        <v>2435</v>
      </c>
      <c r="D23" s="72" t="s">
        <v>2428</v>
      </c>
      <c r="E23" s="72" t="s">
        <v>2440</v>
      </c>
      <c r="F23" s="72" t="s">
        <v>2441</v>
      </c>
      <c r="G23" s="72" t="s">
        <v>2442</v>
      </c>
      <c r="H23" s="72" t="s">
        <v>2443</v>
      </c>
      <c r="I23" s="72" t="s">
        <v>13</v>
      </c>
      <c r="J23" s="58"/>
      <c r="K23" s="58"/>
      <c r="L23" s="58"/>
      <c r="M23" s="58"/>
      <c r="N23" s="58"/>
      <c r="O23" s="58"/>
      <c r="P23" s="58"/>
      <c r="Q23" s="58"/>
      <c r="R23" s="58"/>
      <c r="S23" s="58"/>
      <c r="T23" s="58"/>
      <c r="U23" s="58"/>
      <c r="V23" s="58"/>
      <c r="W23" s="58"/>
      <c r="X23" s="58"/>
      <c r="Y23" s="58"/>
      <c r="Z23" s="58"/>
    </row>
    <row r="24">
      <c r="A24" s="85" t="s">
        <v>185</v>
      </c>
      <c r="B24" s="72" t="s">
        <v>2372</v>
      </c>
      <c r="C24" s="72" t="s">
        <v>2444</v>
      </c>
      <c r="D24" s="72" t="s">
        <v>2445</v>
      </c>
      <c r="E24" s="72" t="s">
        <v>2446</v>
      </c>
      <c r="F24" s="72" t="s">
        <v>2447</v>
      </c>
      <c r="G24" s="72" t="s">
        <v>2448</v>
      </c>
      <c r="H24" s="72"/>
      <c r="I24" s="72" t="s">
        <v>13</v>
      </c>
      <c r="J24" s="58"/>
      <c r="K24" s="58"/>
      <c r="L24" s="58"/>
      <c r="M24" s="58"/>
      <c r="N24" s="58"/>
      <c r="O24" s="58"/>
      <c r="P24" s="58"/>
      <c r="Q24" s="58"/>
      <c r="R24" s="58"/>
      <c r="S24" s="58"/>
      <c r="T24" s="58"/>
      <c r="U24" s="58"/>
      <c r="V24" s="58"/>
      <c r="W24" s="58"/>
      <c r="X24" s="58"/>
      <c r="Y24" s="58"/>
      <c r="Z24" s="58"/>
    </row>
    <row r="25">
      <c r="A25" s="85" t="s">
        <v>190</v>
      </c>
      <c r="B25" s="72" t="s">
        <v>2372</v>
      </c>
      <c r="C25" s="72" t="s">
        <v>2444</v>
      </c>
      <c r="D25" s="72" t="s">
        <v>2445</v>
      </c>
      <c r="E25" s="72" t="s">
        <v>2449</v>
      </c>
      <c r="F25" s="72" t="s">
        <v>2450</v>
      </c>
      <c r="G25" s="72" t="s">
        <v>46</v>
      </c>
      <c r="H25" s="72" t="s">
        <v>2451</v>
      </c>
      <c r="I25" s="72" t="s">
        <v>13</v>
      </c>
      <c r="J25" s="58"/>
      <c r="K25" s="58"/>
      <c r="L25" s="58"/>
      <c r="M25" s="58"/>
      <c r="N25" s="58"/>
      <c r="O25" s="58"/>
      <c r="P25" s="58"/>
      <c r="Q25" s="58"/>
      <c r="R25" s="58"/>
      <c r="S25" s="58"/>
      <c r="T25" s="58"/>
      <c r="U25" s="58"/>
      <c r="V25" s="58"/>
      <c r="W25" s="58"/>
      <c r="X25" s="58"/>
      <c r="Y25" s="58"/>
      <c r="Z25" s="58"/>
    </row>
    <row r="26">
      <c r="A26" s="85" t="s">
        <v>195</v>
      </c>
      <c r="B26" s="72" t="s">
        <v>2372</v>
      </c>
      <c r="C26" s="72" t="s">
        <v>2444</v>
      </c>
      <c r="D26" s="72" t="s">
        <v>2445</v>
      </c>
      <c r="E26" s="72" t="s">
        <v>2452</v>
      </c>
      <c r="F26" s="72" t="s">
        <v>2453</v>
      </c>
      <c r="G26" s="72" t="s">
        <v>46</v>
      </c>
      <c r="H26" s="72" t="s">
        <v>2454</v>
      </c>
      <c r="I26" s="72" t="s">
        <v>13</v>
      </c>
      <c r="J26" s="58"/>
      <c r="K26" s="58"/>
      <c r="L26" s="58"/>
      <c r="M26" s="58"/>
      <c r="N26" s="58"/>
      <c r="O26" s="58"/>
      <c r="P26" s="58"/>
      <c r="Q26" s="58"/>
      <c r="R26" s="58"/>
      <c r="S26" s="58"/>
      <c r="T26" s="58"/>
      <c r="U26" s="58"/>
      <c r="V26" s="58"/>
      <c r="W26" s="58"/>
      <c r="X26" s="58"/>
      <c r="Y26" s="58"/>
      <c r="Z26" s="58"/>
    </row>
    <row r="27">
      <c r="A27" s="85" t="s">
        <v>200</v>
      </c>
      <c r="B27" s="72" t="s">
        <v>2372</v>
      </c>
      <c r="C27" s="72" t="s">
        <v>2444</v>
      </c>
      <c r="D27" s="72" t="s">
        <v>2445</v>
      </c>
      <c r="E27" s="72" t="s">
        <v>2455</v>
      </c>
      <c r="F27" s="72" t="s">
        <v>2456</v>
      </c>
      <c r="G27" s="72" t="s">
        <v>2457</v>
      </c>
      <c r="H27" s="72" t="s">
        <v>2458</v>
      </c>
      <c r="I27" s="72" t="s">
        <v>13</v>
      </c>
      <c r="J27" s="58"/>
      <c r="K27" s="58"/>
      <c r="L27" s="58"/>
      <c r="M27" s="58"/>
      <c r="N27" s="58"/>
      <c r="O27" s="58"/>
      <c r="P27" s="58"/>
      <c r="Q27" s="58"/>
      <c r="R27" s="58"/>
      <c r="S27" s="58"/>
      <c r="T27" s="58"/>
      <c r="U27" s="58"/>
      <c r="V27" s="58"/>
      <c r="W27" s="58"/>
      <c r="X27" s="58"/>
      <c r="Y27" s="58"/>
      <c r="Z27" s="58"/>
    </row>
    <row r="28">
      <c r="A28" s="85" t="s">
        <v>205</v>
      </c>
      <c r="B28" s="72" t="s">
        <v>2372</v>
      </c>
      <c r="C28" s="72" t="s">
        <v>2459</v>
      </c>
      <c r="D28" s="72" t="s">
        <v>2460</v>
      </c>
      <c r="E28" s="72" t="s">
        <v>2461</v>
      </c>
      <c r="F28" s="72" t="s">
        <v>2462</v>
      </c>
      <c r="G28" s="72" t="s">
        <v>2463</v>
      </c>
      <c r="H28" s="72" t="s">
        <v>2464</v>
      </c>
      <c r="I28" s="72" t="s">
        <v>13</v>
      </c>
      <c r="J28" s="58"/>
      <c r="K28" s="58"/>
      <c r="L28" s="58"/>
      <c r="M28" s="58"/>
      <c r="N28" s="58"/>
      <c r="O28" s="58"/>
      <c r="P28" s="58"/>
      <c r="Q28" s="58"/>
      <c r="R28" s="58"/>
      <c r="S28" s="58"/>
      <c r="T28" s="58"/>
      <c r="U28" s="58"/>
      <c r="V28" s="58"/>
      <c r="W28" s="58"/>
      <c r="X28" s="58"/>
      <c r="Y28" s="58"/>
      <c r="Z28" s="58"/>
    </row>
    <row r="29">
      <c r="A29" s="85" t="s">
        <v>210</v>
      </c>
      <c r="B29" s="72" t="s">
        <v>2372</v>
      </c>
      <c r="C29" s="72" t="s">
        <v>2459</v>
      </c>
      <c r="D29" s="72" t="s">
        <v>2465</v>
      </c>
      <c r="E29" s="72" t="s">
        <v>2466</v>
      </c>
      <c r="F29" s="72" t="s">
        <v>2462</v>
      </c>
      <c r="G29" s="72" t="s">
        <v>2467</v>
      </c>
      <c r="H29" s="72" t="s">
        <v>2468</v>
      </c>
      <c r="I29" s="72" t="s">
        <v>13</v>
      </c>
      <c r="J29" s="58"/>
      <c r="K29" s="58"/>
      <c r="L29" s="58"/>
      <c r="M29" s="58"/>
      <c r="N29" s="58"/>
      <c r="O29" s="58"/>
      <c r="P29" s="58"/>
      <c r="Q29" s="58"/>
      <c r="R29" s="58"/>
      <c r="S29" s="58"/>
      <c r="T29" s="58"/>
      <c r="U29" s="58"/>
      <c r="V29" s="58"/>
      <c r="W29" s="58"/>
      <c r="X29" s="58"/>
      <c r="Y29" s="58"/>
      <c r="Z29" s="58"/>
    </row>
    <row r="30">
      <c r="A30" s="85" t="s">
        <v>215</v>
      </c>
      <c r="B30" s="72" t="s">
        <v>2372</v>
      </c>
      <c r="C30" s="72" t="s">
        <v>2459</v>
      </c>
      <c r="D30" s="72" t="s">
        <v>2465</v>
      </c>
      <c r="E30" s="72" t="s">
        <v>2469</v>
      </c>
      <c r="F30" s="72" t="s">
        <v>2470</v>
      </c>
      <c r="G30" s="72" t="s">
        <v>2471</v>
      </c>
      <c r="H30" s="72" t="s">
        <v>2472</v>
      </c>
      <c r="I30" s="72" t="s">
        <v>13</v>
      </c>
      <c r="J30" s="58"/>
      <c r="K30" s="58"/>
      <c r="L30" s="58"/>
      <c r="M30" s="58"/>
      <c r="N30" s="58"/>
      <c r="O30" s="58"/>
      <c r="P30" s="58"/>
      <c r="Q30" s="58"/>
      <c r="R30" s="58"/>
      <c r="S30" s="58"/>
      <c r="T30" s="58"/>
      <c r="U30" s="58"/>
      <c r="V30" s="58"/>
      <c r="W30" s="58"/>
      <c r="X30" s="58"/>
      <c r="Y30" s="58"/>
      <c r="Z30" s="58"/>
    </row>
    <row r="31">
      <c r="A31" s="85" t="s">
        <v>220</v>
      </c>
      <c r="B31" s="72" t="s">
        <v>2372</v>
      </c>
      <c r="C31" s="72" t="s">
        <v>2459</v>
      </c>
      <c r="D31" s="72" t="s">
        <v>2465</v>
      </c>
      <c r="E31" s="72" t="s">
        <v>2473</v>
      </c>
      <c r="F31" s="72" t="s">
        <v>2474</v>
      </c>
      <c r="G31" s="72" t="s">
        <v>2475</v>
      </c>
      <c r="H31" s="72" t="s">
        <v>2476</v>
      </c>
      <c r="I31" s="72" t="s">
        <v>13</v>
      </c>
      <c r="J31" s="58"/>
      <c r="K31" s="58"/>
      <c r="L31" s="58"/>
      <c r="M31" s="58"/>
      <c r="N31" s="58"/>
      <c r="O31" s="58"/>
      <c r="P31" s="58"/>
      <c r="Q31" s="58"/>
      <c r="R31" s="58"/>
      <c r="S31" s="58"/>
      <c r="T31" s="58"/>
      <c r="U31" s="58"/>
      <c r="V31" s="58"/>
      <c r="W31" s="58"/>
      <c r="X31" s="58"/>
      <c r="Y31" s="58"/>
      <c r="Z31" s="58"/>
    </row>
    <row r="32">
      <c r="A32" s="85" t="s">
        <v>224</v>
      </c>
      <c r="B32" s="72" t="s">
        <v>2372</v>
      </c>
      <c r="C32" s="72" t="s">
        <v>2477</v>
      </c>
      <c r="D32" s="72" t="s">
        <v>2478</v>
      </c>
      <c r="E32" s="72" t="s">
        <v>2479</v>
      </c>
      <c r="F32" s="72" t="s">
        <v>2480</v>
      </c>
      <c r="G32" s="72" t="s">
        <v>46</v>
      </c>
      <c r="H32" s="72" t="s">
        <v>2481</v>
      </c>
      <c r="I32" s="72" t="s">
        <v>13</v>
      </c>
      <c r="J32" s="58"/>
      <c r="K32" s="58"/>
      <c r="L32" s="58"/>
      <c r="M32" s="58"/>
      <c r="N32" s="58"/>
      <c r="O32" s="58"/>
      <c r="P32" s="58"/>
      <c r="Q32" s="58"/>
      <c r="R32" s="58"/>
      <c r="S32" s="58"/>
      <c r="T32" s="58"/>
      <c r="U32" s="58"/>
      <c r="V32" s="58"/>
      <c r="W32" s="58"/>
      <c r="X32" s="58"/>
      <c r="Y32" s="58"/>
      <c r="Z32" s="58"/>
    </row>
    <row r="33">
      <c r="A33" s="85" t="s">
        <v>228</v>
      </c>
      <c r="B33" s="72" t="s">
        <v>2372</v>
      </c>
      <c r="C33" s="72" t="s">
        <v>2477</v>
      </c>
      <c r="D33" s="72" t="s">
        <v>2478</v>
      </c>
      <c r="E33" s="72" t="s">
        <v>2482</v>
      </c>
      <c r="F33" s="72" t="s">
        <v>2483</v>
      </c>
      <c r="G33" s="72" t="s">
        <v>46</v>
      </c>
      <c r="H33" s="72" t="s">
        <v>2484</v>
      </c>
      <c r="I33" s="72" t="s">
        <v>13</v>
      </c>
      <c r="J33" s="58"/>
      <c r="K33" s="58"/>
      <c r="L33" s="58"/>
      <c r="M33" s="58"/>
      <c r="N33" s="58"/>
      <c r="O33" s="58"/>
      <c r="P33" s="58"/>
      <c r="Q33" s="58"/>
      <c r="R33" s="58"/>
      <c r="S33" s="58"/>
      <c r="T33" s="58"/>
      <c r="U33" s="58"/>
      <c r="V33" s="58"/>
      <c r="W33" s="58"/>
      <c r="X33" s="58"/>
      <c r="Y33" s="58"/>
      <c r="Z33" s="58"/>
    </row>
    <row r="34">
      <c r="A34" s="85" t="s">
        <v>233</v>
      </c>
      <c r="B34" s="72" t="s">
        <v>2372</v>
      </c>
      <c r="C34" s="72" t="s">
        <v>2485</v>
      </c>
      <c r="D34" s="72" t="s">
        <v>2478</v>
      </c>
      <c r="E34" s="72" t="s">
        <v>2486</v>
      </c>
      <c r="F34" s="72" t="s">
        <v>2487</v>
      </c>
      <c r="G34" s="72" t="s">
        <v>2488</v>
      </c>
      <c r="H34" s="72" t="s">
        <v>2489</v>
      </c>
      <c r="I34" s="72" t="s">
        <v>13</v>
      </c>
      <c r="J34" s="58"/>
      <c r="K34" s="58"/>
      <c r="L34" s="58"/>
      <c r="M34" s="58"/>
      <c r="N34" s="58"/>
      <c r="O34" s="58"/>
      <c r="P34" s="58"/>
      <c r="Q34" s="58"/>
      <c r="R34" s="58"/>
      <c r="S34" s="58"/>
      <c r="T34" s="58"/>
      <c r="U34" s="58"/>
      <c r="V34" s="58"/>
      <c r="W34" s="58"/>
      <c r="X34" s="58"/>
      <c r="Y34" s="58"/>
      <c r="Z34" s="58"/>
    </row>
    <row r="35">
      <c r="A35" s="85" t="s">
        <v>237</v>
      </c>
      <c r="B35" s="72" t="s">
        <v>2372</v>
      </c>
      <c r="C35" s="72" t="s">
        <v>2485</v>
      </c>
      <c r="D35" s="72" t="s">
        <v>2478</v>
      </c>
      <c r="E35" s="72" t="s">
        <v>1095</v>
      </c>
      <c r="F35" s="72" t="s">
        <v>2490</v>
      </c>
      <c r="G35" s="72" t="s">
        <v>46</v>
      </c>
      <c r="H35" s="72" t="s">
        <v>2491</v>
      </c>
      <c r="I35" s="72" t="s">
        <v>13</v>
      </c>
      <c r="J35" s="58"/>
      <c r="K35" s="58"/>
      <c r="L35" s="58"/>
      <c r="M35" s="58"/>
      <c r="N35" s="58"/>
      <c r="O35" s="58"/>
      <c r="P35" s="58"/>
      <c r="Q35" s="58"/>
      <c r="R35" s="58"/>
      <c r="S35" s="58"/>
      <c r="T35" s="58"/>
      <c r="U35" s="58"/>
      <c r="V35" s="58"/>
      <c r="W35" s="58"/>
      <c r="X35" s="58"/>
      <c r="Y35" s="58"/>
      <c r="Z35" s="58"/>
    </row>
    <row r="36">
      <c r="A36" s="85" t="s">
        <v>241</v>
      </c>
      <c r="B36" s="72" t="s">
        <v>2372</v>
      </c>
      <c r="C36" s="72" t="s">
        <v>2492</v>
      </c>
      <c r="D36" s="72" t="s">
        <v>2478</v>
      </c>
      <c r="E36" s="72" t="s">
        <v>2493</v>
      </c>
      <c r="F36" s="72" t="s">
        <v>2494</v>
      </c>
      <c r="G36" s="72" t="s">
        <v>2495</v>
      </c>
      <c r="H36" s="72" t="s">
        <v>2496</v>
      </c>
      <c r="I36" s="72" t="s">
        <v>13</v>
      </c>
      <c r="J36" s="58"/>
      <c r="K36" s="58"/>
      <c r="L36" s="58"/>
      <c r="M36" s="58"/>
      <c r="N36" s="58"/>
      <c r="O36" s="58"/>
      <c r="P36" s="58"/>
      <c r="Q36" s="58"/>
      <c r="R36" s="58"/>
      <c r="S36" s="58"/>
      <c r="T36" s="58"/>
      <c r="U36" s="58"/>
      <c r="V36" s="58"/>
      <c r="W36" s="58"/>
      <c r="X36" s="58"/>
      <c r="Y36" s="58"/>
      <c r="Z36" s="58"/>
    </row>
    <row r="37">
      <c r="A37" s="85" t="s">
        <v>245</v>
      </c>
      <c r="B37" s="72" t="s">
        <v>2372</v>
      </c>
      <c r="C37" s="72" t="s">
        <v>2492</v>
      </c>
      <c r="D37" s="72" t="s">
        <v>2478</v>
      </c>
      <c r="E37" s="72" t="s">
        <v>2497</v>
      </c>
      <c r="F37" s="72" t="s">
        <v>2498</v>
      </c>
      <c r="G37" s="72" t="s">
        <v>2499</v>
      </c>
      <c r="H37" s="72" t="s">
        <v>2500</v>
      </c>
      <c r="I37" s="72" t="s">
        <v>13</v>
      </c>
      <c r="J37" s="58"/>
      <c r="K37" s="58"/>
      <c r="L37" s="58"/>
      <c r="M37" s="58"/>
      <c r="N37" s="58"/>
      <c r="O37" s="58"/>
      <c r="P37" s="58"/>
      <c r="Q37" s="58"/>
      <c r="R37" s="58"/>
      <c r="S37" s="58"/>
      <c r="T37" s="58"/>
      <c r="U37" s="58"/>
      <c r="V37" s="58"/>
      <c r="W37" s="58"/>
      <c r="X37" s="58"/>
      <c r="Y37" s="58"/>
      <c r="Z37" s="58"/>
    </row>
    <row r="38">
      <c r="A38" s="85" t="s">
        <v>250</v>
      </c>
      <c r="B38" s="72" t="s">
        <v>2372</v>
      </c>
      <c r="C38" s="72" t="s">
        <v>2492</v>
      </c>
      <c r="D38" s="72" t="s">
        <v>2478</v>
      </c>
      <c r="E38" s="72" t="s">
        <v>2501</v>
      </c>
      <c r="F38" s="72" t="s">
        <v>2498</v>
      </c>
      <c r="G38" s="72" t="s">
        <v>2499</v>
      </c>
      <c r="H38" s="72" t="s">
        <v>2500</v>
      </c>
      <c r="I38" s="72" t="s">
        <v>13</v>
      </c>
      <c r="J38" s="58"/>
      <c r="K38" s="58"/>
      <c r="L38" s="58"/>
      <c r="M38" s="58"/>
      <c r="N38" s="58"/>
      <c r="O38" s="58"/>
      <c r="P38" s="58"/>
      <c r="Q38" s="58"/>
      <c r="R38" s="58"/>
      <c r="S38" s="58"/>
      <c r="T38" s="58"/>
      <c r="U38" s="58"/>
      <c r="V38" s="58"/>
      <c r="W38" s="58"/>
      <c r="X38" s="58"/>
      <c r="Y38" s="58"/>
      <c r="Z38" s="58"/>
    </row>
    <row r="39">
      <c r="A39" s="85" t="s">
        <v>254</v>
      </c>
      <c r="B39" s="72" t="s">
        <v>2372</v>
      </c>
      <c r="C39" s="72" t="s">
        <v>2492</v>
      </c>
      <c r="D39" s="72" t="s">
        <v>2478</v>
      </c>
      <c r="E39" s="72" t="s">
        <v>2502</v>
      </c>
      <c r="F39" s="72"/>
      <c r="G39" s="72" t="s">
        <v>2503</v>
      </c>
      <c r="H39" s="72" t="s">
        <v>2504</v>
      </c>
      <c r="I39" s="72" t="s">
        <v>13</v>
      </c>
      <c r="J39" s="58"/>
      <c r="K39" s="58"/>
      <c r="L39" s="58"/>
      <c r="M39" s="58"/>
      <c r="N39" s="58"/>
      <c r="O39" s="58"/>
      <c r="P39" s="58"/>
      <c r="Q39" s="58"/>
      <c r="R39" s="58"/>
      <c r="S39" s="58"/>
      <c r="T39" s="58"/>
      <c r="U39" s="58"/>
      <c r="V39" s="58"/>
      <c r="W39" s="58"/>
      <c r="X39" s="58"/>
      <c r="Y39" s="58"/>
      <c r="Z39" s="58"/>
    </row>
    <row r="40">
      <c r="A40" s="85" t="s">
        <v>258</v>
      </c>
      <c r="B40" s="72" t="s">
        <v>2372</v>
      </c>
      <c r="C40" s="72" t="s">
        <v>2492</v>
      </c>
      <c r="D40" s="72" t="s">
        <v>2478</v>
      </c>
      <c r="E40" s="72" t="s">
        <v>2505</v>
      </c>
      <c r="F40" s="72" t="s">
        <v>2506</v>
      </c>
      <c r="G40" s="72" t="s">
        <v>46</v>
      </c>
      <c r="H40" s="72" t="s">
        <v>2507</v>
      </c>
      <c r="I40" s="72" t="s">
        <v>13</v>
      </c>
      <c r="J40" s="58"/>
      <c r="K40" s="58"/>
      <c r="L40" s="58"/>
      <c r="M40" s="58"/>
      <c r="N40" s="58"/>
      <c r="O40" s="58"/>
      <c r="P40" s="58"/>
      <c r="Q40" s="58"/>
      <c r="R40" s="58"/>
      <c r="S40" s="58"/>
      <c r="T40" s="58"/>
      <c r="U40" s="58"/>
      <c r="V40" s="58"/>
      <c r="W40" s="58"/>
      <c r="X40" s="58"/>
      <c r="Y40" s="58"/>
      <c r="Z40" s="58"/>
    </row>
    <row r="41">
      <c r="A41" s="85" t="s">
        <v>263</v>
      </c>
      <c r="B41" s="72" t="s">
        <v>2372</v>
      </c>
      <c r="C41" s="72" t="s">
        <v>2508</v>
      </c>
      <c r="D41" s="72" t="s">
        <v>2509</v>
      </c>
      <c r="E41" s="72" t="s">
        <v>2510</v>
      </c>
      <c r="F41" s="72" t="s">
        <v>2511</v>
      </c>
      <c r="G41" s="72" t="s">
        <v>2512</v>
      </c>
      <c r="H41" s="72" t="s">
        <v>2513</v>
      </c>
      <c r="I41" s="72" t="s">
        <v>13</v>
      </c>
      <c r="J41" s="58"/>
      <c r="K41" s="58"/>
      <c r="L41" s="58"/>
      <c r="M41" s="58"/>
      <c r="N41" s="58"/>
      <c r="O41" s="58"/>
      <c r="P41" s="58"/>
      <c r="Q41" s="58"/>
      <c r="R41" s="58"/>
      <c r="S41" s="58"/>
      <c r="T41" s="58"/>
      <c r="U41" s="58"/>
      <c r="V41" s="58"/>
      <c r="W41" s="58"/>
      <c r="X41" s="58"/>
      <c r="Y41" s="58"/>
      <c r="Z41" s="58"/>
    </row>
    <row r="42">
      <c r="A42" s="85" t="s">
        <v>268</v>
      </c>
      <c r="B42" s="72" t="s">
        <v>2372</v>
      </c>
      <c r="C42" s="72" t="s">
        <v>2508</v>
      </c>
      <c r="D42" s="72" t="s">
        <v>2509</v>
      </c>
      <c r="E42" s="72" t="s">
        <v>2514</v>
      </c>
      <c r="F42" s="72" t="s">
        <v>2511</v>
      </c>
      <c r="G42" s="72" t="s">
        <v>2512</v>
      </c>
      <c r="H42" s="72" t="s">
        <v>2513</v>
      </c>
      <c r="I42" s="72" t="s">
        <v>13</v>
      </c>
      <c r="J42" s="58"/>
      <c r="K42" s="58"/>
      <c r="L42" s="58"/>
      <c r="M42" s="58"/>
      <c r="N42" s="58"/>
      <c r="O42" s="58"/>
      <c r="P42" s="58"/>
      <c r="Q42" s="58"/>
      <c r="R42" s="58"/>
      <c r="S42" s="58"/>
      <c r="T42" s="58"/>
      <c r="U42" s="58"/>
      <c r="V42" s="58"/>
      <c r="W42" s="58"/>
      <c r="X42" s="58"/>
      <c r="Y42" s="58"/>
      <c r="Z42" s="58"/>
    </row>
    <row r="43">
      <c r="A43" s="85" t="s">
        <v>271</v>
      </c>
      <c r="B43" s="72" t="s">
        <v>2372</v>
      </c>
      <c r="C43" s="72" t="s">
        <v>2508</v>
      </c>
      <c r="D43" s="72" t="s">
        <v>2509</v>
      </c>
      <c r="E43" s="72" t="s">
        <v>2515</v>
      </c>
      <c r="F43" s="72" t="s">
        <v>2511</v>
      </c>
      <c r="G43" s="72" t="s">
        <v>2512</v>
      </c>
      <c r="H43" s="72" t="s">
        <v>2513</v>
      </c>
      <c r="I43" s="72" t="s">
        <v>13</v>
      </c>
      <c r="J43" s="58"/>
      <c r="K43" s="58"/>
      <c r="L43" s="58"/>
      <c r="M43" s="58"/>
      <c r="N43" s="58"/>
      <c r="O43" s="58"/>
      <c r="P43" s="58"/>
      <c r="Q43" s="58"/>
      <c r="R43" s="58"/>
      <c r="S43" s="58"/>
      <c r="T43" s="58"/>
      <c r="U43" s="58"/>
      <c r="V43" s="58"/>
      <c r="W43" s="58"/>
      <c r="X43" s="58"/>
      <c r="Y43" s="58"/>
      <c r="Z43" s="58"/>
    </row>
    <row r="44">
      <c r="A44" s="85" t="s">
        <v>274</v>
      </c>
      <c r="B44" s="72" t="s">
        <v>2372</v>
      </c>
      <c r="C44" s="72" t="s">
        <v>2508</v>
      </c>
      <c r="D44" s="72" t="s">
        <v>2509</v>
      </c>
      <c r="E44" s="72" t="s">
        <v>2516</v>
      </c>
      <c r="F44" s="72" t="s">
        <v>2517</v>
      </c>
      <c r="G44" s="72" t="s">
        <v>46</v>
      </c>
      <c r="H44" s="72" t="s">
        <v>2518</v>
      </c>
      <c r="I44" s="72" t="s">
        <v>13</v>
      </c>
      <c r="J44" s="58"/>
      <c r="K44" s="58"/>
      <c r="L44" s="58"/>
      <c r="M44" s="58"/>
      <c r="N44" s="58"/>
      <c r="O44" s="58"/>
      <c r="P44" s="58"/>
      <c r="Q44" s="58"/>
      <c r="R44" s="58"/>
      <c r="S44" s="58"/>
      <c r="T44" s="58"/>
      <c r="U44" s="58"/>
      <c r="V44" s="58"/>
      <c r="W44" s="58"/>
      <c r="X44" s="58"/>
      <c r="Y44" s="58"/>
      <c r="Z44" s="58"/>
    </row>
    <row r="45">
      <c r="A45" s="85" t="s">
        <v>405</v>
      </c>
      <c r="B45" s="72" t="s">
        <v>2372</v>
      </c>
      <c r="C45" s="72" t="s">
        <v>2519</v>
      </c>
      <c r="D45" s="72" t="s">
        <v>2520</v>
      </c>
      <c r="E45" s="72" t="s">
        <v>2521</v>
      </c>
      <c r="F45" s="72" t="s">
        <v>2522</v>
      </c>
      <c r="G45" s="72" t="s">
        <v>46</v>
      </c>
      <c r="H45" s="72" t="s">
        <v>2523</v>
      </c>
      <c r="I45" s="72" t="s">
        <v>13</v>
      </c>
      <c r="J45" s="58"/>
      <c r="K45" s="58"/>
      <c r="L45" s="58"/>
      <c r="M45" s="58"/>
      <c r="N45" s="58"/>
      <c r="O45" s="58"/>
      <c r="P45" s="58"/>
      <c r="Q45" s="58"/>
      <c r="R45" s="58"/>
      <c r="S45" s="58"/>
      <c r="T45" s="58"/>
      <c r="U45" s="58"/>
      <c r="V45" s="58"/>
      <c r="W45" s="58"/>
      <c r="X45" s="58"/>
      <c r="Y45" s="58"/>
      <c r="Z45" s="58"/>
    </row>
    <row r="46">
      <c r="A46" s="85" t="s">
        <v>408</v>
      </c>
      <c r="B46" s="72" t="s">
        <v>2372</v>
      </c>
      <c r="C46" s="72" t="s">
        <v>2524</v>
      </c>
      <c r="D46" s="72" t="s">
        <v>2520</v>
      </c>
      <c r="E46" s="72" t="s">
        <v>2525</v>
      </c>
      <c r="F46" s="72" t="s">
        <v>2526</v>
      </c>
      <c r="G46" s="72" t="s">
        <v>2527</v>
      </c>
      <c r="H46" s="72" t="s">
        <v>2528</v>
      </c>
      <c r="I46" s="72" t="s">
        <v>13</v>
      </c>
      <c r="J46" s="58"/>
      <c r="K46" s="58"/>
      <c r="L46" s="58"/>
      <c r="M46" s="58"/>
      <c r="N46" s="58"/>
      <c r="O46" s="58"/>
      <c r="P46" s="58"/>
      <c r="Q46" s="58"/>
      <c r="R46" s="58"/>
      <c r="S46" s="58"/>
      <c r="T46" s="58"/>
      <c r="U46" s="58"/>
      <c r="V46" s="58"/>
      <c r="W46" s="58"/>
      <c r="X46" s="58"/>
      <c r="Y46" s="58"/>
      <c r="Z46" s="58"/>
    </row>
    <row r="47">
      <c r="A47" s="85" t="s">
        <v>629</v>
      </c>
      <c r="B47" s="72" t="s">
        <v>2372</v>
      </c>
      <c r="C47" s="72" t="s">
        <v>2524</v>
      </c>
      <c r="D47" s="72" t="s">
        <v>2520</v>
      </c>
      <c r="E47" s="72" t="s">
        <v>2529</v>
      </c>
      <c r="F47" s="72" t="s">
        <v>2530</v>
      </c>
      <c r="G47" s="72" t="s">
        <v>2527</v>
      </c>
      <c r="H47" s="72" t="s">
        <v>2531</v>
      </c>
      <c r="I47" s="72" t="s">
        <v>13</v>
      </c>
      <c r="J47" s="58"/>
      <c r="K47" s="58"/>
      <c r="L47" s="58"/>
      <c r="M47" s="58"/>
      <c r="N47" s="58"/>
      <c r="O47" s="58"/>
      <c r="P47" s="58"/>
      <c r="Q47" s="58"/>
      <c r="R47" s="58"/>
      <c r="S47" s="58"/>
      <c r="T47" s="58"/>
      <c r="U47" s="58"/>
      <c r="V47" s="58"/>
      <c r="W47" s="58"/>
      <c r="X47" s="58"/>
      <c r="Y47" s="58"/>
      <c r="Z47" s="58"/>
    </row>
    <row r="48">
      <c r="A48" s="85" t="s">
        <v>633</v>
      </c>
      <c r="B48" s="72" t="s">
        <v>2372</v>
      </c>
      <c r="C48" s="72" t="s">
        <v>2524</v>
      </c>
      <c r="D48" s="72" t="s">
        <v>2520</v>
      </c>
      <c r="E48" s="72" t="s">
        <v>2532</v>
      </c>
      <c r="F48" s="72" t="s">
        <v>2533</v>
      </c>
      <c r="G48" s="72" t="s">
        <v>2527</v>
      </c>
      <c r="H48" s="72" t="s">
        <v>2534</v>
      </c>
      <c r="I48" s="72" t="s">
        <v>13</v>
      </c>
      <c r="J48" s="58"/>
      <c r="K48" s="58"/>
      <c r="L48" s="58"/>
      <c r="M48" s="58"/>
      <c r="N48" s="58"/>
      <c r="O48" s="58"/>
      <c r="P48" s="58"/>
      <c r="Q48" s="58"/>
      <c r="R48" s="58"/>
      <c r="S48" s="58"/>
      <c r="T48" s="58"/>
      <c r="U48" s="58"/>
      <c r="V48" s="58"/>
      <c r="W48" s="58"/>
      <c r="X48" s="58"/>
      <c r="Y48" s="58"/>
      <c r="Z48" s="58"/>
    </row>
    <row r="49">
      <c r="A49" s="85" t="s">
        <v>637</v>
      </c>
      <c r="B49" s="72" t="s">
        <v>2372</v>
      </c>
      <c r="C49" s="72" t="s">
        <v>2524</v>
      </c>
      <c r="D49" s="72" t="s">
        <v>2520</v>
      </c>
      <c r="E49" s="72" t="s">
        <v>2535</v>
      </c>
      <c r="F49" s="72" t="s">
        <v>2536</v>
      </c>
      <c r="G49" s="72" t="s">
        <v>46</v>
      </c>
      <c r="H49" s="72" t="s">
        <v>2537</v>
      </c>
      <c r="I49" s="72" t="s">
        <v>13</v>
      </c>
      <c r="J49" s="58"/>
      <c r="K49" s="58"/>
      <c r="L49" s="58"/>
      <c r="M49" s="58"/>
      <c r="N49" s="58"/>
      <c r="O49" s="58"/>
      <c r="P49" s="58"/>
      <c r="Q49" s="58"/>
      <c r="R49" s="58"/>
      <c r="S49" s="58"/>
      <c r="T49" s="58"/>
      <c r="U49" s="58"/>
      <c r="V49" s="58"/>
      <c r="W49" s="58"/>
      <c r="X49" s="58"/>
      <c r="Y49" s="58"/>
      <c r="Z49" s="58"/>
    </row>
    <row r="50">
      <c r="A50" s="85" t="s">
        <v>641</v>
      </c>
      <c r="B50" s="72" t="s">
        <v>2372</v>
      </c>
      <c r="C50" s="72" t="s">
        <v>2524</v>
      </c>
      <c r="D50" s="72" t="s">
        <v>2520</v>
      </c>
      <c r="E50" s="72" t="s">
        <v>2538</v>
      </c>
      <c r="F50" s="72" t="s">
        <v>2539</v>
      </c>
      <c r="G50" s="72" t="s">
        <v>46</v>
      </c>
      <c r="H50" s="72" t="s">
        <v>2540</v>
      </c>
      <c r="I50" s="72" t="s">
        <v>13</v>
      </c>
      <c r="J50" s="58"/>
      <c r="K50" s="58"/>
      <c r="L50" s="58"/>
      <c r="M50" s="58"/>
      <c r="N50" s="58"/>
      <c r="O50" s="58"/>
      <c r="P50" s="58"/>
      <c r="Q50" s="58"/>
      <c r="R50" s="58"/>
      <c r="S50" s="58"/>
      <c r="T50" s="58"/>
      <c r="U50" s="58"/>
      <c r="V50" s="58"/>
      <c r="W50" s="58"/>
      <c r="X50" s="58"/>
      <c r="Y50" s="58"/>
      <c r="Z50" s="58"/>
    </row>
    <row r="51">
      <c r="A51" s="85" t="s">
        <v>644</v>
      </c>
      <c r="B51" s="72" t="s">
        <v>2372</v>
      </c>
      <c r="C51" s="72" t="s">
        <v>2541</v>
      </c>
      <c r="D51" s="72" t="s">
        <v>2520</v>
      </c>
      <c r="E51" s="72" t="s">
        <v>2542</v>
      </c>
      <c r="F51" s="72" t="s">
        <v>2543</v>
      </c>
      <c r="G51" s="72" t="s">
        <v>46</v>
      </c>
      <c r="H51" s="72" t="s">
        <v>2544</v>
      </c>
      <c r="I51" s="72" t="s">
        <v>13</v>
      </c>
      <c r="J51" s="58"/>
      <c r="K51" s="58"/>
      <c r="L51" s="58"/>
      <c r="M51" s="58"/>
      <c r="N51" s="58"/>
      <c r="O51" s="58"/>
      <c r="P51" s="58"/>
      <c r="Q51" s="58"/>
      <c r="R51" s="58"/>
      <c r="S51" s="58"/>
      <c r="T51" s="58"/>
      <c r="U51" s="58"/>
      <c r="V51" s="58"/>
      <c r="W51" s="58"/>
      <c r="X51" s="58"/>
      <c r="Y51" s="58"/>
      <c r="Z51" s="58"/>
    </row>
    <row r="52">
      <c r="A52" s="85" t="s">
        <v>647</v>
      </c>
      <c r="B52" s="72" t="s">
        <v>2372</v>
      </c>
      <c r="C52" s="72" t="s">
        <v>2541</v>
      </c>
      <c r="D52" s="72" t="s">
        <v>2520</v>
      </c>
      <c r="E52" s="72" t="s">
        <v>2545</v>
      </c>
      <c r="F52" s="72" t="s">
        <v>2546</v>
      </c>
      <c r="G52" s="72" t="s">
        <v>46</v>
      </c>
      <c r="H52" s="72" t="s">
        <v>2547</v>
      </c>
      <c r="I52" s="72" t="s">
        <v>13</v>
      </c>
      <c r="J52" s="58"/>
      <c r="K52" s="58"/>
      <c r="L52" s="58"/>
      <c r="M52" s="58"/>
      <c r="N52" s="58"/>
      <c r="O52" s="58"/>
      <c r="P52" s="58"/>
      <c r="Q52" s="58"/>
      <c r="R52" s="58"/>
      <c r="S52" s="58"/>
      <c r="T52" s="58"/>
      <c r="U52" s="58"/>
      <c r="V52" s="58"/>
      <c r="W52" s="58"/>
      <c r="X52" s="58"/>
      <c r="Y52" s="58"/>
      <c r="Z52" s="58"/>
    </row>
    <row r="53">
      <c r="A53" s="85" t="s">
        <v>650</v>
      </c>
      <c r="B53" s="72" t="s">
        <v>2372</v>
      </c>
      <c r="C53" s="72" t="s">
        <v>2548</v>
      </c>
      <c r="D53" s="72" t="s">
        <v>2520</v>
      </c>
      <c r="E53" s="72" t="s">
        <v>2549</v>
      </c>
      <c r="F53" s="72" t="s">
        <v>2550</v>
      </c>
      <c r="G53" s="72" t="s">
        <v>2551</v>
      </c>
      <c r="H53" s="72" t="s">
        <v>2552</v>
      </c>
      <c r="I53" s="72" t="s">
        <v>13</v>
      </c>
      <c r="J53" s="86"/>
      <c r="K53" s="86"/>
      <c r="L53" s="86"/>
      <c r="M53" s="86"/>
      <c r="N53" s="86"/>
      <c r="O53" s="86"/>
      <c r="P53" s="86"/>
      <c r="Q53" s="86"/>
      <c r="R53" s="86"/>
      <c r="S53" s="86"/>
      <c r="T53" s="86"/>
      <c r="U53" s="86"/>
      <c r="V53" s="86"/>
      <c r="W53" s="86"/>
      <c r="X53" s="86"/>
      <c r="Y53" s="86"/>
      <c r="Z53" s="86"/>
    </row>
    <row r="54">
      <c r="A54" s="85" t="s">
        <v>654</v>
      </c>
      <c r="B54" s="72" t="s">
        <v>2372</v>
      </c>
      <c r="C54" s="72" t="s">
        <v>2553</v>
      </c>
      <c r="D54" s="72" t="s">
        <v>2554</v>
      </c>
      <c r="E54" s="72" t="s">
        <v>2555</v>
      </c>
      <c r="F54" s="72" t="s">
        <v>2556</v>
      </c>
      <c r="G54" s="72" t="s">
        <v>46</v>
      </c>
      <c r="H54" s="72" t="s">
        <v>2557</v>
      </c>
      <c r="I54" s="72" t="s">
        <v>13</v>
      </c>
      <c r="J54" s="58"/>
      <c r="K54" s="58"/>
      <c r="L54" s="58"/>
      <c r="M54" s="58"/>
      <c r="N54" s="58"/>
      <c r="O54" s="58"/>
      <c r="P54" s="58"/>
      <c r="Q54" s="58"/>
      <c r="R54" s="58"/>
      <c r="S54" s="58"/>
      <c r="T54" s="58"/>
      <c r="U54" s="58"/>
      <c r="V54" s="58"/>
      <c r="W54" s="58"/>
      <c r="X54" s="58"/>
      <c r="Y54" s="58"/>
      <c r="Z54" s="58"/>
    </row>
    <row r="55">
      <c r="A55" s="85" t="s">
        <v>657</v>
      </c>
      <c r="B55" s="72" t="s">
        <v>2372</v>
      </c>
      <c r="C55" s="72" t="s">
        <v>2553</v>
      </c>
      <c r="D55" s="72" t="s">
        <v>2554</v>
      </c>
      <c r="E55" s="72" t="s">
        <v>2558</v>
      </c>
      <c r="F55" s="72" t="s">
        <v>2556</v>
      </c>
      <c r="G55" s="72" t="s">
        <v>46</v>
      </c>
      <c r="H55" s="72" t="s">
        <v>2557</v>
      </c>
      <c r="I55" s="72" t="s">
        <v>13</v>
      </c>
      <c r="J55" s="58"/>
      <c r="K55" s="58"/>
      <c r="L55" s="58"/>
      <c r="M55" s="58"/>
      <c r="N55" s="58"/>
      <c r="O55" s="58"/>
      <c r="P55" s="58"/>
      <c r="Q55" s="58"/>
      <c r="R55" s="58"/>
      <c r="S55" s="58"/>
      <c r="T55" s="58"/>
      <c r="U55" s="58"/>
      <c r="V55" s="58"/>
      <c r="W55" s="58"/>
      <c r="X55" s="58"/>
      <c r="Y55" s="58"/>
      <c r="Z55" s="58"/>
    </row>
    <row r="56">
      <c r="A56" s="85" t="s">
        <v>660</v>
      </c>
      <c r="B56" s="72" t="s">
        <v>2372</v>
      </c>
      <c r="C56" s="72" t="s">
        <v>2553</v>
      </c>
      <c r="D56" s="72" t="s">
        <v>2554</v>
      </c>
      <c r="E56" s="72" t="s">
        <v>2559</v>
      </c>
      <c r="F56" s="72" t="s">
        <v>2556</v>
      </c>
      <c r="G56" s="72" t="s">
        <v>46</v>
      </c>
      <c r="H56" s="72" t="s">
        <v>2557</v>
      </c>
      <c r="I56" s="72" t="s">
        <v>13</v>
      </c>
      <c r="J56" s="58"/>
      <c r="K56" s="58"/>
      <c r="L56" s="58"/>
      <c r="M56" s="58"/>
      <c r="N56" s="58"/>
      <c r="O56" s="58"/>
      <c r="P56" s="58"/>
      <c r="Q56" s="58"/>
      <c r="R56" s="58"/>
      <c r="S56" s="58"/>
      <c r="T56" s="58"/>
      <c r="U56" s="58"/>
      <c r="V56" s="58"/>
      <c r="W56" s="58"/>
      <c r="X56" s="58"/>
      <c r="Y56" s="58"/>
      <c r="Z56" s="58"/>
    </row>
    <row r="57">
      <c r="A57" s="85" t="s">
        <v>664</v>
      </c>
      <c r="B57" s="72" t="s">
        <v>2372</v>
      </c>
      <c r="C57" s="72" t="s">
        <v>2553</v>
      </c>
      <c r="D57" s="72" t="s">
        <v>2554</v>
      </c>
      <c r="E57" s="72" t="s">
        <v>2560</v>
      </c>
      <c r="F57" s="72" t="s">
        <v>2556</v>
      </c>
      <c r="G57" s="72" t="s">
        <v>46</v>
      </c>
      <c r="H57" s="72" t="s">
        <v>2557</v>
      </c>
      <c r="I57" s="72" t="s">
        <v>13</v>
      </c>
      <c r="J57" s="58"/>
      <c r="K57" s="58"/>
      <c r="L57" s="58"/>
      <c r="M57" s="58"/>
      <c r="N57" s="58"/>
      <c r="O57" s="58"/>
      <c r="P57" s="58"/>
      <c r="Q57" s="58"/>
      <c r="R57" s="58"/>
      <c r="S57" s="58"/>
      <c r="T57" s="58"/>
      <c r="U57" s="58"/>
      <c r="V57" s="58"/>
      <c r="W57" s="58"/>
      <c r="X57" s="58"/>
      <c r="Y57" s="58"/>
      <c r="Z57" s="58"/>
    </row>
    <row r="58">
      <c r="A58" s="85" t="s">
        <v>668</v>
      </c>
      <c r="B58" s="72" t="s">
        <v>2561</v>
      </c>
      <c r="C58" s="72" t="s">
        <v>2562</v>
      </c>
      <c r="D58" s="72" t="s">
        <v>2563</v>
      </c>
      <c r="E58" s="72" t="s">
        <v>2564</v>
      </c>
      <c r="F58" s="72" t="s">
        <v>2565</v>
      </c>
      <c r="G58" s="72" t="s">
        <v>46</v>
      </c>
      <c r="H58" s="72" t="s">
        <v>2565</v>
      </c>
      <c r="I58" s="72" t="s">
        <v>13</v>
      </c>
      <c r="J58" s="116"/>
      <c r="K58" s="116"/>
      <c r="L58" s="116"/>
      <c r="M58" s="116"/>
      <c r="N58" s="116"/>
      <c r="O58" s="116"/>
      <c r="P58" s="116"/>
      <c r="Q58" s="116"/>
      <c r="R58" s="116"/>
      <c r="S58" s="116"/>
      <c r="T58" s="116"/>
      <c r="U58" s="116"/>
      <c r="V58" s="116"/>
      <c r="W58" s="116"/>
      <c r="X58" s="116"/>
      <c r="Y58" s="116"/>
      <c r="Z58" s="116"/>
    </row>
    <row r="59">
      <c r="A59" s="85" t="s">
        <v>672</v>
      </c>
      <c r="B59" s="72" t="s">
        <v>2566</v>
      </c>
      <c r="C59" s="72" t="s">
        <v>2562</v>
      </c>
      <c r="D59" s="72" t="s">
        <v>2567</v>
      </c>
      <c r="E59" s="72" t="s">
        <v>631</v>
      </c>
      <c r="F59" s="72" t="s">
        <v>2375</v>
      </c>
      <c r="G59" s="72" t="s">
        <v>46</v>
      </c>
      <c r="H59" s="72" t="s">
        <v>632</v>
      </c>
      <c r="I59" s="72" t="s">
        <v>13</v>
      </c>
      <c r="J59" s="116"/>
      <c r="K59" s="116"/>
      <c r="L59" s="116"/>
      <c r="M59" s="116"/>
      <c r="N59" s="116"/>
      <c r="O59" s="116"/>
      <c r="P59" s="116"/>
      <c r="Q59" s="116"/>
      <c r="R59" s="116"/>
      <c r="S59" s="116"/>
      <c r="T59" s="116"/>
      <c r="U59" s="116"/>
      <c r="V59" s="116"/>
      <c r="W59" s="116"/>
      <c r="X59" s="116"/>
      <c r="Y59" s="116"/>
      <c r="Z59" s="116"/>
    </row>
    <row r="60">
      <c r="A60" s="85" t="s">
        <v>676</v>
      </c>
      <c r="B60" s="72" t="s">
        <v>2568</v>
      </c>
      <c r="C60" s="72" t="s">
        <v>2562</v>
      </c>
      <c r="D60" s="72" t="s">
        <v>2569</v>
      </c>
      <c r="E60" s="72" t="s">
        <v>2570</v>
      </c>
      <c r="F60" s="72" t="s">
        <v>2377</v>
      </c>
      <c r="G60" s="72" t="s">
        <v>46</v>
      </c>
      <c r="H60" s="72" t="s">
        <v>2378</v>
      </c>
      <c r="I60" s="72" t="s">
        <v>13</v>
      </c>
      <c r="J60" s="58"/>
      <c r="K60" s="58"/>
      <c r="L60" s="58"/>
      <c r="M60" s="58"/>
      <c r="N60" s="58"/>
      <c r="O60" s="58"/>
      <c r="P60" s="58"/>
      <c r="Q60" s="58"/>
      <c r="R60" s="58"/>
      <c r="S60" s="58"/>
      <c r="T60" s="58"/>
      <c r="U60" s="58"/>
      <c r="V60" s="58"/>
      <c r="W60" s="58"/>
      <c r="X60" s="58"/>
      <c r="Y60" s="58"/>
      <c r="Z60" s="58"/>
    </row>
    <row r="61">
      <c r="A61" s="85" t="s">
        <v>681</v>
      </c>
      <c r="B61" s="72" t="s">
        <v>2568</v>
      </c>
      <c r="C61" s="72" t="s">
        <v>2562</v>
      </c>
      <c r="D61" s="72" t="s">
        <v>2571</v>
      </c>
      <c r="E61" s="72" t="s">
        <v>2379</v>
      </c>
      <c r="F61" s="72" t="s">
        <v>46</v>
      </c>
      <c r="G61" s="72" t="s">
        <v>2380</v>
      </c>
      <c r="H61" s="72" t="s">
        <v>2381</v>
      </c>
      <c r="I61" s="72" t="s">
        <v>13</v>
      </c>
      <c r="J61" s="58"/>
      <c r="K61" s="58"/>
      <c r="L61" s="58"/>
      <c r="M61" s="58"/>
      <c r="N61" s="58"/>
      <c r="O61" s="58"/>
      <c r="P61" s="58"/>
      <c r="Q61" s="58"/>
      <c r="R61" s="58"/>
      <c r="S61" s="58"/>
      <c r="T61" s="58"/>
      <c r="U61" s="58"/>
      <c r="V61" s="58"/>
      <c r="W61" s="58"/>
      <c r="X61" s="58"/>
      <c r="Y61" s="58"/>
      <c r="Z61" s="58"/>
    </row>
    <row r="62">
      <c r="A62" s="85" t="s">
        <v>686</v>
      </c>
      <c r="B62" s="72" t="s">
        <v>2568</v>
      </c>
      <c r="C62" s="72" t="s">
        <v>2562</v>
      </c>
      <c r="D62" s="72" t="s">
        <v>2572</v>
      </c>
      <c r="E62" s="72" t="s">
        <v>2573</v>
      </c>
      <c r="F62" s="72" t="s">
        <v>2384</v>
      </c>
      <c r="G62" s="72" t="s">
        <v>2574</v>
      </c>
      <c r="H62" s="72" t="s">
        <v>2575</v>
      </c>
      <c r="I62" s="72" t="s">
        <v>13</v>
      </c>
      <c r="J62" s="58"/>
      <c r="K62" s="58"/>
      <c r="L62" s="58"/>
      <c r="M62" s="58"/>
      <c r="N62" s="58"/>
      <c r="O62" s="58"/>
      <c r="P62" s="58"/>
      <c r="Q62" s="58"/>
      <c r="R62" s="58"/>
      <c r="S62" s="58"/>
      <c r="T62" s="58"/>
      <c r="U62" s="58"/>
      <c r="V62" s="58"/>
      <c r="W62" s="58"/>
      <c r="X62" s="58"/>
      <c r="Y62" s="58"/>
      <c r="Z62" s="58"/>
    </row>
    <row r="63">
      <c r="A63" s="85" t="s">
        <v>690</v>
      </c>
      <c r="B63" s="72" t="s">
        <v>2568</v>
      </c>
      <c r="C63" s="72" t="s">
        <v>2576</v>
      </c>
      <c r="D63" s="72" t="s">
        <v>2577</v>
      </c>
      <c r="E63" s="72" t="s">
        <v>2578</v>
      </c>
      <c r="F63" s="72" t="s">
        <v>2392</v>
      </c>
      <c r="G63" s="72" t="s">
        <v>2393</v>
      </c>
      <c r="H63" s="72" t="s">
        <v>2394</v>
      </c>
      <c r="I63" s="72" t="s">
        <v>13</v>
      </c>
      <c r="J63" s="58"/>
      <c r="K63" s="58"/>
      <c r="L63" s="58"/>
      <c r="M63" s="58"/>
      <c r="N63" s="58"/>
      <c r="O63" s="58"/>
      <c r="P63" s="58"/>
      <c r="Q63" s="58"/>
      <c r="R63" s="58"/>
      <c r="S63" s="58"/>
      <c r="T63" s="58"/>
      <c r="U63" s="58"/>
      <c r="V63" s="58"/>
      <c r="W63" s="58"/>
      <c r="X63" s="58"/>
      <c r="Y63" s="58"/>
      <c r="Z63" s="58"/>
    </row>
    <row r="64">
      <c r="A64" s="85" t="s">
        <v>693</v>
      </c>
      <c r="B64" s="72" t="s">
        <v>2568</v>
      </c>
      <c r="C64" s="72" t="s">
        <v>2579</v>
      </c>
      <c r="D64" s="72" t="s">
        <v>2580</v>
      </c>
      <c r="E64" s="72" t="s">
        <v>2581</v>
      </c>
      <c r="F64" s="72" t="s">
        <v>2396</v>
      </c>
      <c r="G64" s="72" t="s">
        <v>2397</v>
      </c>
      <c r="H64" s="72" t="s">
        <v>2398</v>
      </c>
      <c r="I64" s="72" t="s">
        <v>13</v>
      </c>
      <c r="J64" s="58"/>
      <c r="K64" s="58"/>
      <c r="L64" s="58"/>
      <c r="M64" s="58"/>
      <c r="N64" s="58"/>
      <c r="O64" s="58"/>
      <c r="P64" s="58"/>
      <c r="Q64" s="58"/>
      <c r="R64" s="58"/>
      <c r="S64" s="58"/>
      <c r="T64" s="58"/>
      <c r="U64" s="58"/>
      <c r="V64" s="58"/>
      <c r="W64" s="58"/>
      <c r="X64" s="58"/>
      <c r="Y64" s="58"/>
      <c r="Z64" s="58"/>
    </row>
    <row r="65">
      <c r="A65" s="85" t="s">
        <v>696</v>
      </c>
      <c r="B65" s="72" t="s">
        <v>2568</v>
      </c>
      <c r="C65" s="72" t="s">
        <v>2579</v>
      </c>
      <c r="D65" s="72" t="s">
        <v>2582</v>
      </c>
      <c r="E65" s="72" t="s">
        <v>2583</v>
      </c>
      <c r="F65" s="72" t="s">
        <v>2396</v>
      </c>
      <c r="G65" s="72" t="s">
        <v>2400</v>
      </c>
      <c r="H65" s="72" t="s">
        <v>2398</v>
      </c>
      <c r="I65" s="72" t="s">
        <v>13</v>
      </c>
      <c r="J65" s="58"/>
      <c r="K65" s="58"/>
      <c r="L65" s="58"/>
      <c r="M65" s="58"/>
      <c r="N65" s="58"/>
      <c r="O65" s="58"/>
      <c r="P65" s="58"/>
      <c r="Q65" s="58"/>
      <c r="R65" s="58"/>
      <c r="S65" s="58"/>
      <c r="T65" s="58"/>
      <c r="U65" s="58"/>
      <c r="V65" s="58"/>
      <c r="W65" s="58"/>
      <c r="X65" s="58"/>
      <c r="Y65" s="58"/>
      <c r="Z65" s="58"/>
    </row>
    <row r="66">
      <c r="A66" s="85" t="s">
        <v>700</v>
      </c>
      <c r="B66" s="72" t="s">
        <v>2568</v>
      </c>
      <c r="C66" s="72" t="s">
        <v>2579</v>
      </c>
      <c r="D66" s="72" t="s">
        <v>2584</v>
      </c>
      <c r="E66" s="72" t="s">
        <v>2585</v>
      </c>
      <c r="F66" s="72" t="s">
        <v>2396</v>
      </c>
      <c r="G66" s="72" t="s">
        <v>2400</v>
      </c>
      <c r="H66" s="72" t="s">
        <v>2398</v>
      </c>
      <c r="I66" s="72" t="s">
        <v>13</v>
      </c>
      <c r="J66" s="58"/>
      <c r="K66" s="58"/>
      <c r="L66" s="58"/>
      <c r="M66" s="58"/>
      <c r="N66" s="58"/>
      <c r="O66" s="58"/>
      <c r="P66" s="58"/>
      <c r="Q66" s="58"/>
      <c r="R66" s="58"/>
      <c r="S66" s="58"/>
      <c r="T66" s="58"/>
      <c r="U66" s="58"/>
      <c r="V66" s="58"/>
      <c r="W66" s="58"/>
      <c r="X66" s="58"/>
      <c r="Y66" s="58"/>
      <c r="Z66" s="58"/>
    </row>
    <row r="67">
      <c r="A67" s="85" t="s">
        <v>704</v>
      </c>
      <c r="B67" s="72" t="s">
        <v>2568</v>
      </c>
      <c r="C67" s="72" t="s">
        <v>2579</v>
      </c>
      <c r="D67" s="72" t="s">
        <v>2586</v>
      </c>
      <c r="E67" s="72" t="s">
        <v>2587</v>
      </c>
      <c r="F67" s="72" t="s">
        <v>2396</v>
      </c>
      <c r="G67" s="72" t="s">
        <v>2400</v>
      </c>
      <c r="H67" s="72" t="s">
        <v>2398</v>
      </c>
      <c r="I67" s="72" t="s">
        <v>13</v>
      </c>
      <c r="J67" s="58"/>
      <c r="K67" s="58"/>
      <c r="L67" s="58"/>
      <c r="M67" s="58"/>
      <c r="N67" s="58"/>
      <c r="O67" s="58"/>
      <c r="P67" s="58"/>
      <c r="Q67" s="58"/>
      <c r="R67" s="58"/>
      <c r="S67" s="58"/>
      <c r="T67" s="58"/>
      <c r="U67" s="58"/>
      <c r="V67" s="58"/>
      <c r="W67" s="58"/>
      <c r="X67" s="58"/>
      <c r="Y67" s="58"/>
      <c r="Z67" s="58"/>
    </row>
    <row r="68">
      <c r="A68" s="85" t="s">
        <v>708</v>
      </c>
      <c r="B68" s="72" t="s">
        <v>2568</v>
      </c>
      <c r="C68" s="72" t="s">
        <v>2588</v>
      </c>
      <c r="D68" s="72" t="s">
        <v>2589</v>
      </c>
      <c r="E68" s="72" t="s">
        <v>2590</v>
      </c>
      <c r="F68" s="72" t="s">
        <v>2392</v>
      </c>
      <c r="G68" s="72" t="s">
        <v>2393</v>
      </c>
      <c r="H68" s="72" t="s">
        <v>2394</v>
      </c>
      <c r="I68" s="72" t="s">
        <v>13</v>
      </c>
      <c r="J68" s="58"/>
      <c r="K68" s="58"/>
      <c r="L68" s="58"/>
      <c r="M68" s="58"/>
      <c r="N68" s="58"/>
      <c r="O68" s="58"/>
      <c r="P68" s="58"/>
      <c r="Q68" s="58"/>
      <c r="R68" s="58"/>
      <c r="S68" s="58"/>
      <c r="T68" s="58"/>
      <c r="U68" s="58"/>
      <c r="V68" s="58"/>
      <c r="W68" s="58"/>
      <c r="X68" s="58"/>
      <c r="Y68" s="58"/>
      <c r="Z68" s="58"/>
    </row>
    <row r="69">
      <c r="A69" s="85" t="s">
        <v>712</v>
      </c>
      <c r="B69" s="72" t="s">
        <v>2568</v>
      </c>
      <c r="C69" s="72" t="s">
        <v>2588</v>
      </c>
      <c r="D69" s="72" t="s">
        <v>2591</v>
      </c>
      <c r="E69" s="72" t="s">
        <v>2592</v>
      </c>
      <c r="F69" s="72" t="s">
        <v>2407</v>
      </c>
      <c r="G69" s="72" t="s">
        <v>46</v>
      </c>
      <c r="H69" s="72" t="s">
        <v>2408</v>
      </c>
      <c r="I69" s="72" t="s">
        <v>13</v>
      </c>
      <c r="J69" s="58"/>
      <c r="K69" s="58"/>
      <c r="L69" s="58"/>
      <c r="M69" s="58"/>
      <c r="N69" s="58"/>
      <c r="O69" s="58"/>
      <c r="P69" s="58"/>
      <c r="Q69" s="58"/>
      <c r="R69" s="58"/>
      <c r="S69" s="58"/>
      <c r="T69" s="58"/>
      <c r="U69" s="58"/>
      <c r="V69" s="58"/>
      <c r="W69" s="58"/>
      <c r="X69" s="58"/>
      <c r="Y69" s="58"/>
      <c r="Z69" s="58"/>
    </row>
    <row r="70">
      <c r="A70" s="85" t="s">
        <v>715</v>
      </c>
      <c r="B70" s="72" t="s">
        <v>2568</v>
      </c>
      <c r="C70" s="72" t="s">
        <v>2593</v>
      </c>
      <c r="D70" s="72" t="s">
        <v>2594</v>
      </c>
      <c r="E70" s="72" t="s">
        <v>2595</v>
      </c>
      <c r="F70" s="72" t="s">
        <v>2412</v>
      </c>
      <c r="G70" s="72" t="s">
        <v>46</v>
      </c>
      <c r="H70" s="72" t="s">
        <v>2413</v>
      </c>
      <c r="I70" s="72" t="s">
        <v>13</v>
      </c>
      <c r="J70" s="58"/>
      <c r="K70" s="58"/>
      <c r="L70" s="58"/>
      <c r="M70" s="58"/>
      <c r="N70" s="58"/>
      <c r="O70" s="58"/>
      <c r="P70" s="58"/>
      <c r="Q70" s="58"/>
      <c r="R70" s="58"/>
      <c r="S70" s="58"/>
      <c r="T70" s="58"/>
      <c r="U70" s="58"/>
      <c r="V70" s="58"/>
      <c r="W70" s="58"/>
      <c r="X70" s="58"/>
      <c r="Y70" s="58"/>
      <c r="Z70" s="58"/>
    </row>
    <row r="71">
      <c r="A71" s="85" t="s">
        <v>718</v>
      </c>
      <c r="B71" s="72" t="s">
        <v>2568</v>
      </c>
      <c r="C71" s="72" t="s">
        <v>2593</v>
      </c>
      <c r="D71" s="72" t="s">
        <v>2596</v>
      </c>
      <c r="E71" s="72" t="s">
        <v>2597</v>
      </c>
      <c r="F71" s="72" t="s">
        <v>2412</v>
      </c>
      <c r="G71" s="72" t="s">
        <v>46</v>
      </c>
      <c r="H71" s="72" t="s">
        <v>2415</v>
      </c>
      <c r="I71" s="72" t="s">
        <v>13</v>
      </c>
      <c r="J71" s="58"/>
      <c r="K71" s="58"/>
      <c r="L71" s="58"/>
      <c r="M71" s="58"/>
      <c r="N71" s="58"/>
      <c r="O71" s="58"/>
      <c r="P71" s="58"/>
      <c r="Q71" s="58"/>
      <c r="R71" s="58"/>
      <c r="S71" s="58"/>
      <c r="T71" s="58"/>
      <c r="U71" s="58"/>
      <c r="V71" s="58"/>
      <c r="W71" s="58"/>
      <c r="X71" s="58"/>
      <c r="Y71" s="58"/>
      <c r="Z71" s="58"/>
    </row>
    <row r="72">
      <c r="A72" s="85" t="s">
        <v>722</v>
      </c>
      <c r="B72" s="72" t="s">
        <v>2568</v>
      </c>
      <c r="C72" s="72" t="s">
        <v>2593</v>
      </c>
      <c r="D72" s="72" t="s">
        <v>2598</v>
      </c>
      <c r="E72" s="72" t="s">
        <v>2599</v>
      </c>
      <c r="F72" s="72" t="s">
        <v>2417</v>
      </c>
      <c r="G72" s="72" t="s">
        <v>46</v>
      </c>
      <c r="H72" s="72" t="s">
        <v>2418</v>
      </c>
      <c r="I72" s="72" t="s">
        <v>13</v>
      </c>
      <c r="J72" s="58"/>
      <c r="K72" s="58"/>
      <c r="L72" s="58"/>
      <c r="M72" s="58"/>
      <c r="N72" s="58"/>
      <c r="O72" s="58"/>
      <c r="P72" s="58"/>
      <c r="Q72" s="58"/>
      <c r="R72" s="58"/>
      <c r="S72" s="58"/>
      <c r="T72" s="58"/>
      <c r="U72" s="58"/>
      <c r="V72" s="58"/>
      <c r="W72" s="58"/>
      <c r="X72" s="58"/>
      <c r="Y72" s="58"/>
      <c r="Z72" s="58"/>
    </row>
    <row r="73">
      <c r="A73" s="85" t="s">
        <v>728</v>
      </c>
      <c r="B73" s="72" t="s">
        <v>2568</v>
      </c>
      <c r="C73" s="72" t="s">
        <v>2593</v>
      </c>
      <c r="D73" s="72" t="s">
        <v>2600</v>
      </c>
      <c r="E73" s="72" t="s">
        <v>2601</v>
      </c>
      <c r="F73" s="72" t="s">
        <v>2420</v>
      </c>
      <c r="G73" s="72" t="s">
        <v>46</v>
      </c>
      <c r="H73" s="72" t="s">
        <v>2421</v>
      </c>
      <c r="I73" s="72" t="s">
        <v>13</v>
      </c>
      <c r="J73" s="58"/>
      <c r="K73" s="58"/>
      <c r="L73" s="58"/>
      <c r="M73" s="58"/>
      <c r="N73" s="58"/>
      <c r="O73" s="58"/>
      <c r="P73" s="58"/>
      <c r="Q73" s="58"/>
      <c r="R73" s="58"/>
      <c r="S73" s="58"/>
      <c r="T73" s="58"/>
      <c r="U73" s="58"/>
      <c r="V73" s="58"/>
      <c r="W73" s="58"/>
      <c r="X73" s="58"/>
      <c r="Y73" s="58"/>
      <c r="Z73" s="58"/>
    </row>
    <row r="74">
      <c r="A74" s="85" t="s">
        <v>733</v>
      </c>
      <c r="B74" s="72" t="s">
        <v>2568</v>
      </c>
      <c r="C74" s="72" t="s">
        <v>2593</v>
      </c>
      <c r="D74" s="72" t="s">
        <v>2602</v>
      </c>
      <c r="E74" s="72" t="s">
        <v>2603</v>
      </c>
      <c r="F74" s="72" t="s">
        <v>1872</v>
      </c>
      <c r="G74" s="72" t="s">
        <v>46</v>
      </c>
      <c r="H74" s="72" t="s">
        <v>2423</v>
      </c>
      <c r="I74" s="72" t="s">
        <v>13</v>
      </c>
      <c r="J74" s="58"/>
      <c r="K74" s="58"/>
      <c r="L74" s="58"/>
      <c r="M74" s="58"/>
      <c r="N74" s="58"/>
      <c r="O74" s="58"/>
      <c r="P74" s="58"/>
      <c r="Q74" s="58"/>
      <c r="R74" s="58"/>
      <c r="S74" s="58"/>
      <c r="T74" s="58"/>
      <c r="U74" s="58"/>
      <c r="V74" s="58"/>
      <c r="W74" s="58"/>
      <c r="X74" s="58"/>
      <c r="Y74" s="58"/>
      <c r="Z74" s="58"/>
    </row>
    <row r="75">
      <c r="A75" s="85" t="s">
        <v>736</v>
      </c>
      <c r="B75" s="72" t="s">
        <v>2568</v>
      </c>
      <c r="C75" s="72" t="s">
        <v>2593</v>
      </c>
      <c r="D75" s="72" t="s">
        <v>2604</v>
      </c>
      <c r="E75" s="72" t="s">
        <v>2605</v>
      </c>
      <c r="F75" s="72"/>
      <c r="G75" s="72" t="s">
        <v>2425</v>
      </c>
      <c r="H75" s="72" t="s">
        <v>2426</v>
      </c>
      <c r="I75" s="72" t="s">
        <v>13</v>
      </c>
      <c r="J75" s="58"/>
      <c r="K75" s="58"/>
      <c r="L75" s="58"/>
      <c r="M75" s="58"/>
      <c r="N75" s="58"/>
      <c r="O75" s="58"/>
      <c r="P75" s="58"/>
      <c r="Q75" s="58"/>
      <c r="R75" s="58"/>
      <c r="S75" s="58"/>
      <c r="T75" s="58"/>
      <c r="U75" s="58"/>
      <c r="V75" s="58"/>
      <c r="W75" s="58"/>
      <c r="X75" s="58"/>
      <c r="Y75" s="58"/>
      <c r="Z75" s="58"/>
    </row>
    <row r="76">
      <c r="A76" s="85" t="s">
        <v>741</v>
      </c>
      <c r="B76" s="72" t="s">
        <v>2568</v>
      </c>
      <c r="C76" s="72" t="s">
        <v>2593</v>
      </c>
      <c r="D76" s="72" t="s">
        <v>2606</v>
      </c>
      <c r="E76" s="72" t="s">
        <v>2607</v>
      </c>
      <c r="F76" s="72"/>
      <c r="G76" s="72" t="s">
        <v>2430</v>
      </c>
      <c r="H76" s="72" t="s">
        <v>2431</v>
      </c>
      <c r="I76" s="72" t="s">
        <v>13</v>
      </c>
      <c r="J76" s="58"/>
      <c r="K76" s="58"/>
      <c r="L76" s="58"/>
      <c r="M76" s="58"/>
      <c r="N76" s="58"/>
      <c r="O76" s="58"/>
      <c r="P76" s="58"/>
      <c r="Q76" s="58"/>
      <c r="R76" s="58"/>
      <c r="S76" s="58"/>
      <c r="T76" s="58"/>
      <c r="U76" s="58"/>
      <c r="V76" s="58"/>
      <c r="W76" s="58"/>
      <c r="X76" s="58"/>
      <c r="Y76" s="58"/>
      <c r="Z76" s="58"/>
    </row>
    <row r="77">
      <c r="A77" s="85" t="s">
        <v>745</v>
      </c>
      <c r="B77" s="72" t="s">
        <v>2568</v>
      </c>
      <c r="C77" s="72" t="s">
        <v>2593</v>
      </c>
      <c r="D77" s="72" t="s">
        <v>2608</v>
      </c>
      <c r="E77" s="72" t="s">
        <v>2609</v>
      </c>
      <c r="F77" s="72" t="s">
        <v>2433</v>
      </c>
      <c r="G77" s="72" t="s">
        <v>2434</v>
      </c>
      <c r="H77" s="72" t="s">
        <v>1586</v>
      </c>
      <c r="I77" s="72" t="s">
        <v>13</v>
      </c>
      <c r="J77" s="58"/>
      <c r="K77" s="58"/>
      <c r="L77" s="58"/>
      <c r="M77" s="58"/>
      <c r="N77" s="58"/>
      <c r="O77" s="58"/>
      <c r="P77" s="58"/>
      <c r="Q77" s="58"/>
      <c r="R77" s="58"/>
      <c r="S77" s="58"/>
      <c r="T77" s="58"/>
      <c r="U77" s="58"/>
      <c r="V77" s="58"/>
      <c r="W77" s="58"/>
      <c r="X77" s="58"/>
      <c r="Y77" s="58"/>
      <c r="Z77" s="58"/>
    </row>
    <row r="78">
      <c r="A78" s="85" t="s">
        <v>750</v>
      </c>
      <c r="B78" s="72" t="s">
        <v>2568</v>
      </c>
      <c r="C78" s="72" t="s">
        <v>2610</v>
      </c>
      <c r="D78" s="72" t="s">
        <v>2611</v>
      </c>
      <c r="E78" s="72" t="s">
        <v>2612</v>
      </c>
      <c r="F78" s="72" t="s">
        <v>2437</v>
      </c>
      <c r="G78" s="72" t="s">
        <v>2438</v>
      </c>
      <c r="H78" s="72" t="s">
        <v>2439</v>
      </c>
      <c r="I78" s="72" t="s">
        <v>13</v>
      </c>
      <c r="J78" s="58"/>
      <c r="K78" s="58"/>
      <c r="L78" s="58"/>
      <c r="M78" s="58"/>
      <c r="N78" s="58"/>
      <c r="O78" s="58"/>
      <c r="P78" s="58"/>
      <c r="Q78" s="58"/>
      <c r="R78" s="58"/>
      <c r="S78" s="58"/>
      <c r="T78" s="58"/>
      <c r="U78" s="58"/>
      <c r="V78" s="58"/>
      <c r="W78" s="58"/>
      <c r="X78" s="58"/>
      <c r="Y78" s="58"/>
      <c r="Z78" s="58"/>
    </row>
    <row r="79">
      <c r="A79" s="85" t="s">
        <v>756</v>
      </c>
      <c r="B79" s="72" t="s">
        <v>2568</v>
      </c>
      <c r="C79" s="72" t="s">
        <v>2610</v>
      </c>
      <c r="D79" s="72" t="s">
        <v>2613</v>
      </c>
      <c r="E79" s="72" t="s">
        <v>2440</v>
      </c>
      <c r="F79" s="72" t="s">
        <v>2441</v>
      </c>
      <c r="G79" s="72" t="s">
        <v>2442</v>
      </c>
      <c r="H79" s="72" t="s">
        <v>2443</v>
      </c>
      <c r="I79" s="72" t="s">
        <v>13</v>
      </c>
      <c r="J79" s="58"/>
      <c r="K79" s="58"/>
      <c r="L79" s="58"/>
      <c r="M79" s="58"/>
      <c r="N79" s="58"/>
      <c r="O79" s="58"/>
      <c r="P79" s="58"/>
      <c r="Q79" s="58"/>
      <c r="R79" s="58"/>
      <c r="S79" s="58"/>
      <c r="T79" s="58"/>
      <c r="U79" s="58"/>
      <c r="V79" s="58"/>
      <c r="W79" s="58"/>
      <c r="X79" s="58"/>
      <c r="Y79" s="58"/>
      <c r="Z79" s="58"/>
    </row>
    <row r="80">
      <c r="A80" s="85" t="s">
        <v>761</v>
      </c>
      <c r="B80" s="72" t="s">
        <v>2568</v>
      </c>
      <c r="C80" s="72" t="s">
        <v>2614</v>
      </c>
      <c r="D80" s="72" t="s">
        <v>2615</v>
      </c>
      <c r="E80" s="72" t="s">
        <v>2616</v>
      </c>
      <c r="F80" s="72" t="s">
        <v>2617</v>
      </c>
      <c r="G80" s="72" t="s">
        <v>2448</v>
      </c>
      <c r="H80" s="72" t="s">
        <v>2618</v>
      </c>
      <c r="I80" s="72" t="s">
        <v>13</v>
      </c>
      <c r="J80" s="58"/>
      <c r="K80" s="58"/>
      <c r="L80" s="58"/>
      <c r="M80" s="58"/>
      <c r="N80" s="58"/>
      <c r="O80" s="58"/>
      <c r="P80" s="58"/>
      <c r="Q80" s="58"/>
      <c r="R80" s="58"/>
      <c r="S80" s="58"/>
      <c r="T80" s="58"/>
      <c r="U80" s="58"/>
      <c r="V80" s="58"/>
      <c r="W80" s="58"/>
      <c r="X80" s="58"/>
      <c r="Y80" s="58"/>
      <c r="Z80" s="58"/>
    </row>
    <row r="81">
      <c r="A81" s="85" t="s">
        <v>767</v>
      </c>
      <c r="B81" s="72" t="s">
        <v>2568</v>
      </c>
      <c r="C81" s="72" t="s">
        <v>2614</v>
      </c>
      <c r="D81" s="72" t="s">
        <v>2619</v>
      </c>
      <c r="E81" s="72" t="s">
        <v>2449</v>
      </c>
      <c r="F81" s="72" t="s">
        <v>2450</v>
      </c>
      <c r="G81" s="72" t="s">
        <v>46</v>
      </c>
      <c r="H81" s="72" t="s">
        <v>2451</v>
      </c>
      <c r="I81" s="72" t="s">
        <v>13</v>
      </c>
      <c r="J81" s="58"/>
      <c r="K81" s="58"/>
      <c r="L81" s="58"/>
      <c r="M81" s="58"/>
      <c r="N81" s="58"/>
      <c r="O81" s="58"/>
      <c r="P81" s="58"/>
      <c r="Q81" s="58"/>
      <c r="R81" s="58"/>
      <c r="S81" s="58"/>
      <c r="T81" s="58"/>
      <c r="U81" s="58"/>
      <c r="V81" s="58"/>
      <c r="W81" s="58"/>
      <c r="X81" s="58"/>
      <c r="Y81" s="58"/>
      <c r="Z81" s="58"/>
    </row>
    <row r="82">
      <c r="A82" s="85" t="s">
        <v>772</v>
      </c>
      <c r="B82" s="72" t="s">
        <v>2568</v>
      </c>
      <c r="C82" s="72" t="s">
        <v>2614</v>
      </c>
      <c r="D82" s="72" t="s">
        <v>2620</v>
      </c>
      <c r="E82" s="72" t="s">
        <v>2621</v>
      </c>
      <c r="F82" s="72" t="s">
        <v>2453</v>
      </c>
      <c r="G82" s="72" t="s">
        <v>46</v>
      </c>
      <c r="H82" s="72" t="s">
        <v>2454</v>
      </c>
      <c r="I82" s="72" t="s">
        <v>13</v>
      </c>
      <c r="J82" s="58"/>
      <c r="K82" s="58"/>
      <c r="L82" s="58"/>
      <c r="M82" s="58"/>
      <c r="N82" s="58"/>
      <c r="O82" s="58"/>
      <c r="P82" s="58"/>
      <c r="Q82" s="58"/>
      <c r="R82" s="58"/>
      <c r="S82" s="58"/>
      <c r="T82" s="58"/>
      <c r="U82" s="58"/>
      <c r="V82" s="58"/>
      <c r="W82" s="58"/>
      <c r="X82" s="58"/>
      <c r="Y82" s="58"/>
      <c r="Z82" s="58"/>
    </row>
    <row r="83">
      <c r="A83" s="85" t="s">
        <v>778</v>
      </c>
      <c r="B83" s="72" t="s">
        <v>2568</v>
      </c>
      <c r="C83" s="72" t="s">
        <v>2614</v>
      </c>
      <c r="D83" s="72" t="s">
        <v>2622</v>
      </c>
      <c r="E83" s="72" t="s">
        <v>2623</v>
      </c>
      <c r="F83" s="72" t="s">
        <v>2456</v>
      </c>
      <c r="G83" s="72" t="s">
        <v>2457</v>
      </c>
      <c r="H83" s="72" t="s">
        <v>2458</v>
      </c>
      <c r="I83" s="72" t="s">
        <v>13</v>
      </c>
      <c r="J83" s="58"/>
      <c r="K83" s="58"/>
      <c r="L83" s="58"/>
      <c r="M83" s="58"/>
      <c r="N83" s="58"/>
      <c r="O83" s="58"/>
      <c r="P83" s="58"/>
      <c r="Q83" s="58"/>
      <c r="R83" s="58"/>
      <c r="S83" s="58"/>
      <c r="T83" s="58"/>
      <c r="U83" s="58"/>
      <c r="V83" s="58"/>
      <c r="W83" s="58"/>
      <c r="X83" s="58"/>
      <c r="Y83" s="58"/>
      <c r="Z83" s="58"/>
    </row>
    <row r="84">
      <c r="A84" s="85" t="s">
        <v>780</v>
      </c>
      <c r="B84" s="72" t="s">
        <v>2568</v>
      </c>
      <c r="C84" s="72" t="s">
        <v>2624</v>
      </c>
      <c r="D84" s="72" t="s">
        <v>2460</v>
      </c>
      <c r="E84" s="72" t="s">
        <v>2625</v>
      </c>
      <c r="F84" s="72" t="s">
        <v>2462</v>
      </c>
      <c r="G84" s="72" t="s">
        <v>2463</v>
      </c>
      <c r="H84" s="72" t="s">
        <v>2464</v>
      </c>
      <c r="I84" s="72" t="s">
        <v>13</v>
      </c>
      <c r="J84" s="58"/>
      <c r="K84" s="58"/>
      <c r="L84" s="58"/>
      <c r="M84" s="58"/>
      <c r="N84" s="58"/>
      <c r="O84" s="58"/>
      <c r="P84" s="58"/>
      <c r="Q84" s="58"/>
      <c r="R84" s="58"/>
      <c r="S84" s="58"/>
      <c r="T84" s="58"/>
      <c r="U84" s="58"/>
      <c r="V84" s="58"/>
      <c r="W84" s="58"/>
      <c r="X84" s="58"/>
      <c r="Y84" s="58"/>
      <c r="Z84" s="58"/>
    </row>
    <row r="85">
      <c r="A85" s="85" t="s">
        <v>782</v>
      </c>
      <c r="B85" s="72" t="s">
        <v>2568</v>
      </c>
      <c r="C85" s="72" t="s">
        <v>2626</v>
      </c>
      <c r="D85" s="72" t="s">
        <v>2465</v>
      </c>
      <c r="E85" s="72" t="s">
        <v>2627</v>
      </c>
      <c r="F85" s="72" t="s">
        <v>2462</v>
      </c>
      <c r="G85" s="72" t="s">
        <v>2467</v>
      </c>
      <c r="H85" s="72" t="s">
        <v>2468</v>
      </c>
      <c r="I85" s="72" t="s">
        <v>13</v>
      </c>
      <c r="J85" s="58"/>
      <c r="K85" s="58"/>
      <c r="L85" s="58"/>
      <c r="M85" s="58"/>
      <c r="N85" s="58"/>
      <c r="O85" s="58"/>
      <c r="P85" s="58"/>
      <c r="Q85" s="58"/>
      <c r="R85" s="58"/>
      <c r="S85" s="58"/>
      <c r="T85" s="58"/>
      <c r="U85" s="58"/>
      <c r="V85" s="58"/>
      <c r="W85" s="58"/>
      <c r="X85" s="58"/>
      <c r="Y85" s="58"/>
      <c r="Z85" s="58"/>
    </row>
    <row r="86">
      <c r="A86" s="85" t="s">
        <v>784</v>
      </c>
      <c r="B86" s="72" t="s">
        <v>2568</v>
      </c>
      <c r="C86" s="72" t="s">
        <v>2628</v>
      </c>
      <c r="D86" s="72" t="s">
        <v>2465</v>
      </c>
      <c r="E86" s="72" t="s">
        <v>2629</v>
      </c>
      <c r="F86" s="72" t="s">
        <v>2470</v>
      </c>
      <c r="G86" s="72" t="s">
        <v>2471</v>
      </c>
      <c r="H86" s="72" t="s">
        <v>2472</v>
      </c>
      <c r="I86" s="72" t="s">
        <v>13</v>
      </c>
      <c r="J86" s="58"/>
      <c r="K86" s="58"/>
      <c r="L86" s="58"/>
      <c r="M86" s="58"/>
      <c r="N86" s="58"/>
      <c r="O86" s="58"/>
      <c r="P86" s="58"/>
      <c r="Q86" s="58"/>
      <c r="R86" s="58"/>
      <c r="S86" s="58"/>
      <c r="T86" s="58"/>
      <c r="U86" s="58"/>
      <c r="V86" s="58"/>
      <c r="W86" s="58"/>
      <c r="X86" s="58"/>
      <c r="Y86" s="58"/>
      <c r="Z86" s="58"/>
    </row>
    <row r="87">
      <c r="A87" s="85" t="s">
        <v>789</v>
      </c>
      <c r="B87" s="72" t="s">
        <v>2568</v>
      </c>
      <c r="C87" s="72" t="s">
        <v>2630</v>
      </c>
      <c r="D87" s="72" t="s">
        <v>2465</v>
      </c>
      <c r="E87" s="72" t="s">
        <v>2631</v>
      </c>
      <c r="F87" s="72" t="s">
        <v>2474</v>
      </c>
      <c r="G87" s="72" t="s">
        <v>2475</v>
      </c>
      <c r="H87" s="72" t="s">
        <v>2476</v>
      </c>
      <c r="I87" s="72" t="s">
        <v>13</v>
      </c>
      <c r="J87" s="58"/>
      <c r="K87" s="58"/>
      <c r="L87" s="58"/>
      <c r="M87" s="58"/>
      <c r="N87" s="58"/>
      <c r="O87" s="58"/>
      <c r="P87" s="58"/>
      <c r="Q87" s="58"/>
      <c r="R87" s="58"/>
      <c r="S87" s="58"/>
      <c r="T87" s="58"/>
      <c r="U87" s="58"/>
      <c r="V87" s="58"/>
      <c r="W87" s="58"/>
      <c r="X87" s="58"/>
      <c r="Y87" s="58"/>
      <c r="Z87" s="58"/>
    </row>
    <row r="88">
      <c r="A88" s="85" t="s">
        <v>793</v>
      </c>
      <c r="B88" s="72" t="s">
        <v>2568</v>
      </c>
      <c r="C88" s="72" t="s">
        <v>2632</v>
      </c>
      <c r="D88" s="72" t="s">
        <v>2478</v>
      </c>
      <c r="E88" s="72" t="s">
        <v>2633</v>
      </c>
      <c r="F88" s="72" t="s">
        <v>2480</v>
      </c>
      <c r="G88" s="72" t="s">
        <v>46</v>
      </c>
      <c r="H88" s="72" t="s">
        <v>2481</v>
      </c>
      <c r="I88" s="72" t="s">
        <v>13</v>
      </c>
      <c r="J88" s="58"/>
      <c r="K88" s="58"/>
      <c r="L88" s="58"/>
      <c r="M88" s="58"/>
      <c r="N88" s="58"/>
      <c r="O88" s="58"/>
      <c r="P88" s="58"/>
      <c r="Q88" s="58"/>
      <c r="R88" s="58"/>
      <c r="S88" s="58"/>
      <c r="T88" s="58"/>
      <c r="U88" s="58"/>
      <c r="V88" s="58"/>
      <c r="W88" s="58"/>
      <c r="X88" s="58"/>
      <c r="Y88" s="58"/>
      <c r="Z88" s="58"/>
    </row>
    <row r="89">
      <c r="A89" s="85" t="s">
        <v>798</v>
      </c>
      <c r="B89" s="72" t="s">
        <v>2568</v>
      </c>
      <c r="C89" s="72" t="s">
        <v>2634</v>
      </c>
      <c r="D89" s="72" t="s">
        <v>2478</v>
      </c>
      <c r="E89" s="72" t="s">
        <v>2635</v>
      </c>
      <c r="F89" s="72" t="s">
        <v>2483</v>
      </c>
      <c r="G89" s="72" t="s">
        <v>46</v>
      </c>
      <c r="H89" s="72" t="s">
        <v>2484</v>
      </c>
      <c r="I89" s="72" t="s">
        <v>13</v>
      </c>
      <c r="J89" s="58"/>
      <c r="K89" s="58"/>
      <c r="L89" s="58"/>
      <c r="M89" s="58"/>
      <c r="N89" s="58"/>
      <c r="O89" s="58"/>
      <c r="P89" s="58"/>
      <c r="Q89" s="58"/>
      <c r="R89" s="58"/>
      <c r="S89" s="58"/>
      <c r="T89" s="58"/>
      <c r="U89" s="58"/>
      <c r="V89" s="58"/>
      <c r="W89" s="58"/>
      <c r="X89" s="58"/>
      <c r="Y89" s="58"/>
      <c r="Z89" s="58"/>
    </row>
    <row r="90">
      <c r="A90" s="85" t="s">
        <v>804</v>
      </c>
      <c r="B90" s="72" t="s">
        <v>2568</v>
      </c>
      <c r="C90" s="72" t="s">
        <v>2636</v>
      </c>
      <c r="D90" s="72" t="s">
        <v>2478</v>
      </c>
      <c r="E90" s="72" t="s">
        <v>2637</v>
      </c>
      <c r="F90" s="72" t="s">
        <v>2487</v>
      </c>
      <c r="G90" s="72" t="s">
        <v>2488</v>
      </c>
      <c r="H90" s="72" t="s">
        <v>2489</v>
      </c>
      <c r="I90" s="72" t="s">
        <v>13</v>
      </c>
      <c r="J90" s="58"/>
      <c r="K90" s="58"/>
      <c r="L90" s="58"/>
      <c r="M90" s="58"/>
      <c r="N90" s="58"/>
      <c r="O90" s="58"/>
      <c r="P90" s="58"/>
      <c r="Q90" s="58"/>
      <c r="R90" s="58"/>
      <c r="S90" s="58"/>
      <c r="T90" s="58"/>
      <c r="U90" s="58"/>
      <c r="V90" s="58"/>
      <c r="W90" s="58"/>
      <c r="X90" s="58"/>
      <c r="Y90" s="58"/>
      <c r="Z90" s="58"/>
    </row>
    <row r="91">
      <c r="A91" s="85" t="s">
        <v>807</v>
      </c>
      <c r="B91" s="72" t="s">
        <v>2568</v>
      </c>
      <c r="C91" s="72" t="s">
        <v>2638</v>
      </c>
      <c r="D91" s="72" t="s">
        <v>2478</v>
      </c>
      <c r="E91" s="72" t="s">
        <v>1095</v>
      </c>
      <c r="F91" s="72" t="s">
        <v>2490</v>
      </c>
      <c r="G91" s="72" t="s">
        <v>46</v>
      </c>
      <c r="H91" s="72" t="s">
        <v>2491</v>
      </c>
      <c r="I91" s="72" t="s">
        <v>13</v>
      </c>
      <c r="J91" s="58"/>
      <c r="K91" s="58"/>
      <c r="L91" s="58"/>
      <c r="M91" s="58"/>
      <c r="N91" s="58"/>
      <c r="O91" s="58"/>
      <c r="P91" s="58"/>
      <c r="Q91" s="58"/>
      <c r="R91" s="58"/>
      <c r="S91" s="58"/>
      <c r="T91" s="58"/>
      <c r="U91" s="58"/>
      <c r="V91" s="58"/>
      <c r="W91" s="58"/>
      <c r="X91" s="58"/>
      <c r="Y91" s="58"/>
      <c r="Z91" s="58"/>
    </row>
    <row r="92">
      <c r="A92" s="85" t="s">
        <v>812</v>
      </c>
      <c r="B92" s="72" t="s">
        <v>2568</v>
      </c>
      <c r="C92" s="72" t="s">
        <v>2639</v>
      </c>
      <c r="D92" s="72" t="s">
        <v>2478</v>
      </c>
      <c r="E92" s="72" t="s">
        <v>2640</v>
      </c>
      <c r="F92" s="72" t="s">
        <v>2494</v>
      </c>
      <c r="G92" s="72" t="s">
        <v>2495</v>
      </c>
      <c r="H92" s="72" t="s">
        <v>2496</v>
      </c>
      <c r="I92" s="72" t="s">
        <v>13</v>
      </c>
      <c r="J92" s="58"/>
      <c r="K92" s="58"/>
      <c r="L92" s="58"/>
      <c r="M92" s="58"/>
      <c r="N92" s="58"/>
      <c r="O92" s="58"/>
      <c r="P92" s="58"/>
      <c r="Q92" s="58"/>
      <c r="R92" s="58"/>
      <c r="S92" s="58"/>
      <c r="T92" s="58"/>
      <c r="U92" s="58"/>
      <c r="V92" s="58"/>
      <c r="W92" s="58"/>
      <c r="X92" s="58"/>
      <c r="Y92" s="58"/>
      <c r="Z92" s="58"/>
    </row>
    <row r="93">
      <c r="A93" s="85" t="s">
        <v>816</v>
      </c>
      <c r="B93" s="72" t="s">
        <v>2568</v>
      </c>
      <c r="C93" s="72" t="s">
        <v>2641</v>
      </c>
      <c r="D93" s="72" t="s">
        <v>2478</v>
      </c>
      <c r="E93" s="72" t="s">
        <v>2642</v>
      </c>
      <c r="F93" s="72" t="s">
        <v>2498</v>
      </c>
      <c r="G93" s="72" t="s">
        <v>2499</v>
      </c>
      <c r="H93" s="72" t="s">
        <v>2500</v>
      </c>
      <c r="I93" s="72" t="s">
        <v>13</v>
      </c>
      <c r="J93" s="58"/>
      <c r="K93" s="58"/>
      <c r="L93" s="58"/>
      <c r="M93" s="58"/>
      <c r="N93" s="58"/>
      <c r="O93" s="58"/>
      <c r="P93" s="58"/>
      <c r="Q93" s="58"/>
      <c r="R93" s="58"/>
      <c r="S93" s="58"/>
      <c r="T93" s="58"/>
      <c r="U93" s="58"/>
      <c r="V93" s="58"/>
      <c r="W93" s="58"/>
      <c r="X93" s="58"/>
      <c r="Y93" s="58"/>
      <c r="Z93" s="58"/>
    </row>
    <row r="94">
      <c r="A94" s="85" t="s">
        <v>820</v>
      </c>
      <c r="B94" s="72" t="s">
        <v>2568</v>
      </c>
      <c r="C94" s="72" t="s">
        <v>2643</v>
      </c>
      <c r="D94" s="72" t="s">
        <v>2478</v>
      </c>
      <c r="E94" s="72" t="s">
        <v>2644</v>
      </c>
      <c r="F94" s="72" t="s">
        <v>2498</v>
      </c>
      <c r="G94" s="72" t="s">
        <v>2499</v>
      </c>
      <c r="H94" s="72" t="s">
        <v>2500</v>
      </c>
      <c r="I94" s="72" t="s">
        <v>13</v>
      </c>
      <c r="J94" s="58"/>
      <c r="K94" s="58"/>
      <c r="L94" s="58"/>
      <c r="M94" s="58"/>
      <c r="N94" s="58"/>
      <c r="O94" s="58"/>
      <c r="P94" s="58"/>
      <c r="Q94" s="58"/>
      <c r="R94" s="58"/>
      <c r="S94" s="58"/>
      <c r="T94" s="58"/>
      <c r="U94" s="58"/>
      <c r="V94" s="58"/>
      <c r="W94" s="58"/>
      <c r="X94" s="58"/>
      <c r="Y94" s="58"/>
      <c r="Z94" s="58"/>
    </row>
    <row r="95">
      <c r="A95" s="85" t="s">
        <v>824</v>
      </c>
      <c r="B95" s="72" t="s">
        <v>2568</v>
      </c>
      <c r="C95" s="72" t="s">
        <v>2645</v>
      </c>
      <c r="D95" s="72" t="s">
        <v>2478</v>
      </c>
      <c r="E95" s="72" t="s">
        <v>2646</v>
      </c>
      <c r="F95" s="72"/>
      <c r="G95" s="72" t="s">
        <v>2503</v>
      </c>
      <c r="H95" s="72" t="s">
        <v>2504</v>
      </c>
      <c r="I95" s="72" t="s">
        <v>13</v>
      </c>
      <c r="J95" s="58"/>
      <c r="K95" s="58"/>
      <c r="L95" s="58"/>
      <c r="M95" s="58"/>
      <c r="N95" s="58"/>
      <c r="O95" s="58"/>
      <c r="P95" s="58"/>
      <c r="Q95" s="58"/>
      <c r="R95" s="58"/>
      <c r="S95" s="58"/>
      <c r="T95" s="58"/>
      <c r="U95" s="58"/>
      <c r="V95" s="58"/>
      <c r="W95" s="58"/>
      <c r="X95" s="58"/>
      <c r="Y95" s="58"/>
      <c r="Z95" s="58"/>
    </row>
    <row r="96">
      <c r="A96" s="85" t="s">
        <v>827</v>
      </c>
      <c r="B96" s="72" t="s">
        <v>2568</v>
      </c>
      <c r="C96" s="72" t="s">
        <v>2647</v>
      </c>
      <c r="D96" s="72" t="s">
        <v>2478</v>
      </c>
      <c r="E96" s="72" t="s">
        <v>2648</v>
      </c>
      <c r="F96" s="72" t="s">
        <v>2506</v>
      </c>
      <c r="G96" s="72" t="s">
        <v>46</v>
      </c>
      <c r="H96" s="72" t="s">
        <v>2507</v>
      </c>
      <c r="I96" s="72" t="s">
        <v>13</v>
      </c>
      <c r="J96" s="58"/>
      <c r="K96" s="58"/>
      <c r="L96" s="58"/>
      <c r="M96" s="58"/>
      <c r="N96" s="58"/>
      <c r="O96" s="58"/>
      <c r="P96" s="58"/>
      <c r="Q96" s="58"/>
      <c r="R96" s="58"/>
      <c r="S96" s="58"/>
      <c r="T96" s="58"/>
      <c r="U96" s="58"/>
      <c r="V96" s="58"/>
      <c r="W96" s="58"/>
      <c r="X96" s="58"/>
      <c r="Y96" s="58"/>
      <c r="Z96" s="58"/>
    </row>
    <row r="97">
      <c r="A97" s="85" t="s">
        <v>831</v>
      </c>
      <c r="B97" s="72" t="s">
        <v>2568</v>
      </c>
      <c r="C97" s="72" t="s">
        <v>2649</v>
      </c>
      <c r="D97" s="72" t="s">
        <v>2509</v>
      </c>
      <c r="E97" s="72" t="s">
        <v>2650</v>
      </c>
      <c r="F97" s="72" t="s">
        <v>2511</v>
      </c>
      <c r="G97" s="72" t="s">
        <v>2512</v>
      </c>
      <c r="H97" s="72" t="s">
        <v>2513</v>
      </c>
      <c r="I97" s="72" t="s">
        <v>13</v>
      </c>
      <c r="J97" s="58"/>
      <c r="K97" s="58"/>
      <c r="L97" s="58"/>
      <c r="M97" s="58"/>
      <c r="N97" s="58"/>
      <c r="O97" s="58"/>
      <c r="P97" s="58"/>
      <c r="Q97" s="58"/>
      <c r="R97" s="58"/>
      <c r="S97" s="58"/>
      <c r="T97" s="58"/>
      <c r="U97" s="58"/>
      <c r="V97" s="58"/>
      <c r="W97" s="58"/>
      <c r="X97" s="58"/>
      <c r="Y97" s="58"/>
      <c r="Z97" s="58"/>
    </row>
    <row r="98">
      <c r="A98" s="85" t="s">
        <v>835</v>
      </c>
      <c r="B98" s="72" t="s">
        <v>2568</v>
      </c>
      <c r="C98" s="72" t="s">
        <v>2651</v>
      </c>
      <c r="D98" s="72" t="s">
        <v>2509</v>
      </c>
      <c r="E98" s="72" t="s">
        <v>2652</v>
      </c>
      <c r="F98" s="72" t="s">
        <v>2511</v>
      </c>
      <c r="G98" s="72" t="s">
        <v>2512</v>
      </c>
      <c r="H98" s="72" t="s">
        <v>2513</v>
      </c>
      <c r="I98" s="72" t="s">
        <v>13</v>
      </c>
      <c r="J98" s="58"/>
      <c r="K98" s="58"/>
      <c r="L98" s="58"/>
      <c r="M98" s="58"/>
      <c r="N98" s="58"/>
      <c r="O98" s="58"/>
      <c r="P98" s="58"/>
      <c r="Q98" s="58"/>
      <c r="R98" s="58"/>
      <c r="S98" s="58"/>
      <c r="T98" s="58"/>
      <c r="U98" s="58"/>
      <c r="V98" s="58"/>
      <c r="W98" s="58"/>
      <c r="X98" s="58"/>
      <c r="Y98" s="58"/>
      <c r="Z98" s="58"/>
    </row>
    <row r="99">
      <c r="A99" s="85" t="s">
        <v>840</v>
      </c>
      <c r="B99" s="72" t="s">
        <v>2568</v>
      </c>
      <c r="C99" s="72" t="s">
        <v>2653</v>
      </c>
      <c r="D99" s="72" t="s">
        <v>2509</v>
      </c>
      <c r="E99" s="72" t="s">
        <v>2654</v>
      </c>
      <c r="F99" s="72" t="s">
        <v>2511</v>
      </c>
      <c r="G99" s="72" t="s">
        <v>2512</v>
      </c>
      <c r="H99" s="72" t="s">
        <v>2513</v>
      </c>
      <c r="I99" s="72" t="s">
        <v>13</v>
      </c>
      <c r="J99" s="58"/>
      <c r="K99" s="58"/>
      <c r="L99" s="58"/>
      <c r="M99" s="58"/>
      <c r="N99" s="58"/>
      <c r="O99" s="58"/>
      <c r="P99" s="58"/>
      <c r="Q99" s="58"/>
      <c r="R99" s="58"/>
      <c r="S99" s="58"/>
      <c r="T99" s="58"/>
      <c r="U99" s="58"/>
      <c r="V99" s="58"/>
      <c r="W99" s="58"/>
      <c r="X99" s="58"/>
      <c r="Y99" s="58"/>
      <c r="Z99" s="58"/>
    </row>
    <row r="100">
      <c r="A100" s="85" t="s">
        <v>844</v>
      </c>
      <c r="B100" s="72" t="s">
        <v>2568</v>
      </c>
      <c r="C100" s="72" t="s">
        <v>2655</v>
      </c>
      <c r="D100" s="72" t="s">
        <v>2509</v>
      </c>
      <c r="E100" s="72" t="s">
        <v>2656</v>
      </c>
      <c r="F100" s="72" t="s">
        <v>2517</v>
      </c>
      <c r="G100" s="72" t="s">
        <v>2657</v>
      </c>
      <c r="H100" s="72" t="s">
        <v>2518</v>
      </c>
      <c r="I100" s="72" t="s">
        <v>13</v>
      </c>
      <c r="J100" s="58"/>
      <c r="K100" s="58"/>
      <c r="L100" s="58"/>
      <c r="M100" s="58"/>
      <c r="N100" s="58"/>
      <c r="O100" s="58"/>
      <c r="P100" s="58"/>
      <c r="Q100" s="58"/>
      <c r="R100" s="58"/>
      <c r="S100" s="58"/>
      <c r="T100" s="58"/>
      <c r="U100" s="58"/>
      <c r="V100" s="58"/>
      <c r="W100" s="58"/>
      <c r="X100" s="58"/>
      <c r="Y100" s="58"/>
      <c r="Z100" s="58"/>
    </row>
    <row r="101">
      <c r="A101" s="85" t="s">
        <v>848</v>
      </c>
      <c r="B101" s="72" t="s">
        <v>2568</v>
      </c>
      <c r="C101" s="72" t="s">
        <v>2658</v>
      </c>
      <c r="D101" s="72" t="s">
        <v>2520</v>
      </c>
      <c r="E101" s="72" t="s">
        <v>2521</v>
      </c>
      <c r="F101" s="72" t="s">
        <v>2522</v>
      </c>
      <c r="G101" s="72" t="s">
        <v>46</v>
      </c>
      <c r="H101" s="72" t="s">
        <v>2523</v>
      </c>
      <c r="I101" s="72" t="s">
        <v>13</v>
      </c>
      <c r="J101" s="58"/>
      <c r="K101" s="58"/>
      <c r="L101" s="58"/>
      <c r="M101" s="58"/>
      <c r="N101" s="58"/>
      <c r="O101" s="58"/>
      <c r="P101" s="58"/>
      <c r="Q101" s="58"/>
      <c r="R101" s="58"/>
      <c r="S101" s="58"/>
      <c r="T101" s="58"/>
      <c r="U101" s="58"/>
      <c r="V101" s="58"/>
      <c r="W101" s="58"/>
      <c r="X101" s="58"/>
      <c r="Y101" s="58"/>
      <c r="Z101" s="58"/>
    </row>
    <row r="102">
      <c r="A102" s="85" t="s">
        <v>851</v>
      </c>
      <c r="B102" s="72" t="s">
        <v>2568</v>
      </c>
      <c r="C102" s="72" t="s">
        <v>2659</v>
      </c>
      <c r="D102" s="72" t="s">
        <v>2520</v>
      </c>
      <c r="E102" s="72" t="s">
        <v>2660</v>
      </c>
      <c r="F102" s="72" t="s">
        <v>2661</v>
      </c>
      <c r="G102" s="72" t="s">
        <v>46</v>
      </c>
      <c r="H102" s="72" t="s">
        <v>2662</v>
      </c>
      <c r="I102" s="72" t="s">
        <v>13</v>
      </c>
      <c r="J102" s="58"/>
      <c r="K102" s="58"/>
      <c r="L102" s="58"/>
      <c r="M102" s="58"/>
      <c r="N102" s="58"/>
      <c r="O102" s="58"/>
      <c r="P102" s="58"/>
      <c r="Q102" s="58"/>
      <c r="R102" s="58"/>
      <c r="S102" s="58"/>
      <c r="T102" s="58"/>
      <c r="U102" s="58"/>
      <c r="V102" s="58"/>
      <c r="W102" s="58"/>
      <c r="X102" s="58"/>
      <c r="Y102" s="58"/>
      <c r="Z102" s="58"/>
    </row>
    <row r="103">
      <c r="A103" s="85" t="s">
        <v>854</v>
      </c>
      <c r="B103" s="72" t="s">
        <v>2568</v>
      </c>
      <c r="C103" s="72" t="s">
        <v>2663</v>
      </c>
      <c r="D103" s="72" t="s">
        <v>2520</v>
      </c>
      <c r="E103" s="72" t="s">
        <v>2664</v>
      </c>
      <c r="F103" s="72" t="s">
        <v>2661</v>
      </c>
      <c r="G103" s="72" t="s">
        <v>46</v>
      </c>
      <c r="H103" s="72" t="s">
        <v>2662</v>
      </c>
      <c r="I103" s="72" t="s">
        <v>13</v>
      </c>
      <c r="J103" s="58"/>
      <c r="K103" s="58"/>
      <c r="L103" s="58"/>
      <c r="M103" s="58"/>
      <c r="N103" s="58"/>
      <c r="O103" s="58"/>
      <c r="P103" s="58"/>
      <c r="Q103" s="58"/>
      <c r="R103" s="58"/>
      <c r="S103" s="58"/>
      <c r="T103" s="58"/>
      <c r="U103" s="58"/>
      <c r="V103" s="58"/>
      <c r="W103" s="58"/>
      <c r="X103" s="58"/>
      <c r="Y103" s="58"/>
      <c r="Z103" s="58"/>
    </row>
    <row r="104">
      <c r="A104" s="85" t="s">
        <v>858</v>
      </c>
      <c r="B104" s="72" t="s">
        <v>2568</v>
      </c>
      <c r="C104" s="72" t="s">
        <v>2665</v>
      </c>
      <c r="D104" s="72" t="s">
        <v>2520</v>
      </c>
      <c r="E104" s="72" t="s">
        <v>2666</v>
      </c>
      <c r="F104" s="117" t="s">
        <v>2667</v>
      </c>
      <c r="G104" s="72" t="s">
        <v>46</v>
      </c>
      <c r="H104" s="117" t="s">
        <v>2668</v>
      </c>
      <c r="I104" s="72" t="s">
        <v>13</v>
      </c>
      <c r="J104" s="58"/>
      <c r="K104" s="58"/>
      <c r="L104" s="58"/>
      <c r="M104" s="58"/>
      <c r="N104" s="58"/>
      <c r="O104" s="58"/>
      <c r="P104" s="58"/>
      <c r="Q104" s="58"/>
      <c r="R104" s="58"/>
      <c r="S104" s="58"/>
      <c r="T104" s="58"/>
      <c r="U104" s="58"/>
      <c r="V104" s="58"/>
      <c r="W104" s="58"/>
      <c r="X104" s="58"/>
      <c r="Y104" s="58"/>
      <c r="Z104" s="58"/>
    </row>
    <row r="105">
      <c r="A105" s="85" t="s">
        <v>862</v>
      </c>
      <c r="B105" s="72" t="s">
        <v>2568</v>
      </c>
      <c r="C105" s="72" t="s">
        <v>2669</v>
      </c>
      <c r="D105" s="72" t="s">
        <v>2520</v>
      </c>
      <c r="E105" s="72" t="s">
        <v>2670</v>
      </c>
      <c r="F105" s="72" t="s">
        <v>2671</v>
      </c>
      <c r="G105" s="72" t="s">
        <v>46</v>
      </c>
      <c r="H105" s="72" t="s">
        <v>2672</v>
      </c>
      <c r="I105" s="72" t="s">
        <v>13</v>
      </c>
      <c r="J105" s="58"/>
      <c r="K105" s="58"/>
      <c r="L105" s="58"/>
      <c r="M105" s="58"/>
      <c r="N105" s="58"/>
      <c r="O105" s="58"/>
      <c r="P105" s="58"/>
      <c r="Q105" s="58"/>
      <c r="R105" s="58"/>
      <c r="S105" s="58"/>
      <c r="T105" s="58"/>
      <c r="U105" s="58"/>
      <c r="V105" s="58"/>
      <c r="W105" s="58"/>
      <c r="X105" s="58"/>
      <c r="Y105" s="58"/>
      <c r="Z105" s="58"/>
    </row>
    <row r="106">
      <c r="A106" s="85" t="s">
        <v>866</v>
      </c>
      <c r="B106" s="72" t="s">
        <v>2568</v>
      </c>
      <c r="C106" s="72" t="s">
        <v>2673</v>
      </c>
      <c r="D106" s="72" t="s">
        <v>2520</v>
      </c>
      <c r="E106" s="72" t="s">
        <v>2674</v>
      </c>
      <c r="F106" s="72" t="s">
        <v>2675</v>
      </c>
      <c r="G106" s="72" t="s">
        <v>2676</v>
      </c>
      <c r="H106" s="72" t="s">
        <v>2677</v>
      </c>
      <c r="I106" s="72" t="s">
        <v>13</v>
      </c>
      <c r="J106" s="58"/>
      <c r="K106" s="58"/>
      <c r="L106" s="58"/>
      <c r="M106" s="58"/>
      <c r="N106" s="58"/>
      <c r="O106" s="58"/>
      <c r="P106" s="58"/>
      <c r="Q106" s="58"/>
      <c r="R106" s="58"/>
      <c r="S106" s="58"/>
      <c r="T106" s="58"/>
      <c r="U106" s="58"/>
      <c r="V106" s="58"/>
      <c r="W106" s="58"/>
      <c r="X106" s="58"/>
      <c r="Y106" s="58"/>
      <c r="Z106" s="58"/>
    </row>
    <row r="107">
      <c r="A107" s="85" t="s">
        <v>869</v>
      </c>
      <c r="B107" s="72" t="s">
        <v>2568</v>
      </c>
      <c r="C107" s="72" t="s">
        <v>2678</v>
      </c>
      <c r="D107" s="72" t="s">
        <v>2520</v>
      </c>
      <c r="E107" s="72" t="s">
        <v>2679</v>
      </c>
      <c r="F107" s="72" t="s">
        <v>2680</v>
      </c>
      <c r="G107" s="72" t="s">
        <v>2681</v>
      </c>
      <c r="H107" s="72" t="s">
        <v>2682</v>
      </c>
      <c r="I107" s="72" t="s">
        <v>13</v>
      </c>
      <c r="J107" s="58"/>
      <c r="K107" s="58"/>
      <c r="L107" s="58"/>
      <c r="M107" s="58"/>
      <c r="N107" s="58"/>
      <c r="O107" s="58"/>
      <c r="P107" s="58"/>
      <c r="Q107" s="58"/>
      <c r="R107" s="58"/>
      <c r="S107" s="58"/>
      <c r="T107" s="58"/>
      <c r="U107" s="58"/>
      <c r="V107" s="58"/>
      <c r="W107" s="58"/>
      <c r="X107" s="58"/>
      <c r="Y107" s="58"/>
      <c r="Z107" s="58"/>
    </row>
    <row r="108">
      <c r="A108" s="85" t="s">
        <v>872</v>
      </c>
      <c r="B108" s="72" t="s">
        <v>2568</v>
      </c>
      <c r="C108" s="72" t="s">
        <v>2683</v>
      </c>
      <c r="D108" s="72" t="s">
        <v>2520</v>
      </c>
      <c r="E108" s="72" t="s">
        <v>2684</v>
      </c>
      <c r="F108" s="72" t="s">
        <v>2685</v>
      </c>
      <c r="G108" s="72" t="s">
        <v>46</v>
      </c>
      <c r="H108" s="72" t="s">
        <v>2686</v>
      </c>
      <c r="I108" s="72" t="s">
        <v>13</v>
      </c>
      <c r="J108" s="58"/>
      <c r="K108" s="58"/>
      <c r="L108" s="58"/>
      <c r="M108" s="58"/>
      <c r="N108" s="58"/>
      <c r="O108" s="58"/>
      <c r="P108" s="58"/>
      <c r="Q108" s="58"/>
      <c r="R108" s="58"/>
      <c r="S108" s="58"/>
      <c r="T108" s="58"/>
      <c r="U108" s="58"/>
      <c r="V108" s="58"/>
      <c r="W108" s="58"/>
      <c r="X108" s="58"/>
      <c r="Y108" s="58"/>
      <c r="Z108" s="58"/>
    </row>
    <row r="109">
      <c r="A109" s="85" t="s">
        <v>875</v>
      </c>
      <c r="B109" s="72" t="s">
        <v>2568</v>
      </c>
      <c r="C109" s="72" t="s">
        <v>2687</v>
      </c>
      <c r="D109" s="72" t="s">
        <v>2520</v>
      </c>
      <c r="E109" s="72" t="s">
        <v>2688</v>
      </c>
      <c r="F109" s="72" t="s">
        <v>2689</v>
      </c>
      <c r="G109" s="72" t="s">
        <v>2690</v>
      </c>
      <c r="H109" s="72" t="s">
        <v>2691</v>
      </c>
      <c r="I109" s="72" t="s">
        <v>13</v>
      </c>
      <c r="J109" s="58"/>
      <c r="K109" s="58"/>
      <c r="L109" s="58"/>
      <c r="M109" s="58"/>
      <c r="N109" s="58"/>
      <c r="O109" s="58"/>
      <c r="P109" s="58"/>
      <c r="Q109" s="58"/>
      <c r="R109" s="58"/>
      <c r="S109" s="58"/>
      <c r="T109" s="58"/>
      <c r="U109" s="58"/>
      <c r="V109" s="58"/>
      <c r="W109" s="58"/>
      <c r="X109" s="58"/>
      <c r="Y109" s="58"/>
      <c r="Z109" s="58"/>
    </row>
    <row r="110">
      <c r="A110" s="85" t="s">
        <v>879</v>
      </c>
      <c r="B110" s="72" t="s">
        <v>2568</v>
      </c>
      <c r="C110" s="72" t="s">
        <v>2692</v>
      </c>
      <c r="D110" s="72" t="s">
        <v>2520</v>
      </c>
      <c r="E110" s="72" t="s">
        <v>2693</v>
      </c>
      <c r="F110" s="72" t="s">
        <v>2694</v>
      </c>
      <c r="G110" s="72" t="s">
        <v>46</v>
      </c>
      <c r="H110" s="72" t="s">
        <v>2695</v>
      </c>
      <c r="I110" s="72" t="s">
        <v>13</v>
      </c>
      <c r="J110" s="58"/>
      <c r="K110" s="58"/>
      <c r="L110" s="58"/>
      <c r="M110" s="58"/>
      <c r="N110" s="58"/>
      <c r="O110" s="58"/>
      <c r="P110" s="58"/>
      <c r="Q110" s="58"/>
      <c r="R110" s="58"/>
      <c r="S110" s="58"/>
      <c r="T110" s="58"/>
      <c r="U110" s="58"/>
      <c r="V110" s="58"/>
      <c r="W110" s="58"/>
      <c r="X110" s="58"/>
      <c r="Y110" s="58"/>
      <c r="Z110" s="58"/>
    </row>
    <row r="111">
      <c r="A111" s="85" t="s">
        <v>882</v>
      </c>
      <c r="B111" s="72" t="s">
        <v>2568</v>
      </c>
      <c r="C111" s="72" t="s">
        <v>2696</v>
      </c>
      <c r="D111" s="72" t="s">
        <v>2520</v>
      </c>
      <c r="E111" s="72" t="s">
        <v>2697</v>
      </c>
      <c r="F111" s="72" t="s">
        <v>2698</v>
      </c>
      <c r="G111" s="72" t="s">
        <v>46</v>
      </c>
      <c r="H111" s="72" t="s">
        <v>2699</v>
      </c>
      <c r="I111" s="72" t="s">
        <v>13</v>
      </c>
      <c r="J111" s="58"/>
      <c r="K111" s="58"/>
      <c r="L111" s="58"/>
      <c r="M111" s="58"/>
      <c r="N111" s="58"/>
      <c r="O111" s="58"/>
      <c r="P111" s="58"/>
      <c r="Q111" s="58"/>
      <c r="R111" s="58"/>
      <c r="S111" s="58"/>
      <c r="T111" s="58"/>
      <c r="U111" s="58"/>
      <c r="V111" s="58"/>
      <c r="W111" s="58"/>
      <c r="X111" s="58"/>
      <c r="Y111" s="58"/>
      <c r="Z111" s="58"/>
    </row>
    <row r="112">
      <c r="A112" s="85" t="s">
        <v>886</v>
      </c>
      <c r="B112" s="72" t="s">
        <v>2568</v>
      </c>
      <c r="C112" s="72" t="s">
        <v>2700</v>
      </c>
      <c r="D112" s="72" t="s">
        <v>2520</v>
      </c>
      <c r="E112" s="72" t="s">
        <v>2701</v>
      </c>
      <c r="F112" s="72" t="s">
        <v>2702</v>
      </c>
      <c r="G112" s="72" t="s">
        <v>46</v>
      </c>
      <c r="H112" s="72" t="s">
        <v>2703</v>
      </c>
      <c r="I112" s="72" t="s">
        <v>13</v>
      </c>
      <c r="J112" s="58"/>
      <c r="K112" s="58"/>
      <c r="L112" s="58"/>
      <c r="M112" s="58"/>
      <c r="N112" s="58"/>
      <c r="O112" s="58"/>
      <c r="P112" s="58"/>
      <c r="Q112" s="58"/>
      <c r="R112" s="58"/>
      <c r="S112" s="58"/>
      <c r="T112" s="58"/>
      <c r="U112" s="58"/>
      <c r="V112" s="58"/>
      <c r="W112" s="58"/>
      <c r="X112" s="58"/>
      <c r="Y112" s="58"/>
      <c r="Z112" s="58"/>
    </row>
    <row r="113">
      <c r="A113" s="85" t="s">
        <v>889</v>
      </c>
      <c r="B113" s="72" t="s">
        <v>2568</v>
      </c>
      <c r="C113" s="72" t="s">
        <v>2704</v>
      </c>
      <c r="D113" s="72" t="s">
        <v>2520</v>
      </c>
      <c r="E113" s="72" t="s">
        <v>2705</v>
      </c>
      <c r="F113" s="72" t="s">
        <v>2706</v>
      </c>
      <c r="G113" s="72" t="s">
        <v>2707</v>
      </c>
      <c r="H113" s="72" t="s">
        <v>2708</v>
      </c>
      <c r="I113" s="72" t="s">
        <v>13</v>
      </c>
      <c r="J113" s="58"/>
      <c r="K113" s="58"/>
      <c r="L113" s="58"/>
      <c r="M113" s="58"/>
      <c r="N113" s="58"/>
      <c r="O113" s="58"/>
      <c r="P113" s="58"/>
      <c r="Q113" s="58"/>
      <c r="R113" s="58"/>
      <c r="S113" s="58"/>
      <c r="T113" s="58"/>
      <c r="U113" s="58"/>
      <c r="V113" s="58"/>
      <c r="W113" s="58"/>
      <c r="X113" s="58"/>
      <c r="Y113" s="58"/>
      <c r="Z113" s="58"/>
    </row>
    <row r="114">
      <c r="A114" s="85" t="s">
        <v>891</v>
      </c>
      <c r="B114" s="72" t="s">
        <v>2568</v>
      </c>
      <c r="C114" s="72" t="s">
        <v>2709</v>
      </c>
      <c r="D114" s="72" t="s">
        <v>2520</v>
      </c>
      <c r="E114" s="72" t="s">
        <v>2710</v>
      </c>
      <c r="F114" s="72" t="s">
        <v>2711</v>
      </c>
      <c r="G114" s="72" t="s">
        <v>2712</v>
      </c>
      <c r="H114" s="72" t="s">
        <v>2713</v>
      </c>
      <c r="I114" s="72" t="s">
        <v>13</v>
      </c>
      <c r="J114" s="58"/>
      <c r="K114" s="58"/>
      <c r="L114" s="58"/>
      <c r="M114" s="58"/>
      <c r="N114" s="58"/>
      <c r="O114" s="58"/>
      <c r="P114" s="58"/>
      <c r="Q114" s="58"/>
      <c r="R114" s="58"/>
      <c r="S114" s="58"/>
      <c r="T114" s="58"/>
      <c r="U114" s="58"/>
      <c r="V114" s="58"/>
      <c r="W114" s="58"/>
      <c r="X114" s="58"/>
      <c r="Y114" s="58"/>
      <c r="Z114" s="58"/>
    </row>
    <row r="115">
      <c r="A115" s="85" t="s">
        <v>893</v>
      </c>
      <c r="B115" s="72" t="s">
        <v>2568</v>
      </c>
      <c r="C115" s="72" t="s">
        <v>2714</v>
      </c>
      <c r="D115" s="72" t="s">
        <v>2520</v>
      </c>
      <c r="E115" s="72" t="s">
        <v>2715</v>
      </c>
      <c r="F115" s="72" t="s">
        <v>2716</v>
      </c>
      <c r="G115" s="72" t="s">
        <v>46</v>
      </c>
      <c r="H115" s="72" t="s">
        <v>2716</v>
      </c>
      <c r="I115" s="72" t="s">
        <v>13</v>
      </c>
      <c r="J115" s="58"/>
      <c r="K115" s="58"/>
      <c r="L115" s="58"/>
      <c r="M115" s="58"/>
      <c r="N115" s="58"/>
      <c r="O115" s="58"/>
      <c r="P115" s="58"/>
      <c r="Q115" s="58"/>
      <c r="R115" s="58"/>
      <c r="S115" s="58"/>
      <c r="T115" s="58"/>
      <c r="U115" s="58"/>
      <c r="V115" s="58"/>
      <c r="W115" s="58"/>
      <c r="X115" s="58"/>
      <c r="Y115" s="58"/>
      <c r="Z115" s="58"/>
    </row>
    <row r="116">
      <c r="A116" s="85" t="s">
        <v>895</v>
      </c>
      <c r="B116" s="72" t="s">
        <v>2568</v>
      </c>
      <c r="C116" s="72" t="s">
        <v>2717</v>
      </c>
      <c r="D116" s="72" t="s">
        <v>2520</v>
      </c>
      <c r="E116" s="72" t="s">
        <v>2718</v>
      </c>
      <c r="F116" s="72" t="s">
        <v>2526</v>
      </c>
      <c r="G116" s="72" t="s">
        <v>2527</v>
      </c>
      <c r="H116" s="72" t="s">
        <v>2528</v>
      </c>
      <c r="I116" s="72" t="s">
        <v>13</v>
      </c>
      <c r="J116" s="58"/>
      <c r="K116" s="58"/>
      <c r="L116" s="58"/>
      <c r="M116" s="58"/>
      <c r="N116" s="58"/>
      <c r="O116" s="58"/>
      <c r="P116" s="58"/>
      <c r="Q116" s="58"/>
      <c r="R116" s="58"/>
      <c r="S116" s="58"/>
      <c r="T116" s="58"/>
      <c r="U116" s="58"/>
      <c r="V116" s="58"/>
      <c r="W116" s="58"/>
      <c r="X116" s="58"/>
      <c r="Y116" s="58"/>
      <c r="Z116" s="58"/>
    </row>
    <row r="117">
      <c r="A117" s="85" t="s">
        <v>900</v>
      </c>
      <c r="B117" s="72" t="s">
        <v>2568</v>
      </c>
      <c r="C117" s="72" t="s">
        <v>2719</v>
      </c>
      <c r="D117" s="72" t="s">
        <v>2520</v>
      </c>
      <c r="E117" s="72" t="s">
        <v>2720</v>
      </c>
      <c r="F117" s="72" t="s">
        <v>2530</v>
      </c>
      <c r="G117" s="72" t="s">
        <v>2527</v>
      </c>
      <c r="H117" s="72" t="s">
        <v>2531</v>
      </c>
      <c r="I117" s="72" t="s">
        <v>13</v>
      </c>
      <c r="J117" s="58"/>
      <c r="K117" s="58"/>
      <c r="L117" s="58"/>
      <c r="M117" s="58"/>
      <c r="N117" s="58"/>
      <c r="O117" s="58"/>
      <c r="P117" s="58"/>
      <c r="Q117" s="58"/>
      <c r="R117" s="58"/>
      <c r="S117" s="58"/>
      <c r="T117" s="58"/>
      <c r="U117" s="58"/>
      <c r="V117" s="58"/>
      <c r="W117" s="58"/>
      <c r="X117" s="58"/>
      <c r="Y117" s="58"/>
      <c r="Z117" s="58"/>
    </row>
    <row r="118">
      <c r="A118" s="85" t="s">
        <v>903</v>
      </c>
      <c r="B118" s="72" t="s">
        <v>2568</v>
      </c>
      <c r="C118" s="72" t="s">
        <v>2721</v>
      </c>
      <c r="D118" s="72" t="s">
        <v>2520</v>
      </c>
      <c r="E118" s="72" t="s">
        <v>2722</v>
      </c>
      <c r="F118" s="72" t="s">
        <v>2533</v>
      </c>
      <c r="G118" s="72" t="s">
        <v>2527</v>
      </c>
      <c r="H118" s="72" t="s">
        <v>2534</v>
      </c>
      <c r="I118" s="72" t="s">
        <v>13</v>
      </c>
      <c r="J118" s="58"/>
      <c r="K118" s="58"/>
      <c r="L118" s="58"/>
      <c r="M118" s="58"/>
      <c r="N118" s="58"/>
      <c r="O118" s="58"/>
      <c r="P118" s="58"/>
      <c r="Q118" s="58"/>
      <c r="R118" s="58"/>
      <c r="S118" s="58"/>
      <c r="T118" s="58"/>
      <c r="U118" s="58"/>
      <c r="V118" s="58"/>
      <c r="W118" s="58"/>
      <c r="X118" s="58"/>
      <c r="Y118" s="58"/>
      <c r="Z118" s="58"/>
    </row>
    <row r="119">
      <c r="A119" s="85" t="s">
        <v>906</v>
      </c>
      <c r="B119" s="72" t="s">
        <v>2568</v>
      </c>
      <c r="C119" s="72" t="s">
        <v>2723</v>
      </c>
      <c r="D119" s="72" t="s">
        <v>2520</v>
      </c>
      <c r="E119" s="72" t="s">
        <v>2724</v>
      </c>
      <c r="F119" s="72" t="s">
        <v>2536</v>
      </c>
      <c r="G119" s="72" t="s">
        <v>46</v>
      </c>
      <c r="H119" s="72" t="s">
        <v>2537</v>
      </c>
      <c r="I119" s="72" t="s">
        <v>13</v>
      </c>
      <c r="J119" s="58"/>
      <c r="K119" s="58"/>
      <c r="L119" s="58"/>
      <c r="M119" s="58"/>
      <c r="N119" s="58"/>
      <c r="O119" s="58"/>
      <c r="P119" s="58"/>
      <c r="Q119" s="58"/>
      <c r="R119" s="58"/>
      <c r="S119" s="58"/>
      <c r="T119" s="58"/>
      <c r="U119" s="58"/>
      <c r="V119" s="58"/>
      <c r="W119" s="58"/>
      <c r="X119" s="58"/>
      <c r="Y119" s="58"/>
      <c r="Z119" s="58"/>
    </row>
    <row r="120">
      <c r="A120" s="85" t="s">
        <v>910</v>
      </c>
      <c r="B120" s="72" t="s">
        <v>2568</v>
      </c>
      <c r="C120" s="72" t="s">
        <v>2725</v>
      </c>
      <c r="D120" s="72" t="s">
        <v>2520</v>
      </c>
      <c r="E120" s="72" t="s">
        <v>2726</v>
      </c>
      <c r="F120" s="72" t="s">
        <v>2539</v>
      </c>
      <c r="G120" s="72" t="s">
        <v>46</v>
      </c>
      <c r="H120" s="72" t="s">
        <v>2540</v>
      </c>
      <c r="I120" s="72" t="s">
        <v>13</v>
      </c>
      <c r="J120" s="58"/>
      <c r="K120" s="58"/>
      <c r="L120" s="58"/>
      <c r="M120" s="58"/>
      <c r="N120" s="58"/>
      <c r="O120" s="58"/>
      <c r="P120" s="58"/>
      <c r="Q120" s="58"/>
      <c r="R120" s="58"/>
      <c r="S120" s="58"/>
      <c r="T120" s="58"/>
      <c r="U120" s="58"/>
      <c r="V120" s="58"/>
      <c r="W120" s="58"/>
      <c r="X120" s="58"/>
      <c r="Y120" s="58"/>
      <c r="Z120" s="58"/>
    </row>
    <row r="121">
      <c r="A121" s="85" t="s">
        <v>914</v>
      </c>
      <c r="B121" s="72" t="s">
        <v>2568</v>
      </c>
      <c r="C121" s="72" t="s">
        <v>2727</v>
      </c>
      <c r="D121" s="72" t="s">
        <v>2520</v>
      </c>
      <c r="E121" s="72" t="s">
        <v>2728</v>
      </c>
      <c r="F121" s="72" t="s">
        <v>2729</v>
      </c>
      <c r="G121" s="72" t="s">
        <v>2730</v>
      </c>
      <c r="H121" s="72" t="s">
        <v>2731</v>
      </c>
      <c r="I121" s="72" t="s">
        <v>13</v>
      </c>
      <c r="J121" s="58"/>
      <c r="K121" s="58"/>
      <c r="L121" s="58"/>
      <c r="M121" s="58"/>
      <c r="N121" s="58"/>
      <c r="O121" s="58"/>
      <c r="P121" s="58"/>
      <c r="Q121" s="58"/>
      <c r="R121" s="58"/>
      <c r="S121" s="58"/>
      <c r="T121" s="58"/>
      <c r="U121" s="58"/>
      <c r="V121" s="58"/>
      <c r="W121" s="58"/>
      <c r="X121" s="58"/>
      <c r="Y121" s="58"/>
      <c r="Z121" s="58"/>
    </row>
    <row r="122">
      <c r="A122" s="85" t="s">
        <v>919</v>
      </c>
      <c r="B122" s="72" t="s">
        <v>2568</v>
      </c>
      <c r="C122" s="72" t="s">
        <v>2732</v>
      </c>
      <c r="D122" s="72" t="s">
        <v>2520</v>
      </c>
      <c r="E122" s="72" t="s">
        <v>2733</v>
      </c>
      <c r="F122" s="72" t="s">
        <v>2734</v>
      </c>
      <c r="G122" s="72" t="s">
        <v>2730</v>
      </c>
      <c r="H122" s="72" t="s">
        <v>2735</v>
      </c>
      <c r="I122" s="72" t="s">
        <v>13</v>
      </c>
      <c r="J122" s="58"/>
      <c r="K122" s="58"/>
      <c r="L122" s="58"/>
      <c r="M122" s="58"/>
      <c r="N122" s="58"/>
      <c r="O122" s="58"/>
      <c r="P122" s="58"/>
      <c r="Q122" s="58"/>
      <c r="R122" s="58"/>
      <c r="S122" s="58"/>
      <c r="T122" s="58"/>
      <c r="U122" s="58"/>
      <c r="V122" s="58"/>
      <c r="W122" s="58"/>
      <c r="X122" s="58"/>
      <c r="Y122" s="58"/>
      <c r="Z122" s="58"/>
    </row>
    <row r="123">
      <c r="A123" s="85" t="s">
        <v>922</v>
      </c>
      <c r="B123" s="72" t="s">
        <v>2568</v>
      </c>
      <c r="C123" s="72" t="s">
        <v>2736</v>
      </c>
      <c r="D123" s="72" t="s">
        <v>2520</v>
      </c>
      <c r="E123" s="72" t="s">
        <v>2737</v>
      </c>
      <c r="F123" s="72" t="s">
        <v>2734</v>
      </c>
      <c r="G123" s="72" t="s">
        <v>2730</v>
      </c>
      <c r="H123" s="72" t="s">
        <v>2738</v>
      </c>
      <c r="I123" s="72" t="s">
        <v>13</v>
      </c>
      <c r="J123" s="58"/>
      <c r="K123" s="58"/>
      <c r="L123" s="58"/>
      <c r="M123" s="58"/>
      <c r="N123" s="58"/>
      <c r="O123" s="58"/>
      <c r="P123" s="58"/>
      <c r="Q123" s="58"/>
      <c r="R123" s="58"/>
      <c r="S123" s="58"/>
      <c r="T123" s="58"/>
      <c r="U123" s="58"/>
      <c r="V123" s="58"/>
      <c r="W123" s="58"/>
      <c r="X123" s="58"/>
      <c r="Y123" s="58"/>
      <c r="Z123" s="58"/>
    </row>
    <row r="124">
      <c r="A124" s="85" t="s">
        <v>925</v>
      </c>
      <c r="B124" s="72" t="s">
        <v>2568</v>
      </c>
      <c r="C124" s="72" t="s">
        <v>2739</v>
      </c>
      <c r="D124" s="72" t="s">
        <v>2520</v>
      </c>
      <c r="E124" s="72" t="s">
        <v>2740</v>
      </c>
      <c r="F124" s="72" t="s">
        <v>2734</v>
      </c>
      <c r="G124" s="72" t="s">
        <v>2730</v>
      </c>
      <c r="H124" s="72" t="s">
        <v>2741</v>
      </c>
      <c r="I124" s="72" t="s">
        <v>13</v>
      </c>
      <c r="J124" s="58"/>
      <c r="K124" s="58"/>
      <c r="L124" s="58"/>
      <c r="M124" s="58"/>
      <c r="N124" s="58"/>
      <c r="O124" s="58"/>
      <c r="P124" s="58"/>
      <c r="Q124" s="58"/>
      <c r="R124" s="58"/>
      <c r="S124" s="58"/>
      <c r="T124" s="58"/>
      <c r="U124" s="58"/>
      <c r="V124" s="58"/>
      <c r="W124" s="58"/>
      <c r="X124" s="58"/>
      <c r="Y124" s="58"/>
      <c r="Z124" s="58"/>
    </row>
    <row r="125">
      <c r="A125" s="85" t="s">
        <v>929</v>
      </c>
      <c r="B125" s="72" t="s">
        <v>2568</v>
      </c>
      <c r="C125" s="72" t="s">
        <v>2742</v>
      </c>
      <c r="D125" s="72" t="s">
        <v>2520</v>
      </c>
      <c r="E125" s="72" t="s">
        <v>2542</v>
      </c>
      <c r="F125" s="72" t="s">
        <v>2543</v>
      </c>
      <c r="G125" s="72" t="s">
        <v>46</v>
      </c>
      <c r="H125" s="72" t="s">
        <v>2544</v>
      </c>
      <c r="I125" s="72" t="s">
        <v>13</v>
      </c>
      <c r="J125" s="58"/>
      <c r="K125" s="58"/>
      <c r="L125" s="58"/>
      <c r="M125" s="58"/>
      <c r="N125" s="58"/>
      <c r="O125" s="58"/>
      <c r="P125" s="58"/>
      <c r="Q125" s="58"/>
      <c r="R125" s="58"/>
      <c r="S125" s="58"/>
      <c r="T125" s="58"/>
      <c r="U125" s="58"/>
      <c r="V125" s="58"/>
      <c r="W125" s="58"/>
      <c r="X125" s="58"/>
      <c r="Y125" s="58"/>
      <c r="Z125" s="58"/>
    </row>
    <row r="126">
      <c r="A126" s="85" t="s">
        <v>935</v>
      </c>
      <c r="B126" s="72" t="s">
        <v>2568</v>
      </c>
      <c r="C126" s="72" t="s">
        <v>2743</v>
      </c>
      <c r="D126" s="72" t="s">
        <v>2520</v>
      </c>
      <c r="E126" s="72" t="s">
        <v>2545</v>
      </c>
      <c r="F126" s="72" t="s">
        <v>2546</v>
      </c>
      <c r="G126" s="72" t="s">
        <v>46</v>
      </c>
      <c r="H126" s="72" t="s">
        <v>2547</v>
      </c>
      <c r="I126" s="72" t="s">
        <v>13</v>
      </c>
      <c r="J126" s="58"/>
      <c r="K126" s="58"/>
      <c r="L126" s="58"/>
      <c r="M126" s="58"/>
      <c r="N126" s="58"/>
      <c r="O126" s="58"/>
      <c r="P126" s="58"/>
      <c r="Q126" s="58"/>
      <c r="R126" s="58"/>
      <c r="S126" s="58"/>
      <c r="T126" s="58"/>
      <c r="U126" s="58"/>
      <c r="V126" s="58"/>
      <c r="W126" s="58"/>
      <c r="X126" s="58"/>
      <c r="Y126" s="58"/>
      <c r="Z126" s="58"/>
    </row>
    <row r="127">
      <c r="A127" s="85" t="s">
        <v>938</v>
      </c>
      <c r="B127" s="72" t="s">
        <v>2568</v>
      </c>
      <c r="C127" s="72" t="s">
        <v>2744</v>
      </c>
      <c r="D127" s="72" t="s">
        <v>2520</v>
      </c>
      <c r="E127" s="72" t="s">
        <v>2549</v>
      </c>
      <c r="F127" s="72" t="s">
        <v>2550</v>
      </c>
      <c r="G127" s="72" t="s">
        <v>2551</v>
      </c>
      <c r="H127" s="72" t="s">
        <v>2552</v>
      </c>
      <c r="I127" s="72" t="s">
        <v>13</v>
      </c>
      <c r="J127" s="58"/>
      <c r="K127" s="58"/>
      <c r="L127" s="58"/>
      <c r="M127" s="58"/>
      <c r="N127" s="58"/>
      <c r="O127" s="58"/>
      <c r="P127" s="58"/>
      <c r="Q127" s="58"/>
      <c r="R127" s="58"/>
      <c r="S127" s="58"/>
      <c r="T127" s="58"/>
      <c r="U127" s="58"/>
      <c r="V127" s="58"/>
      <c r="W127" s="58"/>
      <c r="X127" s="58"/>
      <c r="Y127" s="58"/>
      <c r="Z127" s="58"/>
    </row>
    <row r="128">
      <c r="A128" s="85" t="s">
        <v>941</v>
      </c>
      <c r="B128" s="72" t="s">
        <v>2568</v>
      </c>
      <c r="C128" s="72" t="s">
        <v>2745</v>
      </c>
      <c r="D128" s="72" t="s">
        <v>2520</v>
      </c>
      <c r="E128" s="72" t="s">
        <v>2746</v>
      </c>
      <c r="F128" s="72" t="s">
        <v>2747</v>
      </c>
      <c r="G128" s="72" t="s">
        <v>46</v>
      </c>
      <c r="H128" s="72" t="s">
        <v>2748</v>
      </c>
      <c r="I128" s="72" t="s">
        <v>13</v>
      </c>
      <c r="J128" s="58"/>
      <c r="K128" s="58"/>
      <c r="L128" s="58"/>
      <c r="M128" s="58"/>
      <c r="N128" s="58"/>
      <c r="O128" s="58"/>
      <c r="P128" s="58"/>
      <c r="Q128" s="58"/>
      <c r="R128" s="58"/>
      <c r="S128" s="58"/>
      <c r="T128" s="58"/>
      <c r="U128" s="58"/>
      <c r="V128" s="58"/>
      <c r="W128" s="58"/>
      <c r="X128" s="58"/>
      <c r="Y128" s="58"/>
      <c r="Z128" s="58"/>
    </row>
    <row r="129">
      <c r="A129" s="85" t="s">
        <v>945</v>
      </c>
      <c r="B129" s="72" t="s">
        <v>2568</v>
      </c>
      <c r="C129" s="72" t="s">
        <v>2749</v>
      </c>
      <c r="D129" s="72" t="s">
        <v>2520</v>
      </c>
      <c r="E129" s="72" t="s">
        <v>2750</v>
      </c>
      <c r="F129" s="72" t="s">
        <v>2751</v>
      </c>
      <c r="G129" s="72" t="s">
        <v>46</v>
      </c>
      <c r="H129" s="72" t="s">
        <v>2752</v>
      </c>
      <c r="I129" s="72" t="s">
        <v>13</v>
      </c>
      <c r="J129" s="58"/>
      <c r="K129" s="58"/>
      <c r="L129" s="58"/>
      <c r="M129" s="58"/>
      <c r="N129" s="58"/>
      <c r="O129" s="58"/>
      <c r="P129" s="58"/>
      <c r="Q129" s="58"/>
      <c r="R129" s="58"/>
      <c r="S129" s="58"/>
      <c r="T129" s="58"/>
      <c r="U129" s="58"/>
      <c r="V129" s="58"/>
      <c r="W129" s="58"/>
      <c r="X129" s="58"/>
      <c r="Y129" s="58"/>
      <c r="Z129" s="58"/>
    </row>
    <row r="130">
      <c r="A130" s="85" t="s">
        <v>948</v>
      </c>
      <c r="B130" s="72" t="s">
        <v>2568</v>
      </c>
      <c r="C130" s="72" t="s">
        <v>2753</v>
      </c>
      <c r="D130" s="72" t="s">
        <v>2520</v>
      </c>
      <c r="E130" s="72" t="s">
        <v>2754</v>
      </c>
      <c r="F130" s="72" t="s">
        <v>2755</v>
      </c>
      <c r="G130" s="72" t="s">
        <v>46</v>
      </c>
      <c r="H130" s="72" t="s">
        <v>2756</v>
      </c>
      <c r="I130" s="72" t="s">
        <v>13</v>
      </c>
      <c r="J130" s="58"/>
      <c r="K130" s="58"/>
      <c r="L130" s="58"/>
      <c r="M130" s="58"/>
      <c r="N130" s="58"/>
      <c r="O130" s="58"/>
      <c r="P130" s="58"/>
      <c r="Q130" s="58"/>
      <c r="R130" s="58"/>
      <c r="S130" s="58"/>
      <c r="T130" s="58"/>
      <c r="U130" s="58"/>
      <c r="V130" s="58"/>
      <c r="W130" s="58"/>
      <c r="X130" s="58"/>
      <c r="Y130" s="58"/>
      <c r="Z130" s="58"/>
    </row>
    <row r="131">
      <c r="A131" s="85" t="s">
        <v>951</v>
      </c>
      <c r="B131" s="72" t="s">
        <v>2568</v>
      </c>
      <c r="C131" s="72" t="s">
        <v>2757</v>
      </c>
      <c r="D131" s="72" t="s">
        <v>2520</v>
      </c>
      <c r="E131" s="72" t="s">
        <v>2758</v>
      </c>
      <c r="F131" s="72" t="s">
        <v>2759</v>
      </c>
      <c r="G131" s="72" t="s">
        <v>46</v>
      </c>
      <c r="H131" s="72" t="s">
        <v>2759</v>
      </c>
      <c r="I131" s="72" t="s">
        <v>13</v>
      </c>
      <c r="J131" s="58"/>
      <c r="K131" s="58"/>
      <c r="L131" s="58"/>
      <c r="M131" s="58"/>
      <c r="N131" s="58"/>
      <c r="O131" s="58"/>
      <c r="P131" s="58"/>
      <c r="Q131" s="58"/>
      <c r="R131" s="58"/>
      <c r="S131" s="58"/>
      <c r="T131" s="58"/>
      <c r="U131" s="58"/>
      <c r="V131" s="58"/>
      <c r="W131" s="58"/>
      <c r="X131" s="58"/>
      <c r="Y131" s="58"/>
      <c r="Z131" s="58"/>
    </row>
    <row r="132">
      <c r="A132" s="85" t="s">
        <v>954</v>
      </c>
      <c r="B132" s="72" t="s">
        <v>2568</v>
      </c>
      <c r="C132" s="72" t="s">
        <v>2760</v>
      </c>
      <c r="D132" s="72" t="s">
        <v>2520</v>
      </c>
      <c r="E132" s="72" t="s">
        <v>2761</v>
      </c>
      <c r="F132" s="72" t="s">
        <v>2762</v>
      </c>
      <c r="G132" s="72" t="s">
        <v>2763</v>
      </c>
      <c r="H132" s="72" t="s">
        <v>2764</v>
      </c>
      <c r="I132" s="72" t="s">
        <v>13</v>
      </c>
      <c r="J132" s="58"/>
      <c r="K132" s="58"/>
      <c r="L132" s="58"/>
      <c r="M132" s="58"/>
      <c r="N132" s="58"/>
      <c r="O132" s="58"/>
      <c r="P132" s="58"/>
      <c r="Q132" s="58"/>
      <c r="R132" s="58"/>
      <c r="S132" s="58"/>
      <c r="T132" s="58"/>
      <c r="U132" s="58"/>
      <c r="V132" s="58"/>
      <c r="W132" s="58"/>
      <c r="X132" s="58"/>
      <c r="Y132" s="58"/>
      <c r="Z132" s="58"/>
    </row>
    <row r="133">
      <c r="A133" s="85" t="s">
        <v>957</v>
      </c>
      <c r="B133" s="72" t="s">
        <v>2568</v>
      </c>
      <c r="C133" s="72" t="s">
        <v>2765</v>
      </c>
      <c r="D133" s="72" t="s">
        <v>2520</v>
      </c>
      <c r="E133" s="72" t="s">
        <v>2766</v>
      </c>
      <c r="F133" s="72" t="s">
        <v>2767</v>
      </c>
      <c r="G133" s="72" t="s">
        <v>46</v>
      </c>
      <c r="H133" s="72" t="s">
        <v>2767</v>
      </c>
      <c r="I133" s="72" t="s">
        <v>13</v>
      </c>
      <c r="J133" s="58"/>
      <c r="K133" s="58"/>
      <c r="L133" s="58"/>
      <c r="M133" s="58"/>
      <c r="N133" s="58"/>
      <c r="O133" s="58"/>
      <c r="P133" s="58"/>
      <c r="Q133" s="58"/>
      <c r="R133" s="58"/>
      <c r="S133" s="58"/>
      <c r="T133" s="58"/>
      <c r="U133" s="58"/>
      <c r="V133" s="58"/>
      <c r="W133" s="58"/>
      <c r="X133" s="58"/>
      <c r="Y133" s="58"/>
      <c r="Z133" s="58"/>
    </row>
    <row r="134">
      <c r="A134" s="85" t="s">
        <v>960</v>
      </c>
      <c r="B134" s="72" t="s">
        <v>2568</v>
      </c>
      <c r="C134" s="72" t="s">
        <v>2768</v>
      </c>
      <c r="D134" s="72" t="s">
        <v>2520</v>
      </c>
      <c r="E134" s="72" t="s">
        <v>2769</v>
      </c>
      <c r="F134" s="72" t="s">
        <v>2770</v>
      </c>
      <c r="G134" s="72" t="s">
        <v>46</v>
      </c>
      <c r="H134" s="72" t="s">
        <v>2771</v>
      </c>
      <c r="I134" s="72" t="s">
        <v>13</v>
      </c>
      <c r="J134" s="58"/>
      <c r="K134" s="58"/>
      <c r="L134" s="58"/>
      <c r="M134" s="58"/>
      <c r="N134" s="58"/>
      <c r="O134" s="58"/>
      <c r="P134" s="58"/>
      <c r="Q134" s="58"/>
      <c r="R134" s="58"/>
      <c r="S134" s="58"/>
      <c r="T134" s="58"/>
      <c r="U134" s="58"/>
      <c r="V134" s="58"/>
      <c r="W134" s="58"/>
      <c r="X134" s="58"/>
      <c r="Y134" s="58"/>
      <c r="Z134" s="58"/>
    </row>
    <row r="135">
      <c r="A135" s="85" t="s">
        <v>965</v>
      </c>
      <c r="B135" s="72" t="s">
        <v>2568</v>
      </c>
      <c r="C135" s="72" t="s">
        <v>2772</v>
      </c>
      <c r="D135" s="72" t="s">
        <v>2520</v>
      </c>
      <c r="E135" s="72" t="s">
        <v>2773</v>
      </c>
      <c r="F135" s="72" t="s">
        <v>2774</v>
      </c>
      <c r="G135" s="72" t="s">
        <v>46</v>
      </c>
      <c r="H135" s="72" t="s">
        <v>2775</v>
      </c>
      <c r="I135" s="72" t="s">
        <v>13</v>
      </c>
      <c r="J135" s="58"/>
      <c r="K135" s="58"/>
      <c r="L135" s="58"/>
      <c r="M135" s="58"/>
      <c r="N135" s="58"/>
      <c r="O135" s="58"/>
      <c r="P135" s="58"/>
      <c r="Q135" s="58"/>
      <c r="R135" s="58"/>
      <c r="S135" s="58"/>
      <c r="T135" s="58"/>
      <c r="U135" s="58"/>
      <c r="V135" s="58"/>
      <c r="W135" s="58"/>
      <c r="X135" s="58"/>
      <c r="Y135" s="58"/>
      <c r="Z135" s="58"/>
    </row>
    <row r="136">
      <c r="A136" s="85" t="s">
        <v>968</v>
      </c>
      <c r="B136" s="72" t="s">
        <v>2776</v>
      </c>
      <c r="C136" s="72" t="s">
        <v>2562</v>
      </c>
      <c r="D136" s="72" t="s">
        <v>2777</v>
      </c>
      <c r="E136" s="72" t="s">
        <v>2564</v>
      </c>
      <c r="F136" s="72" t="s">
        <v>2565</v>
      </c>
      <c r="G136" s="72" t="s">
        <v>46</v>
      </c>
      <c r="H136" s="72" t="s">
        <v>2565</v>
      </c>
      <c r="I136" s="72" t="s">
        <v>13</v>
      </c>
      <c r="J136" s="118"/>
      <c r="K136" s="118"/>
      <c r="L136" s="118"/>
      <c r="M136" s="118"/>
      <c r="N136" s="118"/>
      <c r="O136" s="118"/>
      <c r="P136" s="118"/>
      <c r="Q136" s="118"/>
      <c r="R136" s="118"/>
      <c r="S136" s="118"/>
      <c r="T136" s="118"/>
      <c r="U136" s="118"/>
      <c r="V136" s="118"/>
      <c r="W136" s="118"/>
      <c r="X136" s="118"/>
      <c r="Y136" s="118"/>
      <c r="Z136" s="118"/>
    </row>
    <row r="137">
      <c r="A137" s="85" t="s">
        <v>1307</v>
      </c>
      <c r="B137" s="72" t="s">
        <v>2778</v>
      </c>
      <c r="C137" s="72" t="s">
        <v>2562</v>
      </c>
      <c r="D137" s="72" t="s">
        <v>2779</v>
      </c>
      <c r="E137" s="72" t="s">
        <v>631</v>
      </c>
      <c r="F137" s="72" t="s">
        <v>2375</v>
      </c>
      <c r="G137" s="72" t="s">
        <v>46</v>
      </c>
      <c r="H137" s="72" t="s">
        <v>632</v>
      </c>
      <c r="I137" s="72" t="s">
        <v>13</v>
      </c>
      <c r="J137" s="86"/>
      <c r="K137" s="86"/>
      <c r="L137" s="86"/>
      <c r="M137" s="86"/>
      <c r="N137" s="86"/>
      <c r="O137" s="86"/>
      <c r="P137" s="86"/>
      <c r="Q137" s="86"/>
      <c r="R137" s="86"/>
      <c r="S137" s="86"/>
      <c r="T137" s="86"/>
      <c r="U137" s="86"/>
      <c r="V137" s="86"/>
      <c r="W137" s="86"/>
      <c r="X137" s="86"/>
      <c r="Y137" s="86"/>
      <c r="Z137" s="86"/>
    </row>
    <row r="138">
      <c r="A138" s="85" t="s">
        <v>1308</v>
      </c>
      <c r="B138" s="72" t="s">
        <v>2568</v>
      </c>
      <c r="C138" s="72" t="s">
        <v>2562</v>
      </c>
      <c r="D138" s="72" t="s">
        <v>2780</v>
      </c>
      <c r="E138" s="72" t="s">
        <v>2781</v>
      </c>
      <c r="F138" s="72" t="s">
        <v>2377</v>
      </c>
      <c r="G138" s="72" t="s">
        <v>46</v>
      </c>
      <c r="H138" s="72" t="s">
        <v>2378</v>
      </c>
      <c r="I138" s="72" t="s">
        <v>13</v>
      </c>
      <c r="J138" s="58"/>
      <c r="K138" s="58"/>
      <c r="L138" s="58"/>
      <c r="M138" s="58"/>
      <c r="N138" s="58"/>
      <c r="O138" s="58"/>
      <c r="P138" s="58"/>
      <c r="Q138" s="58"/>
      <c r="R138" s="58"/>
      <c r="S138" s="58"/>
      <c r="T138" s="58"/>
      <c r="U138" s="58"/>
      <c r="V138" s="58"/>
      <c r="W138" s="58"/>
      <c r="X138" s="58"/>
      <c r="Y138" s="58"/>
      <c r="Z138" s="58"/>
    </row>
    <row r="139">
      <c r="A139" s="85" t="s">
        <v>1309</v>
      </c>
      <c r="B139" s="72" t="s">
        <v>2568</v>
      </c>
      <c r="C139" s="72" t="s">
        <v>2562</v>
      </c>
      <c r="D139" s="72" t="s">
        <v>2782</v>
      </c>
      <c r="E139" s="72" t="s">
        <v>2379</v>
      </c>
      <c r="F139" s="72" t="s">
        <v>46</v>
      </c>
      <c r="G139" s="72" t="s">
        <v>2380</v>
      </c>
      <c r="H139" s="72" t="s">
        <v>2381</v>
      </c>
      <c r="I139" s="72" t="s">
        <v>13</v>
      </c>
      <c r="J139" s="58"/>
      <c r="K139" s="58"/>
      <c r="L139" s="58"/>
      <c r="M139" s="58"/>
      <c r="N139" s="58"/>
      <c r="O139" s="58"/>
      <c r="P139" s="58"/>
      <c r="Q139" s="58"/>
      <c r="R139" s="58"/>
      <c r="S139" s="58"/>
      <c r="T139" s="58"/>
      <c r="U139" s="58"/>
      <c r="V139" s="58"/>
      <c r="W139" s="58"/>
      <c r="X139" s="58"/>
      <c r="Y139" s="58"/>
      <c r="Z139" s="58"/>
    </row>
    <row r="140">
      <c r="A140" s="85" t="s">
        <v>1310</v>
      </c>
      <c r="B140" s="72" t="s">
        <v>2568</v>
      </c>
      <c r="C140" s="72" t="s">
        <v>2562</v>
      </c>
      <c r="D140" s="72" t="s">
        <v>2783</v>
      </c>
      <c r="E140" s="72" t="s">
        <v>2784</v>
      </c>
      <c r="F140" s="72" t="s">
        <v>2384</v>
      </c>
      <c r="G140" s="72" t="s">
        <v>2574</v>
      </c>
      <c r="H140" s="72" t="s">
        <v>2575</v>
      </c>
      <c r="I140" s="72" t="s">
        <v>13</v>
      </c>
      <c r="J140" s="58"/>
      <c r="K140" s="58"/>
      <c r="L140" s="58"/>
      <c r="M140" s="58"/>
      <c r="N140" s="58"/>
      <c r="O140" s="58"/>
      <c r="P140" s="58"/>
      <c r="Q140" s="58"/>
      <c r="R140" s="58"/>
      <c r="S140" s="58"/>
      <c r="T140" s="58"/>
      <c r="U140" s="58"/>
      <c r="V140" s="58"/>
      <c r="W140" s="58"/>
      <c r="X140" s="58"/>
      <c r="Y140" s="58"/>
      <c r="Z140" s="58"/>
    </row>
    <row r="141">
      <c r="A141" s="85" t="s">
        <v>1311</v>
      </c>
      <c r="B141" s="72" t="s">
        <v>2568</v>
      </c>
      <c r="C141" s="72" t="s">
        <v>2576</v>
      </c>
      <c r="D141" s="72" t="s">
        <v>2785</v>
      </c>
      <c r="E141" s="72" t="s">
        <v>2786</v>
      </c>
      <c r="F141" s="72" t="s">
        <v>2392</v>
      </c>
      <c r="G141" s="72" t="s">
        <v>2393</v>
      </c>
      <c r="H141" s="72" t="s">
        <v>2394</v>
      </c>
      <c r="I141" s="72" t="s">
        <v>13</v>
      </c>
      <c r="J141" s="58"/>
      <c r="K141" s="58"/>
      <c r="L141" s="58"/>
      <c r="M141" s="58"/>
      <c r="N141" s="58"/>
      <c r="O141" s="58"/>
      <c r="P141" s="58"/>
      <c r="Q141" s="58"/>
      <c r="R141" s="58"/>
      <c r="S141" s="58"/>
      <c r="T141" s="58"/>
      <c r="U141" s="58"/>
      <c r="V141" s="58"/>
      <c r="W141" s="58"/>
      <c r="X141" s="58"/>
      <c r="Y141" s="58"/>
      <c r="Z141" s="58"/>
    </row>
    <row r="142">
      <c r="A142" s="85" t="s">
        <v>1313</v>
      </c>
      <c r="B142" s="72" t="s">
        <v>2568</v>
      </c>
      <c r="C142" s="72" t="s">
        <v>2579</v>
      </c>
      <c r="D142" s="72" t="s">
        <v>2787</v>
      </c>
      <c r="E142" s="72" t="s">
        <v>2788</v>
      </c>
      <c r="F142" s="72" t="s">
        <v>2396</v>
      </c>
      <c r="G142" s="72" t="s">
        <v>2397</v>
      </c>
      <c r="H142" s="72" t="s">
        <v>2398</v>
      </c>
      <c r="I142" s="72" t="s">
        <v>13</v>
      </c>
      <c r="J142" s="58"/>
      <c r="K142" s="58"/>
      <c r="L142" s="58"/>
      <c r="M142" s="58"/>
      <c r="N142" s="58"/>
      <c r="O142" s="58"/>
      <c r="P142" s="58"/>
      <c r="Q142" s="58"/>
      <c r="R142" s="58"/>
      <c r="S142" s="58"/>
      <c r="T142" s="58"/>
      <c r="U142" s="58"/>
      <c r="V142" s="58"/>
      <c r="W142" s="58"/>
      <c r="X142" s="58"/>
      <c r="Y142" s="58"/>
      <c r="Z142" s="58"/>
    </row>
    <row r="143">
      <c r="A143" s="85" t="s">
        <v>1315</v>
      </c>
      <c r="B143" s="72" t="s">
        <v>2568</v>
      </c>
      <c r="C143" s="72" t="s">
        <v>2579</v>
      </c>
      <c r="D143" s="72" t="s">
        <v>2789</v>
      </c>
      <c r="E143" s="72" t="s">
        <v>2790</v>
      </c>
      <c r="F143" s="72" t="s">
        <v>2396</v>
      </c>
      <c r="G143" s="72" t="s">
        <v>2400</v>
      </c>
      <c r="H143" s="72" t="s">
        <v>2398</v>
      </c>
      <c r="I143" s="72" t="s">
        <v>13</v>
      </c>
      <c r="J143" s="58"/>
      <c r="K143" s="58"/>
      <c r="L143" s="58"/>
      <c r="M143" s="58"/>
      <c r="N143" s="58"/>
      <c r="O143" s="58"/>
      <c r="P143" s="58"/>
      <c r="Q143" s="58"/>
      <c r="R143" s="58"/>
      <c r="S143" s="58"/>
      <c r="T143" s="58"/>
      <c r="U143" s="58"/>
      <c r="V143" s="58"/>
      <c r="W143" s="58"/>
      <c r="X143" s="58"/>
      <c r="Y143" s="58"/>
      <c r="Z143" s="58"/>
    </row>
    <row r="144">
      <c r="A144" s="85" t="s">
        <v>1319</v>
      </c>
      <c r="B144" s="72" t="s">
        <v>2568</v>
      </c>
      <c r="C144" s="72" t="s">
        <v>2579</v>
      </c>
      <c r="D144" s="72" t="s">
        <v>2791</v>
      </c>
      <c r="E144" s="72" t="s">
        <v>2792</v>
      </c>
      <c r="F144" s="72" t="s">
        <v>2396</v>
      </c>
      <c r="G144" s="72" t="s">
        <v>2400</v>
      </c>
      <c r="H144" s="72" t="s">
        <v>2398</v>
      </c>
      <c r="I144" s="72" t="s">
        <v>13</v>
      </c>
      <c r="J144" s="58"/>
      <c r="K144" s="58"/>
      <c r="L144" s="58"/>
      <c r="M144" s="58"/>
      <c r="N144" s="58"/>
      <c r="O144" s="58"/>
      <c r="P144" s="58"/>
      <c r="Q144" s="58"/>
      <c r="R144" s="58"/>
      <c r="S144" s="58"/>
      <c r="T144" s="58"/>
      <c r="U144" s="58"/>
      <c r="V144" s="58"/>
      <c r="W144" s="58"/>
      <c r="X144" s="58"/>
      <c r="Y144" s="58"/>
      <c r="Z144" s="58"/>
    </row>
    <row r="145">
      <c r="A145" s="85" t="s">
        <v>1321</v>
      </c>
      <c r="B145" s="72" t="s">
        <v>2568</v>
      </c>
      <c r="C145" s="72" t="s">
        <v>2579</v>
      </c>
      <c r="D145" s="72" t="s">
        <v>2793</v>
      </c>
      <c r="E145" s="72" t="s">
        <v>2794</v>
      </c>
      <c r="F145" s="72" t="s">
        <v>2396</v>
      </c>
      <c r="G145" s="72" t="s">
        <v>2400</v>
      </c>
      <c r="H145" s="72" t="s">
        <v>2398</v>
      </c>
      <c r="I145" s="72" t="s">
        <v>13</v>
      </c>
      <c r="J145" s="58"/>
      <c r="K145" s="58"/>
      <c r="L145" s="58"/>
      <c r="M145" s="58"/>
      <c r="N145" s="58"/>
      <c r="O145" s="58"/>
      <c r="P145" s="58"/>
      <c r="Q145" s="58"/>
      <c r="R145" s="58"/>
      <c r="S145" s="58"/>
      <c r="T145" s="58"/>
      <c r="U145" s="58"/>
      <c r="V145" s="58"/>
      <c r="W145" s="58"/>
      <c r="X145" s="58"/>
      <c r="Y145" s="58"/>
      <c r="Z145" s="58"/>
    </row>
    <row r="146">
      <c r="A146" s="85" t="s">
        <v>1323</v>
      </c>
      <c r="B146" s="72" t="s">
        <v>2568</v>
      </c>
      <c r="C146" s="72" t="s">
        <v>2588</v>
      </c>
      <c r="D146" s="72" t="s">
        <v>2795</v>
      </c>
      <c r="E146" s="72" t="s">
        <v>2796</v>
      </c>
      <c r="F146" s="72" t="s">
        <v>2392</v>
      </c>
      <c r="G146" s="72" t="s">
        <v>2393</v>
      </c>
      <c r="H146" s="72" t="s">
        <v>2394</v>
      </c>
      <c r="I146" s="72" t="s">
        <v>13</v>
      </c>
      <c r="J146" s="58"/>
      <c r="K146" s="58"/>
      <c r="L146" s="58"/>
      <c r="M146" s="58"/>
      <c r="N146" s="58"/>
      <c r="O146" s="58"/>
      <c r="P146" s="58"/>
      <c r="Q146" s="58"/>
      <c r="R146" s="58"/>
      <c r="S146" s="58"/>
      <c r="T146" s="58"/>
      <c r="U146" s="58"/>
      <c r="V146" s="58"/>
      <c r="W146" s="58"/>
      <c r="X146" s="58"/>
      <c r="Y146" s="58"/>
      <c r="Z146" s="58"/>
    </row>
    <row r="147">
      <c r="A147" s="85" t="s">
        <v>1324</v>
      </c>
      <c r="B147" s="72" t="s">
        <v>2568</v>
      </c>
      <c r="C147" s="72" t="s">
        <v>2588</v>
      </c>
      <c r="D147" s="72" t="s">
        <v>2797</v>
      </c>
      <c r="E147" s="72" t="s">
        <v>2798</v>
      </c>
      <c r="F147" s="72" t="s">
        <v>2407</v>
      </c>
      <c r="G147" s="72" t="s">
        <v>46</v>
      </c>
      <c r="H147" s="72" t="s">
        <v>2408</v>
      </c>
      <c r="I147" s="72" t="s">
        <v>13</v>
      </c>
      <c r="J147" s="58"/>
      <c r="K147" s="58"/>
      <c r="L147" s="58"/>
      <c r="M147" s="58"/>
      <c r="N147" s="58"/>
      <c r="O147" s="58"/>
      <c r="P147" s="58"/>
      <c r="Q147" s="58"/>
      <c r="R147" s="58"/>
      <c r="S147" s="58"/>
      <c r="T147" s="58"/>
      <c r="U147" s="58"/>
      <c r="V147" s="58"/>
      <c r="W147" s="58"/>
      <c r="X147" s="58"/>
      <c r="Y147" s="58"/>
      <c r="Z147" s="58"/>
    </row>
    <row r="148">
      <c r="A148" s="85" t="s">
        <v>1327</v>
      </c>
      <c r="B148" s="72" t="s">
        <v>2568</v>
      </c>
      <c r="C148" s="72" t="s">
        <v>2593</v>
      </c>
      <c r="D148" s="72" t="s">
        <v>2799</v>
      </c>
      <c r="E148" s="72" t="s">
        <v>2800</v>
      </c>
      <c r="F148" s="72" t="s">
        <v>2412</v>
      </c>
      <c r="G148" s="72" t="s">
        <v>46</v>
      </c>
      <c r="H148" s="72" t="s">
        <v>2413</v>
      </c>
      <c r="I148" s="72" t="s">
        <v>13</v>
      </c>
      <c r="J148" s="58"/>
      <c r="K148" s="58"/>
      <c r="L148" s="58"/>
      <c r="M148" s="58"/>
      <c r="N148" s="58"/>
      <c r="O148" s="58"/>
      <c r="P148" s="58"/>
      <c r="Q148" s="58"/>
      <c r="R148" s="58"/>
      <c r="S148" s="58"/>
      <c r="T148" s="58"/>
      <c r="U148" s="58"/>
      <c r="V148" s="58"/>
      <c r="W148" s="58"/>
      <c r="X148" s="58"/>
      <c r="Y148" s="58"/>
      <c r="Z148" s="58"/>
    </row>
    <row r="149">
      <c r="A149" s="85" t="s">
        <v>1329</v>
      </c>
      <c r="B149" s="72" t="s">
        <v>2568</v>
      </c>
      <c r="C149" s="72" t="s">
        <v>2593</v>
      </c>
      <c r="D149" s="72" t="s">
        <v>2801</v>
      </c>
      <c r="E149" s="72" t="s">
        <v>2802</v>
      </c>
      <c r="F149" s="72" t="s">
        <v>2412</v>
      </c>
      <c r="G149" s="72" t="s">
        <v>46</v>
      </c>
      <c r="H149" s="72" t="s">
        <v>2415</v>
      </c>
      <c r="I149" s="72" t="s">
        <v>13</v>
      </c>
      <c r="J149" s="58"/>
      <c r="K149" s="58"/>
      <c r="L149" s="58"/>
      <c r="M149" s="58"/>
      <c r="N149" s="58"/>
      <c r="O149" s="58"/>
      <c r="P149" s="58"/>
      <c r="Q149" s="58"/>
      <c r="R149" s="58"/>
      <c r="S149" s="58"/>
      <c r="T149" s="58"/>
      <c r="U149" s="58"/>
      <c r="V149" s="58"/>
      <c r="W149" s="58"/>
      <c r="X149" s="58"/>
      <c r="Y149" s="58"/>
      <c r="Z149" s="58"/>
    </row>
    <row r="150">
      <c r="A150" s="85" t="s">
        <v>1331</v>
      </c>
      <c r="B150" s="72" t="s">
        <v>2568</v>
      </c>
      <c r="C150" s="72" t="s">
        <v>2593</v>
      </c>
      <c r="D150" s="72" t="s">
        <v>2803</v>
      </c>
      <c r="E150" s="72" t="s">
        <v>2804</v>
      </c>
      <c r="F150" s="72" t="s">
        <v>2417</v>
      </c>
      <c r="G150" s="72" t="s">
        <v>46</v>
      </c>
      <c r="H150" s="72" t="s">
        <v>2418</v>
      </c>
      <c r="I150" s="72" t="s">
        <v>13</v>
      </c>
      <c r="J150" s="58"/>
      <c r="K150" s="58"/>
      <c r="L150" s="58"/>
      <c r="M150" s="58"/>
      <c r="N150" s="58"/>
      <c r="O150" s="58"/>
      <c r="P150" s="58"/>
      <c r="Q150" s="58"/>
      <c r="R150" s="58"/>
      <c r="S150" s="58"/>
      <c r="T150" s="58"/>
      <c r="U150" s="58"/>
      <c r="V150" s="58"/>
      <c r="W150" s="58"/>
      <c r="X150" s="58"/>
      <c r="Y150" s="58"/>
      <c r="Z150" s="58"/>
    </row>
    <row r="151">
      <c r="A151" s="85" t="s">
        <v>1333</v>
      </c>
      <c r="B151" s="72" t="s">
        <v>2568</v>
      </c>
      <c r="C151" s="72" t="s">
        <v>2593</v>
      </c>
      <c r="D151" s="72" t="s">
        <v>2805</v>
      </c>
      <c r="E151" s="72" t="s">
        <v>2806</v>
      </c>
      <c r="F151" s="72" t="s">
        <v>2420</v>
      </c>
      <c r="G151" s="72" t="s">
        <v>46</v>
      </c>
      <c r="H151" s="72" t="s">
        <v>2421</v>
      </c>
      <c r="I151" s="72" t="s">
        <v>13</v>
      </c>
      <c r="J151" s="58"/>
      <c r="K151" s="58"/>
      <c r="L151" s="58"/>
      <c r="M151" s="58"/>
      <c r="N151" s="58"/>
      <c r="O151" s="58"/>
      <c r="P151" s="58"/>
      <c r="Q151" s="58"/>
      <c r="R151" s="58"/>
      <c r="S151" s="58"/>
      <c r="T151" s="58"/>
      <c r="U151" s="58"/>
      <c r="V151" s="58"/>
      <c r="W151" s="58"/>
      <c r="X151" s="58"/>
      <c r="Y151" s="58"/>
      <c r="Z151" s="58"/>
    </row>
    <row r="152">
      <c r="A152" s="85" t="s">
        <v>1335</v>
      </c>
      <c r="B152" s="72" t="s">
        <v>2568</v>
      </c>
      <c r="C152" s="72" t="s">
        <v>2593</v>
      </c>
      <c r="D152" s="72" t="s">
        <v>2807</v>
      </c>
      <c r="E152" s="72" t="s">
        <v>2808</v>
      </c>
      <c r="F152" s="72" t="s">
        <v>1872</v>
      </c>
      <c r="G152" s="72" t="s">
        <v>46</v>
      </c>
      <c r="H152" s="72" t="s">
        <v>2423</v>
      </c>
      <c r="I152" s="72" t="s">
        <v>13</v>
      </c>
      <c r="J152" s="58"/>
      <c r="K152" s="58"/>
      <c r="L152" s="58"/>
      <c r="M152" s="58"/>
      <c r="N152" s="58"/>
      <c r="O152" s="58"/>
      <c r="P152" s="58"/>
      <c r="Q152" s="58"/>
      <c r="R152" s="58"/>
      <c r="S152" s="58"/>
      <c r="T152" s="58"/>
      <c r="U152" s="58"/>
      <c r="V152" s="58"/>
      <c r="W152" s="58"/>
      <c r="X152" s="58"/>
      <c r="Y152" s="58"/>
      <c r="Z152" s="58"/>
    </row>
    <row r="153">
      <c r="A153" s="85" t="s">
        <v>1337</v>
      </c>
      <c r="B153" s="72" t="s">
        <v>2568</v>
      </c>
      <c r="C153" s="72" t="s">
        <v>2593</v>
      </c>
      <c r="D153" s="72" t="s">
        <v>2809</v>
      </c>
      <c r="E153" s="72" t="s">
        <v>2810</v>
      </c>
      <c r="F153" s="72"/>
      <c r="G153" s="72" t="s">
        <v>2425</v>
      </c>
      <c r="H153" s="72" t="s">
        <v>2426</v>
      </c>
      <c r="I153" s="72" t="s">
        <v>13</v>
      </c>
      <c r="J153" s="58"/>
      <c r="K153" s="58"/>
      <c r="L153" s="58"/>
      <c r="M153" s="58"/>
      <c r="N153" s="58"/>
      <c r="O153" s="58"/>
      <c r="P153" s="58"/>
      <c r="Q153" s="58"/>
      <c r="R153" s="58"/>
      <c r="S153" s="58"/>
      <c r="T153" s="58"/>
      <c r="U153" s="58"/>
      <c r="V153" s="58"/>
      <c r="W153" s="58"/>
      <c r="X153" s="58"/>
      <c r="Y153" s="58"/>
      <c r="Z153" s="58"/>
    </row>
    <row r="154">
      <c r="A154" s="85" t="s">
        <v>1339</v>
      </c>
      <c r="B154" s="72" t="s">
        <v>2568</v>
      </c>
      <c r="C154" s="72" t="s">
        <v>2593</v>
      </c>
      <c r="D154" s="72" t="s">
        <v>2811</v>
      </c>
      <c r="E154" s="72" t="s">
        <v>2812</v>
      </c>
      <c r="F154" s="72"/>
      <c r="G154" s="72" t="s">
        <v>2430</v>
      </c>
      <c r="H154" s="72" t="s">
        <v>2431</v>
      </c>
      <c r="I154" s="72" t="s">
        <v>13</v>
      </c>
      <c r="J154" s="58"/>
      <c r="K154" s="58"/>
      <c r="L154" s="58"/>
      <c r="M154" s="58"/>
      <c r="N154" s="58"/>
      <c r="O154" s="58"/>
      <c r="P154" s="58"/>
      <c r="Q154" s="58"/>
      <c r="R154" s="58"/>
      <c r="S154" s="58"/>
      <c r="T154" s="58"/>
      <c r="U154" s="58"/>
      <c r="V154" s="58"/>
      <c r="W154" s="58"/>
      <c r="X154" s="58"/>
      <c r="Y154" s="58"/>
      <c r="Z154" s="58"/>
    </row>
    <row r="155">
      <c r="A155" s="85" t="s">
        <v>1341</v>
      </c>
      <c r="B155" s="72" t="s">
        <v>2568</v>
      </c>
      <c r="C155" s="72" t="s">
        <v>2593</v>
      </c>
      <c r="D155" s="72" t="s">
        <v>2813</v>
      </c>
      <c r="E155" s="72" t="s">
        <v>2609</v>
      </c>
      <c r="F155" s="72" t="s">
        <v>2433</v>
      </c>
      <c r="G155" s="72" t="s">
        <v>2434</v>
      </c>
      <c r="H155" s="72" t="s">
        <v>1586</v>
      </c>
      <c r="I155" s="72" t="s">
        <v>13</v>
      </c>
      <c r="J155" s="58"/>
      <c r="K155" s="58"/>
      <c r="L155" s="58"/>
      <c r="M155" s="58"/>
      <c r="N155" s="58"/>
      <c r="O155" s="58"/>
      <c r="P155" s="58"/>
      <c r="Q155" s="58"/>
      <c r="R155" s="58"/>
      <c r="S155" s="58"/>
      <c r="T155" s="58"/>
      <c r="U155" s="58"/>
      <c r="V155" s="58"/>
      <c r="W155" s="58"/>
      <c r="X155" s="58"/>
      <c r="Y155" s="58"/>
      <c r="Z155" s="58"/>
    </row>
    <row r="156">
      <c r="A156" s="85" t="s">
        <v>1343</v>
      </c>
      <c r="B156" s="72" t="s">
        <v>2568</v>
      </c>
      <c r="C156" s="72" t="s">
        <v>2610</v>
      </c>
      <c r="D156" s="72" t="s">
        <v>2814</v>
      </c>
      <c r="E156" s="72" t="s">
        <v>2815</v>
      </c>
      <c r="F156" s="72" t="s">
        <v>2437</v>
      </c>
      <c r="G156" s="72" t="s">
        <v>2438</v>
      </c>
      <c r="H156" s="72" t="s">
        <v>2439</v>
      </c>
      <c r="I156" s="72" t="s">
        <v>13</v>
      </c>
      <c r="J156" s="58"/>
      <c r="K156" s="58"/>
      <c r="L156" s="58"/>
      <c r="M156" s="58"/>
      <c r="N156" s="58"/>
      <c r="O156" s="58"/>
      <c r="P156" s="58"/>
      <c r="Q156" s="58"/>
      <c r="R156" s="58"/>
      <c r="S156" s="58"/>
      <c r="T156" s="58"/>
      <c r="U156" s="58"/>
      <c r="V156" s="58"/>
      <c r="W156" s="58"/>
      <c r="X156" s="58"/>
      <c r="Y156" s="58"/>
      <c r="Z156" s="58"/>
    </row>
    <row r="157">
      <c r="A157" s="85" t="s">
        <v>1345</v>
      </c>
      <c r="B157" s="72" t="s">
        <v>2568</v>
      </c>
      <c r="C157" s="72" t="s">
        <v>2610</v>
      </c>
      <c r="D157" s="72" t="s">
        <v>2816</v>
      </c>
      <c r="E157" s="72" t="s">
        <v>2440</v>
      </c>
      <c r="F157" s="72" t="s">
        <v>2441</v>
      </c>
      <c r="G157" s="72" t="s">
        <v>2442</v>
      </c>
      <c r="H157" s="72" t="s">
        <v>2443</v>
      </c>
      <c r="I157" s="72" t="s">
        <v>13</v>
      </c>
      <c r="J157" s="58"/>
      <c r="K157" s="58"/>
      <c r="L157" s="58"/>
      <c r="M157" s="58"/>
      <c r="N157" s="58"/>
      <c r="O157" s="58"/>
      <c r="P157" s="58"/>
      <c r="Q157" s="58"/>
      <c r="R157" s="58"/>
      <c r="S157" s="58"/>
      <c r="T157" s="58"/>
      <c r="U157" s="58"/>
      <c r="V157" s="58"/>
      <c r="W157" s="58"/>
      <c r="X157" s="58"/>
      <c r="Y157" s="58"/>
      <c r="Z157" s="58"/>
    </row>
    <row r="158">
      <c r="A158" s="85" t="s">
        <v>1347</v>
      </c>
      <c r="B158" s="72" t="s">
        <v>2568</v>
      </c>
      <c r="C158" s="72" t="s">
        <v>2614</v>
      </c>
      <c r="D158" s="72" t="s">
        <v>2817</v>
      </c>
      <c r="E158" s="72" t="s">
        <v>2818</v>
      </c>
      <c r="F158" s="72" t="s">
        <v>2617</v>
      </c>
      <c r="G158" s="72" t="s">
        <v>2448</v>
      </c>
      <c r="H158" s="72" t="s">
        <v>2618</v>
      </c>
      <c r="I158" s="72" t="s">
        <v>13</v>
      </c>
      <c r="J158" s="58"/>
      <c r="K158" s="58"/>
      <c r="L158" s="58"/>
      <c r="M158" s="58"/>
      <c r="N158" s="58"/>
      <c r="O158" s="58"/>
      <c r="P158" s="58"/>
      <c r="Q158" s="58"/>
      <c r="R158" s="58"/>
      <c r="S158" s="58"/>
      <c r="T158" s="58"/>
      <c r="U158" s="58"/>
      <c r="V158" s="58"/>
      <c r="W158" s="58"/>
      <c r="X158" s="58"/>
      <c r="Y158" s="58"/>
      <c r="Z158" s="58"/>
    </row>
    <row r="159">
      <c r="A159" s="85" t="s">
        <v>1349</v>
      </c>
      <c r="B159" s="72" t="s">
        <v>2568</v>
      </c>
      <c r="C159" s="72" t="s">
        <v>2614</v>
      </c>
      <c r="D159" s="72" t="s">
        <v>2819</v>
      </c>
      <c r="E159" s="72" t="s">
        <v>2449</v>
      </c>
      <c r="F159" s="72" t="s">
        <v>2450</v>
      </c>
      <c r="G159" s="72" t="s">
        <v>46</v>
      </c>
      <c r="H159" s="72" t="s">
        <v>2451</v>
      </c>
      <c r="I159" s="72" t="s">
        <v>13</v>
      </c>
      <c r="J159" s="58"/>
      <c r="K159" s="58"/>
      <c r="L159" s="58"/>
      <c r="M159" s="58"/>
      <c r="N159" s="58"/>
      <c r="O159" s="58"/>
      <c r="P159" s="58"/>
      <c r="Q159" s="58"/>
      <c r="R159" s="58"/>
      <c r="S159" s="58"/>
      <c r="T159" s="58"/>
      <c r="U159" s="58"/>
      <c r="V159" s="58"/>
      <c r="W159" s="58"/>
      <c r="X159" s="58"/>
      <c r="Y159" s="58"/>
      <c r="Z159" s="58"/>
    </row>
    <row r="160">
      <c r="A160" s="85" t="s">
        <v>1351</v>
      </c>
      <c r="B160" s="72" t="s">
        <v>2568</v>
      </c>
      <c r="C160" s="72" t="s">
        <v>2614</v>
      </c>
      <c r="D160" s="72" t="s">
        <v>2820</v>
      </c>
      <c r="E160" s="72" t="s">
        <v>2621</v>
      </c>
      <c r="F160" s="72" t="s">
        <v>2453</v>
      </c>
      <c r="G160" s="72" t="s">
        <v>46</v>
      </c>
      <c r="H160" s="72" t="s">
        <v>2454</v>
      </c>
      <c r="I160" s="72" t="s">
        <v>13</v>
      </c>
      <c r="J160" s="58"/>
      <c r="K160" s="58"/>
      <c r="L160" s="58"/>
      <c r="M160" s="58"/>
      <c r="N160" s="58"/>
      <c r="O160" s="58"/>
      <c r="P160" s="58"/>
      <c r="Q160" s="58"/>
      <c r="R160" s="58"/>
      <c r="S160" s="58"/>
      <c r="T160" s="58"/>
      <c r="U160" s="58"/>
      <c r="V160" s="58"/>
      <c r="W160" s="58"/>
      <c r="X160" s="58"/>
      <c r="Y160" s="58"/>
      <c r="Z160" s="58"/>
    </row>
    <row r="161">
      <c r="A161" s="85" t="s">
        <v>1353</v>
      </c>
      <c r="B161" s="72" t="s">
        <v>2568</v>
      </c>
      <c r="C161" s="72" t="s">
        <v>2614</v>
      </c>
      <c r="D161" s="72" t="s">
        <v>2821</v>
      </c>
      <c r="E161" s="72" t="s">
        <v>2822</v>
      </c>
      <c r="F161" s="72" t="s">
        <v>2456</v>
      </c>
      <c r="G161" s="72" t="s">
        <v>2457</v>
      </c>
      <c r="H161" s="72" t="s">
        <v>2458</v>
      </c>
      <c r="I161" s="72" t="s">
        <v>13</v>
      </c>
      <c r="J161" s="58"/>
      <c r="K161" s="58"/>
      <c r="L161" s="58"/>
      <c r="M161" s="58"/>
      <c r="N161" s="58"/>
      <c r="O161" s="58"/>
      <c r="P161" s="58"/>
      <c r="Q161" s="58"/>
      <c r="R161" s="58"/>
      <c r="S161" s="58"/>
      <c r="T161" s="58"/>
      <c r="U161" s="58"/>
      <c r="V161" s="58"/>
      <c r="W161" s="58"/>
      <c r="X161" s="58"/>
      <c r="Y161" s="58"/>
      <c r="Z161" s="58"/>
    </row>
    <row r="162">
      <c r="A162" s="85" t="s">
        <v>1356</v>
      </c>
      <c r="B162" s="72" t="s">
        <v>2568</v>
      </c>
      <c r="C162" s="72" t="s">
        <v>2823</v>
      </c>
      <c r="D162" s="72" t="s">
        <v>2460</v>
      </c>
      <c r="E162" s="72" t="s">
        <v>2824</v>
      </c>
      <c r="F162" s="72" t="s">
        <v>2462</v>
      </c>
      <c r="G162" s="72" t="s">
        <v>2463</v>
      </c>
      <c r="H162" s="72" t="s">
        <v>2464</v>
      </c>
      <c r="I162" s="72" t="s">
        <v>13</v>
      </c>
      <c r="J162" s="58"/>
      <c r="K162" s="58"/>
      <c r="L162" s="58"/>
      <c r="M162" s="58"/>
      <c r="N162" s="58"/>
      <c r="O162" s="58"/>
      <c r="P162" s="58"/>
      <c r="Q162" s="58"/>
      <c r="R162" s="58"/>
      <c r="S162" s="58"/>
      <c r="T162" s="58"/>
      <c r="U162" s="58"/>
      <c r="V162" s="58"/>
      <c r="W162" s="58"/>
      <c r="X162" s="58"/>
      <c r="Y162" s="58"/>
      <c r="Z162" s="58"/>
    </row>
    <row r="163">
      <c r="A163" s="85" t="s">
        <v>1358</v>
      </c>
      <c r="B163" s="72" t="s">
        <v>2568</v>
      </c>
      <c r="C163" s="72" t="s">
        <v>2825</v>
      </c>
      <c r="D163" s="72" t="s">
        <v>2465</v>
      </c>
      <c r="E163" s="72" t="s">
        <v>2826</v>
      </c>
      <c r="F163" s="72" t="s">
        <v>2462</v>
      </c>
      <c r="G163" s="72" t="s">
        <v>2467</v>
      </c>
      <c r="H163" s="72" t="s">
        <v>2468</v>
      </c>
      <c r="I163" s="72" t="s">
        <v>13</v>
      </c>
      <c r="J163" s="58"/>
      <c r="K163" s="58"/>
      <c r="L163" s="58"/>
      <c r="M163" s="58"/>
      <c r="N163" s="58"/>
      <c r="O163" s="58"/>
      <c r="P163" s="58"/>
      <c r="Q163" s="58"/>
      <c r="R163" s="58"/>
      <c r="S163" s="58"/>
      <c r="T163" s="58"/>
      <c r="U163" s="58"/>
      <c r="V163" s="58"/>
      <c r="W163" s="58"/>
      <c r="X163" s="58"/>
      <c r="Y163" s="58"/>
      <c r="Z163" s="58"/>
    </row>
    <row r="164">
      <c r="A164" s="85" t="s">
        <v>1360</v>
      </c>
      <c r="B164" s="72" t="s">
        <v>2568</v>
      </c>
      <c r="C164" s="72" t="s">
        <v>2827</v>
      </c>
      <c r="D164" s="72" t="s">
        <v>2465</v>
      </c>
      <c r="E164" s="72" t="s">
        <v>2828</v>
      </c>
      <c r="F164" s="72" t="s">
        <v>2470</v>
      </c>
      <c r="G164" s="72" t="s">
        <v>2471</v>
      </c>
      <c r="H164" s="72" t="s">
        <v>2472</v>
      </c>
      <c r="I164" s="72" t="s">
        <v>13</v>
      </c>
      <c r="J164" s="58"/>
      <c r="K164" s="58"/>
      <c r="L164" s="58"/>
      <c r="M164" s="58"/>
      <c r="N164" s="58"/>
      <c r="O164" s="58"/>
      <c r="P164" s="58"/>
      <c r="Q164" s="58"/>
      <c r="R164" s="58"/>
      <c r="S164" s="58"/>
      <c r="T164" s="58"/>
      <c r="U164" s="58"/>
      <c r="V164" s="58"/>
      <c r="W164" s="58"/>
      <c r="X164" s="58"/>
      <c r="Y164" s="58"/>
      <c r="Z164" s="58"/>
    </row>
    <row r="165">
      <c r="A165" s="85" t="s">
        <v>1362</v>
      </c>
      <c r="B165" s="72" t="s">
        <v>2568</v>
      </c>
      <c r="C165" s="72" t="s">
        <v>2829</v>
      </c>
      <c r="D165" s="72" t="s">
        <v>2465</v>
      </c>
      <c r="E165" s="72" t="s">
        <v>2830</v>
      </c>
      <c r="F165" s="72" t="s">
        <v>2474</v>
      </c>
      <c r="G165" s="72" t="s">
        <v>2475</v>
      </c>
      <c r="H165" s="72" t="s">
        <v>2476</v>
      </c>
      <c r="I165" s="72" t="s">
        <v>13</v>
      </c>
      <c r="J165" s="58"/>
      <c r="K165" s="58"/>
      <c r="L165" s="58"/>
      <c r="M165" s="58"/>
      <c r="N165" s="58"/>
      <c r="O165" s="58"/>
      <c r="P165" s="58"/>
      <c r="Q165" s="58"/>
      <c r="R165" s="58"/>
      <c r="S165" s="58"/>
      <c r="T165" s="58"/>
      <c r="U165" s="58"/>
      <c r="V165" s="58"/>
      <c r="W165" s="58"/>
      <c r="X165" s="58"/>
      <c r="Y165" s="58"/>
      <c r="Z165" s="58"/>
    </row>
    <row r="166">
      <c r="A166" s="85" t="s">
        <v>1364</v>
      </c>
      <c r="B166" s="72" t="s">
        <v>2568</v>
      </c>
      <c r="C166" s="72" t="s">
        <v>2831</v>
      </c>
      <c r="D166" s="72" t="s">
        <v>2478</v>
      </c>
      <c r="E166" s="72" t="s">
        <v>2832</v>
      </c>
      <c r="F166" s="72" t="s">
        <v>2480</v>
      </c>
      <c r="G166" s="72" t="s">
        <v>46</v>
      </c>
      <c r="H166" s="72" t="s">
        <v>2481</v>
      </c>
      <c r="I166" s="72" t="s">
        <v>13</v>
      </c>
      <c r="J166" s="58"/>
      <c r="K166" s="58"/>
      <c r="L166" s="58"/>
      <c r="M166" s="58"/>
      <c r="N166" s="58"/>
      <c r="O166" s="58"/>
      <c r="P166" s="58"/>
      <c r="Q166" s="58"/>
      <c r="R166" s="58"/>
      <c r="S166" s="58"/>
      <c r="T166" s="58"/>
      <c r="U166" s="58"/>
      <c r="V166" s="58"/>
      <c r="W166" s="58"/>
      <c r="X166" s="58"/>
      <c r="Y166" s="58"/>
      <c r="Z166" s="58"/>
    </row>
    <row r="167">
      <c r="A167" s="85" t="s">
        <v>1366</v>
      </c>
      <c r="B167" s="72" t="s">
        <v>2568</v>
      </c>
      <c r="C167" s="72" t="s">
        <v>2833</v>
      </c>
      <c r="D167" s="72" t="s">
        <v>2478</v>
      </c>
      <c r="E167" s="72" t="s">
        <v>2834</v>
      </c>
      <c r="F167" s="72" t="s">
        <v>2483</v>
      </c>
      <c r="G167" s="72" t="s">
        <v>46</v>
      </c>
      <c r="H167" s="72" t="s">
        <v>2484</v>
      </c>
      <c r="I167" s="72" t="s">
        <v>13</v>
      </c>
      <c r="J167" s="58"/>
      <c r="K167" s="58"/>
      <c r="L167" s="58"/>
      <c r="M167" s="58"/>
      <c r="N167" s="58"/>
      <c r="O167" s="58"/>
      <c r="P167" s="58"/>
      <c r="Q167" s="58"/>
      <c r="R167" s="58"/>
      <c r="S167" s="58"/>
      <c r="T167" s="58"/>
      <c r="U167" s="58"/>
      <c r="V167" s="58"/>
      <c r="W167" s="58"/>
      <c r="X167" s="58"/>
      <c r="Y167" s="58"/>
      <c r="Z167" s="58"/>
    </row>
    <row r="168">
      <c r="A168" s="85" t="s">
        <v>1368</v>
      </c>
      <c r="B168" s="72" t="s">
        <v>2568</v>
      </c>
      <c r="C168" s="72" t="s">
        <v>2835</v>
      </c>
      <c r="D168" s="72" t="s">
        <v>2478</v>
      </c>
      <c r="E168" s="72" t="s">
        <v>2836</v>
      </c>
      <c r="F168" s="72" t="s">
        <v>2487</v>
      </c>
      <c r="G168" s="72" t="s">
        <v>2488</v>
      </c>
      <c r="H168" s="72" t="s">
        <v>2489</v>
      </c>
      <c r="I168" s="72" t="s">
        <v>13</v>
      </c>
      <c r="J168" s="58"/>
      <c r="K168" s="58"/>
      <c r="L168" s="58"/>
      <c r="M168" s="58"/>
      <c r="N168" s="58"/>
      <c r="O168" s="58"/>
      <c r="P168" s="58"/>
      <c r="Q168" s="58"/>
      <c r="R168" s="58"/>
      <c r="S168" s="58"/>
      <c r="T168" s="58"/>
      <c r="U168" s="58"/>
      <c r="V168" s="58"/>
      <c r="W168" s="58"/>
      <c r="X168" s="58"/>
      <c r="Y168" s="58"/>
      <c r="Z168" s="58"/>
    </row>
    <row r="169">
      <c r="A169" s="85" t="s">
        <v>1370</v>
      </c>
      <c r="B169" s="72" t="s">
        <v>2568</v>
      </c>
      <c r="C169" s="72" t="s">
        <v>2837</v>
      </c>
      <c r="D169" s="72" t="s">
        <v>2478</v>
      </c>
      <c r="E169" s="72" t="s">
        <v>1095</v>
      </c>
      <c r="F169" s="72" t="s">
        <v>2490</v>
      </c>
      <c r="G169" s="72" t="s">
        <v>46</v>
      </c>
      <c r="H169" s="72" t="s">
        <v>2491</v>
      </c>
      <c r="I169" s="72" t="s">
        <v>13</v>
      </c>
      <c r="J169" s="58"/>
      <c r="K169" s="58"/>
      <c r="L169" s="58"/>
      <c r="M169" s="58"/>
      <c r="N169" s="58"/>
      <c r="O169" s="58"/>
      <c r="P169" s="58"/>
      <c r="Q169" s="58"/>
      <c r="R169" s="58"/>
      <c r="S169" s="58"/>
      <c r="T169" s="58"/>
      <c r="U169" s="58"/>
      <c r="V169" s="58"/>
      <c r="W169" s="58"/>
      <c r="X169" s="58"/>
      <c r="Y169" s="58"/>
      <c r="Z169" s="58"/>
    </row>
    <row r="170">
      <c r="A170" s="85" t="s">
        <v>1372</v>
      </c>
      <c r="B170" s="72" t="s">
        <v>2568</v>
      </c>
      <c r="C170" s="72" t="s">
        <v>2838</v>
      </c>
      <c r="D170" s="72" t="s">
        <v>2478</v>
      </c>
      <c r="E170" s="72" t="s">
        <v>2839</v>
      </c>
      <c r="F170" s="72" t="s">
        <v>2494</v>
      </c>
      <c r="G170" s="72" t="s">
        <v>2495</v>
      </c>
      <c r="H170" s="72" t="s">
        <v>2496</v>
      </c>
      <c r="I170" s="72" t="s">
        <v>13</v>
      </c>
      <c r="J170" s="58"/>
      <c r="K170" s="58"/>
      <c r="L170" s="58"/>
      <c r="M170" s="58"/>
      <c r="N170" s="58"/>
      <c r="O170" s="58"/>
      <c r="P170" s="58"/>
      <c r="Q170" s="58"/>
      <c r="R170" s="58"/>
      <c r="S170" s="58"/>
      <c r="T170" s="58"/>
      <c r="U170" s="58"/>
      <c r="V170" s="58"/>
      <c r="W170" s="58"/>
      <c r="X170" s="58"/>
      <c r="Y170" s="58"/>
      <c r="Z170" s="58"/>
    </row>
    <row r="171">
      <c r="A171" s="85" t="s">
        <v>1373</v>
      </c>
      <c r="B171" s="72" t="s">
        <v>2568</v>
      </c>
      <c r="C171" s="72" t="s">
        <v>2840</v>
      </c>
      <c r="D171" s="72" t="s">
        <v>2478</v>
      </c>
      <c r="E171" s="72" t="s">
        <v>2841</v>
      </c>
      <c r="F171" s="72" t="s">
        <v>2498</v>
      </c>
      <c r="G171" s="72" t="s">
        <v>2499</v>
      </c>
      <c r="H171" s="72" t="s">
        <v>2500</v>
      </c>
      <c r="I171" s="72" t="s">
        <v>13</v>
      </c>
      <c r="J171" s="58"/>
      <c r="K171" s="58"/>
      <c r="L171" s="58"/>
      <c r="M171" s="58"/>
      <c r="N171" s="58"/>
      <c r="O171" s="58"/>
      <c r="P171" s="58"/>
      <c r="Q171" s="58"/>
      <c r="R171" s="58"/>
      <c r="S171" s="58"/>
      <c r="T171" s="58"/>
      <c r="U171" s="58"/>
      <c r="V171" s="58"/>
      <c r="W171" s="58"/>
      <c r="X171" s="58"/>
      <c r="Y171" s="58"/>
      <c r="Z171" s="58"/>
    </row>
    <row r="172">
      <c r="A172" s="85" t="s">
        <v>1376</v>
      </c>
      <c r="B172" s="72" t="s">
        <v>2568</v>
      </c>
      <c r="C172" s="72" t="s">
        <v>2842</v>
      </c>
      <c r="D172" s="72" t="s">
        <v>2478</v>
      </c>
      <c r="E172" s="72" t="s">
        <v>2843</v>
      </c>
      <c r="F172" s="72" t="s">
        <v>2498</v>
      </c>
      <c r="G172" s="72" t="s">
        <v>2499</v>
      </c>
      <c r="H172" s="72" t="s">
        <v>2500</v>
      </c>
      <c r="I172" s="72" t="s">
        <v>13</v>
      </c>
      <c r="J172" s="58"/>
      <c r="K172" s="58"/>
      <c r="L172" s="58"/>
      <c r="M172" s="58"/>
      <c r="N172" s="58"/>
      <c r="O172" s="58"/>
      <c r="P172" s="58"/>
      <c r="Q172" s="58"/>
      <c r="R172" s="58"/>
      <c r="S172" s="58"/>
      <c r="T172" s="58"/>
      <c r="U172" s="58"/>
      <c r="V172" s="58"/>
      <c r="W172" s="58"/>
      <c r="X172" s="58"/>
      <c r="Y172" s="58"/>
      <c r="Z172" s="58"/>
    </row>
    <row r="173">
      <c r="A173" s="85" t="s">
        <v>1378</v>
      </c>
      <c r="B173" s="72" t="s">
        <v>2568</v>
      </c>
      <c r="C173" s="72" t="s">
        <v>2844</v>
      </c>
      <c r="D173" s="72" t="s">
        <v>2478</v>
      </c>
      <c r="E173" s="72" t="s">
        <v>2845</v>
      </c>
      <c r="F173" s="72"/>
      <c r="G173" s="72" t="s">
        <v>2503</v>
      </c>
      <c r="H173" s="72" t="s">
        <v>2504</v>
      </c>
      <c r="I173" s="72" t="s">
        <v>13</v>
      </c>
      <c r="J173" s="58"/>
      <c r="K173" s="58"/>
      <c r="L173" s="58"/>
      <c r="M173" s="58"/>
      <c r="N173" s="58"/>
      <c r="O173" s="58"/>
      <c r="P173" s="58"/>
      <c r="Q173" s="58"/>
      <c r="R173" s="58"/>
      <c r="S173" s="58"/>
      <c r="T173" s="58"/>
      <c r="U173" s="58"/>
      <c r="V173" s="58"/>
      <c r="W173" s="58"/>
      <c r="X173" s="58"/>
      <c r="Y173" s="58"/>
      <c r="Z173" s="58"/>
    </row>
    <row r="174">
      <c r="A174" s="85" t="s">
        <v>1380</v>
      </c>
      <c r="B174" s="72" t="s">
        <v>2568</v>
      </c>
      <c r="C174" s="72" t="s">
        <v>2846</v>
      </c>
      <c r="D174" s="72" t="s">
        <v>2478</v>
      </c>
      <c r="E174" s="72" t="s">
        <v>2847</v>
      </c>
      <c r="F174" s="72" t="s">
        <v>2506</v>
      </c>
      <c r="G174" s="72" t="s">
        <v>46</v>
      </c>
      <c r="H174" s="72" t="s">
        <v>2507</v>
      </c>
      <c r="I174" s="72" t="s">
        <v>13</v>
      </c>
      <c r="J174" s="58"/>
      <c r="K174" s="58"/>
      <c r="L174" s="58"/>
      <c r="M174" s="58"/>
      <c r="N174" s="58"/>
      <c r="O174" s="58"/>
      <c r="P174" s="58"/>
      <c r="Q174" s="58"/>
      <c r="R174" s="58"/>
      <c r="S174" s="58"/>
      <c r="T174" s="58"/>
      <c r="U174" s="58"/>
      <c r="V174" s="58"/>
      <c r="W174" s="58"/>
      <c r="X174" s="58"/>
      <c r="Y174" s="58"/>
      <c r="Z174" s="58"/>
    </row>
    <row r="175">
      <c r="A175" s="85" t="s">
        <v>1382</v>
      </c>
      <c r="B175" s="72" t="s">
        <v>2568</v>
      </c>
      <c r="C175" s="72" t="s">
        <v>2848</v>
      </c>
      <c r="D175" s="72" t="s">
        <v>2509</v>
      </c>
      <c r="E175" s="72" t="s">
        <v>2849</v>
      </c>
      <c r="F175" s="72" t="s">
        <v>2511</v>
      </c>
      <c r="G175" s="72" t="s">
        <v>2512</v>
      </c>
      <c r="H175" s="72" t="s">
        <v>2513</v>
      </c>
      <c r="I175" s="72" t="s">
        <v>13</v>
      </c>
      <c r="J175" s="58"/>
      <c r="K175" s="58"/>
      <c r="L175" s="58"/>
      <c r="M175" s="58"/>
      <c r="N175" s="58"/>
      <c r="O175" s="58"/>
      <c r="P175" s="58"/>
      <c r="Q175" s="58"/>
      <c r="R175" s="58"/>
      <c r="S175" s="58"/>
      <c r="T175" s="58"/>
      <c r="U175" s="58"/>
      <c r="V175" s="58"/>
      <c r="W175" s="58"/>
      <c r="X175" s="58"/>
      <c r="Y175" s="58"/>
      <c r="Z175" s="58"/>
    </row>
    <row r="176">
      <c r="A176" s="85" t="s">
        <v>1385</v>
      </c>
      <c r="B176" s="72" t="s">
        <v>2568</v>
      </c>
      <c r="C176" s="72" t="s">
        <v>2850</v>
      </c>
      <c r="D176" s="72" t="s">
        <v>2509</v>
      </c>
      <c r="E176" s="72" t="s">
        <v>2851</v>
      </c>
      <c r="F176" s="72" t="s">
        <v>2511</v>
      </c>
      <c r="G176" s="72" t="s">
        <v>2512</v>
      </c>
      <c r="H176" s="72" t="s">
        <v>2513</v>
      </c>
      <c r="I176" s="72" t="s">
        <v>13</v>
      </c>
      <c r="J176" s="58"/>
      <c r="K176" s="58"/>
      <c r="L176" s="58"/>
      <c r="M176" s="58"/>
      <c r="N176" s="58"/>
      <c r="O176" s="58"/>
      <c r="P176" s="58"/>
      <c r="Q176" s="58"/>
      <c r="R176" s="58"/>
      <c r="S176" s="58"/>
      <c r="T176" s="58"/>
      <c r="U176" s="58"/>
      <c r="V176" s="58"/>
      <c r="W176" s="58"/>
      <c r="X176" s="58"/>
      <c r="Y176" s="58"/>
      <c r="Z176" s="58"/>
    </row>
    <row r="177">
      <c r="A177" s="85" t="s">
        <v>1387</v>
      </c>
      <c r="B177" s="72" t="s">
        <v>2568</v>
      </c>
      <c r="C177" s="72" t="s">
        <v>2852</v>
      </c>
      <c r="D177" s="72" t="s">
        <v>2509</v>
      </c>
      <c r="E177" s="72" t="s">
        <v>2853</v>
      </c>
      <c r="F177" s="72" t="s">
        <v>2511</v>
      </c>
      <c r="G177" s="72" t="s">
        <v>2512</v>
      </c>
      <c r="H177" s="72" t="s">
        <v>2513</v>
      </c>
      <c r="I177" s="72" t="s">
        <v>13</v>
      </c>
      <c r="J177" s="58"/>
      <c r="K177" s="58"/>
      <c r="L177" s="58"/>
      <c r="M177" s="58"/>
      <c r="N177" s="58"/>
      <c r="O177" s="58"/>
      <c r="P177" s="58"/>
      <c r="Q177" s="58"/>
      <c r="R177" s="58"/>
      <c r="S177" s="58"/>
      <c r="T177" s="58"/>
      <c r="U177" s="58"/>
      <c r="V177" s="58"/>
      <c r="W177" s="58"/>
      <c r="X177" s="58"/>
      <c r="Y177" s="58"/>
      <c r="Z177" s="58"/>
    </row>
    <row r="178">
      <c r="A178" s="85" t="s">
        <v>1389</v>
      </c>
      <c r="B178" s="72" t="s">
        <v>2568</v>
      </c>
      <c r="C178" s="72" t="s">
        <v>2854</v>
      </c>
      <c r="D178" s="72" t="s">
        <v>2509</v>
      </c>
      <c r="E178" s="72" t="s">
        <v>2855</v>
      </c>
      <c r="F178" s="72" t="s">
        <v>2517</v>
      </c>
      <c r="G178" s="72" t="s">
        <v>2657</v>
      </c>
      <c r="H178" s="72" t="s">
        <v>2856</v>
      </c>
      <c r="I178" s="72" t="s">
        <v>13</v>
      </c>
      <c r="J178" s="58"/>
      <c r="K178" s="58"/>
      <c r="L178" s="58"/>
      <c r="M178" s="58"/>
      <c r="N178" s="58"/>
      <c r="O178" s="58"/>
      <c r="P178" s="58"/>
      <c r="Q178" s="58"/>
      <c r="R178" s="58"/>
      <c r="S178" s="58"/>
      <c r="T178" s="58"/>
      <c r="U178" s="58"/>
      <c r="V178" s="58"/>
      <c r="W178" s="58"/>
      <c r="X178" s="58"/>
      <c r="Y178" s="58"/>
      <c r="Z178" s="58"/>
    </row>
    <row r="179">
      <c r="A179" s="85" t="s">
        <v>1391</v>
      </c>
      <c r="B179" s="72" t="s">
        <v>2568</v>
      </c>
      <c r="C179" s="72" t="s">
        <v>2857</v>
      </c>
      <c r="D179" s="72" t="s">
        <v>2520</v>
      </c>
      <c r="E179" s="72" t="s">
        <v>2521</v>
      </c>
      <c r="F179" s="72" t="s">
        <v>2522</v>
      </c>
      <c r="G179" s="72" t="s">
        <v>46</v>
      </c>
      <c r="H179" s="72" t="s">
        <v>2523</v>
      </c>
      <c r="I179" s="72" t="s">
        <v>13</v>
      </c>
      <c r="J179" s="58"/>
      <c r="K179" s="58"/>
      <c r="L179" s="58"/>
      <c r="M179" s="58"/>
      <c r="N179" s="58"/>
      <c r="O179" s="58"/>
      <c r="P179" s="58"/>
      <c r="Q179" s="58"/>
      <c r="R179" s="58"/>
      <c r="S179" s="58"/>
      <c r="T179" s="58"/>
      <c r="U179" s="58"/>
      <c r="V179" s="58"/>
      <c r="W179" s="58"/>
      <c r="X179" s="58"/>
      <c r="Y179" s="58"/>
      <c r="Z179" s="58"/>
    </row>
    <row r="180">
      <c r="A180" s="85" t="s">
        <v>1393</v>
      </c>
      <c r="B180" s="72" t="s">
        <v>2568</v>
      </c>
      <c r="C180" s="72" t="s">
        <v>2858</v>
      </c>
      <c r="D180" s="72" t="s">
        <v>2520</v>
      </c>
      <c r="E180" s="72" t="s">
        <v>2859</v>
      </c>
      <c r="F180" s="72" t="s">
        <v>2661</v>
      </c>
      <c r="G180" s="72" t="s">
        <v>46</v>
      </c>
      <c r="H180" s="72" t="s">
        <v>2662</v>
      </c>
      <c r="I180" s="72" t="s">
        <v>13</v>
      </c>
      <c r="J180" s="58"/>
      <c r="K180" s="58"/>
      <c r="L180" s="58"/>
      <c r="M180" s="58"/>
      <c r="N180" s="58"/>
      <c r="O180" s="58"/>
      <c r="P180" s="58"/>
      <c r="Q180" s="58"/>
      <c r="R180" s="58"/>
      <c r="S180" s="58"/>
      <c r="T180" s="58"/>
      <c r="U180" s="58"/>
      <c r="V180" s="58"/>
      <c r="W180" s="58"/>
      <c r="X180" s="58"/>
      <c r="Y180" s="58"/>
      <c r="Z180" s="58"/>
    </row>
    <row r="181">
      <c r="A181" s="85" t="s">
        <v>1395</v>
      </c>
      <c r="B181" s="72" t="s">
        <v>2568</v>
      </c>
      <c r="C181" s="72" t="s">
        <v>2860</v>
      </c>
      <c r="D181" s="72" t="s">
        <v>2520</v>
      </c>
      <c r="E181" s="72" t="s">
        <v>2861</v>
      </c>
      <c r="F181" s="72" t="s">
        <v>2661</v>
      </c>
      <c r="G181" s="72" t="s">
        <v>46</v>
      </c>
      <c r="H181" s="72" t="s">
        <v>2662</v>
      </c>
      <c r="I181" s="72" t="s">
        <v>13</v>
      </c>
      <c r="J181" s="58"/>
      <c r="K181" s="58"/>
      <c r="L181" s="58"/>
      <c r="M181" s="58"/>
      <c r="N181" s="58"/>
      <c r="O181" s="58"/>
      <c r="P181" s="58"/>
      <c r="Q181" s="58"/>
      <c r="R181" s="58"/>
      <c r="S181" s="58"/>
      <c r="T181" s="58"/>
      <c r="U181" s="58"/>
      <c r="V181" s="58"/>
      <c r="W181" s="58"/>
      <c r="X181" s="58"/>
      <c r="Y181" s="58"/>
      <c r="Z181" s="58"/>
    </row>
    <row r="182">
      <c r="A182" s="85" t="s">
        <v>1397</v>
      </c>
      <c r="B182" s="72" t="s">
        <v>2568</v>
      </c>
      <c r="C182" s="72" t="s">
        <v>2862</v>
      </c>
      <c r="D182" s="72" t="s">
        <v>2520</v>
      </c>
      <c r="E182" s="72" t="s">
        <v>2863</v>
      </c>
      <c r="F182" s="117" t="s">
        <v>2667</v>
      </c>
      <c r="G182" s="72" t="s">
        <v>46</v>
      </c>
      <c r="H182" s="117" t="s">
        <v>2668</v>
      </c>
      <c r="I182" s="72" t="s">
        <v>13</v>
      </c>
      <c r="J182" s="58"/>
      <c r="K182" s="58"/>
      <c r="L182" s="58"/>
      <c r="M182" s="58"/>
      <c r="N182" s="58"/>
      <c r="O182" s="58"/>
      <c r="P182" s="58"/>
      <c r="Q182" s="58"/>
      <c r="R182" s="58"/>
      <c r="S182" s="58"/>
      <c r="T182" s="58"/>
      <c r="U182" s="58"/>
      <c r="V182" s="58"/>
      <c r="W182" s="58"/>
      <c r="X182" s="58"/>
      <c r="Y182" s="58"/>
      <c r="Z182" s="58"/>
    </row>
    <row r="183">
      <c r="A183" s="85" t="s">
        <v>1399</v>
      </c>
      <c r="B183" s="72" t="s">
        <v>2568</v>
      </c>
      <c r="C183" s="72" t="s">
        <v>2864</v>
      </c>
      <c r="D183" s="72" t="s">
        <v>2520</v>
      </c>
      <c r="E183" s="72" t="s">
        <v>2670</v>
      </c>
      <c r="F183" s="72" t="s">
        <v>2671</v>
      </c>
      <c r="G183" s="72" t="s">
        <v>46</v>
      </c>
      <c r="H183" s="72" t="s">
        <v>2672</v>
      </c>
      <c r="I183" s="72" t="s">
        <v>13</v>
      </c>
      <c r="J183" s="58"/>
      <c r="K183" s="58"/>
      <c r="L183" s="58"/>
      <c r="M183" s="58"/>
      <c r="N183" s="58"/>
      <c r="O183" s="58"/>
      <c r="P183" s="58"/>
      <c r="Q183" s="58"/>
      <c r="R183" s="58"/>
      <c r="S183" s="58"/>
      <c r="T183" s="58"/>
      <c r="U183" s="58"/>
      <c r="V183" s="58"/>
      <c r="W183" s="58"/>
      <c r="X183" s="58"/>
      <c r="Y183" s="58"/>
      <c r="Z183" s="58"/>
    </row>
    <row r="184">
      <c r="A184" s="85" t="s">
        <v>1401</v>
      </c>
      <c r="B184" s="72" t="s">
        <v>2568</v>
      </c>
      <c r="C184" s="72" t="s">
        <v>2865</v>
      </c>
      <c r="D184" s="72" t="s">
        <v>2520</v>
      </c>
      <c r="E184" s="72" t="s">
        <v>2866</v>
      </c>
      <c r="F184" s="72" t="s">
        <v>2675</v>
      </c>
      <c r="G184" s="72" t="s">
        <v>2676</v>
      </c>
      <c r="H184" s="72" t="s">
        <v>2662</v>
      </c>
      <c r="I184" s="72" t="s">
        <v>13</v>
      </c>
      <c r="J184" s="58"/>
      <c r="K184" s="58"/>
      <c r="L184" s="58"/>
      <c r="M184" s="58"/>
      <c r="N184" s="58"/>
      <c r="O184" s="58"/>
      <c r="P184" s="58"/>
      <c r="Q184" s="58"/>
      <c r="R184" s="58"/>
      <c r="S184" s="58"/>
      <c r="T184" s="58"/>
      <c r="U184" s="58"/>
      <c r="V184" s="58"/>
      <c r="W184" s="58"/>
      <c r="X184" s="58"/>
      <c r="Y184" s="58"/>
      <c r="Z184" s="58"/>
    </row>
    <row r="185">
      <c r="A185" s="85" t="s">
        <v>1403</v>
      </c>
      <c r="B185" s="72" t="s">
        <v>2568</v>
      </c>
      <c r="C185" s="72" t="s">
        <v>2867</v>
      </c>
      <c r="D185" s="72" t="s">
        <v>2520</v>
      </c>
      <c r="E185" s="72" t="s">
        <v>2868</v>
      </c>
      <c r="F185" s="72" t="s">
        <v>2680</v>
      </c>
      <c r="G185" s="72" t="s">
        <v>2681</v>
      </c>
      <c r="H185" s="72" t="s">
        <v>2682</v>
      </c>
      <c r="I185" s="72" t="s">
        <v>13</v>
      </c>
      <c r="J185" s="58"/>
      <c r="K185" s="58"/>
      <c r="L185" s="58"/>
      <c r="M185" s="58"/>
      <c r="N185" s="58"/>
      <c r="O185" s="58"/>
      <c r="P185" s="58"/>
      <c r="Q185" s="58"/>
      <c r="R185" s="58"/>
      <c r="S185" s="58"/>
      <c r="T185" s="58"/>
      <c r="U185" s="58"/>
      <c r="V185" s="58"/>
      <c r="W185" s="58"/>
      <c r="X185" s="58"/>
      <c r="Y185" s="58"/>
      <c r="Z185" s="58"/>
    </row>
    <row r="186">
      <c r="A186" s="85" t="s">
        <v>1405</v>
      </c>
      <c r="B186" s="72" t="s">
        <v>2568</v>
      </c>
      <c r="C186" s="72" t="s">
        <v>2869</v>
      </c>
      <c r="D186" s="72" t="s">
        <v>2520</v>
      </c>
      <c r="E186" s="72" t="s">
        <v>2870</v>
      </c>
      <c r="F186" s="72" t="s">
        <v>2685</v>
      </c>
      <c r="G186" s="72" t="s">
        <v>46</v>
      </c>
      <c r="H186" s="72" t="s">
        <v>2686</v>
      </c>
      <c r="I186" s="72" t="s">
        <v>13</v>
      </c>
      <c r="J186" s="58"/>
      <c r="K186" s="58"/>
      <c r="L186" s="58"/>
      <c r="M186" s="58"/>
      <c r="N186" s="58"/>
      <c r="O186" s="58"/>
      <c r="P186" s="58"/>
      <c r="Q186" s="58"/>
      <c r="R186" s="58"/>
      <c r="S186" s="58"/>
      <c r="T186" s="58"/>
      <c r="U186" s="58"/>
      <c r="V186" s="58"/>
      <c r="W186" s="58"/>
      <c r="X186" s="58"/>
      <c r="Y186" s="58"/>
      <c r="Z186" s="58"/>
    </row>
    <row r="187">
      <c r="A187" s="85" t="s">
        <v>1407</v>
      </c>
      <c r="B187" s="72" t="s">
        <v>2568</v>
      </c>
      <c r="C187" s="72" t="s">
        <v>2871</v>
      </c>
      <c r="D187" s="72" t="s">
        <v>2520</v>
      </c>
      <c r="E187" s="72" t="s">
        <v>2688</v>
      </c>
      <c r="F187" s="72" t="s">
        <v>2689</v>
      </c>
      <c r="G187" s="72" t="s">
        <v>2690</v>
      </c>
      <c r="H187" s="72" t="s">
        <v>2872</v>
      </c>
      <c r="I187" s="72" t="s">
        <v>13</v>
      </c>
      <c r="J187" s="58"/>
      <c r="K187" s="58"/>
      <c r="L187" s="58"/>
      <c r="M187" s="58"/>
      <c r="N187" s="58"/>
      <c r="O187" s="58"/>
      <c r="P187" s="58"/>
      <c r="Q187" s="58"/>
      <c r="R187" s="58"/>
      <c r="S187" s="58"/>
      <c r="T187" s="58"/>
      <c r="U187" s="58"/>
      <c r="V187" s="58"/>
      <c r="W187" s="58"/>
      <c r="X187" s="58"/>
      <c r="Y187" s="58"/>
      <c r="Z187" s="58"/>
    </row>
    <row r="188">
      <c r="A188" s="85" t="s">
        <v>1409</v>
      </c>
      <c r="B188" s="72" t="s">
        <v>2568</v>
      </c>
      <c r="C188" s="72" t="s">
        <v>2873</v>
      </c>
      <c r="D188" s="72" t="s">
        <v>2520</v>
      </c>
      <c r="E188" s="72" t="s">
        <v>2874</v>
      </c>
      <c r="F188" s="72" t="s">
        <v>2694</v>
      </c>
      <c r="G188" s="72" t="s">
        <v>46</v>
      </c>
      <c r="H188" s="72" t="s">
        <v>2695</v>
      </c>
      <c r="I188" s="72" t="s">
        <v>13</v>
      </c>
      <c r="J188" s="58"/>
      <c r="K188" s="58"/>
      <c r="L188" s="58"/>
      <c r="M188" s="58"/>
      <c r="N188" s="58"/>
      <c r="O188" s="58"/>
      <c r="P188" s="58"/>
      <c r="Q188" s="58"/>
      <c r="R188" s="58"/>
      <c r="S188" s="58"/>
      <c r="T188" s="58"/>
      <c r="U188" s="58"/>
      <c r="V188" s="58"/>
      <c r="W188" s="58"/>
      <c r="X188" s="58"/>
      <c r="Y188" s="58"/>
      <c r="Z188" s="58"/>
    </row>
    <row r="189">
      <c r="A189" s="85" t="s">
        <v>1411</v>
      </c>
      <c r="B189" s="72" t="s">
        <v>2568</v>
      </c>
      <c r="C189" s="72" t="s">
        <v>2875</v>
      </c>
      <c r="D189" s="72" t="s">
        <v>2520</v>
      </c>
      <c r="E189" s="72" t="s">
        <v>2876</v>
      </c>
      <c r="F189" s="72" t="s">
        <v>2698</v>
      </c>
      <c r="G189" s="72" t="s">
        <v>46</v>
      </c>
      <c r="H189" s="72" t="s">
        <v>2699</v>
      </c>
      <c r="I189" s="72" t="s">
        <v>13</v>
      </c>
      <c r="J189" s="58"/>
      <c r="K189" s="58"/>
      <c r="L189" s="58"/>
      <c r="M189" s="58"/>
      <c r="N189" s="58"/>
      <c r="O189" s="58"/>
      <c r="P189" s="58"/>
      <c r="Q189" s="58"/>
      <c r="R189" s="58"/>
      <c r="S189" s="58"/>
      <c r="T189" s="58"/>
      <c r="U189" s="58"/>
      <c r="V189" s="58"/>
      <c r="W189" s="58"/>
      <c r="X189" s="58"/>
      <c r="Y189" s="58"/>
      <c r="Z189" s="58"/>
    </row>
    <row r="190">
      <c r="A190" s="85" t="s">
        <v>1413</v>
      </c>
      <c r="B190" s="72" t="s">
        <v>2568</v>
      </c>
      <c r="C190" s="72" t="s">
        <v>2877</v>
      </c>
      <c r="D190" s="72" t="s">
        <v>2520</v>
      </c>
      <c r="E190" s="72" t="s">
        <v>2701</v>
      </c>
      <c r="F190" s="72" t="s">
        <v>2702</v>
      </c>
      <c r="G190" s="72" t="s">
        <v>46</v>
      </c>
      <c r="H190" s="72" t="s">
        <v>2703</v>
      </c>
      <c r="I190" s="72" t="s">
        <v>13</v>
      </c>
      <c r="J190" s="58"/>
      <c r="K190" s="58"/>
      <c r="L190" s="58"/>
      <c r="M190" s="58"/>
      <c r="N190" s="58"/>
      <c r="O190" s="58"/>
      <c r="P190" s="58"/>
      <c r="Q190" s="58"/>
      <c r="R190" s="58"/>
      <c r="S190" s="58"/>
      <c r="T190" s="58"/>
      <c r="U190" s="58"/>
      <c r="V190" s="58"/>
      <c r="W190" s="58"/>
      <c r="X190" s="58"/>
      <c r="Y190" s="58"/>
      <c r="Z190" s="58"/>
    </row>
    <row r="191">
      <c r="A191" s="85" t="s">
        <v>1415</v>
      </c>
      <c r="B191" s="72" t="s">
        <v>2568</v>
      </c>
      <c r="C191" s="72" t="s">
        <v>2878</v>
      </c>
      <c r="D191" s="72" t="s">
        <v>2520</v>
      </c>
      <c r="E191" s="72" t="s">
        <v>2879</v>
      </c>
      <c r="F191" s="72" t="s">
        <v>2706</v>
      </c>
      <c r="G191" s="72" t="s">
        <v>2707</v>
      </c>
      <c r="H191" s="72" t="s">
        <v>2708</v>
      </c>
      <c r="I191" s="72" t="s">
        <v>13</v>
      </c>
      <c r="J191" s="58"/>
      <c r="K191" s="58"/>
      <c r="L191" s="58"/>
      <c r="M191" s="58"/>
      <c r="N191" s="58"/>
      <c r="O191" s="58"/>
      <c r="P191" s="58"/>
      <c r="Q191" s="58"/>
      <c r="R191" s="58"/>
      <c r="S191" s="58"/>
      <c r="T191" s="58"/>
      <c r="U191" s="58"/>
      <c r="V191" s="58"/>
      <c r="W191" s="58"/>
      <c r="X191" s="58"/>
      <c r="Y191" s="58"/>
      <c r="Z191" s="58"/>
    </row>
    <row r="192">
      <c r="A192" s="85" t="s">
        <v>1417</v>
      </c>
      <c r="B192" s="72" t="s">
        <v>2568</v>
      </c>
      <c r="C192" s="72" t="s">
        <v>2880</v>
      </c>
      <c r="D192" s="72" t="s">
        <v>2520</v>
      </c>
      <c r="E192" s="72" t="s">
        <v>2881</v>
      </c>
      <c r="F192" s="72" t="s">
        <v>2711</v>
      </c>
      <c r="G192" s="72" t="s">
        <v>2712</v>
      </c>
      <c r="H192" s="72" t="s">
        <v>2713</v>
      </c>
      <c r="I192" s="72" t="s">
        <v>13</v>
      </c>
      <c r="J192" s="58"/>
      <c r="K192" s="58"/>
      <c r="L192" s="58"/>
      <c r="M192" s="58"/>
      <c r="N192" s="58"/>
      <c r="O192" s="58"/>
      <c r="P192" s="58"/>
      <c r="Q192" s="58"/>
      <c r="R192" s="58"/>
      <c r="S192" s="58"/>
      <c r="T192" s="58"/>
      <c r="U192" s="58"/>
      <c r="V192" s="58"/>
      <c r="W192" s="58"/>
      <c r="X192" s="58"/>
      <c r="Y192" s="58"/>
      <c r="Z192" s="58"/>
    </row>
    <row r="193">
      <c r="A193" s="85" t="s">
        <v>1419</v>
      </c>
      <c r="B193" s="72" t="s">
        <v>2568</v>
      </c>
      <c r="C193" s="72" t="s">
        <v>2882</v>
      </c>
      <c r="D193" s="72" t="s">
        <v>2520</v>
      </c>
      <c r="E193" s="72" t="s">
        <v>2883</v>
      </c>
      <c r="F193" s="72" t="s">
        <v>2716</v>
      </c>
      <c r="G193" s="72" t="s">
        <v>46</v>
      </c>
      <c r="H193" s="72" t="s">
        <v>2716</v>
      </c>
      <c r="I193" s="72" t="s">
        <v>13</v>
      </c>
      <c r="J193" s="58"/>
      <c r="K193" s="58"/>
      <c r="L193" s="58"/>
      <c r="M193" s="58"/>
      <c r="N193" s="58"/>
      <c r="O193" s="58"/>
      <c r="P193" s="58"/>
      <c r="Q193" s="58"/>
      <c r="R193" s="58"/>
      <c r="S193" s="58"/>
      <c r="T193" s="58"/>
      <c r="U193" s="58"/>
      <c r="V193" s="58"/>
      <c r="W193" s="58"/>
      <c r="X193" s="58"/>
      <c r="Y193" s="58"/>
      <c r="Z193" s="58"/>
    </row>
    <row r="194">
      <c r="A194" s="85" t="s">
        <v>1421</v>
      </c>
      <c r="B194" s="72" t="s">
        <v>2568</v>
      </c>
      <c r="C194" s="72" t="s">
        <v>2884</v>
      </c>
      <c r="D194" s="72" t="s">
        <v>2520</v>
      </c>
      <c r="E194" s="72" t="s">
        <v>2885</v>
      </c>
      <c r="F194" s="72" t="s">
        <v>2526</v>
      </c>
      <c r="G194" s="72" t="s">
        <v>2527</v>
      </c>
      <c r="H194" s="72" t="s">
        <v>2528</v>
      </c>
      <c r="I194" s="72" t="s">
        <v>13</v>
      </c>
      <c r="J194" s="58"/>
      <c r="K194" s="58"/>
      <c r="L194" s="58"/>
      <c r="M194" s="58"/>
      <c r="N194" s="58"/>
      <c r="O194" s="58"/>
      <c r="P194" s="58"/>
      <c r="Q194" s="58"/>
      <c r="R194" s="58"/>
      <c r="S194" s="58"/>
      <c r="T194" s="58"/>
      <c r="U194" s="58"/>
      <c r="V194" s="58"/>
      <c r="W194" s="58"/>
      <c r="X194" s="58"/>
      <c r="Y194" s="58"/>
      <c r="Z194" s="58"/>
    </row>
    <row r="195">
      <c r="A195" s="85" t="s">
        <v>1423</v>
      </c>
      <c r="B195" s="72" t="s">
        <v>2568</v>
      </c>
      <c r="C195" s="72" t="s">
        <v>2886</v>
      </c>
      <c r="D195" s="72" t="s">
        <v>2520</v>
      </c>
      <c r="E195" s="72" t="s">
        <v>2887</v>
      </c>
      <c r="F195" s="72" t="s">
        <v>2530</v>
      </c>
      <c r="G195" s="72" t="s">
        <v>2527</v>
      </c>
      <c r="H195" s="72" t="s">
        <v>2531</v>
      </c>
      <c r="I195" s="72" t="s">
        <v>13</v>
      </c>
      <c r="J195" s="58"/>
      <c r="K195" s="58"/>
      <c r="L195" s="58"/>
      <c r="M195" s="58"/>
      <c r="N195" s="58"/>
      <c r="O195" s="58"/>
      <c r="P195" s="58"/>
      <c r="Q195" s="58"/>
      <c r="R195" s="58"/>
      <c r="S195" s="58"/>
      <c r="T195" s="58"/>
      <c r="U195" s="58"/>
      <c r="V195" s="58"/>
      <c r="W195" s="58"/>
      <c r="X195" s="58"/>
      <c r="Y195" s="58"/>
      <c r="Z195" s="58"/>
    </row>
    <row r="196">
      <c r="A196" s="85" t="s">
        <v>1424</v>
      </c>
      <c r="B196" s="72" t="s">
        <v>2568</v>
      </c>
      <c r="C196" s="72" t="s">
        <v>2888</v>
      </c>
      <c r="D196" s="72" t="s">
        <v>2520</v>
      </c>
      <c r="E196" s="72" t="s">
        <v>2889</v>
      </c>
      <c r="F196" s="72" t="s">
        <v>2533</v>
      </c>
      <c r="G196" s="72" t="s">
        <v>2527</v>
      </c>
      <c r="H196" s="72" t="s">
        <v>2534</v>
      </c>
      <c r="I196" s="72" t="s">
        <v>13</v>
      </c>
      <c r="J196" s="58"/>
      <c r="K196" s="58"/>
      <c r="L196" s="58"/>
      <c r="M196" s="58"/>
      <c r="N196" s="58"/>
      <c r="O196" s="58"/>
      <c r="P196" s="58"/>
      <c r="Q196" s="58"/>
      <c r="R196" s="58"/>
      <c r="S196" s="58"/>
      <c r="T196" s="58"/>
      <c r="U196" s="58"/>
      <c r="V196" s="58"/>
      <c r="W196" s="58"/>
      <c r="X196" s="58"/>
      <c r="Y196" s="58"/>
      <c r="Z196" s="58"/>
    </row>
    <row r="197">
      <c r="A197" s="85" t="s">
        <v>1426</v>
      </c>
      <c r="B197" s="72" t="s">
        <v>2568</v>
      </c>
      <c r="C197" s="72" t="s">
        <v>2890</v>
      </c>
      <c r="D197" s="72" t="s">
        <v>2520</v>
      </c>
      <c r="E197" s="72" t="s">
        <v>2891</v>
      </c>
      <c r="F197" s="72" t="s">
        <v>2536</v>
      </c>
      <c r="G197" s="72" t="s">
        <v>46</v>
      </c>
      <c r="H197" s="72" t="s">
        <v>2537</v>
      </c>
      <c r="I197" s="72" t="s">
        <v>13</v>
      </c>
      <c r="J197" s="58"/>
      <c r="K197" s="58"/>
      <c r="L197" s="58"/>
      <c r="M197" s="58"/>
      <c r="N197" s="58"/>
      <c r="O197" s="58"/>
      <c r="P197" s="58"/>
      <c r="Q197" s="58"/>
      <c r="R197" s="58"/>
      <c r="S197" s="58"/>
      <c r="T197" s="58"/>
      <c r="U197" s="58"/>
      <c r="V197" s="58"/>
      <c r="W197" s="58"/>
      <c r="X197" s="58"/>
      <c r="Y197" s="58"/>
      <c r="Z197" s="58"/>
    </row>
    <row r="198">
      <c r="A198" s="85" t="s">
        <v>1428</v>
      </c>
      <c r="B198" s="72" t="s">
        <v>2568</v>
      </c>
      <c r="C198" s="72" t="s">
        <v>2892</v>
      </c>
      <c r="D198" s="72" t="s">
        <v>2520</v>
      </c>
      <c r="E198" s="72" t="s">
        <v>2893</v>
      </c>
      <c r="F198" s="72" t="s">
        <v>2539</v>
      </c>
      <c r="G198" s="72" t="s">
        <v>46</v>
      </c>
      <c r="H198" s="72" t="s">
        <v>2540</v>
      </c>
      <c r="I198" s="72" t="s">
        <v>13</v>
      </c>
      <c r="J198" s="58"/>
      <c r="K198" s="58"/>
      <c r="L198" s="58"/>
      <c r="M198" s="58"/>
      <c r="N198" s="58"/>
      <c r="O198" s="58"/>
      <c r="P198" s="58"/>
      <c r="Q198" s="58"/>
      <c r="R198" s="58"/>
      <c r="S198" s="58"/>
      <c r="T198" s="58"/>
      <c r="U198" s="58"/>
      <c r="V198" s="58"/>
      <c r="W198" s="58"/>
      <c r="X198" s="58"/>
      <c r="Y198" s="58"/>
      <c r="Z198" s="58"/>
    </row>
    <row r="199">
      <c r="A199" s="85" t="s">
        <v>1430</v>
      </c>
      <c r="B199" s="72" t="s">
        <v>2568</v>
      </c>
      <c r="C199" s="72" t="s">
        <v>2894</v>
      </c>
      <c r="D199" s="72" t="s">
        <v>2520</v>
      </c>
      <c r="E199" s="72" t="s">
        <v>2728</v>
      </c>
      <c r="F199" s="72" t="s">
        <v>2729</v>
      </c>
      <c r="G199" s="72" t="s">
        <v>2730</v>
      </c>
      <c r="H199" s="72" t="s">
        <v>2731</v>
      </c>
      <c r="I199" s="72" t="s">
        <v>13</v>
      </c>
      <c r="J199" s="58"/>
      <c r="K199" s="58"/>
      <c r="L199" s="58"/>
      <c r="M199" s="58"/>
      <c r="N199" s="58"/>
      <c r="O199" s="58"/>
      <c r="P199" s="58"/>
      <c r="Q199" s="58"/>
      <c r="R199" s="58"/>
      <c r="S199" s="58"/>
      <c r="T199" s="58"/>
      <c r="U199" s="58"/>
      <c r="V199" s="58"/>
      <c r="W199" s="58"/>
      <c r="X199" s="58"/>
      <c r="Y199" s="58"/>
      <c r="Z199" s="58"/>
    </row>
    <row r="200">
      <c r="A200" s="85" t="s">
        <v>1432</v>
      </c>
      <c r="B200" s="72" t="s">
        <v>2568</v>
      </c>
      <c r="C200" s="72" t="s">
        <v>2895</v>
      </c>
      <c r="D200" s="72" t="s">
        <v>2520</v>
      </c>
      <c r="E200" s="72" t="s">
        <v>2896</v>
      </c>
      <c r="F200" s="72" t="s">
        <v>2734</v>
      </c>
      <c r="G200" s="72" t="s">
        <v>2730</v>
      </c>
      <c r="H200" s="72" t="s">
        <v>2735</v>
      </c>
      <c r="I200" s="72" t="s">
        <v>13</v>
      </c>
      <c r="J200" s="58"/>
      <c r="K200" s="58"/>
      <c r="L200" s="58"/>
      <c r="M200" s="58"/>
      <c r="N200" s="58"/>
      <c r="O200" s="58"/>
      <c r="P200" s="58"/>
      <c r="Q200" s="58"/>
      <c r="R200" s="58"/>
      <c r="S200" s="58"/>
      <c r="T200" s="58"/>
      <c r="U200" s="58"/>
      <c r="V200" s="58"/>
      <c r="W200" s="58"/>
      <c r="X200" s="58"/>
      <c r="Y200" s="58"/>
      <c r="Z200" s="58"/>
    </row>
    <row r="201">
      <c r="A201" s="85" t="s">
        <v>1434</v>
      </c>
      <c r="B201" s="72" t="s">
        <v>2568</v>
      </c>
      <c r="C201" s="72" t="s">
        <v>2897</v>
      </c>
      <c r="D201" s="72" t="s">
        <v>2520</v>
      </c>
      <c r="E201" s="72" t="s">
        <v>2898</v>
      </c>
      <c r="F201" s="72" t="s">
        <v>2734</v>
      </c>
      <c r="G201" s="72" t="s">
        <v>2730</v>
      </c>
      <c r="H201" s="72" t="s">
        <v>2738</v>
      </c>
      <c r="I201" s="72" t="s">
        <v>13</v>
      </c>
      <c r="J201" s="58"/>
      <c r="K201" s="58"/>
      <c r="L201" s="58"/>
      <c r="M201" s="58"/>
      <c r="N201" s="58"/>
      <c r="O201" s="58"/>
      <c r="P201" s="58"/>
      <c r="Q201" s="58"/>
      <c r="R201" s="58"/>
      <c r="S201" s="58"/>
      <c r="T201" s="58"/>
      <c r="U201" s="58"/>
      <c r="V201" s="58"/>
      <c r="W201" s="58"/>
      <c r="X201" s="58"/>
      <c r="Y201" s="58"/>
      <c r="Z201" s="58"/>
    </row>
    <row r="202">
      <c r="A202" s="85" t="s">
        <v>1435</v>
      </c>
      <c r="B202" s="72" t="s">
        <v>2568</v>
      </c>
      <c r="C202" s="72" t="s">
        <v>2899</v>
      </c>
      <c r="D202" s="72" t="s">
        <v>2520</v>
      </c>
      <c r="E202" s="72" t="s">
        <v>2900</v>
      </c>
      <c r="F202" s="72" t="s">
        <v>2734</v>
      </c>
      <c r="G202" s="72" t="s">
        <v>2730</v>
      </c>
      <c r="H202" s="72" t="s">
        <v>2741</v>
      </c>
      <c r="I202" s="72" t="s">
        <v>13</v>
      </c>
      <c r="J202" s="58"/>
      <c r="K202" s="58"/>
      <c r="L202" s="58"/>
      <c r="M202" s="58"/>
      <c r="N202" s="58"/>
      <c r="O202" s="58"/>
      <c r="P202" s="58"/>
      <c r="Q202" s="58"/>
      <c r="R202" s="58"/>
      <c r="S202" s="58"/>
      <c r="T202" s="58"/>
      <c r="U202" s="58"/>
      <c r="V202" s="58"/>
      <c r="W202" s="58"/>
      <c r="X202" s="58"/>
      <c r="Y202" s="58"/>
      <c r="Z202" s="58"/>
    </row>
    <row r="203">
      <c r="A203" s="85" t="s">
        <v>1437</v>
      </c>
      <c r="B203" s="72" t="s">
        <v>2568</v>
      </c>
      <c r="C203" s="72" t="s">
        <v>2901</v>
      </c>
      <c r="D203" s="72" t="s">
        <v>2520</v>
      </c>
      <c r="E203" s="72" t="s">
        <v>2542</v>
      </c>
      <c r="F203" s="72" t="s">
        <v>2543</v>
      </c>
      <c r="G203" s="72" t="s">
        <v>46</v>
      </c>
      <c r="H203" s="72" t="s">
        <v>2544</v>
      </c>
      <c r="I203" s="72" t="s">
        <v>13</v>
      </c>
      <c r="J203" s="58"/>
      <c r="K203" s="58"/>
      <c r="L203" s="58"/>
      <c r="M203" s="58"/>
      <c r="N203" s="58"/>
      <c r="O203" s="58"/>
      <c r="P203" s="58"/>
      <c r="Q203" s="58"/>
      <c r="R203" s="58"/>
      <c r="S203" s="58"/>
      <c r="T203" s="58"/>
      <c r="U203" s="58"/>
      <c r="V203" s="58"/>
      <c r="W203" s="58"/>
      <c r="X203" s="58"/>
      <c r="Y203" s="58"/>
      <c r="Z203" s="58"/>
    </row>
    <row r="204">
      <c r="A204" s="85" t="s">
        <v>1439</v>
      </c>
      <c r="B204" s="72" t="s">
        <v>2568</v>
      </c>
      <c r="C204" s="72" t="s">
        <v>2902</v>
      </c>
      <c r="D204" s="72" t="s">
        <v>2520</v>
      </c>
      <c r="E204" s="72" t="s">
        <v>2545</v>
      </c>
      <c r="F204" s="72" t="s">
        <v>2546</v>
      </c>
      <c r="G204" s="72" t="s">
        <v>46</v>
      </c>
      <c r="H204" s="72" t="s">
        <v>2547</v>
      </c>
      <c r="I204" s="72" t="s">
        <v>13</v>
      </c>
      <c r="J204" s="58"/>
      <c r="K204" s="58"/>
      <c r="L204" s="58"/>
      <c r="M204" s="58"/>
      <c r="N204" s="58"/>
      <c r="O204" s="58"/>
      <c r="P204" s="58"/>
      <c r="Q204" s="58"/>
      <c r="R204" s="58"/>
      <c r="S204" s="58"/>
      <c r="T204" s="58"/>
      <c r="U204" s="58"/>
      <c r="V204" s="58"/>
      <c r="W204" s="58"/>
      <c r="X204" s="58"/>
      <c r="Y204" s="58"/>
      <c r="Z204" s="58"/>
    </row>
    <row r="205">
      <c r="A205" s="85" t="s">
        <v>1440</v>
      </c>
      <c r="B205" s="72" t="s">
        <v>2568</v>
      </c>
      <c r="C205" s="72" t="s">
        <v>2903</v>
      </c>
      <c r="D205" s="72" t="s">
        <v>2520</v>
      </c>
      <c r="E205" s="72" t="s">
        <v>2549</v>
      </c>
      <c r="F205" s="72" t="s">
        <v>2550</v>
      </c>
      <c r="G205" s="72" t="s">
        <v>2904</v>
      </c>
      <c r="H205" s="72" t="s">
        <v>2905</v>
      </c>
      <c r="I205" s="72" t="s">
        <v>13</v>
      </c>
      <c r="J205" s="58"/>
      <c r="K205" s="58"/>
      <c r="L205" s="58"/>
      <c r="M205" s="58"/>
      <c r="N205" s="58"/>
      <c r="O205" s="58"/>
      <c r="P205" s="58"/>
      <c r="Q205" s="58"/>
      <c r="R205" s="58"/>
      <c r="S205" s="58"/>
      <c r="T205" s="58"/>
      <c r="U205" s="58"/>
      <c r="V205" s="58"/>
      <c r="W205" s="58"/>
      <c r="X205" s="58"/>
      <c r="Y205" s="58"/>
      <c r="Z205" s="58"/>
    </row>
    <row r="206">
      <c r="A206" s="85" t="s">
        <v>1441</v>
      </c>
      <c r="B206" s="72" t="s">
        <v>2568</v>
      </c>
      <c r="C206" s="72" t="s">
        <v>2906</v>
      </c>
      <c r="D206" s="72" t="s">
        <v>2520</v>
      </c>
      <c r="E206" s="72" t="s">
        <v>2907</v>
      </c>
      <c r="F206" s="72" t="s">
        <v>2747</v>
      </c>
      <c r="G206" s="72" t="s">
        <v>46</v>
      </c>
      <c r="H206" s="72" t="s">
        <v>2748</v>
      </c>
      <c r="I206" s="72" t="s">
        <v>13</v>
      </c>
      <c r="J206" s="58"/>
      <c r="K206" s="58"/>
      <c r="L206" s="58"/>
      <c r="M206" s="58"/>
      <c r="N206" s="58"/>
      <c r="O206" s="58"/>
      <c r="P206" s="58"/>
      <c r="Q206" s="58"/>
      <c r="R206" s="58"/>
      <c r="S206" s="58"/>
      <c r="T206" s="58"/>
      <c r="U206" s="58"/>
      <c r="V206" s="58"/>
      <c r="W206" s="58"/>
      <c r="X206" s="58"/>
      <c r="Y206" s="58"/>
      <c r="Z206" s="58"/>
    </row>
    <row r="207">
      <c r="A207" s="85" t="s">
        <v>1443</v>
      </c>
      <c r="B207" s="72" t="s">
        <v>2568</v>
      </c>
      <c r="C207" s="72" t="s">
        <v>2908</v>
      </c>
      <c r="D207" s="72" t="s">
        <v>2520</v>
      </c>
      <c r="E207" s="72" t="s">
        <v>2909</v>
      </c>
      <c r="F207" s="72" t="s">
        <v>2751</v>
      </c>
      <c r="G207" s="72" t="s">
        <v>46</v>
      </c>
      <c r="H207" s="72" t="s">
        <v>1982</v>
      </c>
      <c r="I207" s="72" t="s">
        <v>13</v>
      </c>
      <c r="J207" s="58"/>
      <c r="K207" s="58"/>
      <c r="L207" s="58"/>
      <c r="M207" s="58"/>
      <c r="N207" s="58"/>
      <c r="O207" s="58"/>
      <c r="P207" s="58"/>
      <c r="Q207" s="58"/>
      <c r="R207" s="58"/>
      <c r="S207" s="58"/>
      <c r="T207" s="58"/>
      <c r="U207" s="58"/>
      <c r="V207" s="58"/>
      <c r="W207" s="58"/>
      <c r="X207" s="58"/>
      <c r="Y207" s="58"/>
      <c r="Z207" s="58"/>
    </row>
    <row r="208">
      <c r="A208" s="85" t="s">
        <v>1444</v>
      </c>
      <c r="B208" s="72" t="s">
        <v>2568</v>
      </c>
      <c r="C208" s="72" t="s">
        <v>2910</v>
      </c>
      <c r="D208" s="72" t="s">
        <v>2520</v>
      </c>
      <c r="E208" s="72" t="s">
        <v>2911</v>
      </c>
      <c r="F208" s="72" t="s">
        <v>2755</v>
      </c>
      <c r="G208" s="72" t="s">
        <v>46</v>
      </c>
      <c r="H208" s="72" t="s">
        <v>2756</v>
      </c>
      <c r="I208" s="72" t="s">
        <v>13</v>
      </c>
      <c r="J208" s="58"/>
      <c r="K208" s="58"/>
      <c r="L208" s="58"/>
      <c r="M208" s="58"/>
      <c r="N208" s="58"/>
      <c r="O208" s="58"/>
      <c r="P208" s="58"/>
      <c r="Q208" s="58"/>
      <c r="R208" s="58"/>
      <c r="S208" s="58"/>
      <c r="T208" s="58"/>
      <c r="U208" s="58"/>
      <c r="V208" s="58"/>
      <c r="W208" s="58"/>
      <c r="X208" s="58"/>
      <c r="Y208" s="58"/>
      <c r="Z208" s="58"/>
    </row>
    <row r="209">
      <c r="A209" s="85" t="s">
        <v>1445</v>
      </c>
      <c r="B209" s="72" t="s">
        <v>2568</v>
      </c>
      <c r="C209" s="72" t="s">
        <v>2912</v>
      </c>
      <c r="D209" s="72" t="s">
        <v>2520</v>
      </c>
      <c r="E209" s="72" t="s">
        <v>2913</v>
      </c>
      <c r="F209" s="72" t="s">
        <v>2759</v>
      </c>
      <c r="G209" s="72" t="s">
        <v>46</v>
      </c>
      <c r="H209" s="72" t="s">
        <v>2759</v>
      </c>
      <c r="I209" s="72" t="s">
        <v>13</v>
      </c>
      <c r="J209" s="58"/>
      <c r="K209" s="58"/>
      <c r="L209" s="58"/>
      <c r="M209" s="58"/>
      <c r="N209" s="58"/>
      <c r="O209" s="58"/>
      <c r="P209" s="58"/>
      <c r="Q209" s="58"/>
      <c r="R209" s="58"/>
      <c r="S209" s="58"/>
      <c r="T209" s="58"/>
      <c r="U209" s="58"/>
      <c r="V209" s="58"/>
      <c r="W209" s="58"/>
      <c r="X209" s="58"/>
      <c r="Y209" s="58"/>
      <c r="Z209" s="58"/>
    </row>
    <row r="210">
      <c r="A210" s="85" t="s">
        <v>1446</v>
      </c>
      <c r="B210" s="72" t="s">
        <v>2568</v>
      </c>
      <c r="C210" s="72" t="s">
        <v>2914</v>
      </c>
      <c r="D210" s="72" t="s">
        <v>2520</v>
      </c>
      <c r="E210" s="72" t="s">
        <v>2761</v>
      </c>
      <c r="F210" s="72" t="s">
        <v>2762</v>
      </c>
      <c r="G210" s="72" t="s">
        <v>2763</v>
      </c>
      <c r="H210" s="72" t="s">
        <v>2764</v>
      </c>
      <c r="I210" s="72" t="s">
        <v>13</v>
      </c>
      <c r="J210" s="58"/>
      <c r="K210" s="58"/>
      <c r="L210" s="58"/>
      <c r="M210" s="58"/>
      <c r="N210" s="58"/>
      <c r="O210" s="58"/>
      <c r="P210" s="58"/>
      <c r="Q210" s="58"/>
      <c r="R210" s="58"/>
      <c r="S210" s="58"/>
      <c r="T210" s="58"/>
      <c r="U210" s="58"/>
      <c r="V210" s="58"/>
      <c r="W210" s="58"/>
      <c r="X210" s="58"/>
      <c r="Y210" s="58"/>
      <c r="Z210" s="58"/>
    </row>
    <row r="211">
      <c r="A211" s="85" t="s">
        <v>1447</v>
      </c>
      <c r="B211" s="72" t="s">
        <v>2568</v>
      </c>
      <c r="C211" s="72" t="s">
        <v>2915</v>
      </c>
      <c r="D211" s="72" t="s">
        <v>2520</v>
      </c>
      <c r="E211" s="72" t="s">
        <v>2766</v>
      </c>
      <c r="F211" s="72" t="s">
        <v>2767</v>
      </c>
      <c r="G211" s="72" t="s">
        <v>46</v>
      </c>
      <c r="H211" s="72" t="s">
        <v>2767</v>
      </c>
      <c r="I211" s="72" t="s">
        <v>13</v>
      </c>
      <c r="J211" s="58"/>
      <c r="K211" s="58"/>
      <c r="L211" s="58"/>
      <c r="M211" s="58"/>
      <c r="N211" s="58"/>
      <c r="O211" s="58"/>
      <c r="P211" s="58"/>
      <c r="Q211" s="58"/>
      <c r="R211" s="58"/>
      <c r="S211" s="58"/>
      <c r="T211" s="58"/>
      <c r="U211" s="58"/>
      <c r="V211" s="58"/>
      <c r="W211" s="58"/>
      <c r="X211" s="58"/>
      <c r="Y211" s="58"/>
      <c r="Z211" s="58"/>
    </row>
    <row r="212">
      <c r="A212" s="85" t="s">
        <v>1448</v>
      </c>
      <c r="B212" s="72" t="s">
        <v>2568</v>
      </c>
      <c r="C212" s="72" t="s">
        <v>2916</v>
      </c>
      <c r="D212" s="72" t="s">
        <v>2520</v>
      </c>
      <c r="E212" s="72" t="s">
        <v>2917</v>
      </c>
      <c r="F212" s="72" t="s">
        <v>2770</v>
      </c>
      <c r="G212" s="72" t="s">
        <v>46</v>
      </c>
      <c r="H212" s="72" t="s">
        <v>2771</v>
      </c>
      <c r="I212" s="72" t="s">
        <v>13</v>
      </c>
      <c r="J212" s="58"/>
      <c r="K212" s="58"/>
      <c r="L212" s="58"/>
      <c r="M212" s="58"/>
      <c r="N212" s="58"/>
      <c r="O212" s="58"/>
      <c r="P212" s="58"/>
      <c r="Q212" s="58"/>
      <c r="R212" s="58"/>
      <c r="S212" s="58"/>
      <c r="T212" s="58"/>
      <c r="U212" s="58"/>
      <c r="V212" s="58"/>
      <c r="W212" s="58"/>
      <c r="X212" s="58"/>
      <c r="Y212" s="58"/>
      <c r="Z212" s="58"/>
    </row>
    <row r="213">
      <c r="A213" s="85" t="s">
        <v>1995</v>
      </c>
      <c r="B213" s="72" t="s">
        <v>2568</v>
      </c>
      <c r="C213" s="72" t="s">
        <v>2918</v>
      </c>
      <c r="D213" s="72" t="s">
        <v>2520</v>
      </c>
      <c r="E213" s="72" t="s">
        <v>2773</v>
      </c>
      <c r="F213" s="72" t="s">
        <v>2774</v>
      </c>
      <c r="G213" s="72" t="s">
        <v>46</v>
      </c>
      <c r="H213" s="72" t="s">
        <v>2775</v>
      </c>
      <c r="I213" s="72" t="s">
        <v>13</v>
      </c>
      <c r="J213" s="58"/>
      <c r="K213" s="58"/>
      <c r="L213" s="58"/>
      <c r="M213" s="58"/>
      <c r="N213" s="58"/>
      <c r="O213" s="58"/>
      <c r="P213" s="58"/>
      <c r="Q213" s="58"/>
      <c r="R213" s="58"/>
      <c r="S213" s="58"/>
      <c r="T213" s="58"/>
      <c r="U213" s="58"/>
      <c r="V213" s="58"/>
      <c r="W213" s="58"/>
      <c r="X213" s="58"/>
      <c r="Y213" s="58"/>
      <c r="Z213" s="58"/>
    </row>
    <row r="214">
      <c r="A214" s="85" t="s">
        <v>2000</v>
      </c>
      <c r="B214" s="72" t="s">
        <v>2568</v>
      </c>
      <c r="C214" s="72" t="s">
        <v>2553</v>
      </c>
      <c r="D214" s="72" t="s">
        <v>2554</v>
      </c>
      <c r="E214" s="72" t="s">
        <v>2919</v>
      </c>
      <c r="F214" s="72" t="s">
        <v>2556</v>
      </c>
      <c r="G214" s="72" t="s">
        <v>46</v>
      </c>
      <c r="H214" s="72" t="s">
        <v>2920</v>
      </c>
      <c r="I214" s="72" t="s">
        <v>13</v>
      </c>
      <c r="J214" s="58"/>
      <c r="K214" s="58"/>
      <c r="L214" s="58"/>
      <c r="M214" s="58"/>
      <c r="N214" s="58"/>
      <c r="O214" s="58"/>
      <c r="P214" s="58"/>
      <c r="Q214" s="58"/>
      <c r="R214" s="58"/>
      <c r="S214" s="58"/>
      <c r="T214" s="58"/>
      <c r="U214" s="58"/>
      <c r="V214" s="58"/>
      <c r="W214" s="58"/>
      <c r="X214" s="58"/>
      <c r="Y214" s="58"/>
      <c r="Z214" s="58"/>
    </row>
    <row r="215">
      <c r="A215" s="85" t="s">
        <v>2003</v>
      </c>
      <c r="B215" s="72" t="s">
        <v>2568</v>
      </c>
      <c r="C215" s="72" t="s">
        <v>2553</v>
      </c>
      <c r="D215" s="72" t="s">
        <v>2554</v>
      </c>
      <c r="E215" s="72" t="s">
        <v>2921</v>
      </c>
      <c r="F215" s="72" t="s">
        <v>2556</v>
      </c>
      <c r="G215" s="72" t="s">
        <v>46</v>
      </c>
      <c r="H215" s="72" t="s">
        <v>2922</v>
      </c>
      <c r="I215" s="72" t="s">
        <v>13</v>
      </c>
      <c r="J215" s="58"/>
      <c r="K215" s="58"/>
      <c r="L215" s="58"/>
      <c r="M215" s="58"/>
      <c r="N215" s="58"/>
      <c r="O215" s="58"/>
      <c r="P215" s="58"/>
      <c r="Q215" s="58"/>
      <c r="R215" s="58"/>
      <c r="S215" s="58"/>
      <c r="T215" s="58"/>
      <c r="U215" s="58"/>
      <c r="V215" s="58"/>
      <c r="W215" s="58"/>
      <c r="X215" s="58"/>
      <c r="Y215" s="58"/>
      <c r="Z215" s="58"/>
    </row>
    <row r="216">
      <c r="A216" s="85" t="s">
        <v>2004</v>
      </c>
      <c r="B216" s="72" t="s">
        <v>2568</v>
      </c>
      <c r="C216" s="72" t="s">
        <v>2553</v>
      </c>
      <c r="D216" s="72" t="s">
        <v>2554</v>
      </c>
      <c r="E216" s="72" t="s">
        <v>2923</v>
      </c>
      <c r="F216" s="72" t="s">
        <v>2556</v>
      </c>
      <c r="G216" s="72" t="s">
        <v>46</v>
      </c>
      <c r="H216" s="72" t="s">
        <v>2922</v>
      </c>
      <c r="I216" s="72" t="s">
        <v>13</v>
      </c>
      <c r="J216" s="58"/>
      <c r="K216" s="58"/>
      <c r="L216" s="58"/>
      <c r="M216" s="58"/>
      <c r="N216" s="58"/>
      <c r="O216" s="58"/>
      <c r="P216" s="58"/>
      <c r="Q216" s="58"/>
      <c r="R216" s="58"/>
      <c r="S216" s="58"/>
      <c r="T216" s="58"/>
      <c r="U216" s="58"/>
      <c r="V216" s="58"/>
      <c r="W216" s="58"/>
      <c r="X216" s="58"/>
      <c r="Y216" s="58"/>
      <c r="Z216" s="58"/>
    </row>
    <row r="217">
      <c r="A217" s="85" t="s">
        <v>2005</v>
      </c>
      <c r="B217" s="72" t="s">
        <v>2568</v>
      </c>
      <c r="C217" s="72" t="s">
        <v>2553</v>
      </c>
      <c r="D217" s="72" t="s">
        <v>2554</v>
      </c>
      <c r="E217" s="72" t="s">
        <v>2924</v>
      </c>
      <c r="F217" s="72" t="s">
        <v>2556</v>
      </c>
      <c r="G217" s="72" t="s">
        <v>46</v>
      </c>
      <c r="H217" s="72" t="s">
        <v>2922</v>
      </c>
      <c r="I217" s="72" t="s">
        <v>13</v>
      </c>
      <c r="J217" s="58"/>
      <c r="K217" s="58"/>
      <c r="L217" s="58"/>
      <c r="M217" s="58"/>
      <c r="N217" s="58"/>
      <c r="O217" s="58"/>
      <c r="P217" s="58"/>
      <c r="Q217" s="58"/>
      <c r="R217" s="58"/>
      <c r="S217" s="58"/>
      <c r="T217" s="58"/>
      <c r="U217" s="58"/>
      <c r="V217" s="58"/>
      <c r="W217" s="58"/>
      <c r="X217" s="58"/>
      <c r="Y217" s="58"/>
      <c r="Z217" s="58"/>
    </row>
    <row r="218">
      <c r="A218" s="85" t="s">
        <v>2006</v>
      </c>
      <c r="B218" s="72" t="s">
        <v>2568</v>
      </c>
      <c r="C218" s="73" t="s">
        <v>2925</v>
      </c>
      <c r="D218" s="73" t="s">
        <v>2926</v>
      </c>
      <c r="E218" s="73" t="s">
        <v>2927</v>
      </c>
      <c r="F218" s="73" t="s">
        <v>2928</v>
      </c>
      <c r="G218" s="73" t="s">
        <v>2929</v>
      </c>
      <c r="H218" s="73" t="s">
        <v>2928</v>
      </c>
      <c r="I218" s="72" t="s">
        <v>13</v>
      </c>
      <c r="J218" s="58"/>
      <c r="K218" s="58"/>
      <c r="L218" s="58"/>
      <c r="M218" s="58"/>
      <c r="N218" s="58"/>
      <c r="O218" s="58"/>
      <c r="P218" s="58"/>
      <c r="Q218" s="58"/>
      <c r="R218" s="58"/>
      <c r="S218" s="58"/>
      <c r="T218" s="58"/>
      <c r="U218" s="58"/>
      <c r="V218" s="58"/>
      <c r="W218" s="58"/>
      <c r="X218" s="58"/>
      <c r="Y218" s="58"/>
      <c r="Z218" s="58"/>
    </row>
    <row r="219">
      <c r="A219" s="85" t="s">
        <v>2007</v>
      </c>
      <c r="B219" s="72" t="s">
        <v>2568</v>
      </c>
      <c r="C219" s="73" t="s">
        <v>2930</v>
      </c>
      <c r="D219" s="73" t="s">
        <v>2926</v>
      </c>
      <c r="E219" s="73" t="s">
        <v>2931</v>
      </c>
      <c r="F219" s="73" t="s">
        <v>2928</v>
      </c>
      <c r="G219" s="73" t="s">
        <v>2929</v>
      </c>
      <c r="H219" s="73" t="s">
        <v>2928</v>
      </c>
      <c r="I219" s="72" t="s">
        <v>13</v>
      </c>
      <c r="J219" s="58"/>
      <c r="K219" s="58"/>
      <c r="L219" s="58"/>
      <c r="M219" s="58"/>
      <c r="N219" s="58"/>
      <c r="O219" s="58"/>
      <c r="P219" s="58"/>
      <c r="Q219" s="58"/>
      <c r="R219" s="58"/>
      <c r="S219" s="58"/>
      <c r="T219" s="58"/>
      <c r="U219" s="58"/>
      <c r="V219" s="58"/>
      <c r="W219" s="58"/>
      <c r="X219" s="58"/>
      <c r="Y219" s="58"/>
      <c r="Z219" s="58"/>
    </row>
    <row r="220">
      <c r="A220" s="113" t="s">
        <v>2008</v>
      </c>
      <c r="B220" s="119" t="s">
        <v>2568</v>
      </c>
      <c r="C220" s="120" t="s">
        <v>2932</v>
      </c>
      <c r="D220" s="120" t="s">
        <v>2926</v>
      </c>
      <c r="E220" s="120" t="s">
        <v>2933</v>
      </c>
      <c r="F220" s="120" t="s">
        <v>2928</v>
      </c>
      <c r="G220" s="120" t="s">
        <v>2929</v>
      </c>
      <c r="H220" s="120" t="s">
        <v>2928</v>
      </c>
      <c r="I220" s="119" t="s">
        <v>13</v>
      </c>
      <c r="J220" s="58"/>
      <c r="K220" s="58"/>
      <c r="L220" s="58"/>
      <c r="M220" s="58"/>
      <c r="N220" s="58"/>
      <c r="O220" s="58"/>
      <c r="P220" s="58"/>
      <c r="Q220" s="58"/>
      <c r="R220" s="58"/>
      <c r="S220" s="58"/>
      <c r="T220" s="58"/>
      <c r="U220" s="58"/>
      <c r="V220" s="58"/>
      <c r="W220" s="58"/>
      <c r="X220" s="58"/>
      <c r="Y220" s="58"/>
      <c r="Z220" s="58"/>
    </row>
    <row r="221">
      <c r="A221" s="115"/>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115"/>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115"/>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115"/>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115"/>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115"/>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115"/>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115"/>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58"/>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58"/>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row r="1005">
      <c r="A1005" s="58"/>
      <c r="B1005" s="58"/>
      <c r="C1005" s="58"/>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row>
    <row r="1006">
      <c r="A1006" s="58"/>
      <c r="B1006" s="58"/>
      <c r="C1006" s="58"/>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row>
    <row r="1007">
      <c r="A1007" s="58"/>
      <c r="B1007" s="58"/>
      <c r="C1007" s="58"/>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row>
    <row r="1008">
      <c r="A1008" s="58"/>
      <c r="B1008" s="58"/>
      <c r="C1008" s="58"/>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row>
    <row r="1009">
      <c r="A1009" s="58"/>
      <c r="B1009" s="58"/>
      <c r="C1009" s="58"/>
      <c r="D1009" s="58"/>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row>
    <row r="1010">
      <c r="A1010" s="58"/>
      <c r="B1010" s="58"/>
      <c r="C1010" s="58"/>
      <c r="D1010" s="58"/>
      <c r="E1010" s="58"/>
      <c r="F1010" s="58"/>
      <c r="G1010" s="58"/>
      <c r="H1010" s="58"/>
      <c r="I1010" s="58"/>
      <c r="J1010" s="58"/>
      <c r="K1010" s="58"/>
      <c r="L1010" s="58"/>
      <c r="M1010" s="58"/>
      <c r="N1010" s="58"/>
      <c r="O1010" s="58"/>
      <c r="P1010" s="58"/>
      <c r="Q1010" s="58"/>
      <c r="R1010" s="58"/>
      <c r="S1010" s="58"/>
      <c r="T1010" s="58"/>
      <c r="U1010" s="58"/>
      <c r="V1010" s="58"/>
      <c r="W1010" s="58"/>
      <c r="X1010" s="58"/>
      <c r="Y1010" s="58"/>
      <c r="Z1010" s="58"/>
    </row>
    <row r="1011">
      <c r="A1011" s="58"/>
      <c r="B1011" s="58"/>
      <c r="C1011" s="58"/>
      <c r="D1011" s="58"/>
      <c r="E1011" s="58"/>
      <c r="F1011" s="58"/>
      <c r="G1011" s="58"/>
      <c r="H1011" s="58"/>
      <c r="I1011" s="58"/>
      <c r="J1011" s="58"/>
      <c r="K1011" s="58"/>
      <c r="L1011" s="58"/>
      <c r="M1011" s="58"/>
      <c r="N1011" s="58"/>
      <c r="O1011" s="58"/>
      <c r="P1011" s="58"/>
      <c r="Q1011" s="58"/>
      <c r="R1011" s="58"/>
      <c r="S1011" s="58"/>
      <c r="T1011" s="58"/>
      <c r="U1011" s="58"/>
      <c r="V1011" s="58"/>
      <c r="W1011" s="58"/>
      <c r="X1011" s="58"/>
      <c r="Y1011" s="58"/>
      <c r="Z1011" s="58"/>
    </row>
    <row r="1012">
      <c r="A1012" s="58"/>
      <c r="B1012" s="58"/>
      <c r="C1012" s="58"/>
      <c r="D1012" s="58"/>
      <c r="E1012" s="58"/>
      <c r="F1012" s="58"/>
      <c r="G1012" s="58"/>
      <c r="H1012" s="58"/>
      <c r="I1012" s="58"/>
      <c r="J1012" s="58"/>
      <c r="K1012" s="58"/>
      <c r="L1012" s="58"/>
      <c r="M1012" s="58"/>
      <c r="N1012" s="58"/>
      <c r="O1012" s="58"/>
      <c r="P1012" s="58"/>
      <c r="Q1012" s="58"/>
      <c r="R1012" s="58"/>
      <c r="S1012" s="58"/>
      <c r="T1012" s="58"/>
      <c r="U1012" s="58"/>
      <c r="V1012" s="58"/>
      <c r="W1012" s="58"/>
      <c r="X1012" s="58"/>
      <c r="Y1012" s="58"/>
      <c r="Z1012" s="58"/>
    </row>
    <row r="1013">
      <c r="A1013" s="58"/>
      <c r="B1013" s="58"/>
      <c r="C1013" s="58"/>
      <c r="D1013" s="58"/>
      <c r="E1013" s="58"/>
      <c r="F1013" s="58"/>
      <c r="G1013" s="58"/>
      <c r="H1013" s="58"/>
      <c r="I1013" s="58"/>
      <c r="J1013" s="58"/>
      <c r="K1013" s="58"/>
      <c r="L1013" s="58"/>
      <c r="M1013" s="58"/>
      <c r="N1013" s="58"/>
      <c r="O1013" s="58"/>
      <c r="P1013" s="58"/>
      <c r="Q1013" s="58"/>
      <c r="R1013" s="58"/>
      <c r="S1013" s="58"/>
      <c r="T1013" s="58"/>
      <c r="U1013" s="58"/>
      <c r="V1013" s="58"/>
      <c r="W1013" s="58"/>
      <c r="X1013" s="58"/>
      <c r="Y1013" s="58"/>
      <c r="Z1013" s="58"/>
    </row>
    <row r="1014">
      <c r="A1014" s="58"/>
      <c r="B1014" s="58"/>
      <c r="C1014" s="58"/>
      <c r="D1014" s="58"/>
      <c r="E1014" s="58"/>
      <c r="F1014" s="58"/>
      <c r="G1014" s="58"/>
      <c r="H1014" s="58"/>
      <c r="I1014" s="58"/>
      <c r="J1014" s="58"/>
      <c r="K1014" s="58"/>
      <c r="L1014" s="58"/>
      <c r="M1014" s="58"/>
      <c r="N1014" s="58"/>
      <c r="O1014" s="58"/>
      <c r="P1014" s="58"/>
      <c r="Q1014" s="58"/>
      <c r="R1014" s="58"/>
      <c r="S1014" s="58"/>
      <c r="T1014" s="58"/>
      <c r="U1014" s="58"/>
      <c r="V1014" s="58"/>
      <c r="W1014" s="58"/>
      <c r="X1014" s="58"/>
      <c r="Y1014" s="58"/>
      <c r="Z1014" s="58"/>
    </row>
    <row r="1015">
      <c r="A1015" s="58"/>
      <c r="B1015" s="58"/>
      <c r="C1015" s="58"/>
      <c r="D1015" s="58"/>
      <c r="E1015" s="58"/>
      <c r="F1015" s="58"/>
      <c r="G1015" s="58"/>
      <c r="H1015" s="58"/>
      <c r="I1015" s="58"/>
      <c r="J1015" s="58"/>
      <c r="K1015" s="58"/>
      <c r="L1015" s="58"/>
      <c r="M1015" s="58"/>
      <c r="N1015" s="58"/>
      <c r="O1015" s="58"/>
      <c r="P1015" s="58"/>
      <c r="Q1015" s="58"/>
      <c r="R1015" s="58"/>
      <c r="S1015" s="58"/>
      <c r="T1015" s="58"/>
      <c r="U1015" s="58"/>
      <c r="V1015" s="58"/>
      <c r="W1015" s="58"/>
      <c r="X1015" s="58"/>
      <c r="Y1015" s="58"/>
      <c r="Z1015" s="58"/>
    </row>
    <row r="1016">
      <c r="A1016" s="58"/>
      <c r="B1016" s="58"/>
      <c r="C1016" s="58"/>
      <c r="D1016" s="58"/>
      <c r="E1016" s="58"/>
      <c r="F1016" s="58"/>
      <c r="G1016" s="58"/>
      <c r="H1016" s="58"/>
      <c r="I1016" s="58"/>
      <c r="J1016" s="58"/>
      <c r="K1016" s="58"/>
      <c r="L1016" s="58"/>
      <c r="M1016" s="58"/>
      <c r="N1016" s="58"/>
      <c r="O1016" s="58"/>
      <c r="P1016" s="58"/>
      <c r="Q1016" s="58"/>
      <c r="R1016" s="58"/>
      <c r="S1016" s="58"/>
      <c r="T1016" s="58"/>
      <c r="U1016" s="58"/>
      <c r="V1016" s="58"/>
      <c r="W1016" s="58"/>
      <c r="X1016" s="58"/>
      <c r="Y1016" s="58"/>
      <c r="Z1016" s="58"/>
    </row>
    <row r="1017">
      <c r="A1017" s="58"/>
      <c r="B1017" s="58"/>
      <c r="C1017" s="58"/>
      <c r="D1017" s="58"/>
      <c r="E1017" s="58"/>
      <c r="F1017" s="58"/>
      <c r="G1017" s="58"/>
      <c r="H1017" s="58"/>
      <c r="I1017" s="58"/>
      <c r="J1017" s="58"/>
      <c r="K1017" s="58"/>
      <c r="L1017" s="58"/>
      <c r="M1017" s="58"/>
      <c r="N1017" s="58"/>
      <c r="O1017" s="58"/>
      <c r="P1017" s="58"/>
      <c r="Q1017" s="58"/>
      <c r="R1017" s="58"/>
      <c r="S1017" s="58"/>
      <c r="T1017" s="58"/>
      <c r="U1017" s="58"/>
      <c r="V1017" s="58"/>
      <c r="W1017" s="58"/>
      <c r="X1017" s="58"/>
      <c r="Y1017" s="58"/>
      <c r="Z1017" s="58"/>
    </row>
    <row r="1018">
      <c r="A1018" s="58"/>
      <c r="B1018" s="58"/>
      <c r="C1018" s="58"/>
      <c r="D1018" s="58"/>
      <c r="E1018" s="58"/>
      <c r="F1018" s="58"/>
      <c r="G1018" s="58"/>
      <c r="H1018" s="58"/>
      <c r="I1018" s="58"/>
      <c r="J1018" s="58"/>
      <c r="K1018" s="58"/>
      <c r="L1018" s="58"/>
      <c r="M1018" s="58"/>
      <c r="N1018" s="58"/>
      <c r="O1018" s="58"/>
      <c r="P1018" s="58"/>
      <c r="Q1018" s="58"/>
      <c r="R1018" s="58"/>
      <c r="S1018" s="58"/>
      <c r="T1018" s="58"/>
      <c r="U1018" s="58"/>
      <c r="V1018" s="58"/>
      <c r="W1018" s="58"/>
      <c r="X1018" s="58"/>
      <c r="Y1018" s="58"/>
      <c r="Z1018" s="58"/>
    </row>
    <row r="1019">
      <c r="A1019" s="58"/>
      <c r="B1019" s="58"/>
      <c r="C1019" s="58"/>
      <c r="D1019" s="58"/>
      <c r="E1019" s="58"/>
      <c r="F1019" s="58"/>
      <c r="G1019" s="58"/>
      <c r="H1019" s="58"/>
      <c r="I1019" s="58"/>
      <c r="J1019" s="58"/>
      <c r="K1019" s="58"/>
      <c r="L1019" s="58"/>
      <c r="M1019" s="58"/>
      <c r="N1019" s="58"/>
      <c r="O1019" s="58"/>
      <c r="P1019" s="58"/>
      <c r="Q1019" s="58"/>
      <c r="R1019" s="58"/>
      <c r="S1019" s="58"/>
      <c r="T1019" s="58"/>
      <c r="U1019" s="58"/>
      <c r="V1019" s="58"/>
      <c r="W1019" s="58"/>
      <c r="X1019" s="58"/>
      <c r="Y1019" s="58"/>
      <c r="Z1019" s="58"/>
    </row>
    <row r="1020">
      <c r="A1020" s="58"/>
      <c r="B1020" s="58"/>
      <c r="C1020" s="58"/>
      <c r="D1020" s="58"/>
      <c r="E1020" s="58"/>
      <c r="F1020" s="58"/>
      <c r="G1020" s="58"/>
      <c r="H1020" s="58"/>
      <c r="I1020" s="58"/>
      <c r="J1020" s="58"/>
      <c r="K1020" s="58"/>
      <c r="L1020" s="58"/>
      <c r="M1020" s="58"/>
      <c r="N1020" s="58"/>
      <c r="O1020" s="58"/>
      <c r="P1020" s="58"/>
      <c r="Q1020" s="58"/>
      <c r="R1020" s="58"/>
      <c r="S1020" s="58"/>
      <c r="T1020" s="58"/>
      <c r="U1020" s="58"/>
      <c r="V1020" s="58"/>
      <c r="W1020" s="58"/>
      <c r="X1020" s="58"/>
      <c r="Y1020" s="58"/>
      <c r="Z1020" s="58"/>
    </row>
    <row r="1021">
      <c r="A1021" s="58"/>
      <c r="B1021" s="58"/>
      <c r="C1021" s="58"/>
      <c r="D1021" s="58"/>
      <c r="E1021" s="58"/>
      <c r="F1021" s="58"/>
      <c r="G1021" s="58"/>
      <c r="H1021" s="58"/>
      <c r="I1021" s="58"/>
      <c r="J1021" s="58"/>
      <c r="K1021" s="58"/>
      <c r="L1021" s="58"/>
      <c r="M1021" s="58"/>
      <c r="N1021" s="58"/>
      <c r="O1021" s="58"/>
      <c r="P1021" s="58"/>
      <c r="Q1021" s="58"/>
      <c r="R1021" s="58"/>
      <c r="S1021" s="58"/>
      <c r="T1021" s="58"/>
      <c r="U1021" s="58"/>
      <c r="V1021" s="58"/>
      <c r="W1021" s="58"/>
      <c r="X1021" s="58"/>
      <c r="Y1021" s="58"/>
      <c r="Z1021" s="58"/>
    </row>
    <row r="1022">
      <c r="A1022" s="58"/>
      <c r="B1022" s="58"/>
      <c r="C1022" s="58"/>
      <c r="D1022" s="58"/>
      <c r="E1022" s="58"/>
      <c r="F1022" s="58"/>
      <c r="G1022" s="58"/>
      <c r="H1022" s="58"/>
      <c r="I1022" s="58"/>
      <c r="J1022" s="58"/>
      <c r="K1022" s="58"/>
      <c r="L1022" s="58"/>
      <c r="M1022" s="58"/>
      <c r="N1022" s="58"/>
      <c r="O1022" s="58"/>
      <c r="P1022" s="58"/>
      <c r="Q1022" s="58"/>
      <c r="R1022" s="58"/>
      <c r="S1022" s="58"/>
      <c r="T1022" s="58"/>
      <c r="U1022" s="58"/>
      <c r="V1022" s="58"/>
      <c r="W1022" s="58"/>
      <c r="X1022" s="58"/>
      <c r="Y1022" s="58"/>
      <c r="Z1022" s="58"/>
    </row>
    <row r="1023">
      <c r="A1023" s="58"/>
      <c r="B1023" s="58"/>
      <c r="C1023" s="58"/>
      <c r="D1023" s="58"/>
      <c r="E1023" s="58"/>
      <c r="F1023" s="58"/>
      <c r="G1023" s="58"/>
      <c r="H1023" s="58"/>
      <c r="I1023" s="58"/>
      <c r="J1023" s="58"/>
      <c r="K1023" s="58"/>
      <c r="L1023" s="58"/>
      <c r="M1023" s="58"/>
      <c r="N1023" s="58"/>
      <c r="O1023" s="58"/>
      <c r="P1023" s="58"/>
      <c r="Q1023" s="58"/>
      <c r="R1023" s="58"/>
      <c r="S1023" s="58"/>
      <c r="T1023" s="58"/>
      <c r="U1023" s="58"/>
      <c r="V1023" s="58"/>
      <c r="W1023" s="58"/>
      <c r="X1023" s="58"/>
      <c r="Y1023" s="58"/>
      <c r="Z1023" s="58"/>
    </row>
    <row r="1024">
      <c r="A1024" s="58"/>
      <c r="B1024" s="58"/>
      <c r="C1024" s="58"/>
      <c r="D1024" s="58"/>
      <c r="E1024" s="58"/>
      <c r="F1024" s="58"/>
      <c r="G1024" s="58"/>
      <c r="H1024" s="58"/>
      <c r="I1024" s="58"/>
      <c r="J1024" s="58"/>
      <c r="K1024" s="58"/>
      <c r="L1024" s="58"/>
      <c r="M1024" s="58"/>
      <c r="N1024" s="58"/>
      <c r="O1024" s="58"/>
      <c r="P1024" s="58"/>
      <c r="Q1024" s="58"/>
      <c r="R1024" s="58"/>
      <c r="S1024" s="58"/>
      <c r="T1024" s="58"/>
      <c r="U1024" s="58"/>
      <c r="V1024" s="58"/>
      <c r="W1024" s="58"/>
      <c r="X1024" s="58"/>
      <c r="Y1024" s="58"/>
      <c r="Z1024" s="58"/>
    </row>
    <row r="1025">
      <c r="A1025" s="58"/>
      <c r="B1025" s="58"/>
      <c r="C1025" s="58"/>
      <c r="D1025" s="58"/>
      <c r="E1025" s="58"/>
      <c r="F1025" s="58"/>
      <c r="G1025" s="58"/>
      <c r="H1025" s="58"/>
      <c r="I1025" s="58"/>
      <c r="J1025" s="58"/>
      <c r="K1025" s="58"/>
      <c r="L1025" s="58"/>
      <c r="M1025" s="58"/>
      <c r="N1025" s="58"/>
      <c r="O1025" s="58"/>
      <c r="P1025" s="58"/>
      <c r="Q1025" s="58"/>
      <c r="R1025" s="58"/>
      <c r="S1025" s="58"/>
      <c r="T1025" s="58"/>
      <c r="U1025" s="58"/>
      <c r="V1025" s="58"/>
      <c r="W1025" s="58"/>
      <c r="X1025" s="58"/>
      <c r="Y1025" s="58"/>
      <c r="Z1025" s="58"/>
    </row>
    <row r="1026">
      <c r="A1026" s="58"/>
      <c r="B1026" s="58"/>
      <c r="C1026" s="58"/>
      <c r="D1026" s="58"/>
      <c r="E1026" s="58"/>
      <c r="F1026" s="58"/>
      <c r="G1026" s="58"/>
      <c r="H1026" s="58"/>
      <c r="I1026" s="58"/>
      <c r="J1026" s="58"/>
      <c r="K1026" s="58"/>
      <c r="L1026" s="58"/>
      <c r="M1026" s="58"/>
      <c r="N1026" s="58"/>
      <c r="O1026" s="58"/>
      <c r="P1026" s="58"/>
      <c r="Q1026" s="58"/>
      <c r="R1026" s="58"/>
      <c r="S1026" s="58"/>
      <c r="T1026" s="58"/>
      <c r="U1026" s="58"/>
      <c r="V1026" s="58"/>
      <c r="W1026" s="58"/>
      <c r="X1026" s="58"/>
      <c r="Y1026" s="58"/>
      <c r="Z1026" s="58"/>
    </row>
    <row r="1027">
      <c r="A1027" s="58"/>
      <c r="B1027" s="58"/>
      <c r="C1027" s="58"/>
      <c r="D1027" s="58"/>
      <c r="E1027" s="58"/>
      <c r="F1027" s="58"/>
      <c r="G1027" s="58"/>
      <c r="H1027" s="58"/>
      <c r="I1027" s="58"/>
      <c r="J1027" s="58"/>
      <c r="K1027" s="58"/>
      <c r="L1027" s="58"/>
      <c r="M1027" s="58"/>
      <c r="N1027" s="58"/>
      <c r="O1027" s="58"/>
      <c r="P1027" s="58"/>
      <c r="Q1027" s="58"/>
      <c r="R1027" s="58"/>
      <c r="S1027" s="58"/>
      <c r="T1027" s="58"/>
      <c r="U1027" s="58"/>
      <c r="V1027" s="58"/>
      <c r="W1027" s="58"/>
      <c r="X1027" s="58"/>
      <c r="Y1027" s="58"/>
      <c r="Z1027" s="58"/>
    </row>
    <row r="1028">
      <c r="A1028" s="58"/>
      <c r="B1028" s="58"/>
      <c r="C1028" s="58"/>
      <c r="D1028" s="58"/>
      <c r="E1028" s="58"/>
      <c r="F1028" s="58"/>
      <c r="G1028" s="58"/>
      <c r="H1028" s="58"/>
      <c r="I1028" s="58"/>
      <c r="J1028" s="58"/>
      <c r="K1028" s="58"/>
      <c r="L1028" s="58"/>
      <c r="M1028" s="58"/>
      <c r="N1028" s="58"/>
      <c r="O1028" s="58"/>
      <c r="P1028" s="58"/>
      <c r="Q1028" s="58"/>
      <c r="R1028" s="58"/>
      <c r="S1028" s="58"/>
      <c r="T1028" s="58"/>
      <c r="U1028" s="58"/>
      <c r="V1028" s="58"/>
      <c r="W1028" s="58"/>
      <c r="X1028" s="58"/>
      <c r="Y1028" s="58"/>
      <c r="Z1028" s="58"/>
    </row>
    <row r="1029">
      <c r="A1029" s="58"/>
      <c r="B1029" s="58"/>
      <c r="C1029" s="58"/>
      <c r="D1029" s="58"/>
      <c r="E1029" s="58"/>
      <c r="F1029" s="58"/>
      <c r="G1029" s="58"/>
      <c r="H1029" s="58"/>
      <c r="I1029" s="58"/>
      <c r="J1029" s="58"/>
      <c r="K1029" s="58"/>
      <c r="L1029" s="58"/>
      <c r="M1029" s="58"/>
      <c r="N1029" s="58"/>
      <c r="O1029" s="58"/>
      <c r="P1029" s="58"/>
      <c r="Q1029" s="58"/>
      <c r="R1029" s="58"/>
      <c r="S1029" s="58"/>
      <c r="T1029" s="58"/>
      <c r="U1029" s="58"/>
      <c r="V1029" s="58"/>
      <c r="W1029" s="58"/>
      <c r="X1029" s="58"/>
      <c r="Y1029" s="58"/>
      <c r="Z1029" s="58"/>
    </row>
    <row r="1030">
      <c r="A1030" s="58"/>
      <c r="B1030" s="58"/>
      <c r="C1030" s="58"/>
      <c r="D1030" s="58"/>
      <c r="E1030" s="58"/>
      <c r="F1030" s="58"/>
      <c r="G1030" s="58"/>
      <c r="H1030" s="58"/>
      <c r="I1030" s="58"/>
      <c r="J1030" s="58"/>
      <c r="K1030" s="58"/>
      <c r="L1030" s="58"/>
      <c r="M1030" s="58"/>
      <c r="N1030" s="58"/>
      <c r="O1030" s="58"/>
      <c r="P1030" s="58"/>
      <c r="Q1030" s="58"/>
      <c r="R1030" s="58"/>
      <c r="S1030" s="58"/>
      <c r="T1030" s="58"/>
      <c r="U1030" s="58"/>
      <c r="V1030" s="58"/>
      <c r="W1030" s="58"/>
      <c r="X1030" s="58"/>
      <c r="Y1030" s="58"/>
      <c r="Z1030" s="58"/>
    </row>
    <row r="1031">
      <c r="A1031" s="58"/>
      <c r="B1031" s="58"/>
      <c r="C1031" s="58"/>
      <c r="D1031" s="58"/>
      <c r="E1031" s="58"/>
      <c r="F1031" s="58"/>
      <c r="G1031" s="58"/>
      <c r="H1031" s="58"/>
      <c r="I1031" s="58"/>
      <c r="J1031" s="58"/>
      <c r="K1031" s="58"/>
      <c r="L1031" s="58"/>
      <c r="M1031" s="58"/>
      <c r="N1031" s="58"/>
      <c r="O1031" s="58"/>
      <c r="P1031" s="58"/>
      <c r="Q1031" s="58"/>
      <c r="R1031" s="58"/>
      <c r="S1031" s="58"/>
      <c r="T1031" s="58"/>
      <c r="U1031" s="58"/>
      <c r="V1031" s="58"/>
      <c r="W1031" s="58"/>
      <c r="X1031" s="58"/>
      <c r="Y1031" s="58"/>
      <c r="Z1031" s="58"/>
    </row>
    <row r="1032">
      <c r="A1032" s="58"/>
      <c r="B1032" s="58"/>
      <c r="C1032" s="58"/>
      <c r="D1032" s="58"/>
      <c r="E1032" s="58"/>
      <c r="F1032" s="58"/>
      <c r="G1032" s="58"/>
      <c r="H1032" s="58"/>
      <c r="I1032" s="58"/>
      <c r="J1032" s="58"/>
      <c r="K1032" s="58"/>
      <c r="L1032" s="58"/>
      <c r="M1032" s="58"/>
      <c r="N1032" s="58"/>
      <c r="O1032" s="58"/>
      <c r="P1032" s="58"/>
      <c r="Q1032" s="58"/>
      <c r="R1032" s="58"/>
      <c r="S1032" s="58"/>
      <c r="T1032" s="58"/>
      <c r="U1032" s="58"/>
      <c r="V1032" s="58"/>
      <c r="W1032" s="58"/>
      <c r="X1032" s="58"/>
      <c r="Y1032" s="58"/>
      <c r="Z1032" s="58"/>
    </row>
    <row r="1033">
      <c r="A1033" s="58"/>
      <c r="B1033" s="58"/>
      <c r="C1033" s="58"/>
      <c r="D1033" s="58"/>
      <c r="E1033" s="58"/>
      <c r="F1033" s="58"/>
      <c r="G1033" s="58"/>
      <c r="H1033" s="58"/>
      <c r="I1033" s="58"/>
      <c r="J1033" s="58"/>
      <c r="K1033" s="58"/>
      <c r="L1033" s="58"/>
      <c r="M1033" s="58"/>
      <c r="N1033" s="58"/>
      <c r="O1033" s="58"/>
      <c r="P1033" s="58"/>
      <c r="Q1033" s="58"/>
      <c r="R1033" s="58"/>
      <c r="S1033" s="58"/>
      <c r="T1033" s="58"/>
      <c r="U1033" s="58"/>
      <c r="V1033" s="58"/>
      <c r="W1033" s="58"/>
      <c r="X1033" s="58"/>
      <c r="Y1033" s="58"/>
      <c r="Z1033" s="58"/>
    </row>
    <row r="1034">
      <c r="A1034" s="58"/>
      <c r="B1034" s="58"/>
      <c r="C1034" s="58"/>
      <c r="D1034" s="58"/>
      <c r="E1034" s="58"/>
      <c r="F1034" s="58"/>
      <c r="G1034" s="58"/>
      <c r="H1034" s="58"/>
      <c r="I1034" s="58"/>
      <c r="J1034" s="58"/>
      <c r="K1034" s="58"/>
      <c r="L1034" s="58"/>
      <c r="M1034" s="58"/>
      <c r="N1034" s="58"/>
      <c r="O1034" s="58"/>
      <c r="P1034" s="58"/>
      <c r="Q1034" s="58"/>
      <c r="R1034" s="58"/>
      <c r="S1034" s="58"/>
      <c r="T1034" s="58"/>
      <c r="U1034" s="58"/>
      <c r="V1034" s="58"/>
      <c r="W1034" s="58"/>
      <c r="X1034" s="58"/>
      <c r="Y1034" s="58"/>
      <c r="Z1034" s="58"/>
    </row>
    <row r="1035">
      <c r="A1035" s="58"/>
      <c r="B1035" s="58"/>
      <c r="C1035" s="58"/>
      <c r="D1035" s="58"/>
      <c r="E1035" s="58"/>
      <c r="F1035" s="58"/>
      <c r="G1035" s="58"/>
      <c r="H1035" s="58"/>
      <c r="I1035" s="58"/>
      <c r="J1035" s="58"/>
      <c r="K1035" s="58"/>
      <c r="L1035" s="58"/>
      <c r="M1035" s="58"/>
      <c r="N1035" s="58"/>
      <c r="O1035" s="58"/>
      <c r="P1035" s="58"/>
      <c r="Q1035" s="58"/>
      <c r="R1035" s="58"/>
      <c r="S1035" s="58"/>
      <c r="T1035" s="58"/>
      <c r="U1035" s="58"/>
      <c r="V1035" s="58"/>
      <c r="W1035" s="58"/>
      <c r="X1035" s="58"/>
      <c r="Y1035" s="58"/>
      <c r="Z1035" s="58"/>
    </row>
    <row r="1036">
      <c r="A1036" s="58"/>
      <c r="B1036" s="58"/>
      <c r="C1036" s="58"/>
      <c r="D1036" s="58"/>
      <c r="E1036" s="58"/>
      <c r="F1036" s="58"/>
      <c r="G1036" s="58"/>
      <c r="H1036" s="58"/>
      <c r="I1036" s="58"/>
      <c r="J1036" s="58"/>
      <c r="K1036" s="58"/>
      <c r="L1036" s="58"/>
      <c r="M1036" s="58"/>
      <c r="N1036" s="58"/>
      <c r="O1036" s="58"/>
      <c r="P1036" s="58"/>
      <c r="Q1036" s="58"/>
      <c r="R1036" s="58"/>
      <c r="S1036" s="58"/>
      <c r="T1036" s="58"/>
      <c r="U1036" s="58"/>
      <c r="V1036" s="58"/>
      <c r="W1036" s="58"/>
      <c r="X1036" s="58"/>
      <c r="Y1036" s="58"/>
      <c r="Z1036" s="58"/>
    </row>
    <row r="1037">
      <c r="A1037" s="58"/>
      <c r="B1037" s="58"/>
      <c r="C1037" s="58"/>
      <c r="D1037" s="58"/>
      <c r="E1037" s="58"/>
      <c r="F1037" s="58"/>
      <c r="G1037" s="58"/>
      <c r="H1037" s="58"/>
      <c r="I1037" s="58"/>
      <c r="J1037" s="58"/>
      <c r="K1037" s="58"/>
      <c r="L1037" s="58"/>
      <c r="M1037" s="58"/>
      <c r="N1037" s="58"/>
      <c r="O1037" s="58"/>
      <c r="P1037" s="58"/>
      <c r="Q1037" s="58"/>
      <c r="R1037" s="58"/>
      <c r="S1037" s="58"/>
      <c r="T1037" s="58"/>
      <c r="U1037" s="58"/>
      <c r="V1037" s="58"/>
      <c r="W1037" s="58"/>
      <c r="X1037" s="58"/>
      <c r="Y1037" s="58"/>
      <c r="Z1037" s="58"/>
    </row>
    <row r="1038">
      <c r="A1038" s="58"/>
      <c r="B1038" s="58"/>
      <c r="C1038" s="58"/>
      <c r="D1038" s="58"/>
      <c r="E1038" s="58"/>
      <c r="F1038" s="58"/>
      <c r="G1038" s="58"/>
      <c r="H1038" s="58"/>
      <c r="I1038" s="58"/>
      <c r="J1038" s="58"/>
      <c r="K1038" s="58"/>
      <c r="L1038" s="58"/>
      <c r="M1038" s="58"/>
      <c r="N1038" s="58"/>
      <c r="O1038" s="58"/>
      <c r="P1038" s="58"/>
      <c r="Q1038" s="58"/>
      <c r="R1038" s="58"/>
      <c r="S1038" s="58"/>
      <c r="T1038" s="58"/>
      <c r="U1038" s="58"/>
      <c r="V1038" s="58"/>
      <c r="W1038" s="58"/>
      <c r="X1038" s="58"/>
      <c r="Y1038" s="58"/>
      <c r="Z1038" s="58"/>
    </row>
    <row r="1039">
      <c r="A1039" s="58"/>
      <c r="B1039" s="58"/>
      <c r="C1039" s="58"/>
      <c r="D1039" s="58"/>
      <c r="E1039" s="58"/>
      <c r="F1039" s="58"/>
      <c r="G1039" s="58"/>
      <c r="H1039" s="58"/>
      <c r="I1039" s="58"/>
      <c r="J1039" s="58"/>
      <c r="K1039" s="58"/>
      <c r="L1039" s="58"/>
      <c r="M1039" s="58"/>
      <c r="N1039" s="58"/>
      <c r="O1039" s="58"/>
      <c r="P1039" s="58"/>
      <c r="Q1039" s="58"/>
      <c r="R1039" s="58"/>
      <c r="S1039" s="58"/>
      <c r="T1039" s="58"/>
      <c r="U1039" s="58"/>
      <c r="V1039" s="58"/>
      <c r="W1039" s="58"/>
      <c r="X1039" s="58"/>
      <c r="Y1039" s="58"/>
      <c r="Z1039" s="58"/>
    </row>
    <row r="1040">
      <c r="A1040" s="58"/>
      <c r="B1040" s="58"/>
      <c r="C1040" s="58"/>
      <c r="D1040" s="58"/>
      <c r="E1040" s="58"/>
      <c r="F1040" s="58"/>
      <c r="G1040" s="58"/>
      <c r="H1040" s="58"/>
      <c r="I1040" s="58"/>
      <c r="J1040" s="58"/>
      <c r="K1040" s="58"/>
      <c r="L1040" s="58"/>
      <c r="M1040" s="58"/>
      <c r="N1040" s="58"/>
      <c r="O1040" s="58"/>
      <c r="P1040" s="58"/>
      <c r="Q1040" s="58"/>
      <c r="R1040" s="58"/>
      <c r="S1040" s="58"/>
      <c r="T1040" s="58"/>
      <c r="U1040" s="58"/>
      <c r="V1040" s="58"/>
      <c r="W1040" s="58"/>
      <c r="X1040" s="58"/>
      <c r="Y1040" s="58"/>
      <c r="Z1040" s="58"/>
    </row>
    <row r="1041">
      <c r="A1041" s="58"/>
      <c r="B1041" s="58"/>
      <c r="C1041" s="58"/>
      <c r="D1041" s="58"/>
      <c r="E1041" s="58"/>
      <c r="F1041" s="58"/>
      <c r="G1041" s="58"/>
      <c r="H1041" s="58"/>
      <c r="I1041" s="58"/>
      <c r="J1041" s="58"/>
      <c r="K1041" s="58"/>
      <c r="L1041" s="58"/>
      <c r="M1041" s="58"/>
      <c r="N1041" s="58"/>
      <c r="O1041" s="58"/>
      <c r="P1041" s="58"/>
      <c r="Q1041" s="58"/>
      <c r="R1041" s="58"/>
      <c r="S1041" s="58"/>
      <c r="T1041" s="58"/>
      <c r="U1041" s="58"/>
      <c r="V1041" s="58"/>
      <c r="W1041" s="58"/>
      <c r="X1041" s="58"/>
      <c r="Y1041" s="58"/>
      <c r="Z1041" s="58"/>
    </row>
    <row r="1042">
      <c r="A1042" s="58"/>
      <c r="B1042" s="58"/>
      <c r="C1042" s="58"/>
      <c r="D1042" s="58"/>
      <c r="E1042" s="58"/>
      <c r="F1042" s="58"/>
      <c r="G1042" s="58"/>
      <c r="H1042" s="58"/>
      <c r="I1042" s="58"/>
      <c r="J1042" s="58"/>
      <c r="K1042" s="58"/>
      <c r="L1042" s="58"/>
      <c r="M1042" s="58"/>
      <c r="N1042" s="58"/>
      <c r="O1042" s="58"/>
      <c r="P1042" s="58"/>
      <c r="Q1042" s="58"/>
      <c r="R1042" s="58"/>
      <c r="S1042" s="58"/>
      <c r="T1042" s="58"/>
      <c r="U1042" s="58"/>
      <c r="V1042" s="58"/>
      <c r="W1042" s="58"/>
      <c r="X1042" s="58"/>
      <c r="Y1042" s="58"/>
      <c r="Z1042" s="58"/>
    </row>
    <row r="1043">
      <c r="A1043" s="58"/>
      <c r="B1043" s="58"/>
      <c r="C1043" s="58"/>
      <c r="D1043" s="58"/>
      <c r="E1043" s="58"/>
      <c r="F1043" s="58"/>
      <c r="G1043" s="58"/>
      <c r="H1043" s="58"/>
      <c r="I1043" s="58"/>
      <c r="J1043" s="58"/>
      <c r="K1043" s="58"/>
      <c r="L1043" s="58"/>
      <c r="M1043" s="58"/>
      <c r="N1043" s="58"/>
      <c r="O1043" s="58"/>
      <c r="P1043" s="58"/>
      <c r="Q1043" s="58"/>
      <c r="R1043" s="58"/>
      <c r="S1043" s="58"/>
      <c r="T1043" s="58"/>
      <c r="U1043" s="58"/>
      <c r="V1043" s="58"/>
      <c r="W1043" s="58"/>
      <c r="X1043" s="58"/>
      <c r="Y1043" s="58"/>
      <c r="Z1043" s="58"/>
    </row>
    <row r="1044">
      <c r="A1044" s="58"/>
      <c r="B1044" s="58"/>
      <c r="C1044" s="58"/>
      <c r="D1044" s="58"/>
      <c r="E1044" s="58"/>
      <c r="F1044" s="58"/>
      <c r="G1044" s="58"/>
      <c r="H1044" s="58"/>
      <c r="I1044" s="58"/>
      <c r="J1044" s="58"/>
      <c r="K1044" s="58"/>
      <c r="L1044" s="58"/>
      <c r="M1044" s="58"/>
      <c r="N1044" s="58"/>
      <c r="O1044" s="58"/>
      <c r="P1044" s="58"/>
      <c r="Q1044" s="58"/>
      <c r="R1044" s="58"/>
      <c r="S1044" s="58"/>
      <c r="T1044" s="58"/>
      <c r="U1044" s="58"/>
      <c r="V1044" s="58"/>
      <c r="W1044" s="58"/>
      <c r="X1044" s="58"/>
      <c r="Y1044" s="58"/>
      <c r="Z1044" s="58"/>
    </row>
    <row r="1045">
      <c r="A1045" s="58"/>
      <c r="B1045" s="58"/>
      <c r="C1045" s="58"/>
      <c r="D1045" s="58"/>
      <c r="E1045" s="58"/>
      <c r="F1045" s="58"/>
      <c r="G1045" s="58"/>
      <c r="H1045" s="58"/>
      <c r="I1045" s="58"/>
      <c r="J1045" s="58"/>
      <c r="K1045" s="58"/>
      <c r="L1045" s="58"/>
      <c r="M1045" s="58"/>
      <c r="N1045" s="58"/>
      <c r="O1045" s="58"/>
      <c r="P1045" s="58"/>
      <c r="Q1045" s="58"/>
      <c r="R1045" s="58"/>
      <c r="S1045" s="58"/>
      <c r="T1045" s="58"/>
      <c r="U1045" s="58"/>
      <c r="V1045" s="58"/>
      <c r="W1045" s="58"/>
      <c r="X1045" s="58"/>
      <c r="Y1045" s="58"/>
      <c r="Z1045" s="58"/>
    </row>
    <row r="1046">
      <c r="A1046" s="58"/>
      <c r="B1046" s="58"/>
      <c r="C1046" s="58"/>
      <c r="D1046" s="58"/>
      <c r="E1046" s="58"/>
      <c r="F1046" s="58"/>
      <c r="G1046" s="58"/>
      <c r="H1046" s="58"/>
      <c r="I1046" s="58"/>
      <c r="J1046" s="58"/>
      <c r="K1046" s="58"/>
      <c r="L1046" s="58"/>
      <c r="M1046" s="58"/>
      <c r="N1046" s="58"/>
      <c r="O1046" s="58"/>
      <c r="P1046" s="58"/>
      <c r="Q1046" s="58"/>
      <c r="R1046" s="58"/>
      <c r="S1046" s="58"/>
      <c r="T1046" s="58"/>
      <c r="U1046" s="58"/>
      <c r="V1046" s="58"/>
      <c r="W1046" s="58"/>
      <c r="X1046" s="58"/>
      <c r="Y1046" s="58"/>
      <c r="Z1046" s="58"/>
    </row>
    <row r="1047">
      <c r="A1047" s="58"/>
      <c r="B1047" s="58"/>
      <c r="C1047" s="58"/>
      <c r="D1047" s="58"/>
      <c r="E1047" s="58"/>
      <c r="F1047" s="58"/>
      <c r="G1047" s="58"/>
      <c r="H1047" s="58"/>
      <c r="I1047" s="58"/>
      <c r="J1047" s="58"/>
      <c r="K1047" s="58"/>
      <c r="L1047" s="58"/>
      <c r="M1047" s="58"/>
      <c r="N1047" s="58"/>
      <c r="O1047" s="58"/>
      <c r="P1047" s="58"/>
      <c r="Q1047" s="58"/>
      <c r="R1047" s="58"/>
      <c r="S1047" s="58"/>
      <c r="T1047" s="58"/>
      <c r="U1047" s="58"/>
      <c r="V1047" s="58"/>
      <c r="W1047" s="58"/>
      <c r="X1047" s="58"/>
      <c r="Y1047" s="58"/>
      <c r="Z1047" s="58"/>
    </row>
    <row r="1048">
      <c r="A1048" s="58"/>
      <c r="B1048" s="58"/>
      <c r="C1048" s="58"/>
      <c r="D1048" s="58"/>
      <c r="E1048" s="58"/>
      <c r="F1048" s="58"/>
      <c r="G1048" s="58"/>
      <c r="H1048" s="58"/>
      <c r="I1048" s="58"/>
      <c r="J1048" s="58"/>
      <c r="K1048" s="58"/>
      <c r="L1048" s="58"/>
      <c r="M1048" s="58"/>
      <c r="N1048" s="58"/>
      <c r="O1048" s="58"/>
      <c r="P1048" s="58"/>
      <c r="Q1048" s="58"/>
      <c r="R1048" s="58"/>
      <c r="S1048" s="58"/>
      <c r="T1048" s="58"/>
      <c r="U1048" s="58"/>
      <c r="V1048" s="58"/>
      <c r="W1048" s="58"/>
      <c r="X1048" s="58"/>
      <c r="Y1048" s="58"/>
      <c r="Z1048" s="58"/>
    </row>
    <row r="1049">
      <c r="A1049" s="58"/>
      <c r="B1049" s="58"/>
      <c r="C1049" s="58"/>
      <c r="D1049" s="58"/>
      <c r="E1049" s="58"/>
      <c r="F1049" s="58"/>
      <c r="G1049" s="58"/>
      <c r="H1049" s="58"/>
      <c r="I1049" s="58"/>
      <c r="J1049" s="58"/>
      <c r="K1049" s="58"/>
      <c r="L1049" s="58"/>
      <c r="M1049" s="58"/>
      <c r="N1049" s="58"/>
      <c r="O1049" s="58"/>
      <c r="P1049" s="58"/>
      <c r="Q1049" s="58"/>
      <c r="R1049" s="58"/>
      <c r="S1049" s="58"/>
      <c r="T1049" s="58"/>
      <c r="U1049" s="58"/>
      <c r="V1049" s="58"/>
      <c r="W1049" s="58"/>
      <c r="X1049" s="58"/>
      <c r="Y1049" s="58"/>
      <c r="Z1049" s="58"/>
    </row>
    <row r="1050">
      <c r="A1050" s="58"/>
      <c r="B1050" s="58"/>
      <c r="C1050" s="58"/>
      <c r="D1050" s="58"/>
      <c r="E1050" s="58"/>
      <c r="F1050" s="58"/>
      <c r="G1050" s="58"/>
      <c r="H1050" s="58"/>
      <c r="I1050" s="58"/>
      <c r="J1050" s="58"/>
      <c r="K1050" s="58"/>
      <c r="L1050" s="58"/>
      <c r="M1050" s="58"/>
      <c r="N1050" s="58"/>
      <c r="O1050" s="58"/>
      <c r="P1050" s="58"/>
      <c r="Q1050" s="58"/>
      <c r="R1050" s="58"/>
      <c r="S1050" s="58"/>
      <c r="T1050" s="58"/>
      <c r="U1050" s="58"/>
      <c r="V1050" s="58"/>
      <c r="W1050" s="58"/>
      <c r="X1050" s="58"/>
      <c r="Y1050" s="58"/>
      <c r="Z1050" s="58"/>
    </row>
    <row r="1051">
      <c r="A1051" s="58"/>
      <c r="B1051" s="58"/>
      <c r="C1051" s="58"/>
      <c r="D1051" s="58"/>
      <c r="E1051" s="58"/>
      <c r="F1051" s="58"/>
      <c r="G1051" s="58"/>
      <c r="H1051" s="58"/>
      <c r="I1051" s="58"/>
      <c r="J1051" s="58"/>
      <c r="K1051" s="58"/>
      <c r="L1051" s="58"/>
      <c r="M1051" s="58"/>
      <c r="N1051" s="58"/>
      <c r="O1051" s="58"/>
      <c r="P1051" s="58"/>
      <c r="Q1051" s="58"/>
      <c r="R1051" s="58"/>
      <c r="S1051" s="58"/>
      <c r="T1051" s="58"/>
      <c r="U1051" s="58"/>
      <c r="V1051" s="58"/>
      <c r="W1051" s="58"/>
      <c r="X1051" s="58"/>
      <c r="Y1051" s="58"/>
      <c r="Z1051" s="58"/>
    </row>
    <row r="1052">
      <c r="A1052" s="58"/>
      <c r="B1052" s="58"/>
      <c r="C1052" s="58"/>
      <c r="D1052" s="58"/>
      <c r="E1052" s="58"/>
      <c r="F1052" s="58"/>
      <c r="G1052" s="58"/>
      <c r="H1052" s="58"/>
      <c r="I1052" s="58"/>
      <c r="J1052" s="58"/>
      <c r="K1052" s="58"/>
      <c r="L1052" s="58"/>
      <c r="M1052" s="58"/>
      <c r="N1052" s="58"/>
      <c r="O1052" s="58"/>
      <c r="P1052" s="58"/>
      <c r="Q1052" s="58"/>
      <c r="R1052" s="58"/>
      <c r="S1052" s="58"/>
      <c r="T1052" s="58"/>
      <c r="U1052" s="58"/>
      <c r="V1052" s="58"/>
      <c r="W1052" s="58"/>
      <c r="X1052" s="58"/>
      <c r="Y1052" s="58"/>
      <c r="Z1052" s="58"/>
    </row>
    <row r="1053">
      <c r="A1053" s="58"/>
      <c r="B1053" s="58"/>
      <c r="C1053" s="58"/>
      <c r="D1053" s="58"/>
      <c r="E1053" s="58"/>
      <c r="F1053" s="58"/>
      <c r="G1053" s="58"/>
      <c r="H1053" s="58"/>
      <c r="I1053" s="58"/>
      <c r="J1053" s="58"/>
      <c r="K1053" s="58"/>
      <c r="L1053" s="58"/>
      <c r="M1053" s="58"/>
      <c r="N1053" s="58"/>
      <c r="O1053" s="58"/>
      <c r="P1053" s="58"/>
      <c r="Q1053" s="58"/>
      <c r="R1053" s="58"/>
      <c r="S1053" s="58"/>
      <c r="T1053" s="58"/>
      <c r="U1053" s="58"/>
      <c r="V1053" s="58"/>
      <c r="W1053" s="58"/>
      <c r="X1053" s="58"/>
      <c r="Y1053" s="58"/>
      <c r="Z1053" s="58"/>
    </row>
    <row r="1054">
      <c r="A1054" s="58"/>
      <c r="B1054" s="58"/>
      <c r="C1054" s="58"/>
      <c r="D1054" s="58"/>
      <c r="E1054" s="58"/>
      <c r="F1054" s="58"/>
      <c r="G1054" s="58"/>
      <c r="H1054" s="58"/>
      <c r="I1054" s="58"/>
      <c r="J1054" s="58"/>
      <c r="K1054" s="58"/>
      <c r="L1054" s="58"/>
      <c r="M1054" s="58"/>
      <c r="N1054" s="58"/>
      <c r="O1054" s="58"/>
      <c r="P1054" s="58"/>
      <c r="Q1054" s="58"/>
      <c r="R1054" s="58"/>
      <c r="S1054" s="58"/>
      <c r="T1054" s="58"/>
      <c r="U1054" s="58"/>
      <c r="V1054" s="58"/>
      <c r="W1054" s="58"/>
      <c r="X1054" s="58"/>
      <c r="Y1054" s="58"/>
      <c r="Z1054" s="58"/>
    </row>
    <row r="1055">
      <c r="A1055" s="58"/>
      <c r="B1055" s="58"/>
      <c r="C1055" s="58"/>
      <c r="D1055" s="58"/>
      <c r="E1055" s="58"/>
      <c r="F1055" s="58"/>
      <c r="G1055" s="58"/>
      <c r="H1055" s="58"/>
      <c r="I1055" s="58"/>
      <c r="J1055" s="58"/>
      <c r="K1055" s="58"/>
      <c r="L1055" s="58"/>
      <c r="M1055" s="58"/>
      <c r="N1055" s="58"/>
      <c r="O1055" s="58"/>
      <c r="P1055" s="58"/>
      <c r="Q1055" s="58"/>
      <c r="R1055" s="58"/>
      <c r="S1055" s="58"/>
      <c r="T1055" s="58"/>
      <c r="U1055" s="58"/>
      <c r="V1055" s="58"/>
      <c r="W1055" s="58"/>
      <c r="X1055" s="58"/>
      <c r="Y1055" s="58"/>
      <c r="Z1055" s="58"/>
    </row>
    <row r="1056">
      <c r="A1056" s="58"/>
      <c r="B1056" s="58"/>
      <c r="C1056" s="58"/>
      <c r="D1056" s="58"/>
      <c r="E1056" s="58"/>
      <c r="F1056" s="58"/>
      <c r="G1056" s="58"/>
      <c r="H1056" s="58"/>
      <c r="I1056" s="58"/>
      <c r="J1056" s="58"/>
      <c r="K1056" s="58"/>
      <c r="L1056" s="58"/>
      <c r="M1056" s="58"/>
      <c r="N1056" s="58"/>
      <c r="O1056" s="58"/>
      <c r="P1056" s="58"/>
      <c r="Q1056" s="58"/>
      <c r="R1056" s="58"/>
      <c r="S1056" s="58"/>
      <c r="T1056" s="58"/>
      <c r="U1056" s="58"/>
      <c r="V1056" s="58"/>
      <c r="W1056" s="58"/>
      <c r="X1056" s="58"/>
      <c r="Y1056" s="58"/>
      <c r="Z1056" s="58"/>
    </row>
    <row r="1057">
      <c r="A1057" s="58"/>
      <c r="B1057" s="58"/>
      <c r="C1057" s="58"/>
      <c r="D1057" s="58"/>
      <c r="E1057" s="58"/>
      <c r="F1057" s="58"/>
      <c r="G1057" s="58"/>
      <c r="H1057" s="58"/>
      <c r="I1057" s="58"/>
      <c r="J1057" s="58"/>
      <c r="K1057" s="58"/>
      <c r="L1057" s="58"/>
      <c r="M1057" s="58"/>
      <c r="N1057" s="58"/>
      <c r="O1057" s="58"/>
      <c r="P1057" s="58"/>
      <c r="Q1057" s="58"/>
      <c r="R1057" s="58"/>
      <c r="S1057" s="58"/>
      <c r="T1057" s="58"/>
      <c r="U1057" s="58"/>
      <c r="V1057" s="58"/>
      <c r="W1057" s="58"/>
      <c r="X1057" s="58"/>
      <c r="Y1057" s="58"/>
      <c r="Z1057" s="58"/>
    </row>
    <row r="1058">
      <c r="A1058" s="58"/>
      <c r="B1058" s="58"/>
      <c r="C1058" s="58"/>
      <c r="D1058" s="58"/>
      <c r="E1058" s="58"/>
      <c r="F1058" s="58"/>
      <c r="G1058" s="58"/>
      <c r="H1058" s="58"/>
      <c r="I1058" s="58"/>
      <c r="J1058" s="58"/>
      <c r="K1058" s="58"/>
      <c r="L1058" s="58"/>
      <c r="M1058" s="58"/>
      <c r="N1058" s="58"/>
      <c r="O1058" s="58"/>
      <c r="P1058" s="58"/>
      <c r="Q1058" s="58"/>
      <c r="R1058" s="58"/>
      <c r="S1058" s="58"/>
      <c r="T1058" s="58"/>
      <c r="U1058" s="58"/>
      <c r="V1058" s="58"/>
      <c r="W1058" s="58"/>
      <c r="X1058" s="58"/>
      <c r="Y1058" s="58"/>
      <c r="Z1058" s="58"/>
    </row>
    <row r="1059">
      <c r="A1059" s="58"/>
      <c r="B1059" s="58"/>
      <c r="C1059" s="58"/>
      <c r="D1059" s="58"/>
      <c r="E1059" s="58"/>
      <c r="F1059" s="58"/>
      <c r="G1059" s="58"/>
      <c r="H1059" s="58"/>
      <c r="I1059" s="58"/>
      <c r="J1059" s="58"/>
      <c r="K1059" s="58"/>
      <c r="L1059" s="58"/>
      <c r="M1059" s="58"/>
      <c r="N1059" s="58"/>
      <c r="O1059" s="58"/>
      <c r="P1059" s="58"/>
      <c r="Q1059" s="58"/>
      <c r="R1059" s="58"/>
      <c r="S1059" s="58"/>
      <c r="T1059" s="58"/>
      <c r="U1059" s="58"/>
      <c r="V1059" s="58"/>
      <c r="W1059" s="58"/>
      <c r="X1059" s="58"/>
      <c r="Y1059" s="58"/>
      <c r="Z1059" s="58"/>
    </row>
    <row r="1060">
      <c r="A1060" s="58"/>
      <c r="B1060" s="58"/>
      <c r="C1060" s="58"/>
      <c r="D1060" s="58"/>
      <c r="E1060" s="58"/>
      <c r="F1060" s="58"/>
      <c r="G1060" s="58"/>
      <c r="H1060" s="58"/>
      <c r="I1060" s="58"/>
      <c r="J1060" s="58"/>
      <c r="K1060" s="58"/>
      <c r="L1060" s="58"/>
      <c r="M1060" s="58"/>
      <c r="N1060" s="58"/>
      <c r="O1060" s="58"/>
      <c r="P1060" s="58"/>
      <c r="Q1060" s="58"/>
      <c r="R1060" s="58"/>
      <c r="S1060" s="58"/>
      <c r="T1060" s="58"/>
      <c r="U1060" s="58"/>
      <c r="V1060" s="58"/>
      <c r="W1060" s="58"/>
      <c r="X1060" s="58"/>
      <c r="Y1060" s="58"/>
      <c r="Z1060" s="58"/>
    </row>
    <row r="1061">
      <c r="A1061" s="58"/>
      <c r="B1061" s="58"/>
      <c r="C1061" s="58"/>
      <c r="D1061" s="58"/>
      <c r="E1061" s="58"/>
      <c r="F1061" s="58"/>
      <c r="G1061" s="58"/>
      <c r="H1061" s="58"/>
      <c r="I1061" s="58"/>
      <c r="J1061" s="58"/>
      <c r="K1061" s="58"/>
      <c r="L1061" s="58"/>
      <c r="M1061" s="58"/>
      <c r="N1061" s="58"/>
      <c r="O1061" s="58"/>
      <c r="P1061" s="58"/>
      <c r="Q1061" s="58"/>
      <c r="R1061" s="58"/>
      <c r="S1061" s="58"/>
      <c r="T1061" s="58"/>
      <c r="U1061" s="58"/>
      <c r="V1061" s="58"/>
      <c r="W1061" s="58"/>
      <c r="X1061" s="58"/>
      <c r="Y1061" s="58"/>
      <c r="Z1061" s="58"/>
    </row>
    <row r="1062">
      <c r="A1062" s="58"/>
      <c r="B1062" s="58"/>
      <c r="C1062" s="58"/>
      <c r="D1062" s="58"/>
      <c r="E1062" s="58"/>
      <c r="F1062" s="58"/>
      <c r="G1062" s="58"/>
      <c r="H1062" s="58"/>
      <c r="I1062" s="58"/>
      <c r="J1062" s="58"/>
      <c r="K1062" s="58"/>
      <c r="L1062" s="58"/>
      <c r="M1062" s="58"/>
      <c r="N1062" s="58"/>
      <c r="O1062" s="58"/>
      <c r="P1062" s="58"/>
      <c r="Q1062" s="58"/>
      <c r="R1062" s="58"/>
      <c r="S1062" s="58"/>
      <c r="T1062" s="58"/>
      <c r="U1062" s="58"/>
      <c r="V1062" s="58"/>
      <c r="W1062" s="58"/>
      <c r="X1062" s="58"/>
      <c r="Y1062" s="58"/>
      <c r="Z1062" s="58"/>
    </row>
    <row r="1063">
      <c r="A1063" s="58"/>
      <c r="B1063" s="58"/>
      <c r="C1063" s="58"/>
      <c r="D1063" s="58"/>
      <c r="E1063" s="58"/>
      <c r="F1063" s="58"/>
      <c r="G1063" s="58"/>
      <c r="H1063" s="58"/>
      <c r="I1063" s="58"/>
      <c r="J1063" s="58"/>
      <c r="K1063" s="58"/>
      <c r="L1063" s="58"/>
      <c r="M1063" s="58"/>
      <c r="N1063" s="58"/>
      <c r="O1063" s="58"/>
      <c r="P1063" s="58"/>
      <c r="Q1063" s="58"/>
      <c r="R1063" s="58"/>
      <c r="S1063" s="58"/>
      <c r="T1063" s="58"/>
      <c r="U1063" s="58"/>
      <c r="V1063" s="58"/>
      <c r="W1063" s="58"/>
      <c r="X1063" s="58"/>
      <c r="Y1063" s="58"/>
      <c r="Z1063" s="58"/>
    </row>
    <row r="1064">
      <c r="A1064" s="58"/>
      <c r="B1064" s="58"/>
      <c r="C1064" s="58"/>
      <c r="D1064" s="58"/>
      <c r="E1064" s="58"/>
      <c r="F1064" s="58"/>
      <c r="G1064" s="58"/>
      <c r="H1064" s="58"/>
      <c r="I1064" s="58"/>
      <c r="J1064" s="58"/>
      <c r="K1064" s="58"/>
      <c r="L1064" s="58"/>
      <c r="M1064" s="58"/>
      <c r="N1064" s="58"/>
      <c r="O1064" s="58"/>
      <c r="P1064" s="58"/>
      <c r="Q1064" s="58"/>
      <c r="R1064" s="58"/>
      <c r="S1064" s="58"/>
      <c r="T1064" s="58"/>
      <c r="U1064" s="58"/>
      <c r="V1064" s="58"/>
      <c r="W1064" s="58"/>
      <c r="X1064" s="58"/>
      <c r="Y1064" s="58"/>
      <c r="Z1064" s="58"/>
    </row>
    <row r="1065">
      <c r="A1065" s="58"/>
      <c r="B1065" s="58"/>
      <c r="C1065" s="58"/>
      <c r="D1065" s="58"/>
      <c r="E1065" s="58"/>
      <c r="F1065" s="58"/>
      <c r="G1065" s="58"/>
      <c r="H1065" s="58"/>
      <c r="I1065" s="58"/>
      <c r="J1065" s="58"/>
      <c r="K1065" s="58"/>
      <c r="L1065" s="58"/>
      <c r="M1065" s="58"/>
      <c r="N1065" s="58"/>
      <c r="O1065" s="58"/>
      <c r="P1065" s="58"/>
      <c r="Q1065" s="58"/>
      <c r="R1065" s="58"/>
      <c r="S1065" s="58"/>
      <c r="T1065" s="58"/>
      <c r="U1065" s="58"/>
      <c r="V1065" s="58"/>
      <c r="W1065" s="58"/>
      <c r="X1065" s="58"/>
      <c r="Y1065" s="58"/>
      <c r="Z1065" s="58"/>
    </row>
    <row r="1066">
      <c r="A1066" s="58"/>
      <c r="B1066" s="58"/>
      <c r="C1066" s="58"/>
      <c r="D1066" s="58"/>
      <c r="E1066" s="58"/>
      <c r="F1066" s="58"/>
      <c r="G1066" s="58"/>
      <c r="H1066" s="58"/>
      <c r="I1066" s="58"/>
      <c r="J1066" s="58"/>
      <c r="K1066" s="58"/>
      <c r="L1066" s="58"/>
      <c r="M1066" s="58"/>
      <c r="N1066" s="58"/>
      <c r="O1066" s="58"/>
      <c r="P1066" s="58"/>
      <c r="Q1066" s="58"/>
      <c r="R1066" s="58"/>
      <c r="S1066" s="58"/>
      <c r="T1066" s="58"/>
      <c r="U1066" s="58"/>
      <c r="V1066" s="58"/>
      <c r="W1066" s="58"/>
      <c r="X1066" s="58"/>
      <c r="Y1066" s="58"/>
      <c r="Z1066" s="58"/>
    </row>
    <row r="1067">
      <c r="A1067" s="58"/>
      <c r="B1067" s="58"/>
      <c r="C1067" s="58"/>
      <c r="D1067" s="58"/>
      <c r="E1067" s="58"/>
      <c r="F1067" s="58"/>
      <c r="G1067" s="58"/>
      <c r="H1067" s="58"/>
      <c r="I1067" s="58"/>
      <c r="J1067" s="58"/>
      <c r="K1067" s="58"/>
      <c r="L1067" s="58"/>
      <c r="M1067" s="58"/>
      <c r="N1067" s="58"/>
      <c r="O1067" s="58"/>
      <c r="P1067" s="58"/>
      <c r="Q1067" s="58"/>
      <c r="R1067" s="58"/>
      <c r="S1067" s="58"/>
      <c r="T1067" s="58"/>
      <c r="U1067" s="58"/>
      <c r="V1067" s="58"/>
      <c r="W1067" s="58"/>
      <c r="X1067" s="58"/>
      <c r="Y1067" s="58"/>
      <c r="Z1067" s="58"/>
    </row>
    <row r="1068">
      <c r="A1068" s="58"/>
      <c r="B1068" s="58"/>
      <c r="C1068" s="58"/>
      <c r="D1068" s="58"/>
      <c r="E1068" s="58"/>
      <c r="F1068" s="58"/>
      <c r="G1068" s="58"/>
      <c r="H1068" s="58"/>
      <c r="I1068" s="58"/>
      <c r="J1068" s="58"/>
      <c r="K1068" s="58"/>
      <c r="L1068" s="58"/>
      <c r="M1068" s="58"/>
      <c r="N1068" s="58"/>
      <c r="O1068" s="58"/>
      <c r="P1068" s="58"/>
      <c r="Q1068" s="58"/>
      <c r="R1068" s="58"/>
      <c r="S1068" s="58"/>
      <c r="T1068" s="58"/>
      <c r="U1068" s="58"/>
      <c r="V1068" s="58"/>
      <c r="W1068" s="58"/>
      <c r="X1068" s="58"/>
      <c r="Y1068" s="58"/>
      <c r="Z1068" s="58"/>
    </row>
    <row r="1069">
      <c r="A1069" s="58"/>
      <c r="B1069" s="58"/>
      <c r="C1069" s="58"/>
      <c r="D1069" s="58"/>
      <c r="E1069" s="58"/>
      <c r="F1069" s="58"/>
      <c r="G1069" s="58"/>
      <c r="H1069" s="58"/>
      <c r="I1069" s="58"/>
      <c r="J1069" s="58"/>
      <c r="K1069" s="58"/>
      <c r="L1069" s="58"/>
      <c r="M1069" s="58"/>
      <c r="N1069" s="58"/>
      <c r="O1069" s="58"/>
      <c r="P1069" s="58"/>
      <c r="Q1069" s="58"/>
      <c r="R1069" s="58"/>
      <c r="S1069" s="58"/>
      <c r="T1069" s="58"/>
      <c r="U1069" s="58"/>
      <c r="V1069" s="58"/>
      <c r="W1069" s="58"/>
      <c r="X1069" s="58"/>
      <c r="Y1069" s="58"/>
      <c r="Z1069" s="58"/>
    </row>
    <row r="1070">
      <c r="A1070" s="58"/>
      <c r="B1070" s="58"/>
      <c r="C1070" s="58"/>
      <c r="D1070" s="58"/>
      <c r="E1070" s="58"/>
      <c r="F1070" s="58"/>
      <c r="G1070" s="58"/>
      <c r="H1070" s="58"/>
      <c r="I1070" s="58"/>
      <c r="J1070" s="58"/>
      <c r="K1070" s="58"/>
      <c r="L1070" s="58"/>
      <c r="M1070" s="58"/>
      <c r="N1070" s="58"/>
      <c r="O1070" s="58"/>
      <c r="P1070" s="58"/>
      <c r="Q1070" s="58"/>
      <c r="R1070" s="58"/>
      <c r="S1070" s="58"/>
      <c r="T1070" s="58"/>
      <c r="U1070" s="58"/>
      <c r="V1070" s="58"/>
      <c r="W1070" s="58"/>
      <c r="X1070" s="58"/>
      <c r="Y1070" s="58"/>
      <c r="Z1070" s="58"/>
    </row>
    <row r="1071">
      <c r="A1071" s="58"/>
      <c r="B1071" s="58"/>
      <c r="C1071" s="58"/>
      <c r="D1071" s="58"/>
      <c r="E1071" s="58"/>
      <c r="F1071" s="58"/>
      <c r="G1071" s="58"/>
      <c r="H1071" s="58"/>
      <c r="I1071" s="58"/>
      <c r="J1071" s="58"/>
      <c r="K1071" s="58"/>
      <c r="L1071" s="58"/>
      <c r="M1071" s="58"/>
      <c r="N1071" s="58"/>
      <c r="O1071" s="58"/>
      <c r="P1071" s="58"/>
      <c r="Q1071" s="58"/>
      <c r="R1071" s="58"/>
      <c r="S1071" s="58"/>
      <c r="T1071" s="58"/>
      <c r="U1071" s="58"/>
      <c r="V1071" s="58"/>
      <c r="W1071" s="58"/>
      <c r="X1071" s="58"/>
      <c r="Y1071" s="58"/>
      <c r="Z1071" s="58"/>
    </row>
    <row r="1072">
      <c r="A1072" s="58"/>
      <c r="B1072" s="58"/>
      <c r="C1072" s="58"/>
      <c r="D1072" s="58"/>
      <c r="E1072" s="58"/>
      <c r="F1072" s="58"/>
      <c r="G1072" s="58"/>
      <c r="H1072" s="58"/>
      <c r="I1072" s="58"/>
      <c r="J1072" s="58"/>
      <c r="K1072" s="58"/>
      <c r="L1072" s="58"/>
      <c r="M1072" s="58"/>
      <c r="N1072" s="58"/>
      <c r="O1072" s="58"/>
      <c r="P1072" s="58"/>
      <c r="Q1072" s="58"/>
      <c r="R1072" s="58"/>
      <c r="S1072" s="58"/>
      <c r="T1072" s="58"/>
      <c r="U1072" s="58"/>
      <c r="V1072" s="58"/>
      <c r="W1072" s="58"/>
      <c r="X1072" s="58"/>
      <c r="Y1072" s="58"/>
      <c r="Z1072" s="58"/>
    </row>
    <row r="1073">
      <c r="A1073" s="58"/>
      <c r="B1073" s="58"/>
      <c r="C1073" s="58"/>
      <c r="D1073" s="58"/>
      <c r="E1073" s="58"/>
      <c r="F1073" s="58"/>
      <c r="G1073" s="58"/>
      <c r="H1073" s="58"/>
      <c r="I1073" s="58"/>
      <c r="J1073" s="58"/>
      <c r="K1073" s="58"/>
      <c r="L1073" s="58"/>
      <c r="M1073" s="58"/>
      <c r="N1073" s="58"/>
      <c r="O1073" s="58"/>
      <c r="P1073" s="58"/>
      <c r="Q1073" s="58"/>
      <c r="R1073" s="58"/>
      <c r="S1073" s="58"/>
      <c r="T1073" s="58"/>
      <c r="U1073" s="58"/>
      <c r="V1073" s="58"/>
      <c r="W1073" s="58"/>
      <c r="X1073" s="58"/>
      <c r="Y1073" s="58"/>
      <c r="Z1073" s="58"/>
    </row>
    <row r="1074">
      <c r="A1074" s="58"/>
      <c r="B1074" s="58"/>
      <c r="C1074" s="58"/>
      <c r="D1074" s="58"/>
      <c r="E1074" s="58"/>
      <c r="F1074" s="58"/>
      <c r="G1074" s="58"/>
      <c r="H1074" s="58"/>
      <c r="I1074" s="58"/>
      <c r="J1074" s="58"/>
      <c r="K1074" s="58"/>
      <c r="L1074" s="58"/>
      <c r="M1074" s="58"/>
      <c r="N1074" s="58"/>
      <c r="O1074" s="58"/>
      <c r="P1074" s="58"/>
      <c r="Q1074" s="58"/>
      <c r="R1074" s="58"/>
      <c r="S1074" s="58"/>
      <c r="T1074" s="58"/>
      <c r="U1074" s="58"/>
      <c r="V1074" s="58"/>
      <c r="W1074" s="58"/>
      <c r="X1074" s="58"/>
      <c r="Y1074" s="58"/>
      <c r="Z1074" s="58"/>
    </row>
    <row r="1075">
      <c r="A1075" s="58"/>
      <c r="B1075" s="58"/>
      <c r="C1075" s="58"/>
      <c r="D1075" s="58"/>
      <c r="E1075" s="58"/>
      <c r="F1075" s="58"/>
      <c r="G1075" s="58"/>
      <c r="H1075" s="58"/>
      <c r="I1075" s="58"/>
      <c r="J1075" s="58"/>
      <c r="K1075" s="58"/>
      <c r="L1075" s="58"/>
      <c r="M1075" s="58"/>
      <c r="N1075" s="58"/>
      <c r="O1075" s="58"/>
      <c r="P1075" s="58"/>
      <c r="Q1075" s="58"/>
      <c r="R1075" s="58"/>
      <c r="S1075" s="58"/>
      <c r="T1075" s="58"/>
      <c r="U1075" s="58"/>
      <c r="V1075" s="58"/>
      <c r="W1075" s="58"/>
      <c r="X1075" s="58"/>
      <c r="Y1075" s="58"/>
      <c r="Z1075" s="58"/>
    </row>
    <row r="1076">
      <c r="A1076" s="58"/>
      <c r="B1076" s="58"/>
      <c r="C1076" s="58"/>
      <c r="D1076" s="58"/>
      <c r="E1076" s="58"/>
      <c r="F1076" s="58"/>
      <c r="G1076" s="58"/>
      <c r="H1076" s="58"/>
      <c r="I1076" s="58"/>
      <c r="J1076" s="58"/>
      <c r="K1076" s="58"/>
      <c r="L1076" s="58"/>
      <c r="M1076" s="58"/>
      <c r="N1076" s="58"/>
      <c r="O1076" s="58"/>
      <c r="P1076" s="58"/>
      <c r="Q1076" s="58"/>
      <c r="R1076" s="58"/>
      <c r="S1076" s="58"/>
      <c r="T1076" s="58"/>
      <c r="U1076" s="58"/>
      <c r="V1076" s="58"/>
      <c r="W1076" s="58"/>
      <c r="X1076" s="58"/>
      <c r="Y1076" s="58"/>
      <c r="Z1076" s="58"/>
    </row>
    <row r="1077">
      <c r="A1077" s="58"/>
      <c r="B1077" s="58"/>
      <c r="C1077" s="58"/>
      <c r="D1077" s="58"/>
      <c r="E1077" s="58"/>
      <c r="F1077" s="58"/>
      <c r="G1077" s="58"/>
      <c r="H1077" s="58"/>
      <c r="I1077" s="58"/>
      <c r="J1077" s="58"/>
      <c r="K1077" s="58"/>
      <c r="L1077" s="58"/>
      <c r="M1077" s="58"/>
      <c r="N1077" s="58"/>
      <c r="O1077" s="58"/>
      <c r="P1077" s="58"/>
      <c r="Q1077" s="58"/>
      <c r="R1077" s="58"/>
      <c r="S1077" s="58"/>
      <c r="T1077" s="58"/>
      <c r="U1077" s="58"/>
      <c r="V1077" s="58"/>
      <c r="W1077" s="58"/>
      <c r="X1077" s="58"/>
      <c r="Y1077" s="58"/>
      <c r="Z1077" s="58"/>
    </row>
    <row r="1078">
      <c r="A1078" s="58"/>
      <c r="B1078" s="58"/>
      <c r="C1078" s="58"/>
      <c r="D1078" s="58"/>
      <c r="E1078" s="58"/>
      <c r="F1078" s="58"/>
      <c r="G1078" s="58"/>
      <c r="H1078" s="58"/>
      <c r="I1078" s="58"/>
      <c r="J1078" s="58"/>
      <c r="K1078" s="58"/>
      <c r="L1078" s="58"/>
      <c r="M1078" s="58"/>
      <c r="N1078" s="58"/>
      <c r="O1078" s="58"/>
      <c r="P1078" s="58"/>
      <c r="Q1078" s="58"/>
      <c r="R1078" s="58"/>
      <c r="S1078" s="58"/>
      <c r="T1078" s="58"/>
      <c r="U1078" s="58"/>
      <c r="V1078" s="58"/>
      <c r="W1078" s="58"/>
      <c r="X1078" s="58"/>
      <c r="Y1078" s="58"/>
      <c r="Z1078" s="58"/>
    </row>
    <row r="1079">
      <c r="A1079" s="58"/>
      <c r="B1079" s="58"/>
      <c r="C1079" s="58"/>
      <c r="D1079" s="58"/>
      <c r="E1079" s="58"/>
      <c r="F1079" s="58"/>
      <c r="G1079" s="58"/>
      <c r="H1079" s="58"/>
      <c r="I1079" s="58"/>
      <c r="J1079" s="58"/>
      <c r="K1079" s="58"/>
      <c r="L1079" s="58"/>
      <c r="M1079" s="58"/>
      <c r="N1079" s="58"/>
      <c r="O1079" s="58"/>
      <c r="P1079" s="58"/>
      <c r="Q1079" s="58"/>
      <c r="R1079" s="58"/>
      <c r="S1079" s="58"/>
      <c r="T1079" s="58"/>
      <c r="U1079" s="58"/>
      <c r="V1079" s="58"/>
      <c r="W1079" s="58"/>
      <c r="X1079" s="58"/>
      <c r="Y1079" s="58"/>
      <c r="Z1079" s="58"/>
    </row>
    <row r="1080">
      <c r="A1080" s="58"/>
      <c r="B1080" s="58"/>
      <c r="C1080" s="58"/>
      <c r="D1080" s="58"/>
      <c r="E1080" s="58"/>
      <c r="F1080" s="58"/>
      <c r="G1080" s="58"/>
      <c r="H1080" s="58"/>
      <c r="I1080" s="58"/>
      <c r="J1080" s="58"/>
      <c r="K1080" s="58"/>
      <c r="L1080" s="58"/>
      <c r="M1080" s="58"/>
      <c r="N1080" s="58"/>
      <c r="O1080" s="58"/>
      <c r="P1080" s="58"/>
      <c r="Q1080" s="58"/>
      <c r="R1080" s="58"/>
      <c r="S1080" s="58"/>
      <c r="T1080" s="58"/>
      <c r="U1080" s="58"/>
      <c r="V1080" s="58"/>
      <c r="W1080" s="58"/>
      <c r="X1080" s="58"/>
      <c r="Y1080" s="58"/>
      <c r="Z1080" s="58"/>
    </row>
    <row r="1081">
      <c r="A1081" s="58"/>
      <c r="B1081" s="58"/>
      <c r="C1081" s="58"/>
      <c r="D1081" s="58"/>
      <c r="E1081" s="58"/>
      <c r="F1081" s="58"/>
      <c r="G1081" s="58"/>
      <c r="H1081" s="58"/>
      <c r="I1081" s="58"/>
      <c r="J1081" s="58"/>
      <c r="K1081" s="58"/>
      <c r="L1081" s="58"/>
      <c r="M1081" s="58"/>
      <c r="N1081" s="58"/>
      <c r="O1081" s="58"/>
      <c r="P1081" s="58"/>
      <c r="Q1081" s="58"/>
      <c r="R1081" s="58"/>
      <c r="S1081" s="58"/>
      <c r="T1081" s="58"/>
      <c r="U1081" s="58"/>
      <c r="V1081" s="58"/>
      <c r="W1081" s="58"/>
      <c r="X1081" s="58"/>
      <c r="Y1081" s="58"/>
      <c r="Z1081" s="58"/>
    </row>
    <row r="1082">
      <c r="A1082" s="58"/>
      <c r="B1082" s="58"/>
      <c r="C1082" s="58"/>
      <c r="D1082" s="58"/>
      <c r="E1082" s="58"/>
      <c r="F1082" s="58"/>
      <c r="G1082" s="58"/>
      <c r="H1082" s="58"/>
      <c r="I1082" s="58"/>
      <c r="J1082" s="58"/>
      <c r="K1082" s="58"/>
      <c r="L1082" s="58"/>
      <c r="M1082" s="58"/>
      <c r="N1082" s="58"/>
      <c r="O1082" s="58"/>
      <c r="P1082" s="58"/>
      <c r="Q1082" s="58"/>
      <c r="R1082" s="58"/>
      <c r="S1082" s="58"/>
      <c r="T1082" s="58"/>
      <c r="U1082" s="58"/>
      <c r="V1082" s="58"/>
      <c r="W1082" s="58"/>
      <c r="X1082" s="58"/>
      <c r="Y1082" s="58"/>
      <c r="Z1082" s="58"/>
    </row>
    <row r="1083">
      <c r="A1083" s="58"/>
      <c r="B1083" s="58"/>
      <c r="C1083" s="58"/>
      <c r="D1083" s="58"/>
      <c r="E1083" s="58"/>
      <c r="F1083" s="58"/>
      <c r="G1083" s="58"/>
      <c r="H1083" s="58"/>
      <c r="I1083" s="58"/>
      <c r="J1083" s="58"/>
      <c r="K1083" s="58"/>
      <c r="L1083" s="58"/>
      <c r="M1083" s="58"/>
      <c r="N1083" s="58"/>
      <c r="O1083" s="58"/>
      <c r="P1083" s="58"/>
      <c r="Q1083" s="58"/>
      <c r="R1083" s="58"/>
      <c r="S1083" s="58"/>
      <c r="T1083" s="58"/>
      <c r="U1083" s="58"/>
      <c r="V1083" s="58"/>
      <c r="W1083" s="58"/>
      <c r="X1083" s="58"/>
      <c r="Y1083" s="58"/>
      <c r="Z1083" s="58"/>
    </row>
    <row r="1084">
      <c r="A1084" s="58"/>
      <c r="B1084" s="58"/>
      <c r="C1084" s="58"/>
      <c r="D1084" s="58"/>
      <c r="E1084" s="58"/>
      <c r="F1084" s="58"/>
      <c r="G1084" s="58"/>
      <c r="H1084" s="58"/>
      <c r="I1084" s="58"/>
      <c r="J1084" s="58"/>
      <c r="K1084" s="58"/>
      <c r="L1084" s="58"/>
      <c r="M1084" s="58"/>
      <c r="N1084" s="58"/>
      <c r="O1084" s="58"/>
      <c r="P1084" s="58"/>
      <c r="Q1084" s="58"/>
      <c r="R1084" s="58"/>
      <c r="S1084" s="58"/>
      <c r="T1084" s="58"/>
      <c r="U1084" s="58"/>
      <c r="V1084" s="58"/>
      <c r="W1084" s="58"/>
      <c r="X1084" s="58"/>
      <c r="Y1084" s="58"/>
      <c r="Z1084" s="58"/>
    </row>
    <row r="1085">
      <c r="A1085" s="58"/>
      <c r="B1085" s="58"/>
      <c r="C1085" s="58"/>
      <c r="D1085" s="58"/>
      <c r="E1085" s="58"/>
      <c r="F1085" s="58"/>
      <c r="G1085" s="58"/>
      <c r="H1085" s="58"/>
      <c r="I1085" s="58"/>
      <c r="J1085" s="58"/>
      <c r="K1085" s="58"/>
      <c r="L1085" s="58"/>
      <c r="M1085" s="58"/>
      <c r="N1085" s="58"/>
      <c r="O1085" s="58"/>
      <c r="P1085" s="58"/>
      <c r="Q1085" s="58"/>
      <c r="R1085" s="58"/>
      <c r="S1085" s="58"/>
      <c r="T1085" s="58"/>
      <c r="U1085" s="58"/>
      <c r="V1085" s="58"/>
      <c r="W1085" s="58"/>
      <c r="X1085" s="58"/>
      <c r="Y1085" s="58"/>
      <c r="Z1085" s="58"/>
    </row>
    <row r="1086">
      <c r="A1086" s="58"/>
      <c r="B1086" s="58"/>
      <c r="C1086" s="58"/>
      <c r="D1086" s="58"/>
      <c r="E1086" s="58"/>
      <c r="F1086" s="58"/>
      <c r="G1086" s="58"/>
      <c r="H1086" s="58"/>
      <c r="I1086" s="58"/>
      <c r="J1086" s="58"/>
      <c r="K1086" s="58"/>
      <c r="L1086" s="58"/>
      <c r="M1086" s="58"/>
      <c r="N1086" s="58"/>
      <c r="O1086" s="58"/>
      <c r="P1086" s="58"/>
      <c r="Q1086" s="58"/>
      <c r="R1086" s="58"/>
      <c r="S1086" s="58"/>
      <c r="T1086" s="58"/>
      <c r="U1086" s="58"/>
      <c r="V1086" s="58"/>
      <c r="W1086" s="58"/>
      <c r="X1086" s="58"/>
      <c r="Y1086" s="58"/>
      <c r="Z1086" s="58"/>
    </row>
    <row r="1087">
      <c r="A1087" s="58"/>
      <c r="B1087" s="58"/>
      <c r="C1087" s="58"/>
      <c r="D1087" s="58"/>
      <c r="E1087" s="58"/>
      <c r="F1087" s="58"/>
      <c r="G1087" s="58"/>
      <c r="H1087" s="58"/>
      <c r="I1087" s="58"/>
      <c r="J1087" s="58"/>
      <c r="K1087" s="58"/>
      <c r="L1087" s="58"/>
      <c r="M1087" s="58"/>
      <c r="N1087" s="58"/>
      <c r="O1087" s="58"/>
      <c r="P1087" s="58"/>
      <c r="Q1087" s="58"/>
      <c r="R1087" s="58"/>
      <c r="S1087" s="58"/>
      <c r="T1087" s="58"/>
      <c r="U1087" s="58"/>
      <c r="V1087" s="58"/>
      <c r="W1087" s="58"/>
      <c r="X1087" s="58"/>
      <c r="Y1087" s="58"/>
      <c r="Z1087" s="58"/>
    </row>
    <row r="1088">
      <c r="A1088" s="58"/>
      <c r="B1088" s="58"/>
      <c r="C1088" s="58"/>
      <c r="D1088" s="58"/>
      <c r="E1088" s="58"/>
      <c r="F1088" s="58"/>
      <c r="G1088" s="58"/>
      <c r="H1088" s="58"/>
      <c r="I1088" s="58"/>
      <c r="J1088" s="58"/>
      <c r="K1088" s="58"/>
      <c r="L1088" s="58"/>
      <c r="M1088" s="58"/>
      <c r="N1088" s="58"/>
      <c r="O1088" s="58"/>
      <c r="P1088" s="58"/>
      <c r="Q1088" s="58"/>
      <c r="R1088" s="58"/>
      <c r="S1088" s="58"/>
      <c r="T1088" s="58"/>
      <c r="U1088" s="58"/>
      <c r="V1088" s="58"/>
      <c r="W1088" s="58"/>
      <c r="X1088" s="58"/>
      <c r="Y1088" s="58"/>
      <c r="Z1088" s="5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10.88"/>
    <col customWidth="1" min="3" max="3" width="13.75"/>
    <col customWidth="1" min="4" max="4" width="19.63"/>
    <col customWidth="1" min="5" max="5" width="58.5"/>
    <col customWidth="1" min="6" max="6" width="34.13"/>
    <col customWidth="1" min="7" max="7" width="32.63"/>
    <col customWidth="1" min="8" max="8" width="16.75"/>
  </cols>
  <sheetData>
    <row r="1">
      <c r="A1" s="31" t="s">
        <v>78</v>
      </c>
      <c r="B1" s="32" t="s">
        <v>79</v>
      </c>
      <c r="C1" s="66" t="s">
        <v>80</v>
      </c>
      <c r="D1" s="66" t="s">
        <v>81</v>
      </c>
      <c r="E1" s="67" t="s">
        <v>82</v>
      </c>
      <c r="F1" s="68" t="s">
        <v>413</v>
      </c>
      <c r="G1" s="68" t="s">
        <v>414</v>
      </c>
      <c r="H1" s="31" t="s">
        <v>83</v>
      </c>
      <c r="I1" s="31" t="s">
        <v>278</v>
      </c>
      <c r="N1" s="1" t="s">
        <v>284</v>
      </c>
      <c r="O1" s="21">
        <f>SUM(O2:O6)</f>
        <v>340</v>
      </c>
    </row>
    <row r="2">
      <c r="A2" s="85" t="s">
        <v>84</v>
      </c>
      <c r="B2" s="59" t="s">
        <v>2934</v>
      </c>
      <c r="C2" s="59" t="s">
        <v>2935</v>
      </c>
      <c r="D2" s="59" t="s">
        <v>2936</v>
      </c>
      <c r="E2" s="59" t="s">
        <v>2937</v>
      </c>
      <c r="F2" s="59" t="s">
        <v>2938</v>
      </c>
      <c r="G2" s="59" t="s">
        <v>46</v>
      </c>
      <c r="H2" s="59" t="s">
        <v>2939</v>
      </c>
      <c r="I2" s="59" t="s">
        <v>13</v>
      </c>
      <c r="N2" s="1" t="s">
        <v>15</v>
      </c>
      <c r="O2" s="21">
        <f>COUNTIF(I$2:I$341,"Panama")</f>
        <v>74</v>
      </c>
    </row>
    <row r="3">
      <c r="A3" s="85" t="s">
        <v>92</v>
      </c>
      <c r="B3" s="59" t="s">
        <v>2934</v>
      </c>
      <c r="C3" s="59" t="s">
        <v>2940</v>
      </c>
      <c r="D3" s="59" t="s">
        <v>2941</v>
      </c>
      <c r="E3" s="59" t="s">
        <v>2942</v>
      </c>
      <c r="F3" s="59" t="s">
        <v>2943</v>
      </c>
      <c r="G3" s="59" t="s">
        <v>2944</v>
      </c>
      <c r="H3" s="59" t="s">
        <v>2945</v>
      </c>
      <c r="I3" s="59" t="s">
        <v>13</v>
      </c>
      <c r="N3" s="1" t="s">
        <v>16</v>
      </c>
      <c r="O3" s="21">
        <f>COUNTIF(I$2:I$341,"Costa Rica")</f>
        <v>76</v>
      </c>
    </row>
    <row r="4">
      <c r="A4" s="85" t="s">
        <v>96</v>
      </c>
      <c r="B4" s="59" t="s">
        <v>2934</v>
      </c>
      <c r="C4" s="59" t="s">
        <v>2940</v>
      </c>
      <c r="D4" s="59" t="s">
        <v>2946</v>
      </c>
      <c r="E4" s="59" t="s">
        <v>2947</v>
      </c>
      <c r="F4" s="59" t="s">
        <v>2943</v>
      </c>
      <c r="G4" s="59" t="s">
        <v>2944</v>
      </c>
      <c r="H4" s="59" t="s">
        <v>2945</v>
      </c>
      <c r="I4" s="59" t="s">
        <v>13</v>
      </c>
      <c r="N4" s="1" t="s">
        <v>17</v>
      </c>
      <c r="O4" s="21">
        <f>COUNTIF(I$2:I$341,"Honduras")</f>
        <v>74</v>
      </c>
    </row>
    <row r="5">
      <c r="A5" s="85" t="s">
        <v>101</v>
      </c>
      <c r="B5" s="59" t="s">
        <v>2934</v>
      </c>
      <c r="C5" s="59" t="s">
        <v>2940</v>
      </c>
      <c r="D5" s="59" t="s">
        <v>2948</v>
      </c>
      <c r="E5" s="59" t="s">
        <v>2949</v>
      </c>
      <c r="F5" s="59" t="s">
        <v>2943</v>
      </c>
      <c r="G5" s="59" t="s">
        <v>2950</v>
      </c>
      <c r="H5" s="59" t="s">
        <v>2945</v>
      </c>
      <c r="I5" s="59" t="s">
        <v>13</v>
      </c>
      <c r="N5" s="1" t="s">
        <v>18</v>
      </c>
      <c r="O5" s="21">
        <f>COUNTIF(I$2:I$341,"El Salvador")</f>
        <v>71</v>
      </c>
    </row>
    <row r="6">
      <c r="A6" s="85" t="s">
        <v>106</v>
      </c>
      <c r="B6" s="59" t="s">
        <v>2934</v>
      </c>
      <c r="C6" s="59" t="s">
        <v>2940</v>
      </c>
      <c r="D6" s="59" t="s">
        <v>2951</v>
      </c>
      <c r="E6" s="59" t="s">
        <v>2952</v>
      </c>
      <c r="F6" s="59" t="s">
        <v>2943</v>
      </c>
      <c r="G6" s="59" t="s">
        <v>2944</v>
      </c>
      <c r="H6" s="59" t="s">
        <v>2945</v>
      </c>
      <c r="I6" s="59" t="s">
        <v>13</v>
      </c>
      <c r="N6" s="1" t="s">
        <v>13</v>
      </c>
      <c r="O6" s="21">
        <f>COUNTIF(I$2:I$341,"Todos")</f>
        <v>45</v>
      </c>
    </row>
    <row r="7">
      <c r="A7" s="85" t="s">
        <v>110</v>
      </c>
      <c r="B7" s="59" t="s">
        <v>2934</v>
      </c>
      <c r="C7" s="59" t="s">
        <v>2953</v>
      </c>
      <c r="D7" s="59" t="s">
        <v>2951</v>
      </c>
      <c r="E7" s="59" t="s">
        <v>2954</v>
      </c>
      <c r="F7" s="59"/>
      <c r="G7" s="59"/>
      <c r="H7" s="59"/>
      <c r="I7" s="59" t="s">
        <v>13</v>
      </c>
    </row>
    <row r="8">
      <c r="A8" s="85" t="s">
        <v>115</v>
      </c>
      <c r="B8" s="59" t="s">
        <v>2934</v>
      </c>
      <c r="C8" s="59" t="s">
        <v>2955</v>
      </c>
      <c r="D8" s="59" t="s">
        <v>2951</v>
      </c>
      <c r="E8" s="59" t="s">
        <v>2956</v>
      </c>
      <c r="F8" s="59" t="s">
        <v>2957</v>
      </c>
      <c r="G8" s="59" t="s">
        <v>2958</v>
      </c>
      <c r="H8" s="59"/>
      <c r="I8" s="59" t="s">
        <v>13</v>
      </c>
    </row>
    <row r="9">
      <c r="A9" s="85" t="s">
        <v>120</v>
      </c>
      <c r="B9" s="59" t="s">
        <v>2934</v>
      </c>
      <c r="C9" s="59" t="s">
        <v>2959</v>
      </c>
      <c r="D9" s="59" t="s">
        <v>2951</v>
      </c>
      <c r="E9" s="59" t="s">
        <v>2960</v>
      </c>
      <c r="F9" s="59"/>
      <c r="G9" s="59"/>
      <c r="H9" s="59"/>
      <c r="I9" s="59" t="s">
        <v>13</v>
      </c>
      <c r="J9" s="1" t="s">
        <v>2961</v>
      </c>
    </row>
    <row r="10">
      <c r="A10" s="85" t="s">
        <v>125</v>
      </c>
      <c r="B10" s="59"/>
      <c r="C10" s="59" t="s">
        <v>2962</v>
      </c>
      <c r="D10" s="59" t="s">
        <v>2963</v>
      </c>
      <c r="E10" s="59" t="s">
        <v>2964</v>
      </c>
      <c r="F10" s="59" t="s">
        <v>2965</v>
      </c>
      <c r="G10" s="59" t="s">
        <v>2966</v>
      </c>
      <c r="H10" s="59" t="s">
        <v>2967</v>
      </c>
      <c r="I10" s="59" t="s">
        <v>13</v>
      </c>
    </row>
    <row r="11">
      <c r="A11" s="85" t="s">
        <v>129</v>
      </c>
      <c r="B11" s="59" t="s">
        <v>2934</v>
      </c>
      <c r="C11" s="59" t="s">
        <v>2968</v>
      </c>
      <c r="D11" s="59" t="s">
        <v>2951</v>
      </c>
      <c r="E11" s="59" t="s">
        <v>2969</v>
      </c>
      <c r="F11" s="59" t="s">
        <v>2970</v>
      </c>
      <c r="G11" s="59" t="s">
        <v>2966</v>
      </c>
      <c r="H11" s="59" t="s">
        <v>2967</v>
      </c>
      <c r="I11" s="59" t="s">
        <v>13</v>
      </c>
    </row>
    <row r="12">
      <c r="A12" s="85" t="s">
        <v>134</v>
      </c>
      <c r="B12" s="59" t="s">
        <v>2934</v>
      </c>
      <c r="C12" s="59" t="s">
        <v>2971</v>
      </c>
      <c r="D12" s="59" t="s">
        <v>2951</v>
      </c>
      <c r="E12" s="59" t="s">
        <v>2972</v>
      </c>
      <c r="F12" s="59" t="s">
        <v>2973</v>
      </c>
      <c r="G12" s="59" t="s">
        <v>2974</v>
      </c>
      <c r="H12" s="59" t="s">
        <v>2975</v>
      </c>
      <c r="I12" s="59" t="s">
        <v>13</v>
      </c>
    </row>
    <row r="13">
      <c r="A13" s="85" t="s">
        <v>139</v>
      </c>
      <c r="B13" s="59" t="s">
        <v>2934</v>
      </c>
      <c r="C13" s="59" t="s">
        <v>2976</v>
      </c>
      <c r="D13" s="59" t="s">
        <v>2951</v>
      </c>
      <c r="E13" s="59" t="s">
        <v>2977</v>
      </c>
      <c r="F13" s="59" t="s">
        <v>2978</v>
      </c>
      <c r="G13" s="59" t="s">
        <v>46</v>
      </c>
      <c r="H13" s="59" t="s">
        <v>2979</v>
      </c>
      <c r="I13" s="59" t="s">
        <v>13</v>
      </c>
    </row>
    <row r="14">
      <c r="A14" s="85" t="s">
        <v>144</v>
      </c>
      <c r="B14" s="59" t="s">
        <v>2934</v>
      </c>
      <c r="C14" s="59" t="s">
        <v>2980</v>
      </c>
      <c r="D14" s="59" t="s">
        <v>2981</v>
      </c>
      <c r="E14" s="121" t="s">
        <v>2982</v>
      </c>
      <c r="F14" s="59" t="s">
        <v>2983</v>
      </c>
      <c r="G14" s="59" t="s">
        <v>2984</v>
      </c>
      <c r="H14" s="59" t="s">
        <v>2985</v>
      </c>
      <c r="I14" s="59" t="s">
        <v>13</v>
      </c>
    </row>
    <row r="15">
      <c r="A15" s="85" t="s">
        <v>149</v>
      </c>
      <c r="B15" s="59" t="s">
        <v>2934</v>
      </c>
      <c r="C15" s="59" t="s">
        <v>2980</v>
      </c>
      <c r="D15" s="59" t="s">
        <v>2981</v>
      </c>
      <c r="E15" s="59" t="s">
        <v>2986</v>
      </c>
      <c r="F15" s="59" t="s">
        <v>2987</v>
      </c>
      <c r="G15" s="59" t="s">
        <v>2984</v>
      </c>
      <c r="H15" s="59" t="s">
        <v>2988</v>
      </c>
      <c r="I15" s="59" t="s">
        <v>13</v>
      </c>
    </row>
    <row r="16">
      <c r="A16" s="85" t="s">
        <v>153</v>
      </c>
      <c r="B16" s="59" t="s">
        <v>2934</v>
      </c>
      <c r="C16" s="59" t="s">
        <v>2980</v>
      </c>
      <c r="D16" s="59" t="s">
        <v>2981</v>
      </c>
      <c r="E16" s="59" t="s">
        <v>2989</v>
      </c>
      <c r="F16" s="59" t="s">
        <v>2990</v>
      </c>
      <c r="G16" s="59" t="s">
        <v>2984</v>
      </c>
      <c r="H16" s="59" t="s">
        <v>2991</v>
      </c>
      <c r="I16" s="59" t="s">
        <v>13</v>
      </c>
    </row>
    <row r="17">
      <c r="A17" s="85" t="s">
        <v>158</v>
      </c>
      <c r="B17" s="59" t="s">
        <v>2934</v>
      </c>
      <c r="C17" s="59" t="s">
        <v>2980</v>
      </c>
      <c r="D17" s="59" t="s">
        <v>2981</v>
      </c>
      <c r="E17" s="59" t="s">
        <v>2992</v>
      </c>
      <c r="F17" s="59" t="s">
        <v>2993</v>
      </c>
      <c r="G17" s="59" t="s">
        <v>2994</v>
      </c>
      <c r="H17" s="59"/>
      <c r="I17" s="59" t="s">
        <v>13</v>
      </c>
    </row>
    <row r="18">
      <c r="A18" s="85" t="s">
        <v>162</v>
      </c>
      <c r="B18" s="59" t="s">
        <v>2934</v>
      </c>
      <c r="C18" s="59" t="s">
        <v>2995</v>
      </c>
      <c r="D18" s="59" t="s">
        <v>2981</v>
      </c>
      <c r="E18" s="59" t="s">
        <v>2996</v>
      </c>
      <c r="F18" s="59" t="s">
        <v>2983</v>
      </c>
      <c r="G18" s="59" t="s">
        <v>2984</v>
      </c>
      <c r="H18" s="59" t="s">
        <v>2985</v>
      </c>
      <c r="I18" s="59" t="s">
        <v>13</v>
      </c>
    </row>
    <row r="19">
      <c r="A19" s="85" t="s">
        <v>165</v>
      </c>
      <c r="B19" s="59" t="s">
        <v>2934</v>
      </c>
      <c r="C19" s="59" t="s">
        <v>2995</v>
      </c>
      <c r="D19" s="59" t="s">
        <v>2981</v>
      </c>
      <c r="E19" s="76" t="s">
        <v>2997</v>
      </c>
      <c r="F19" s="59" t="s">
        <v>2987</v>
      </c>
      <c r="G19" s="59" t="s">
        <v>2984</v>
      </c>
      <c r="H19" s="59" t="s">
        <v>2988</v>
      </c>
      <c r="I19" s="59" t="s">
        <v>13</v>
      </c>
    </row>
    <row r="20">
      <c r="A20" s="85" t="s">
        <v>167</v>
      </c>
      <c r="B20" s="59" t="s">
        <v>2934</v>
      </c>
      <c r="C20" s="59" t="s">
        <v>2995</v>
      </c>
      <c r="D20" s="59" t="s">
        <v>2981</v>
      </c>
      <c r="E20" s="59" t="s">
        <v>2998</v>
      </c>
      <c r="F20" s="59" t="s">
        <v>2990</v>
      </c>
      <c r="G20" s="59" t="s">
        <v>2984</v>
      </c>
      <c r="H20" s="59" t="s">
        <v>2991</v>
      </c>
      <c r="I20" s="59" t="s">
        <v>13</v>
      </c>
    </row>
    <row r="21">
      <c r="A21" s="85" t="s">
        <v>170</v>
      </c>
      <c r="B21" s="59" t="s">
        <v>2934</v>
      </c>
      <c r="C21" s="59" t="s">
        <v>2995</v>
      </c>
      <c r="D21" s="59" t="s">
        <v>2981</v>
      </c>
      <c r="E21" s="59" t="s">
        <v>2999</v>
      </c>
      <c r="F21" s="59" t="s">
        <v>3000</v>
      </c>
      <c r="G21" s="59" t="s">
        <v>2994</v>
      </c>
      <c r="H21" s="59"/>
      <c r="I21" s="59" t="s">
        <v>13</v>
      </c>
    </row>
    <row r="22">
      <c r="A22" s="85" t="s">
        <v>175</v>
      </c>
      <c r="B22" s="59" t="s">
        <v>2934</v>
      </c>
      <c r="C22" s="59" t="s">
        <v>2995</v>
      </c>
      <c r="D22" s="59" t="s">
        <v>2981</v>
      </c>
      <c r="E22" s="59" t="s">
        <v>3001</v>
      </c>
      <c r="F22" s="59" t="s">
        <v>46</v>
      </c>
      <c r="G22" s="59" t="s">
        <v>3002</v>
      </c>
      <c r="H22" s="65"/>
      <c r="I22" s="59" t="s">
        <v>16</v>
      </c>
    </row>
    <row r="23">
      <c r="A23" s="85" t="s">
        <v>180</v>
      </c>
      <c r="B23" s="59" t="s">
        <v>2934</v>
      </c>
      <c r="C23" s="59" t="s">
        <v>2995</v>
      </c>
      <c r="D23" s="59" t="s">
        <v>2981</v>
      </c>
      <c r="E23" s="59" t="s">
        <v>3003</v>
      </c>
      <c r="F23" s="59" t="s">
        <v>3004</v>
      </c>
      <c r="G23" s="59" t="s">
        <v>3002</v>
      </c>
      <c r="H23" s="59" t="s">
        <v>3005</v>
      </c>
      <c r="I23" s="59" t="s">
        <v>16</v>
      </c>
    </row>
    <row r="24">
      <c r="A24" s="85" t="s">
        <v>185</v>
      </c>
      <c r="B24" s="59" t="s">
        <v>2934</v>
      </c>
      <c r="C24" s="59" t="s">
        <v>2995</v>
      </c>
      <c r="D24" s="59" t="s">
        <v>2981</v>
      </c>
      <c r="E24" s="59" t="s">
        <v>3006</v>
      </c>
      <c r="F24" s="59" t="s">
        <v>3007</v>
      </c>
      <c r="G24" s="59" t="s">
        <v>46</v>
      </c>
      <c r="H24" s="59" t="s">
        <v>3008</v>
      </c>
      <c r="I24" s="59" t="s">
        <v>13</v>
      </c>
    </row>
    <row r="25">
      <c r="A25" s="85" t="s">
        <v>190</v>
      </c>
      <c r="B25" s="59" t="s">
        <v>2934</v>
      </c>
      <c r="C25" s="59" t="s">
        <v>2995</v>
      </c>
      <c r="D25" s="59" t="s">
        <v>2981</v>
      </c>
      <c r="E25" s="59" t="s">
        <v>3009</v>
      </c>
      <c r="F25" s="59" t="s">
        <v>3010</v>
      </c>
      <c r="G25" s="59" t="s">
        <v>3011</v>
      </c>
      <c r="H25" s="59" t="s">
        <v>3012</v>
      </c>
      <c r="I25" s="59" t="s">
        <v>13</v>
      </c>
    </row>
    <row r="26">
      <c r="A26" s="85" t="s">
        <v>195</v>
      </c>
      <c r="B26" s="59" t="s">
        <v>2934</v>
      </c>
      <c r="C26" s="59" t="s">
        <v>2995</v>
      </c>
      <c r="D26" s="59" t="s">
        <v>3013</v>
      </c>
      <c r="E26" s="59" t="s">
        <v>3014</v>
      </c>
      <c r="F26" s="59" t="s">
        <v>3015</v>
      </c>
      <c r="G26" s="59" t="s">
        <v>3011</v>
      </c>
      <c r="H26" s="59" t="s">
        <v>3012</v>
      </c>
      <c r="I26" s="59" t="s">
        <v>13</v>
      </c>
    </row>
    <row r="27">
      <c r="A27" s="85" t="s">
        <v>200</v>
      </c>
      <c r="B27" s="59" t="s">
        <v>2934</v>
      </c>
      <c r="C27" s="59" t="s">
        <v>2995</v>
      </c>
      <c r="D27" s="59" t="s">
        <v>3016</v>
      </c>
      <c r="E27" s="59" t="s">
        <v>3017</v>
      </c>
      <c r="F27" s="59" t="s">
        <v>3018</v>
      </c>
      <c r="G27" s="59" t="s">
        <v>3011</v>
      </c>
      <c r="H27" s="59" t="s">
        <v>3012</v>
      </c>
      <c r="I27" s="59" t="s">
        <v>13</v>
      </c>
    </row>
    <row r="28">
      <c r="A28" s="85" t="s">
        <v>205</v>
      </c>
      <c r="B28" s="59" t="s">
        <v>2934</v>
      </c>
      <c r="C28" s="59" t="s">
        <v>2995</v>
      </c>
      <c r="D28" s="59" t="s">
        <v>2981</v>
      </c>
      <c r="E28" s="59" t="s">
        <v>3019</v>
      </c>
      <c r="F28" s="59" t="s">
        <v>3020</v>
      </c>
      <c r="G28" s="59" t="s">
        <v>46</v>
      </c>
      <c r="H28" s="59" t="s">
        <v>3021</v>
      </c>
      <c r="I28" s="59" t="s">
        <v>13</v>
      </c>
    </row>
    <row r="29">
      <c r="A29" s="85" t="s">
        <v>210</v>
      </c>
      <c r="B29" s="59" t="s">
        <v>2934</v>
      </c>
      <c r="C29" s="59" t="s">
        <v>2995</v>
      </c>
      <c r="D29" s="59" t="s">
        <v>2981</v>
      </c>
      <c r="E29" s="59" t="s">
        <v>3022</v>
      </c>
      <c r="F29" s="59" t="s">
        <v>3023</v>
      </c>
      <c r="G29" s="59" t="s">
        <v>3024</v>
      </c>
      <c r="H29" s="59" t="s">
        <v>3025</v>
      </c>
      <c r="I29" s="59" t="s">
        <v>13</v>
      </c>
    </row>
    <row r="30">
      <c r="A30" s="85" t="s">
        <v>215</v>
      </c>
      <c r="B30" s="59" t="s">
        <v>2934</v>
      </c>
      <c r="C30" s="59" t="s">
        <v>2995</v>
      </c>
      <c r="D30" s="59" t="s">
        <v>2981</v>
      </c>
      <c r="E30" s="59" t="s">
        <v>3026</v>
      </c>
      <c r="F30" s="59" t="s">
        <v>3027</v>
      </c>
      <c r="G30" s="59" t="s">
        <v>3028</v>
      </c>
      <c r="H30" s="59" t="s">
        <v>3029</v>
      </c>
      <c r="I30" s="59" t="s">
        <v>13</v>
      </c>
    </row>
    <row r="31">
      <c r="A31" s="85" t="s">
        <v>220</v>
      </c>
      <c r="B31" s="59" t="s">
        <v>2934</v>
      </c>
      <c r="C31" s="59" t="s">
        <v>2995</v>
      </c>
      <c r="D31" s="59" t="s">
        <v>2981</v>
      </c>
      <c r="E31" s="59" t="s">
        <v>3030</v>
      </c>
      <c r="F31" s="59" t="s">
        <v>3031</v>
      </c>
      <c r="G31" s="59" t="s">
        <v>3032</v>
      </c>
      <c r="H31" s="59" t="s">
        <v>3033</v>
      </c>
      <c r="I31" s="59" t="s">
        <v>13</v>
      </c>
    </row>
    <row r="32">
      <c r="A32" s="85" t="s">
        <v>224</v>
      </c>
      <c r="B32" s="59" t="s">
        <v>2934</v>
      </c>
      <c r="C32" s="59" t="s">
        <v>2995</v>
      </c>
      <c r="D32" s="59" t="s">
        <v>2981</v>
      </c>
      <c r="E32" s="59" t="s">
        <v>3034</v>
      </c>
      <c r="F32" s="59" t="s">
        <v>3035</v>
      </c>
      <c r="G32" s="59" t="s">
        <v>3036</v>
      </c>
      <c r="H32" s="59" t="s">
        <v>3037</v>
      </c>
      <c r="I32" s="59" t="s">
        <v>13</v>
      </c>
    </row>
    <row r="33">
      <c r="A33" s="85" t="s">
        <v>228</v>
      </c>
      <c r="B33" s="59" t="s">
        <v>2934</v>
      </c>
      <c r="C33" s="59" t="s">
        <v>2995</v>
      </c>
      <c r="D33" s="59" t="s">
        <v>2981</v>
      </c>
      <c r="E33" s="59" t="s">
        <v>3038</v>
      </c>
      <c r="F33" s="59" t="s">
        <v>3039</v>
      </c>
      <c r="G33" s="59" t="s">
        <v>3036</v>
      </c>
      <c r="H33" s="59" t="s">
        <v>3037</v>
      </c>
      <c r="I33" s="59" t="s">
        <v>13</v>
      </c>
    </row>
    <row r="34">
      <c r="A34" s="85" t="s">
        <v>233</v>
      </c>
      <c r="B34" s="59" t="s">
        <v>2934</v>
      </c>
      <c r="C34" s="59" t="s">
        <v>2995</v>
      </c>
      <c r="D34" s="59" t="s">
        <v>2981</v>
      </c>
      <c r="E34" s="59" t="s">
        <v>3040</v>
      </c>
      <c r="F34" s="59" t="s">
        <v>3041</v>
      </c>
      <c r="G34" s="59" t="s">
        <v>3036</v>
      </c>
      <c r="H34" s="59" t="s">
        <v>3037</v>
      </c>
      <c r="I34" s="59" t="s">
        <v>13</v>
      </c>
    </row>
    <row r="35">
      <c r="A35" s="85" t="s">
        <v>237</v>
      </c>
      <c r="B35" s="59" t="s">
        <v>2934</v>
      </c>
      <c r="C35" s="59" t="s">
        <v>2995</v>
      </c>
      <c r="D35" s="59" t="s">
        <v>2981</v>
      </c>
      <c r="E35" s="59" t="s">
        <v>3042</v>
      </c>
      <c r="F35" s="59" t="s">
        <v>3043</v>
      </c>
      <c r="G35" s="59" t="s">
        <v>3044</v>
      </c>
      <c r="H35" s="59" t="s">
        <v>3045</v>
      </c>
      <c r="I35" s="59" t="s">
        <v>13</v>
      </c>
    </row>
    <row r="36">
      <c r="A36" s="85" t="s">
        <v>241</v>
      </c>
      <c r="B36" s="59" t="s">
        <v>2934</v>
      </c>
      <c r="C36" s="59" t="s">
        <v>2995</v>
      </c>
      <c r="D36" s="59" t="s">
        <v>2981</v>
      </c>
      <c r="E36" s="59" t="s">
        <v>3046</v>
      </c>
      <c r="F36" s="59" t="s">
        <v>3047</v>
      </c>
      <c r="G36" s="59" t="s">
        <v>3048</v>
      </c>
      <c r="H36" s="65"/>
      <c r="I36" s="59" t="s">
        <v>18</v>
      </c>
    </row>
    <row r="37">
      <c r="A37" s="85" t="s">
        <v>245</v>
      </c>
      <c r="B37" s="59" t="s">
        <v>2934</v>
      </c>
      <c r="C37" s="59" t="s">
        <v>2995</v>
      </c>
      <c r="D37" s="59" t="s">
        <v>3049</v>
      </c>
      <c r="E37" s="59" t="s">
        <v>3050</v>
      </c>
      <c r="F37" s="59" t="s">
        <v>3051</v>
      </c>
      <c r="G37" s="59" t="s">
        <v>3052</v>
      </c>
      <c r="H37" s="59" t="s">
        <v>3053</v>
      </c>
      <c r="I37" s="59" t="s">
        <v>13</v>
      </c>
    </row>
    <row r="38">
      <c r="A38" s="85" t="s">
        <v>250</v>
      </c>
      <c r="B38" s="59" t="s">
        <v>2934</v>
      </c>
      <c r="C38" s="59" t="s">
        <v>3054</v>
      </c>
      <c r="D38" s="59" t="s">
        <v>3055</v>
      </c>
      <c r="E38" s="59" t="s">
        <v>3056</v>
      </c>
      <c r="F38" s="59" t="s">
        <v>3057</v>
      </c>
      <c r="G38" s="59" t="s">
        <v>3058</v>
      </c>
      <c r="H38" s="59" t="s">
        <v>3059</v>
      </c>
      <c r="I38" s="59" t="s">
        <v>13</v>
      </c>
    </row>
    <row r="39">
      <c r="A39" s="85" t="s">
        <v>254</v>
      </c>
      <c r="B39" s="59" t="s">
        <v>2934</v>
      </c>
      <c r="C39" s="59" t="s">
        <v>3060</v>
      </c>
      <c r="D39" s="59" t="s">
        <v>3049</v>
      </c>
      <c r="E39" s="59" t="s">
        <v>3061</v>
      </c>
      <c r="F39" s="59" t="s">
        <v>3062</v>
      </c>
      <c r="G39" s="59" t="s">
        <v>3063</v>
      </c>
      <c r="H39" s="59" t="s">
        <v>3064</v>
      </c>
      <c r="I39" s="59" t="s">
        <v>13</v>
      </c>
    </row>
    <row r="40">
      <c r="A40" s="85" t="s">
        <v>258</v>
      </c>
      <c r="B40" s="59" t="s">
        <v>2934</v>
      </c>
      <c r="C40" s="59" t="s">
        <v>3060</v>
      </c>
      <c r="D40" s="59" t="s">
        <v>3055</v>
      </c>
      <c r="E40" s="59" t="s">
        <v>3065</v>
      </c>
      <c r="F40" s="59" t="s">
        <v>3066</v>
      </c>
      <c r="G40" s="59" t="s">
        <v>3063</v>
      </c>
      <c r="H40" s="59" t="s">
        <v>3067</v>
      </c>
      <c r="I40" s="59" t="s">
        <v>13</v>
      </c>
    </row>
    <row r="41">
      <c r="A41" s="85" t="s">
        <v>263</v>
      </c>
      <c r="B41" s="59" t="s">
        <v>2934</v>
      </c>
      <c r="C41" s="59" t="s">
        <v>3060</v>
      </c>
      <c r="D41" s="59" t="s">
        <v>3055</v>
      </c>
      <c r="E41" s="59" t="s">
        <v>3068</v>
      </c>
      <c r="F41" s="59" t="s">
        <v>3069</v>
      </c>
      <c r="G41" s="59" t="s">
        <v>3070</v>
      </c>
      <c r="H41" s="59" t="s">
        <v>3071</v>
      </c>
      <c r="I41" s="59" t="s">
        <v>13</v>
      </c>
    </row>
    <row r="42">
      <c r="A42" s="85" t="s">
        <v>268</v>
      </c>
      <c r="B42" s="59" t="s">
        <v>2934</v>
      </c>
      <c r="C42" s="59" t="s">
        <v>3060</v>
      </c>
      <c r="D42" s="59" t="s">
        <v>3072</v>
      </c>
      <c r="E42" s="59" t="s">
        <v>3073</v>
      </c>
      <c r="F42" s="59" t="s">
        <v>3074</v>
      </c>
      <c r="G42" s="59" t="s">
        <v>46</v>
      </c>
      <c r="H42" s="59" t="s">
        <v>3075</v>
      </c>
      <c r="I42" s="59" t="s">
        <v>13</v>
      </c>
    </row>
    <row r="43">
      <c r="A43" s="85" t="s">
        <v>271</v>
      </c>
      <c r="B43" s="59" t="s">
        <v>2934</v>
      </c>
      <c r="C43" s="59" t="s">
        <v>3060</v>
      </c>
      <c r="D43" s="59" t="s">
        <v>3072</v>
      </c>
      <c r="E43" s="59" t="s">
        <v>3076</v>
      </c>
      <c r="F43" s="59" t="s">
        <v>3077</v>
      </c>
      <c r="G43" s="59" t="s">
        <v>46</v>
      </c>
      <c r="H43" s="65"/>
      <c r="I43" s="59" t="s">
        <v>13</v>
      </c>
    </row>
    <row r="44">
      <c r="A44" s="85" t="s">
        <v>274</v>
      </c>
      <c r="B44" s="59" t="s">
        <v>2934</v>
      </c>
      <c r="C44" s="59" t="s">
        <v>3060</v>
      </c>
      <c r="D44" s="59" t="s">
        <v>3078</v>
      </c>
      <c r="E44" s="121" t="s">
        <v>3079</v>
      </c>
      <c r="F44" s="59" t="s">
        <v>3080</v>
      </c>
      <c r="G44" s="59" t="s">
        <v>46</v>
      </c>
      <c r="H44" s="59" t="s">
        <v>3081</v>
      </c>
      <c r="I44" s="59" t="s">
        <v>13</v>
      </c>
    </row>
    <row r="45">
      <c r="A45" s="85" t="s">
        <v>405</v>
      </c>
      <c r="B45" s="59" t="s">
        <v>2934</v>
      </c>
      <c r="C45" s="59" t="s">
        <v>3082</v>
      </c>
      <c r="D45" s="59" t="s">
        <v>3083</v>
      </c>
      <c r="E45" s="59" t="s">
        <v>3084</v>
      </c>
      <c r="F45" s="59" t="s">
        <v>3085</v>
      </c>
      <c r="G45" s="59" t="s">
        <v>3086</v>
      </c>
      <c r="H45" s="59" t="s">
        <v>3087</v>
      </c>
      <c r="I45" s="59" t="s">
        <v>18</v>
      </c>
    </row>
    <row r="46">
      <c r="A46" s="85" t="s">
        <v>408</v>
      </c>
      <c r="B46" s="59" t="s">
        <v>2934</v>
      </c>
      <c r="C46" s="59" t="s">
        <v>3082</v>
      </c>
      <c r="D46" s="59" t="s">
        <v>3088</v>
      </c>
      <c r="E46" s="59" t="s">
        <v>3089</v>
      </c>
      <c r="F46" s="59" t="s">
        <v>3090</v>
      </c>
      <c r="G46" s="59" t="s">
        <v>3086</v>
      </c>
      <c r="H46" s="59" t="s">
        <v>3087</v>
      </c>
      <c r="I46" s="59" t="s">
        <v>18</v>
      </c>
    </row>
    <row r="47">
      <c r="A47" s="85" t="s">
        <v>629</v>
      </c>
      <c r="B47" s="59" t="s">
        <v>2934</v>
      </c>
      <c r="C47" s="59" t="s">
        <v>3082</v>
      </c>
      <c r="D47" s="59" t="s">
        <v>3091</v>
      </c>
      <c r="E47" s="59" t="s">
        <v>3092</v>
      </c>
      <c r="F47" s="59" t="s">
        <v>3085</v>
      </c>
      <c r="G47" s="59" t="s">
        <v>3086</v>
      </c>
      <c r="H47" s="59" t="s">
        <v>3087</v>
      </c>
      <c r="I47" s="59" t="s">
        <v>18</v>
      </c>
    </row>
    <row r="48">
      <c r="A48" s="85" t="s">
        <v>633</v>
      </c>
      <c r="B48" s="59" t="s">
        <v>2934</v>
      </c>
      <c r="C48" s="59" t="s">
        <v>3082</v>
      </c>
      <c r="D48" s="59" t="s">
        <v>3093</v>
      </c>
      <c r="E48" s="59" t="s">
        <v>3094</v>
      </c>
      <c r="F48" s="59" t="s">
        <v>3090</v>
      </c>
      <c r="G48" s="59" t="s">
        <v>3086</v>
      </c>
      <c r="H48" s="59" t="s">
        <v>3087</v>
      </c>
      <c r="I48" s="59" t="s">
        <v>18</v>
      </c>
    </row>
    <row r="49">
      <c r="A49" s="85" t="s">
        <v>637</v>
      </c>
      <c r="B49" s="59" t="s">
        <v>2934</v>
      </c>
      <c r="C49" s="59" t="s">
        <v>3082</v>
      </c>
      <c r="D49" s="59" t="s">
        <v>3095</v>
      </c>
      <c r="E49" s="59" t="s">
        <v>3096</v>
      </c>
      <c r="F49" s="59" t="s">
        <v>3090</v>
      </c>
      <c r="G49" s="59" t="s">
        <v>3086</v>
      </c>
      <c r="H49" s="59" t="s">
        <v>3087</v>
      </c>
      <c r="I49" s="59" t="s">
        <v>18</v>
      </c>
    </row>
    <row r="50">
      <c r="A50" s="85" t="s">
        <v>641</v>
      </c>
      <c r="B50" s="59" t="s">
        <v>2934</v>
      </c>
      <c r="C50" s="59" t="s">
        <v>3082</v>
      </c>
      <c r="D50" s="59" t="s">
        <v>3097</v>
      </c>
      <c r="E50" s="59" t="s">
        <v>3098</v>
      </c>
      <c r="F50" s="59" t="s">
        <v>3090</v>
      </c>
      <c r="G50" s="59" t="s">
        <v>3086</v>
      </c>
      <c r="H50" s="59" t="s">
        <v>3087</v>
      </c>
      <c r="I50" s="59" t="s">
        <v>18</v>
      </c>
    </row>
    <row r="51">
      <c r="A51" s="85" t="s">
        <v>644</v>
      </c>
      <c r="B51" s="59" t="s">
        <v>2934</v>
      </c>
      <c r="C51" s="59" t="s">
        <v>3082</v>
      </c>
      <c r="D51" s="59" t="s">
        <v>3099</v>
      </c>
      <c r="E51" s="59" t="s">
        <v>3100</v>
      </c>
      <c r="F51" s="59" t="s">
        <v>3090</v>
      </c>
      <c r="G51" s="59" t="s">
        <v>3086</v>
      </c>
      <c r="H51" s="59" t="s">
        <v>3087</v>
      </c>
      <c r="I51" s="59" t="s">
        <v>18</v>
      </c>
    </row>
    <row r="52">
      <c r="A52" s="85" t="s">
        <v>647</v>
      </c>
      <c r="B52" s="59" t="s">
        <v>2934</v>
      </c>
      <c r="C52" s="59" t="s">
        <v>3082</v>
      </c>
      <c r="D52" s="59" t="s">
        <v>3101</v>
      </c>
      <c r="E52" s="59" t="s">
        <v>3102</v>
      </c>
      <c r="F52" s="59" t="s">
        <v>3090</v>
      </c>
      <c r="G52" s="59" t="s">
        <v>3086</v>
      </c>
      <c r="H52" s="59" t="s">
        <v>3087</v>
      </c>
      <c r="I52" s="59" t="s">
        <v>18</v>
      </c>
    </row>
    <row r="53">
      <c r="A53" s="85" t="s">
        <v>650</v>
      </c>
      <c r="B53" s="59" t="s">
        <v>2934</v>
      </c>
      <c r="C53" s="59" t="s">
        <v>3082</v>
      </c>
      <c r="D53" s="59" t="s">
        <v>3103</v>
      </c>
      <c r="E53" s="59" t="s">
        <v>3104</v>
      </c>
      <c r="F53" s="59" t="s">
        <v>3090</v>
      </c>
      <c r="G53" s="59" t="s">
        <v>3086</v>
      </c>
      <c r="H53" s="59" t="s">
        <v>3087</v>
      </c>
      <c r="I53" s="59" t="s">
        <v>18</v>
      </c>
    </row>
    <row r="54">
      <c r="A54" s="85" t="s">
        <v>654</v>
      </c>
      <c r="B54" s="59" t="s">
        <v>2934</v>
      </c>
      <c r="C54" s="59" t="s">
        <v>3082</v>
      </c>
      <c r="D54" s="59" t="s">
        <v>3105</v>
      </c>
      <c r="E54" s="59" t="s">
        <v>3106</v>
      </c>
      <c r="F54" s="59" t="s">
        <v>3090</v>
      </c>
      <c r="G54" s="59" t="s">
        <v>3086</v>
      </c>
      <c r="H54" s="59" t="s">
        <v>3087</v>
      </c>
      <c r="I54" s="59" t="s">
        <v>18</v>
      </c>
    </row>
    <row r="55">
      <c r="A55" s="85" t="s">
        <v>657</v>
      </c>
      <c r="B55" s="59" t="s">
        <v>2934</v>
      </c>
      <c r="C55" s="59" t="s">
        <v>3082</v>
      </c>
      <c r="D55" s="59" t="s">
        <v>3107</v>
      </c>
      <c r="E55" s="59" t="s">
        <v>3084</v>
      </c>
      <c r="F55" s="59" t="s">
        <v>3108</v>
      </c>
      <c r="G55" s="59" t="s">
        <v>3086</v>
      </c>
      <c r="H55" s="59" t="s">
        <v>3109</v>
      </c>
      <c r="I55" s="59" t="s">
        <v>18</v>
      </c>
    </row>
    <row r="56">
      <c r="A56" s="85" t="s">
        <v>660</v>
      </c>
      <c r="B56" s="59" t="s">
        <v>2934</v>
      </c>
      <c r="C56" s="59" t="s">
        <v>3082</v>
      </c>
      <c r="D56" s="59" t="s">
        <v>3110</v>
      </c>
      <c r="E56" s="59" t="s">
        <v>3111</v>
      </c>
      <c r="F56" s="59" t="s">
        <v>3108</v>
      </c>
      <c r="G56" s="59" t="s">
        <v>3086</v>
      </c>
      <c r="H56" s="59" t="s">
        <v>3109</v>
      </c>
      <c r="I56" s="59" t="s">
        <v>18</v>
      </c>
    </row>
    <row r="57">
      <c r="A57" s="85" t="s">
        <v>664</v>
      </c>
      <c r="B57" s="59" t="s">
        <v>2934</v>
      </c>
      <c r="C57" s="59" t="s">
        <v>3082</v>
      </c>
      <c r="D57" s="59" t="s">
        <v>3112</v>
      </c>
      <c r="E57" s="59" t="s">
        <v>3113</v>
      </c>
      <c r="F57" s="59" t="s">
        <v>3108</v>
      </c>
      <c r="G57" s="59" t="s">
        <v>3086</v>
      </c>
      <c r="H57" s="59" t="s">
        <v>3109</v>
      </c>
      <c r="I57" s="59" t="s">
        <v>18</v>
      </c>
    </row>
    <row r="58">
      <c r="A58" s="85" t="s">
        <v>668</v>
      </c>
      <c r="B58" s="59" t="s">
        <v>2934</v>
      </c>
      <c r="C58" s="59" t="s">
        <v>3082</v>
      </c>
      <c r="D58" s="59" t="s">
        <v>3114</v>
      </c>
      <c r="E58" s="59" t="s">
        <v>3115</v>
      </c>
      <c r="F58" s="59" t="s">
        <v>3108</v>
      </c>
      <c r="G58" s="59" t="s">
        <v>3086</v>
      </c>
      <c r="H58" s="59" t="s">
        <v>3109</v>
      </c>
      <c r="I58" s="59" t="s">
        <v>18</v>
      </c>
    </row>
    <row r="59">
      <c r="A59" s="85" t="s">
        <v>672</v>
      </c>
      <c r="B59" s="59" t="s">
        <v>2934</v>
      </c>
      <c r="C59" s="59" t="s">
        <v>3082</v>
      </c>
      <c r="D59" s="59" t="s">
        <v>3116</v>
      </c>
      <c r="E59" s="59" t="s">
        <v>3117</v>
      </c>
      <c r="F59" s="59" t="s">
        <v>3108</v>
      </c>
      <c r="G59" s="59" t="s">
        <v>3086</v>
      </c>
      <c r="H59" s="59" t="s">
        <v>3109</v>
      </c>
      <c r="I59" s="59" t="s">
        <v>18</v>
      </c>
    </row>
    <row r="60">
      <c r="A60" s="85" t="s">
        <v>676</v>
      </c>
      <c r="B60" s="59" t="s">
        <v>2934</v>
      </c>
      <c r="C60" s="59" t="s">
        <v>3082</v>
      </c>
      <c r="D60" s="59" t="s">
        <v>3118</v>
      </c>
      <c r="E60" s="59" t="s">
        <v>3119</v>
      </c>
      <c r="F60" s="59" t="s">
        <v>3108</v>
      </c>
      <c r="G60" s="59" t="s">
        <v>3086</v>
      </c>
      <c r="H60" s="59" t="s">
        <v>3109</v>
      </c>
      <c r="I60" s="59" t="s">
        <v>18</v>
      </c>
    </row>
    <row r="61">
      <c r="A61" s="85" t="s">
        <v>681</v>
      </c>
      <c r="B61" s="59" t="s">
        <v>2934</v>
      </c>
      <c r="C61" s="59" t="s">
        <v>3082</v>
      </c>
      <c r="D61" s="59" t="s">
        <v>3120</v>
      </c>
      <c r="E61" s="59" t="s">
        <v>3121</v>
      </c>
      <c r="F61" s="59" t="s">
        <v>3108</v>
      </c>
      <c r="G61" s="59" t="s">
        <v>3086</v>
      </c>
      <c r="H61" s="59" t="s">
        <v>3109</v>
      </c>
      <c r="I61" s="59" t="s">
        <v>18</v>
      </c>
    </row>
    <row r="62">
      <c r="A62" s="85" t="s">
        <v>686</v>
      </c>
      <c r="B62" s="59" t="s">
        <v>2934</v>
      </c>
      <c r="C62" s="59" t="s">
        <v>3082</v>
      </c>
      <c r="D62" s="59" t="s">
        <v>3122</v>
      </c>
      <c r="E62" s="59" t="s">
        <v>3123</v>
      </c>
      <c r="F62" s="59" t="s">
        <v>3108</v>
      </c>
      <c r="G62" s="59" t="s">
        <v>3086</v>
      </c>
      <c r="H62" s="59" t="s">
        <v>3109</v>
      </c>
      <c r="I62" s="59" t="s">
        <v>18</v>
      </c>
    </row>
    <row r="63">
      <c r="A63" s="85" t="s">
        <v>690</v>
      </c>
      <c r="B63" s="59" t="s">
        <v>2934</v>
      </c>
      <c r="C63" s="59" t="s">
        <v>3082</v>
      </c>
      <c r="D63" s="59" t="s">
        <v>3124</v>
      </c>
      <c r="E63" s="59" t="s">
        <v>3125</v>
      </c>
      <c r="F63" s="59" t="s">
        <v>3108</v>
      </c>
      <c r="G63" s="59" t="s">
        <v>3086</v>
      </c>
      <c r="H63" s="59" t="s">
        <v>3109</v>
      </c>
      <c r="I63" s="59" t="s">
        <v>18</v>
      </c>
    </row>
    <row r="64">
      <c r="A64" s="85" t="s">
        <v>693</v>
      </c>
      <c r="B64" s="59" t="s">
        <v>2934</v>
      </c>
      <c r="C64" s="59" t="s">
        <v>3082</v>
      </c>
      <c r="D64" s="59" t="s">
        <v>3126</v>
      </c>
      <c r="E64" s="59" t="s">
        <v>3127</v>
      </c>
      <c r="F64" s="59" t="s">
        <v>3108</v>
      </c>
      <c r="G64" s="59" t="s">
        <v>3086</v>
      </c>
      <c r="H64" s="59" t="s">
        <v>3109</v>
      </c>
      <c r="I64" s="59" t="s">
        <v>18</v>
      </c>
    </row>
    <row r="65">
      <c r="A65" s="85" t="s">
        <v>696</v>
      </c>
      <c r="B65" s="59" t="s">
        <v>2934</v>
      </c>
      <c r="C65" s="59" t="s">
        <v>3082</v>
      </c>
      <c r="D65" s="59" t="s">
        <v>3128</v>
      </c>
      <c r="E65" s="59" t="s">
        <v>3129</v>
      </c>
      <c r="F65" s="59" t="s">
        <v>3108</v>
      </c>
      <c r="G65" s="59" t="s">
        <v>3086</v>
      </c>
      <c r="H65" s="59" t="s">
        <v>3109</v>
      </c>
      <c r="I65" s="59" t="s">
        <v>18</v>
      </c>
    </row>
    <row r="66">
      <c r="A66" s="85" t="s">
        <v>700</v>
      </c>
      <c r="B66" s="59" t="s">
        <v>2934</v>
      </c>
      <c r="C66" s="59" t="s">
        <v>3082</v>
      </c>
      <c r="D66" s="59" t="s">
        <v>3130</v>
      </c>
      <c r="E66" s="59" t="s">
        <v>3111</v>
      </c>
      <c r="F66" s="59" t="s">
        <v>3108</v>
      </c>
      <c r="G66" s="59" t="s">
        <v>3086</v>
      </c>
      <c r="H66" s="59" t="s">
        <v>3109</v>
      </c>
      <c r="I66" s="59" t="s">
        <v>18</v>
      </c>
    </row>
    <row r="67">
      <c r="A67" s="85" t="s">
        <v>704</v>
      </c>
      <c r="B67" s="59" t="s">
        <v>2934</v>
      </c>
      <c r="C67" s="59" t="s">
        <v>3082</v>
      </c>
      <c r="D67" s="59" t="s">
        <v>3131</v>
      </c>
      <c r="E67" s="59" t="s">
        <v>3111</v>
      </c>
      <c r="F67" s="59" t="s">
        <v>3132</v>
      </c>
      <c r="G67" s="59" t="s">
        <v>3086</v>
      </c>
      <c r="H67" s="59" t="s">
        <v>3109</v>
      </c>
      <c r="I67" s="59" t="s">
        <v>18</v>
      </c>
    </row>
    <row r="68">
      <c r="A68" s="85" t="s">
        <v>708</v>
      </c>
      <c r="B68" s="59" t="s">
        <v>2934</v>
      </c>
      <c r="C68" s="59" t="s">
        <v>3082</v>
      </c>
      <c r="D68" s="59" t="s">
        <v>3133</v>
      </c>
      <c r="E68" s="59" t="s">
        <v>3111</v>
      </c>
      <c r="F68" s="59" t="s">
        <v>3132</v>
      </c>
      <c r="G68" s="59" t="s">
        <v>3086</v>
      </c>
      <c r="H68" s="59" t="s">
        <v>3109</v>
      </c>
      <c r="I68" s="59" t="s">
        <v>18</v>
      </c>
    </row>
    <row r="69">
      <c r="A69" s="85" t="s">
        <v>712</v>
      </c>
      <c r="B69" s="59" t="s">
        <v>2934</v>
      </c>
      <c r="C69" s="59" t="s">
        <v>3082</v>
      </c>
      <c r="D69" s="59" t="s">
        <v>3134</v>
      </c>
      <c r="E69" s="59" t="s">
        <v>3113</v>
      </c>
      <c r="F69" s="59" t="s">
        <v>3132</v>
      </c>
      <c r="G69" s="59" t="s">
        <v>3086</v>
      </c>
      <c r="H69" s="59" t="s">
        <v>3109</v>
      </c>
      <c r="I69" s="59" t="s">
        <v>18</v>
      </c>
    </row>
    <row r="70">
      <c r="A70" s="85" t="s">
        <v>715</v>
      </c>
      <c r="B70" s="59" t="s">
        <v>2934</v>
      </c>
      <c r="C70" s="59" t="s">
        <v>3082</v>
      </c>
      <c r="D70" s="59" t="s">
        <v>3135</v>
      </c>
      <c r="E70" s="59" t="s">
        <v>3115</v>
      </c>
      <c r="F70" s="59" t="s">
        <v>3132</v>
      </c>
      <c r="G70" s="59" t="s">
        <v>3086</v>
      </c>
      <c r="H70" s="59" t="s">
        <v>3109</v>
      </c>
      <c r="I70" s="59" t="s">
        <v>18</v>
      </c>
    </row>
    <row r="71">
      <c r="A71" s="85" t="s">
        <v>718</v>
      </c>
      <c r="B71" s="59" t="s">
        <v>2934</v>
      </c>
      <c r="C71" s="59" t="s">
        <v>3082</v>
      </c>
      <c r="D71" s="59" t="s">
        <v>3136</v>
      </c>
      <c r="E71" s="59" t="s">
        <v>3117</v>
      </c>
      <c r="F71" s="59" t="s">
        <v>3132</v>
      </c>
      <c r="G71" s="59" t="s">
        <v>3086</v>
      </c>
      <c r="H71" s="59" t="s">
        <v>3109</v>
      </c>
      <c r="I71" s="59" t="s">
        <v>18</v>
      </c>
    </row>
    <row r="72">
      <c r="A72" s="85" t="s">
        <v>722</v>
      </c>
      <c r="B72" s="59" t="s">
        <v>2934</v>
      </c>
      <c r="C72" s="59" t="s">
        <v>3082</v>
      </c>
      <c r="D72" s="59" t="s">
        <v>3137</v>
      </c>
      <c r="E72" s="59" t="s">
        <v>3119</v>
      </c>
      <c r="F72" s="59" t="s">
        <v>3132</v>
      </c>
      <c r="G72" s="59" t="s">
        <v>3086</v>
      </c>
      <c r="H72" s="59" t="s">
        <v>3109</v>
      </c>
      <c r="I72" s="59" t="s">
        <v>18</v>
      </c>
    </row>
    <row r="73">
      <c r="A73" s="85" t="s">
        <v>728</v>
      </c>
      <c r="B73" s="59" t="s">
        <v>2934</v>
      </c>
      <c r="C73" s="59" t="s">
        <v>3082</v>
      </c>
      <c r="D73" s="59" t="s">
        <v>3138</v>
      </c>
      <c r="E73" s="59" t="s">
        <v>3121</v>
      </c>
      <c r="F73" s="59" t="s">
        <v>3132</v>
      </c>
      <c r="G73" s="59" t="s">
        <v>3086</v>
      </c>
      <c r="H73" s="59" t="s">
        <v>3109</v>
      </c>
      <c r="I73" s="59" t="s">
        <v>18</v>
      </c>
    </row>
    <row r="74">
      <c r="A74" s="85" t="s">
        <v>733</v>
      </c>
      <c r="B74" s="59" t="s">
        <v>2934</v>
      </c>
      <c r="C74" s="59" t="s">
        <v>3082</v>
      </c>
      <c r="D74" s="59" t="s">
        <v>3139</v>
      </c>
      <c r="E74" s="59" t="s">
        <v>3123</v>
      </c>
      <c r="F74" s="59" t="s">
        <v>3132</v>
      </c>
      <c r="G74" s="59" t="s">
        <v>3086</v>
      </c>
      <c r="H74" s="59" t="s">
        <v>3109</v>
      </c>
      <c r="I74" s="59" t="s">
        <v>18</v>
      </c>
    </row>
    <row r="75">
      <c r="A75" s="85" t="s">
        <v>736</v>
      </c>
      <c r="B75" s="59" t="s">
        <v>2934</v>
      </c>
      <c r="C75" s="59" t="s">
        <v>3082</v>
      </c>
      <c r="D75" s="59" t="s">
        <v>3140</v>
      </c>
      <c r="E75" s="59" t="s">
        <v>3125</v>
      </c>
      <c r="F75" s="59" t="s">
        <v>3132</v>
      </c>
      <c r="G75" s="59" t="s">
        <v>3086</v>
      </c>
      <c r="H75" s="59" t="s">
        <v>3109</v>
      </c>
      <c r="I75" s="59" t="s">
        <v>18</v>
      </c>
    </row>
    <row r="76">
      <c r="A76" s="85" t="s">
        <v>741</v>
      </c>
      <c r="B76" s="59" t="s">
        <v>2934</v>
      </c>
      <c r="C76" s="59" t="s">
        <v>3082</v>
      </c>
      <c r="D76" s="59" t="s">
        <v>3141</v>
      </c>
      <c r="E76" s="59" t="s">
        <v>3127</v>
      </c>
      <c r="F76" s="59" t="s">
        <v>3142</v>
      </c>
      <c r="G76" s="59" t="s">
        <v>3086</v>
      </c>
      <c r="H76" s="59" t="s">
        <v>3109</v>
      </c>
      <c r="I76" s="59" t="s">
        <v>18</v>
      </c>
    </row>
    <row r="77">
      <c r="A77" s="85" t="s">
        <v>745</v>
      </c>
      <c r="B77" s="59" t="s">
        <v>2934</v>
      </c>
      <c r="C77" s="59" t="s">
        <v>3082</v>
      </c>
      <c r="D77" s="59" t="s">
        <v>3143</v>
      </c>
      <c r="E77" s="59" t="s">
        <v>3129</v>
      </c>
      <c r="F77" s="59" t="s">
        <v>3132</v>
      </c>
      <c r="G77" s="59" t="s">
        <v>3086</v>
      </c>
      <c r="H77" s="59" t="s">
        <v>3109</v>
      </c>
      <c r="I77" s="59" t="s">
        <v>18</v>
      </c>
    </row>
    <row r="78">
      <c r="A78" s="85" t="s">
        <v>750</v>
      </c>
      <c r="B78" s="59" t="s">
        <v>2934</v>
      </c>
      <c r="C78" s="59" t="s">
        <v>3082</v>
      </c>
      <c r="D78" s="59" t="s">
        <v>3144</v>
      </c>
      <c r="E78" s="59" t="s">
        <v>3145</v>
      </c>
      <c r="F78" s="59" t="s">
        <v>3132</v>
      </c>
      <c r="G78" s="59" t="s">
        <v>3086</v>
      </c>
      <c r="H78" s="59" t="s">
        <v>3087</v>
      </c>
      <c r="I78" s="59" t="s">
        <v>18</v>
      </c>
    </row>
    <row r="79">
      <c r="A79" s="85" t="s">
        <v>756</v>
      </c>
      <c r="B79" s="59" t="s">
        <v>2934</v>
      </c>
      <c r="C79" s="59" t="s">
        <v>3082</v>
      </c>
      <c r="D79" s="59" t="s">
        <v>3146</v>
      </c>
      <c r="E79" s="59" t="s">
        <v>3084</v>
      </c>
      <c r="F79" s="59" t="s">
        <v>3132</v>
      </c>
      <c r="G79" s="59" t="s">
        <v>3086</v>
      </c>
      <c r="H79" s="59" t="s">
        <v>3087</v>
      </c>
      <c r="I79" s="59" t="s">
        <v>18</v>
      </c>
    </row>
    <row r="80">
      <c r="A80" s="85" t="s">
        <v>761</v>
      </c>
      <c r="B80" s="59" t="s">
        <v>2934</v>
      </c>
      <c r="C80" s="59" t="s">
        <v>3082</v>
      </c>
      <c r="D80" s="59" t="s">
        <v>3147</v>
      </c>
      <c r="E80" s="59" t="s">
        <v>3089</v>
      </c>
      <c r="F80" s="59" t="s">
        <v>3132</v>
      </c>
      <c r="G80" s="59" t="s">
        <v>3086</v>
      </c>
      <c r="H80" s="59" t="s">
        <v>3087</v>
      </c>
      <c r="I80" s="59" t="s">
        <v>18</v>
      </c>
    </row>
    <row r="81">
      <c r="A81" s="85" t="s">
        <v>767</v>
      </c>
      <c r="B81" s="59" t="s">
        <v>2934</v>
      </c>
      <c r="C81" s="59" t="s">
        <v>3082</v>
      </c>
      <c r="D81" s="59" t="s">
        <v>3148</v>
      </c>
      <c r="E81" s="59" t="s">
        <v>3092</v>
      </c>
      <c r="F81" s="59" t="s">
        <v>3132</v>
      </c>
      <c r="G81" s="59" t="s">
        <v>3086</v>
      </c>
      <c r="H81" s="59" t="s">
        <v>3087</v>
      </c>
      <c r="I81" s="59" t="s">
        <v>18</v>
      </c>
    </row>
    <row r="82">
      <c r="A82" s="85" t="s">
        <v>772</v>
      </c>
      <c r="B82" s="59" t="s">
        <v>2934</v>
      </c>
      <c r="C82" s="59" t="s">
        <v>3082</v>
      </c>
      <c r="D82" s="59" t="s">
        <v>3149</v>
      </c>
      <c r="E82" s="59" t="s">
        <v>3094</v>
      </c>
      <c r="F82" s="59" t="s">
        <v>3132</v>
      </c>
      <c r="G82" s="59" t="s">
        <v>3086</v>
      </c>
      <c r="H82" s="59" t="s">
        <v>3087</v>
      </c>
      <c r="I82" s="59" t="s">
        <v>18</v>
      </c>
    </row>
    <row r="83">
      <c r="A83" s="85" t="s">
        <v>778</v>
      </c>
      <c r="B83" s="59" t="s">
        <v>2934</v>
      </c>
      <c r="C83" s="59" t="s">
        <v>3082</v>
      </c>
      <c r="D83" s="59" t="s">
        <v>3150</v>
      </c>
      <c r="E83" s="59" t="s">
        <v>3151</v>
      </c>
      <c r="F83" s="59" t="s">
        <v>3132</v>
      </c>
      <c r="G83" s="59" t="s">
        <v>3086</v>
      </c>
      <c r="H83" s="59" t="s">
        <v>3087</v>
      </c>
      <c r="I83" s="59" t="s">
        <v>18</v>
      </c>
    </row>
    <row r="84">
      <c r="A84" s="85" t="s">
        <v>780</v>
      </c>
      <c r="B84" s="59" t="s">
        <v>2934</v>
      </c>
      <c r="C84" s="59" t="s">
        <v>3082</v>
      </c>
      <c r="D84" s="59" t="s">
        <v>3152</v>
      </c>
      <c r="E84" s="59" t="s">
        <v>3098</v>
      </c>
      <c r="F84" s="59" t="s">
        <v>3132</v>
      </c>
      <c r="G84" s="59" t="s">
        <v>3086</v>
      </c>
      <c r="H84" s="59" t="s">
        <v>3087</v>
      </c>
      <c r="I84" s="59" t="s">
        <v>18</v>
      </c>
    </row>
    <row r="85">
      <c r="A85" s="85" t="s">
        <v>782</v>
      </c>
      <c r="B85" s="59" t="s">
        <v>2934</v>
      </c>
      <c r="C85" s="59" t="s">
        <v>3082</v>
      </c>
      <c r="D85" s="59" t="s">
        <v>3153</v>
      </c>
      <c r="E85" s="59" t="s">
        <v>3100</v>
      </c>
      <c r="F85" s="59" t="s">
        <v>3132</v>
      </c>
      <c r="G85" s="59" t="s">
        <v>3086</v>
      </c>
      <c r="H85" s="59" t="s">
        <v>3087</v>
      </c>
      <c r="I85" s="59" t="s">
        <v>18</v>
      </c>
    </row>
    <row r="86">
      <c r="A86" s="85" t="s">
        <v>784</v>
      </c>
      <c r="B86" s="59" t="s">
        <v>2934</v>
      </c>
      <c r="C86" s="59" t="s">
        <v>3082</v>
      </c>
      <c r="D86" s="59" t="s">
        <v>3154</v>
      </c>
      <c r="E86" s="59" t="s">
        <v>3102</v>
      </c>
      <c r="F86" s="59" t="s">
        <v>3132</v>
      </c>
      <c r="G86" s="59" t="s">
        <v>3086</v>
      </c>
      <c r="H86" s="59" t="s">
        <v>3087</v>
      </c>
      <c r="I86" s="59" t="s">
        <v>18</v>
      </c>
    </row>
    <row r="87">
      <c r="A87" s="85" t="s">
        <v>789</v>
      </c>
      <c r="B87" s="59" t="s">
        <v>2934</v>
      </c>
      <c r="C87" s="59" t="s">
        <v>3082</v>
      </c>
      <c r="D87" s="59" t="s">
        <v>3155</v>
      </c>
      <c r="E87" s="59" t="s">
        <v>3104</v>
      </c>
      <c r="F87" s="59" t="s">
        <v>3132</v>
      </c>
      <c r="G87" s="59" t="s">
        <v>3086</v>
      </c>
      <c r="H87" s="59" t="s">
        <v>3087</v>
      </c>
      <c r="I87" s="59" t="s">
        <v>18</v>
      </c>
    </row>
    <row r="88">
      <c r="A88" s="85" t="s">
        <v>793</v>
      </c>
      <c r="B88" s="59" t="s">
        <v>2934</v>
      </c>
      <c r="C88" s="59" t="s">
        <v>3082</v>
      </c>
      <c r="D88" s="59" t="s">
        <v>3156</v>
      </c>
      <c r="E88" s="59" t="s">
        <v>3111</v>
      </c>
      <c r="F88" s="59" t="s">
        <v>3157</v>
      </c>
      <c r="G88" s="59" t="s">
        <v>3086</v>
      </c>
      <c r="H88" s="59" t="s">
        <v>3087</v>
      </c>
      <c r="I88" s="59" t="s">
        <v>18</v>
      </c>
    </row>
    <row r="89">
      <c r="A89" s="85" t="s">
        <v>798</v>
      </c>
      <c r="B89" s="59" t="s">
        <v>2934</v>
      </c>
      <c r="C89" s="59" t="s">
        <v>3082</v>
      </c>
      <c r="D89" s="59" t="s">
        <v>3158</v>
      </c>
      <c r="E89" s="59" t="s">
        <v>3111</v>
      </c>
      <c r="F89" s="59" t="s">
        <v>3159</v>
      </c>
      <c r="G89" s="59" t="s">
        <v>3086</v>
      </c>
      <c r="H89" s="59" t="s">
        <v>3160</v>
      </c>
      <c r="I89" s="59" t="s">
        <v>18</v>
      </c>
    </row>
    <row r="90">
      <c r="A90" s="85" t="s">
        <v>804</v>
      </c>
      <c r="B90" s="59" t="s">
        <v>2934</v>
      </c>
      <c r="C90" s="59" t="s">
        <v>3082</v>
      </c>
      <c r="D90" s="59" t="s">
        <v>3161</v>
      </c>
      <c r="E90" s="59" t="s">
        <v>3113</v>
      </c>
      <c r="F90" s="59" t="s">
        <v>3162</v>
      </c>
      <c r="G90" s="59" t="s">
        <v>3086</v>
      </c>
      <c r="H90" s="59" t="s">
        <v>3087</v>
      </c>
      <c r="I90" s="59" t="s">
        <v>18</v>
      </c>
    </row>
    <row r="91">
      <c r="A91" s="85" t="s">
        <v>807</v>
      </c>
      <c r="B91" s="59" t="s">
        <v>2934</v>
      </c>
      <c r="C91" s="59" t="s">
        <v>3082</v>
      </c>
      <c r="D91" s="59" t="s">
        <v>3163</v>
      </c>
      <c r="E91" s="59" t="s">
        <v>3115</v>
      </c>
      <c r="F91" s="59" t="s">
        <v>3164</v>
      </c>
      <c r="G91" s="59" t="s">
        <v>3086</v>
      </c>
      <c r="H91" s="59" t="s">
        <v>3087</v>
      </c>
      <c r="I91" s="59" t="s">
        <v>18</v>
      </c>
    </row>
    <row r="92">
      <c r="A92" s="85" t="s">
        <v>812</v>
      </c>
      <c r="B92" s="59" t="s">
        <v>2934</v>
      </c>
      <c r="C92" s="59" t="s">
        <v>3082</v>
      </c>
      <c r="D92" s="59" t="s">
        <v>3165</v>
      </c>
      <c r="E92" s="59" t="s">
        <v>3117</v>
      </c>
      <c r="F92" s="59" t="s">
        <v>3166</v>
      </c>
      <c r="G92" s="59" t="s">
        <v>3086</v>
      </c>
      <c r="H92" s="59" t="s">
        <v>3087</v>
      </c>
      <c r="I92" s="59" t="s">
        <v>18</v>
      </c>
    </row>
    <row r="93">
      <c r="A93" s="85" t="s">
        <v>816</v>
      </c>
      <c r="B93" s="59" t="s">
        <v>2934</v>
      </c>
      <c r="C93" s="59" t="s">
        <v>3082</v>
      </c>
      <c r="D93" s="59" t="s">
        <v>3167</v>
      </c>
      <c r="E93" s="59" t="s">
        <v>3119</v>
      </c>
      <c r="F93" s="59" t="s">
        <v>3168</v>
      </c>
      <c r="G93" s="59" t="s">
        <v>3086</v>
      </c>
      <c r="H93" s="59" t="s">
        <v>3087</v>
      </c>
      <c r="I93" s="59" t="s">
        <v>18</v>
      </c>
    </row>
    <row r="94">
      <c r="A94" s="85" t="s">
        <v>820</v>
      </c>
      <c r="B94" s="59" t="s">
        <v>2934</v>
      </c>
      <c r="C94" s="59" t="s">
        <v>3082</v>
      </c>
      <c r="D94" s="59" t="s">
        <v>3169</v>
      </c>
      <c r="E94" s="59" t="s">
        <v>3121</v>
      </c>
      <c r="F94" s="59" t="s">
        <v>3170</v>
      </c>
      <c r="G94" s="59" t="s">
        <v>3086</v>
      </c>
      <c r="H94" s="59" t="s">
        <v>3087</v>
      </c>
      <c r="I94" s="59" t="s">
        <v>18</v>
      </c>
    </row>
    <row r="95">
      <c r="A95" s="85" t="s">
        <v>824</v>
      </c>
      <c r="B95" s="59" t="s">
        <v>2934</v>
      </c>
      <c r="C95" s="59" t="s">
        <v>3082</v>
      </c>
      <c r="D95" s="59" t="s">
        <v>3171</v>
      </c>
      <c r="E95" s="59" t="s">
        <v>3123</v>
      </c>
      <c r="F95" s="59" t="s">
        <v>3172</v>
      </c>
      <c r="G95" s="59" t="s">
        <v>3086</v>
      </c>
      <c r="H95" s="59" t="s">
        <v>3087</v>
      </c>
      <c r="I95" s="59" t="s">
        <v>18</v>
      </c>
    </row>
    <row r="96">
      <c r="A96" s="85" t="s">
        <v>827</v>
      </c>
      <c r="B96" s="59" t="s">
        <v>2934</v>
      </c>
      <c r="C96" s="59" t="s">
        <v>3082</v>
      </c>
      <c r="D96" s="59" t="s">
        <v>3173</v>
      </c>
      <c r="E96" s="59" t="s">
        <v>3125</v>
      </c>
      <c r="F96" s="59" t="s">
        <v>3174</v>
      </c>
      <c r="G96" s="59" t="s">
        <v>3086</v>
      </c>
      <c r="H96" s="59" t="s">
        <v>3087</v>
      </c>
      <c r="I96" s="59" t="s">
        <v>18</v>
      </c>
    </row>
    <row r="97">
      <c r="A97" s="85" t="s">
        <v>831</v>
      </c>
      <c r="B97" s="59" t="s">
        <v>2934</v>
      </c>
      <c r="C97" s="59" t="s">
        <v>3082</v>
      </c>
      <c r="D97" s="59" t="s">
        <v>3175</v>
      </c>
      <c r="E97" s="59" t="s">
        <v>3127</v>
      </c>
      <c r="F97" s="59" t="s">
        <v>3176</v>
      </c>
      <c r="G97" s="59" t="s">
        <v>3086</v>
      </c>
      <c r="H97" s="59" t="s">
        <v>3087</v>
      </c>
      <c r="I97" s="59" t="s">
        <v>18</v>
      </c>
    </row>
    <row r="98">
      <c r="A98" s="85" t="s">
        <v>835</v>
      </c>
      <c r="B98" s="59" t="s">
        <v>2934</v>
      </c>
      <c r="C98" s="59" t="s">
        <v>3082</v>
      </c>
      <c r="D98" s="59" t="s">
        <v>3177</v>
      </c>
      <c r="E98" s="59" t="s">
        <v>3129</v>
      </c>
      <c r="F98" s="59" t="s">
        <v>3178</v>
      </c>
      <c r="G98" s="59" t="s">
        <v>3086</v>
      </c>
      <c r="H98" s="59" t="s">
        <v>3087</v>
      </c>
      <c r="I98" s="59" t="s">
        <v>18</v>
      </c>
    </row>
    <row r="99">
      <c r="A99" s="85" t="s">
        <v>840</v>
      </c>
      <c r="B99" s="59" t="s">
        <v>2934</v>
      </c>
      <c r="C99" s="59" t="s">
        <v>3082</v>
      </c>
      <c r="D99" s="59" t="s">
        <v>3179</v>
      </c>
      <c r="E99" s="59" t="s">
        <v>3111</v>
      </c>
      <c r="F99" s="59" t="s">
        <v>3180</v>
      </c>
      <c r="G99" s="59" t="s">
        <v>3086</v>
      </c>
      <c r="H99" s="59" t="s">
        <v>3087</v>
      </c>
      <c r="I99" s="59" t="s">
        <v>18</v>
      </c>
    </row>
    <row r="100">
      <c r="A100" s="85" t="s">
        <v>844</v>
      </c>
      <c r="B100" s="59" t="s">
        <v>2934</v>
      </c>
      <c r="C100" s="59" t="s">
        <v>3082</v>
      </c>
      <c r="D100" s="59" t="s">
        <v>3181</v>
      </c>
      <c r="E100" s="59" t="s">
        <v>3084</v>
      </c>
      <c r="F100" s="59" t="s">
        <v>3182</v>
      </c>
      <c r="G100" s="59" t="s">
        <v>3086</v>
      </c>
      <c r="H100" s="59" t="s">
        <v>3087</v>
      </c>
      <c r="I100" s="59" t="s">
        <v>18</v>
      </c>
    </row>
    <row r="101">
      <c r="A101" s="85" t="s">
        <v>848</v>
      </c>
      <c r="B101" s="59" t="s">
        <v>2934</v>
      </c>
      <c r="C101" s="59" t="s">
        <v>3082</v>
      </c>
      <c r="D101" s="59" t="s">
        <v>3183</v>
      </c>
      <c r="E101" s="59" t="s">
        <v>3184</v>
      </c>
      <c r="F101" s="59" t="s">
        <v>3090</v>
      </c>
      <c r="G101" s="59" t="s">
        <v>3086</v>
      </c>
      <c r="H101" s="59" t="s">
        <v>3087</v>
      </c>
      <c r="I101" s="59" t="s">
        <v>18</v>
      </c>
    </row>
    <row r="102">
      <c r="A102" s="85" t="s">
        <v>851</v>
      </c>
      <c r="B102" s="59" t="s">
        <v>2934</v>
      </c>
      <c r="C102" s="59" t="s">
        <v>3082</v>
      </c>
      <c r="D102" s="59" t="s">
        <v>3183</v>
      </c>
      <c r="E102" s="59" t="s">
        <v>3185</v>
      </c>
      <c r="F102" s="59" t="s">
        <v>3090</v>
      </c>
      <c r="G102" s="59" t="s">
        <v>3086</v>
      </c>
      <c r="H102" s="59" t="s">
        <v>3087</v>
      </c>
      <c r="I102" s="59" t="s">
        <v>18</v>
      </c>
    </row>
    <row r="103">
      <c r="A103" s="85" t="s">
        <v>854</v>
      </c>
      <c r="B103" s="59" t="s">
        <v>2934</v>
      </c>
      <c r="C103" s="59" t="s">
        <v>3082</v>
      </c>
      <c r="D103" s="59" t="s">
        <v>3183</v>
      </c>
      <c r="E103" s="59" t="s">
        <v>3186</v>
      </c>
      <c r="F103" s="59" t="s">
        <v>3090</v>
      </c>
      <c r="G103" s="59" t="s">
        <v>3086</v>
      </c>
      <c r="H103" s="59" t="s">
        <v>3087</v>
      </c>
      <c r="I103" s="59" t="s">
        <v>18</v>
      </c>
    </row>
    <row r="104">
      <c r="A104" s="85" t="s">
        <v>858</v>
      </c>
      <c r="B104" s="59" t="s">
        <v>2934</v>
      </c>
      <c r="C104" s="59" t="s">
        <v>3082</v>
      </c>
      <c r="D104" s="59" t="s">
        <v>3183</v>
      </c>
      <c r="E104" s="59" t="s">
        <v>3187</v>
      </c>
      <c r="F104" s="59" t="s">
        <v>3090</v>
      </c>
      <c r="G104" s="59" t="s">
        <v>3086</v>
      </c>
      <c r="H104" s="59" t="s">
        <v>3087</v>
      </c>
      <c r="I104" s="59" t="s">
        <v>18</v>
      </c>
    </row>
    <row r="105">
      <c r="A105" s="85" t="s">
        <v>862</v>
      </c>
      <c r="B105" s="59" t="s">
        <v>2934</v>
      </c>
      <c r="C105" s="59" t="s">
        <v>3082</v>
      </c>
      <c r="D105" s="59" t="s">
        <v>3183</v>
      </c>
      <c r="E105" s="59" t="s">
        <v>3188</v>
      </c>
      <c r="F105" s="59" t="s">
        <v>3090</v>
      </c>
      <c r="G105" s="59" t="s">
        <v>3086</v>
      </c>
      <c r="H105" s="59" t="s">
        <v>3087</v>
      </c>
      <c r="I105" s="59" t="s">
        <v>18</v>
      </c>
    </row>
    <row r="106">
      <c r="A106" s="85" t="s">
        <v>866</v>
      </c>
      <c r="B106" s="59" t="s">
        <v>2934</v>
      </c>
      <c r="C106" s="59" t="s">
        <v>3082</v>
      </c>
      <c r="D106" s="59" t="s">
        <v>3183</v>
      </c>
      <c r="E106" s="59" t="s">
        <v>3189</v>
      </c>
      <c r="F106" s="59" t="s">
        <v>3090</v>
      </c>
      <c r="G106" s="59" t="s">
        <v>3086</v>
      </c>
      <c r="H106" s="59" t="s">
        <v>3087</v>
      </c>
      <c r="I106" s="59" t="s">
        <v>18</v>
      </c>
    </row>
    <row r="107">
      <c r="A107" s="85" t="s">
        <v>869</v>
      </c>
      <c r="B107" s="59" t="s">
        <v>2934</v>
      </c>
      <c r="C107" s="59" t="s">
        <v>3082</v>
      </c>
      <c r="D107" s="59" t="s">
        <v>3183</v>
      </c>
      <c r="E107" s="59" t="s">
        <v>3190</v>
      </c>
      <c r="F107" s="59" t="s">
        <v>3090</v>
      </c>
      <c r="G107" s="59" t="s">
        <v>3086</v>
      </c>
      <c r="H107" s="59" t="s">
        <v>3087</v>
      </c>
      <c r="I107" s="59" t="s">
        <v>18</v>
      </c>
    </row>
    <row r="108">
      <c r="A108" s="85" t="s">
        <v>872</v>
      </c>
      <c r="B108" s="59" t="s">
        <v>2934</v>
      </c>
      <c r="C108" s="59" t="s">
        <v>3082</v>
      </c>
      <c r="D108" s="59" t="s">
        <v>3183</v>
      </c>
      <c r="E108" s="59" t="s">
        <v>3191</v>
      </c>
      <c r="F108" s="59" t="s">
        <v>3090</v>
      </c>
      <c r="G108" s="59" t="s">
        <v>3086</v>
      </c>
      <c r="H108" s="59" t="s">
        <v>3087</v>
      </c>
      <c r="I108" s="59" t="s">
        <v>18</v>
      </c>
    </row>
    <row r="109">
      <c r="A109" s="85" t="s">
        <v>875</v>
      </c>
      <c r="B109" s="59" t="s">
        <v>2934</v>
      </c>
      <c r="C109" s="59" t="s">
        <v>3082</v>
      </c>
      <c r="D109" s="59" t="s">
        <v>3183</v>
      </c>
      <c r="E109" s="59" t="s">
        <v>3192</v>
      </c>
      <c r="F109" s="59" t="s">
        <v>3090</v>
      </c>
      <c r="G109" s="59" t="s">
        <v>3086</v>
      </c>
      <c r="H109" s="59" t="s">
        <v>3087</v>
      </c>
      <c r="I109" s="59" t="s">
        <v>18</v>
      </c>
    </row>
    <row r="110">
      <c r="A110" s="85" t="s">
        <v>879</v>
      </c>
      <c r="B110" s="59" t="s">
        <v>2934</v>
      </c>
      <c r="C110" s="59" t="s">
        <v>3082</v>
      </c>
      <c r="D110" s="59" t="s">
        <v>3183</v>
      </c>
      <c r="E110" s="59" t="s">
        <v>3193</v>
      </c>
      <c r="F110" s="59" t="s">
        <v>3090</v>
      </c>
      <c r="G110" s="59" t="s">
        <v>3086</v>
      </c>
      <c r="H110" s="59" t="s">
        <v>3087</v>
      </c>
      <c r="I110" s="59" t="s">
        <v>18</v>
      </c>
    </row>
    <row r="111">
      <c r="A111" s="85" t="s">
        <v>882</v>
      </c>
      <c r="B111" s="59" t="s">
        <v>2934</v>
      </c>
      <c r="C111" s="59" t="s">
        <v>3082</v>
      </c>
      <c r="D111" s="59" t="s">
        <v>3183</v>
      </c>
      <c r="E111" s="59" t="s">
        <v>3184</v>
      </c>
      <c r="F111" s="59" t="s">
        <v>3090</v>
      </c>
      <c r="G111" s="59" t="s">
        <v>3086</v>
      </c>
      <c r="H111" s="59" t="s">
        <v>3087</v>
      </c>
      <c r="I111" s="59" t="s">
        <v>18</v>
      </c>
    </row>
    <row r="112">
      <c r="A112" s="85" t="s">
        <v>886</v>
      </c>
      <c r="B112" s="59" t="s">
        <v>2934</v>
      </c>
      <c r="C112" s="59" t="s">
        <v>3082</v>
      </c>
      <c r="D112" s="59" t="s">
        <v>3183</v>
      </c>
      <c r="E112" s="59" t="s">
        <v>3194</v>
      </c>
      <c r="F112" s="59" t="s">
        <v>3195</v>
      </c>
      <c r="G112" s="59" t="s">
        <v>3196</v>
      </c>
      <c r="H112" s="59" t="s">
        <v>3197</v>
      </c>
      <c r="I112" s="59" t="s">
        <v>18</v>
      </c>
    </row>
    <row r="113">
      <c r="A113" s="85" t="s">
        <v>889</v>
      </c>
      <c r="B113" s="59" t="s">
        <v>2934</v>
      </c>
      <c r="C113" s="59" t="s">
        <v>3082</v>
      </c>
      <c r="D113" s="59" t="s">
        <v>3013</v>
      </c>
      <c r="E113" s="59" t="s">
        <v>3198</v>
      </c>
      <c r="F113" s="59" t="s">
        <v>3199</v>
      </c>
      <c r="G113" s="59" t="s">
        <v>3196</v>
      </c>
      <c r="H113" s="59" t="s">
        <v>3197</v>
      </c>
      <c r="I113" s="59" t="s">
        <v>18</v>
      </c>
    </row>
    <row r="114">
      <c r="A114" s="85" t="s">
        <v>891</v>
      </c>
      <c r="B114" s="59" t="s">
        <v>2934</v>
      </c>
      <c r="C114" s="59" t="s">
        <v>3200</v>
      </c>
      <c r="D114" s="59" t="s">
        <v>3013</v>
      </c>
      <c r="E114" s="59" t="s">
        <v>3201</v>
      </c>
      <c r="F114" s="59" t="s">
        <v>3202</v>
      </c>
      <c r="G114" s="59" t="s">
        <v>3203</v>
      </c>
      <c r="H114" s="59" t="s">
        <v>3204</v>
      </c>
      <c r="I114" s="59" t="s">
        <v>13</v>
      </c>
    </row>
    <row r="115">
      <c r="A115" s="85" t="s">
        <v>893</v>
      </c>
      <c r="B115" s="59" t="s">
        <v>2934</v>
      </c>
      <c r="C115" s="59" t="s">
        <v>3200</v>
      </c>
      <c r="D115" s="59" t="s">
        <v>3013</v>
      </c>
      <c r="E115" s="59" t="s">
        <v>3205</v>
      </c>
      <c r="F115" s="59" t="s">
        <v>3206</v>
      </c>
      <c r="G115" s="59" t="s">
        <v>3207</v>
      </c>
      <c r="H115" s="59" t="s">
        <v>3208</v>
      </c>
      <c r="I115" s="59" t="s">
        <v>13</v>
      </c>
    </row>
    <row r="116">
      <c r="A116" s="85" t="s">
        <v>895</v>
      </c>
      <c r="B116" s="59" t="s">
        <v>2934</v>
      </c>
      <c r="C116" s="59" t="s">
        <v>3200</v>
      </c>
      <c r="D116" s="59" t="s">
        <v>3209</v>
      </c>
      <c r="E116" s="59" t="s">
        <v>3210</v>
      </c>
      <c r="F116" s="59" t="s">
        <v>3211</v>
      </c>
      <c r="G116" s="59" t="s">
        <v>3212</v>
      </c>
      <c r="H116" s="59" t="s">
        <v>3213</v>
      </c>
      <c r="I116" s="59" t="s">
        <v>13</v>
      </c>
    </row>
    <row r="117">
      <c r="A117" s="85" t="s">
        <v>900</v>
      </c>
      <c r="B117" s="59" t="s">
        <v>2934</v>
      </c>
      <c r="C117" s="59" t="s">
        <v>401</v>
      </c>
      <c r="D117" s="59" t="s">
        <v>402</v>
      </c>
      <c r="E117" s="59" t="s">
        <v>403</v>
      </c>
      <c r="F117" s="59" t="s">
        <v>3214</v>
      </c>
      <c r="G117" s="59" t="s">
        <v>3215</v>
      </c>
      <c r="H117" s="59" t="s">
        <v>479</v>
      </c>
      <c r="I117" s="59" t="s">
        <v>13</v>
      </c>
    </row>
    <row r="118">
      <c r="A118" s="85" t="s">
        <v>903</v>
      </c>
      <c r="B118" s="59" t="s">
        <v>2934</v>
      </c>
      <c r="C118" s="59" t="s">
        <v>401</v>
      </c>
      <c r="D118" s="59" t="s">
        <v>406</v>
      </c>
      <c r="E118" s="59" t="s">
        <v>407</v>
      </c>
      <c r="F118" s="59" t="s">
        <v>3216</v>
      </c>
      <c r="G118" s="59" t="s">
        <v>3215</v>
      </c>
      <c r="H118" s="59" t="s">
        <v>479</v>
      </c>
      <c r="I118" s="59" t="s">
        <v>13</v>
      </c>
    </row>
    <row r="119">
      <c r="A119" s="85" t="s">
        <v>906</v>
      </c>
      <c r="B119" s="59" t="s">
        <v>2934</v>
      </c>
      <c r="C119" s="59" t="s">
        <v>3082</v>
      </c>
      <c r="D119" s="59" t="s">
        <v>3209</v>
      </c>
      <c r="E119" s="59" t="s">
        <v>3217</v>
      </c>
      <c r="F119" s="59" t="s">
        <v>3218</v>
      </c>
      <c r="G119" s="59" t="s">
        <v>3219</v>
      </c>
      <c r="H119" s="59" t="s">
        <v>3220</v>
      </c>
      <c r="I119" s="59" t="s">
        <v>18</v>
      </c>
    </row>
    <row r="120">
      <c r="A120" s="77" t="s">
        <v>910</v>
      </c>
      <c r="B120" s="59" t="s">
        <v>2934</v>
      </c>
      <c r="C120" s="59" t="s">
        <v>3082</v>
      </c>
      <c r="D120" s="59" t="s">
        <v>3221</v>
      </c>
      <c r="E120" s="59" t="s">
        <v>3222</v>
      </c>
      <c r="F120" s="59" t="s">
        <v>3085</v>
      </c>
      <c r="G120" s="59" t="s">
        <v>3086</v>
      </c>
      <c r="H120" s="59" t="s">
        <v>3087</v>
      </c>
      <c r="I120" s="59" t="s">
        <v>17</v>
      </c>
    </row>
    <row r="121">
      <c r="A121" s="85" t="s">
        <v>914</v>
      </c>
      <c r="B121" s="59" t="s">
        <v>2934</v>
      </c>
      <c r="C121" s="59" t="s">
        <v>3082</v>
      </c>
      <c r="D121" s="59" t="s">
        <v>3223</v>
      </c>
      <c r="E121" s="59" t="s">
        <v>3224</v>
      </c>
      <c r="F121" s="59" t="s">
        <v>3090</v>
      </c>
      <c r="G121" s="59" t="s">
        <v>3086</v>
      </c>
      <c r="H121" s="59" t="s">
        <v>3087</v>
      </c>
      <c r="I121" s="59" t="s">
        <v>17</v>
      </c>
    </row>
    <row r="122">
      <c r="A122" s="85" t="s">
        <v>919</v>
      </c>
      <c r="B122" s="59" t="s">
        <v>2934</v>
      </c>
      <c r="C122" s="59" t="s">
        <v>3082</v>
      </c>
      <c r="D122" s="59" t="s">
        <v>3225</v>
      </c>
      <c r="E122" s="59" t="s">
        <v>3226</v>
      </c>
      <c r="F122" s="59" t="s">
        <v>3085</v>
      </c>
      <c r="G122" s="59" t="s">
        <v>3086</v>
      </c>
      <c r="H122" s="59" t="s">
        <v>3087</v>
      </c>
      <c r="I122" s="59" t="s">
        <v>17</v>
      </c>
    </row>
    <row r="123">
      <c r="A123" s="85" t="s">
        <v>922</v>
      </c>
      <c r="B123" s="59" t="s">
        <v>2934</v>
      </c>
      <c r="C123" s="59" t="s">
        <v>3082</v>
      </c>
      <c r="D123" s="59" t="s">
        <v>3227</v>
      </c>
      <c r="E123" s="59" t="s">
        <v>3228</v>
      </c>
      <c r="F123" s="59" t="s">
        <v>3090</v>
      </c>
      <c r="G123" s="59" t="s">
        <v>3086</v>
      </c>
      <c r="H123" s="59" t="s">
        <v>3087</v>
      </c>
      <c r="I123" s="59" t="s">
        <v>17</v>
      </c>
    </row>
    <row r="124">
      <c r="A124" s="85" t="s">
        <v>925</v>
      </c>
      <c r="B124" s="59" t="s">
        <v>2934</v>
      </c>
      <c r="C124" s="59" t="s">
        <v>3082</v>
      </c>
      <c r="D124" s="59" t="s">
        <v>3229</v>
      </c>
      <c r="E124" s="59" t="s">
        <v>3230</v>
      </c>
      <c r="F124" s="59" t="s">
        <v>3090</v>
      </c>
      <c r="G124" s="59" t="s">
        <v>3086</v>
      </c>
      <c r="H124" s="59" t="s">
        <v>3087</v>
      </c>
      <c r="I124" s="59" t="s">
        <v>17</v>
      </c>
    </row>
    <row r="125">
      <c r="A125" s="85" t="s">
        <v>929</v>
      </c>
      <c r="B125" s="59" t="s">
        <v>2934</v>
      </c>
      <c r="C125" s="59" t="s">
        <v>3082</v>
      </c>
      <c r="D125" s="59" t="s">
        <v>3231</v>
      </c>
      <c r="E125" s="59" t="s">
        <v>3232</v>
      </c>
      <c r="F125" s="59" t="s">
        <v>3090</v>
      </c>
      <c r="G125" s="59" t="s">
        <v>3086</v>
      </c>
      <c r="H125" s="59" t="s">
        <v>3087</v>
      </c>
      <c r="I125" s="59" t="s">
        <v>17</v>
      </c>
    </row>
    <row r="126">
      <c r="A126" s="85" t="s">
        <v>935</v>
      </c>
      <c r="B126" s="59" t="s">
        <v>2934</v>
      </c>
      <c r="C126" s="59" t="s">
        <v>3082</v>
      </c>
      <c r="D126" s="59" t="s">
        <v>3233</v>
      </c>
      <c r="E126" s="59" t="s">
        <v>3234</v>
      </c>
      <c r="F126" s="59" t="s">
        <v>3090</v>
      </c>
      <c r="G126" s="59" t="s">
        <v>3086</v>
      </c>
      <c r="H126" s="59" t="s">
        <v>3087</v>
      </c>
      <c r="I126" s="59" t="s">
        <v>17</v>
      </c>
    </row>
    <row r="127">
      <c r="A127" s="85" t="s">
        <v>938</v>
      </c>
      <c r="B127" s="59" t="s">
        <v>2934</v>
      </c>
      <c r="C127" s="59" t="s">
        <v>3082</v>
      </c>
      <c r="D127" s="59" t="s">
        <v>3235</v>
      </c>
      <c r="E127" s="59" t="s">
        <v>3236</v>
      </c>
      <c r="F127" s="59" t="s">
        <v>3090</v>
      </c>
      <c r="G127" s="59" t="s">
        <v>3086</v>
      </c>
      <c r="H127" s="59" t="s">
        <v>3087</v>
      </c>
      <c r="I127" s="59" t="s">
        <v>17</v>
      </c>
    </row>
    <row r="128">
      <c r="A128" s="85" t="s">
        <v>941</v>
      </c>
      <c r="B128" s="59" t="s">
        <v>2934</v>
      </c>
      <c r="C128" s="59" t="s">
        <v>3082</v>
      </c>
      <c r="D128" s="59" t="s">
        <v>3237</v>
      </c>
      <c r="E128" s="59" t="s">
        <v>3238</v>
      </c>
      <c r="F128" s="59" t="s">
        <v>3090</v>
      </c>
      <c r="G128" s="59" t="s">
        <v>3086</v>
      </c>
      <c r="H128" s="59" t="s">
        <v>3087</v>
      </c>
      <c r="I128" s="59" t="s">
        <v>17</v>
      </c>
    </row>
    <row r="129">
      <c r="A129" s="85" t="s">
        <v>945</v>
      </c>
      <c r="B129" s="59" t="s">
        <v>2934</v>
      </c>
      <c r="C129" s="59" t="s">
        <v>3082</v>
      </c>
      <c r="D129" s="59" t="s">
        <v>3239</v>
      </c>
      <c r="E129" s="59" t="s">
        <v>3240</v>
      </c>
      <c r="F129" s="59" t="s">
        <v>3090</v>
      </c>
      <c r="G129" s="59" t="s">
        <v>3086</v>
      </c>
      <c r="H129" s="59" t="s">
        <v>3087</v>
      </c>
      <c r="I129" s="59" t="s">
        <v>17</v>
      </c>
    </row>
    <row r="130">
      <c r="A130" s="85" t="s">
        <v>948</v>
      </c>
      <c r="B130" s="59" t="s">
        <v>2934</v>
      </c>
      <c r="C130" s="59" t="s">
        <v>3082</v>
      </c>
      <c r="D130" s="59" t="s">
        <v>3241</v>
      </c>
      <c r="E130" s="59" t="s">
        <v>3242</v>
      </c>
      <c r="F130" s="59" t="s">
        <v>3090</v>
      </c>
      <c r="G130" s="59" t="s">
        <v>3086</v>
      </c>
      <c r="H130" s="59" t="s">
        <v>3087</v>
      </c>
      <c r="I130" s="59" t="s">
        <v>17</v>
      </c>
    </row>
    <row r="131">
      <c r="A131" s="85" t="s">
        <v>951</v>
      </c>
      <c r="B131" s="59" t="s">
        <v>2934</v>
      </c>
      <c r="C131" s="59" t="s">
        <v>3082</v>
      </c>
      <c r="D131" s="59" t="s">
        <v>3243</v>
      </c>
      <c r="E131" s="59" t="s">
        <v>3244</v>
      </c>
      <c r="F131" s="59" t="s">
        <v>3090</v>
      </c>
      <c r="G131" s="59" t="s">
        <v>3086</v>
      </c>
      <c r="H131" s="59" t="s">
        <v>3087</v>
      </c>
      <c r="I131" s="59" t="s">
        <v>17</v>
      </c>
    </row>
    <row r="132">
      <c r="A132" s="85" t="s">
        <v>954</v>
      </c>
      <c r="B132" s="59" t="s">
        <v>2934</v>
      </c>
      <c r="C132" s="59" t="s">
        <v>3082</v>
      </c>
      <c r="D132" s="59" t="s">
        <v>3245</v>
      </c>
      <c r="E132" s="59" t="s">
        <v>3222</v>
      </c>
      <c r="F132" s="59" t="s">
        <v>3108</v>
      </c>
      <c r="G132" s="59" t="s">
        <v>3086</v>
      </c>
      <c r="H132" s="59" t="s">
        <v>3109</v>
      </c>
      <c r="I132" s="59" t="s">
        <v>17</v>
      </c>
    </row>
    <row r="133">
      <c r="A133" s="85" t="s">
        <v>957</v>
      </c>
      <c r="B133" s="59" t="s">
        <v>2934</v>
      </c>
      <c r="C133" s="59" t="s">
        <v>3082</v>
      </c>
      <c r="D133" s="59" t="s">
        <v>3246</v>
      </c>
      <c r="E133" s="59" t="s">
        <v>3247</v>
      </c>
      <c r="F133" s="59" t="s">
        <v>3108</v>
      </c>
      <c r="G133" s="59" t="s">
        <v>3086</v>
      </c>
      <c r="H133" s="59" t="s">
        <v>3109</v>
      </c>
      <c r="I133" s="59" t="s">
        <v>17</v>
      </c>
    </row>
    <row r="134">
      <c r="A134" s="85" t="s">
        <v>960</v>
      </c>
      <c r="B134" s="59" t="s">
        <v>2934</v>
      </c>
      <c r="C134" s="59" t="s">
        <v>3082</v>
      </c>
      <c r="D134" s="59" t="s">
        <v>3248</v>
      </c>
      <c r="E134" s="59" t="s">
        <v>3249</v>
      </c>
      <c r="F134" s="59" t="s">
        <v>3108</v>
      </c>
      <c r="G134" s="59" t="s">
        <v>3086</v>
      </c>
      <c r="H134" s="59" t="s">
        <v>3109</v>
      </c>
      <c r="I134" s="59" t="s">
        <v>17</v>
      </c>
    </row>
    <row r="135">
      <c r="A135" s="85" t="s">
        <v>965</v>
      </c>
      <c r="B135" s="59" t="s">
        <v>2934</v>
      </c>
      <c r="C135" s="59" t="s">
        <v>3082</v>
      </c>
      <c r="D135" s="59" t="s">
        <v>3250</v>
      </c>
      <c r="E135" s="59" t="s">
        <v>3251</v>
      </c>
      <c r="F135" s="59" t="s">
        <v>3108</v>
      </c>
      <c r="G135" s="59" t="s">
        <v>3086</v>
      </c>
      <c r="H135" s="59" t="s">
        <v>3109</v>
      </c>
      <c r="I135" s="59" t="s">
        <v>17</v>
      </c>
    </row>
    <row r="136">
      <c r="A136" s="85" t="s">
        <v>968</v>
      </c>
      <c r="B136" s="59" t="s">
        <v>2934</v>
      </c>
      <c r="C136" s="59" t="s">
        <v>3082</v>
      </c>
      <c r="D136" s="59" t="s">
        <v>3252</v>
      </c>
      <c r="E136" s="59" t="s">
        <v>3253</v>
      </c>
      <c r="F136" s="59" t="s">
        <v>3108</v>
      </c>
      <c r="G136" s="59" t="s">
        <v>3086</v>
      </c>
      <c r="H136" s="59" t="s">
        <v>3109</v>
      </c>
      <c r="I136" s="59" t="s">
        <v>17</v>
      </c>
    </row>
    <row r="137">
      <c r="A137" s="85" t="s">
        <v>1307</v>
      </c>
      <c r="B137" s="59" t="s">
        <v>2934</v>
      </c>
      <c r="C137" s="59" t="s">
        <v>3082</v>
      </c>
      <c r="D137" s="59" t="s">
        <v>3254</v>
      </c>
      <c r="E137" s="59" t="s">
        <v>3255</v>
      </c>
      <c r="F137" s="59" t="s">
        <v>3108</v>
      </c>
      <c r="G137" s="59" t="s">
        <v>3086</v>
      </c>
      <c r="H137" s="59" t="s">
        <v>3109</v>
      </c>
      <c r="I137" s="59" t="s">
        <v>17</v>
      </c>
    </row>
    <row r="138">
      <c r="A138" s="85" t="s">
        <v>1308</v>
      </c>
      <c r="B138" s="59" t="s">
        <v>2934</v>
      </c>
      <c r="C138" s="59" t="s">
        <v>3082</v>
      </c>
      <c r="D138" s="59" t="s">
        <v>3256</v>
      </c>
      <c r="E138" s="59" t="s">
        <v>3257</v>
      </c>
      <c r="F138" s="59" t="s">
        <v>3108</v>
      </c>
      <c r="G138" s="59" t="s">
        <v>3086</v>
      </c>
      <c r="H138" s="59" t="s">
        <v>3109</v>
      </c>
      <c r="I138" s="59" t="s">
        <v>17</v>
      </c>
    </row>
    <row r="139">
      <c r="A139" s="85" t="s">
        <v>1309</v>
      </c>
      <c r="B139" s="59" t="s">
        <v>2934</v>
      </c>
      <c r="C139" s="59" t="s">
        <v>3082</v>
      </c>
      <c r="D139" s="59" t="s">
        <v>3258</v>
      </c>
      <c r="E139" s="59" t="s">
        <v>3259</v>
      </c>
      <c r="F139" s="59" t="s">
        <v>3108</v>
      </c>
      <c r="G139" s="59" t="s">
        <v>3086</v>
      </c>
      <c r="H139" s="59" t="s">
        <v>3109</v>
      </c>
      <c r="I139" s="59" t="s">
        <v>17</v>
      </c>
    </row>
    <row r="140">
      <c r="A140" s="85" t="s">
        <v>1310</v>
      </c>
      <c r="B140" s="59" t="s">
        <v>2934</v>
      </c>
      <c r="C140" s="59" t="s">
        <v>3082</v>
      </c>
      <c r="D140" s="59" t="s">
        <v>3260</v>
      </c>
      <c r="E140" s="59" t="s">
        <v>3261</v>
      </c>
      <c r="F140" s="59" t="s">
        <v>3108</v>
      </c>
      <c r="G140" s="59" t="s">
        <v>3086</v>
      </c>
      <c r="H140" s="59" t="s">
        <v>3109</v>
      </c>
      <c r="I140" s="59" t="s">
        <v>17</v>
      </c>
    </row>
    <row r="141">
      <c r="A141" s="85" t="s">
        <v>1311</v>
      </c>
      <c r="B141" s="59" t="s">
        <v>2934</v>
      </c>
      <c r="C141" s="59" t="s">
        <v>3082</v>
      </c>
      <c r="D141" s="59" t="s">
        <v>3262</v>
      </c>
      <c r="E141" s="59" t="s">
        <v>3263</v>
      </c>
      <c r="F141" s="59" t="s">
        <v>3108</v>
      </c>
      <c r="G141" s="59" t="s">
        <v>3086</v>
      </c>
      <c r="H141" s="59" t="s">
        <v>3109</v>
      </c>
      <c r="I141" s="59" t="s">
        <v>17</v>
      </c>
    </row>
    <row r="142">
      <c r="A142" s="85" t="s">
        <v>1313</v>
      </c>
      <c r="B142" s="59" t="s">
        <v>2934</v>
      </c>
      <c r="C142" s="59" t="s">
        <v>3082</v>
      </c>
      <c r="D142" s="59" t="s">
        <v>3264</v>
      </c>
      <c r="E142" s="59" t="s">
        <v>3265</v>
      </c>
      <c r="F142" s="59" t="s">
        <v>3108</v>
      </c>
      <c r="G142" s="59" t="s">
        <v>3086</v>
      </c>
      <c r="H142" s="59" t="s">
        <v>3109</v>
      </c>
      <c r="I142" s="59" t="s">
        <v>17</v>
      </c>
    </row>
    <row r="143">
      <c r="A143" s="85" t="s">
        <v>1315</v>
      </c>
      <c r="B143" s="59" t="s">
        <v>2934</v>
      </c>
      <c r="C143" s="59" t="s">
        <v>3082</v>
      </c>
      <c r="D143" s="59" t="s">
        <v>3266</v>
      </c>
      <c r="E143" s="59" t="s">
        <v>3267</v>
      </c>
      <c r="F143" s="59" t="s">
        <v>3108</v>
      </c>
      <c r="G143" s="59" t="s">
        <v>3086</v>
      </c>
      <c r="H143" s="59" t="s">
        <v>3109</v>
      </c>
      <c r="I143" s="59" t="s">
        <v>17</v>
      </c>
    </row>
    <row r="144">
      <c r="A144" s="85" t="s">
        <v>1319</v>
      </c>
      <c r="B144" s="59" t="s">
        <v>2934</v>
      </c>
      <c r="C144" s="59" t="s">
        <v>3082</v>
      </c>
      <c r="D144" s="59" t="s">
        <v>3268</v>
      </c>
      <c r="E144" s="59" t="s">
        <v>3222</v>
      </c>
      <c r="F144" s="59" t="s">
        <v>3108</v>
      </c>
      <c r="G144" s="59" t="s">
        <v>3086</v>
      </c>
      <c r="H144" s="59" t="s">
        <v>3269</v>
      </c>
      <c r="I144" s="59" t="s">
        <v>17</v>
      </c>
    </row>
    <row r="145">
      <c r="A145" s="85" t="s">
        <v>1321</v>
      </c>
      <c r="B145" s="59" t="s">
        <v>2934</v>
      </c>
      <c r="C145" s="59" t="s">
        <v>3082</v>
      </c>
      <c r="D145" s="59" t="s">
        <v>3270</v>
      </c>
      <c r="E145" s="59" t="s">
        <v>3247</v>
      </c>
      <c r="F145" s="59" t="s">
        <v>3132</v>
      </c>
      <c r="G145" s="59" t="s">
        <v>3086</v>
      </c>
      <c r="H145" s="59" t="s">
        <v>3269</v>
      </c>
      <c r="I145" s="59" t="s">
        <v>17</v>
      </c>
    </row>
    <row r="146">
      <c r="A146" s="85" t="s">
        <v>1323</v>
      </c>
      <c r="B146" s="59" t="s">
        <v>2934</v>
      </c>
      <c r="C146" s="59" t="s">
        <v>3082</v>
      </c>
      <c r="D146" s="59" t="s">
        <v>3271</v>
      </c>
      <c r="E146" s="59" t="s">
        <v>3249</v>
      </c>
      <c r="F146" s="59" t="s">
        <v>3132</v>
      </c>
      <c r="G146" s="59" t="s">
        <v>3086</v>
      </c>
      <c r="H146" s="59" t="s">
        <v>3269</v>
      </c>
      <c r="I146" s="59" t="s">
        <v>17</v>
      </c>
    </row>
    <row r="147">
      <c r="A147" s="85" t="s">
        <v>1324</v>
      </c>
      <c r="B147" s="59" t="s">
        <v>2934</v>
      </c>
      <c r="C147" s="59" t="s">
        <v>3082</v>
      </c>
      <c r="D147" s="59" t="s">
        <v>3272</v>
      </c>
      <c r="E147" s="59" t="s">
        <v>3251</v>
      </c>
      <c r="F147" s="59" t="s">
        <v>3132</v>
      </c>
      <c r="G147" s="59" t="s">
        <v>3086</v>
      </c>
      <c r="H147" s="59" t="s">
        <v>3269</v>
      </c>
      <c r="I147" s="59" t="s">
        <v>17</v>
      </c>
    </row>
    <row r="148">
      <c r="A148" s="85" t="s">
        <v>1327</v>
      </c>
      <c r="B148" s="59" t="s">
        <v>2934</v>
      </c>
      <c r="C148" s="59" t="s">
        <v>3082</v>
      </c>
      <c r="D148" s="59" t="s">
        <v>3273</v>
      </c>
      <c r="E148" s="59" t="s">
        <v>3253</v>
      </c>
      <c r="F148" s="59" t="s">
        <v>3132</v>
      </c>
      <c r="G148" s="59" t="s">
        <v>3086</v>
      </c>
      <c r="H148" s="59" t="s">
        <v>3269</v>
      </c>
      <c r="I148" s="59" t="s">
        <v>17</v>
      </c>
    </row>
    <row r="149">
      <c r="A149" s="85" t="s">
        <v>1329</v>
      </c>
      <c r="B149" s="59" t="s">
        <v>2934</v>
      </c>
      <c r="C149" s="59" t="s">
        <v>3082</v>
      </c>
      <c r="D149" s="59" t="s">
        <v>3274</v>
      </c>
      <c r="E149" s="59" t="s">
        <v>3255</v>
      </c>
      <c r="F149" s="59" t="s">
        <v>3132</v>
      </c>
      <c r="G149" s="59" t="s">
        <v>3086</v>
      </c>
      <c r="H149" s="59" t="s">
        <v>3269</v>
      </c>
      <c r="I149" s="59" t="s">
        <v>17</v>
      </c>
    </row>
    <row r="150">
      <c r="A150" s="85" t="s">
        <v>1331</v>
      </c>
      <c r="B150" s="59" t="s">
        <v>2934</v>
      </c>
      <c r="C150" s="59" t="s">
        <v>3082</v>
      </c>
      <c r="D150" s="59" t="s">
        <v>3275</v>
      </c>
      <c r="E150" s="59" t="s">
        <v>3257</v>
      </c>
      <c r="F150" s="59" t="s">
        <v>3132</v>
      </c>
      <c r="G150" s="59" t="s">
        <v>3086</v>
      </c>
      <c r="H150" s="59" t="s">
        <v>3269</v>
      </c>
      <c r="I150" s="59" t="s">
        <v>17</v>
      </c>
    </row>
    <row r="151">
      <c r="A151" s="85" t="s">
        <v>1333</v>
      </c>
      <c r="B151" s="59" t="s">
        <v>2934</v>
      </c>
      <c r="C151" s="59" t="s">
        <v>3082</v>
      </c>
      <c r="D151" s="59" t="s">
        <v>3276</v>
      </c>
      <c r="E151" s="59" t="s">
        <v>3259</v>
      </c>
      <c r="F151" s="59" t="s">
        <v>3132</v>
      </c>
      <c r="G151" s="59" t="s">
        <v>3086</v>
      </c>
      <c r="H151" s="59" t="s">
        <v>3269</v>
      </c>
      <c r="I151" s="59" t="s">
        <v>17</v>
      </c>
    </row>
    <row r="152">
      <c r="A152" s="85" t="s">
        <v>1335</v>
      </c>
      <c r="B152" s="59" t="s">
        <v>2934</v>
      </c>
      <c r="C152" s="59" t="s">
        <v>3082</v>
      </c>
      <c r="D152" s="59" t="s">
        <v>3277</v>
      </c>
      <c r="E152" s="59" t="s">
        <v>3261</v>
      </c>
      <c r="F152" s="59" t="s">
        <v>3132</v>
      </c>
      <c r="G152" s="59" t="s">
        <v>3086</v>
      </c>
      <c r="H152" s="59" t="s">
        <v>3269</v>
      </c>
      <c r="I152" s="59" t="s">
        <v>17</v>
      </c>
    </row>
    <row r="153">
      <c r="A153" s="85" t="s">
        <v>1337</v>
      </c>
      <c r="B153" s="59" t="s">
        <v>2934</v>
      </c>
      <c r="C153" s="59" t="s">
        <v>3082</v>
      </c>
      <c r="D153" s="59" t="s">
        <v>3278</v>
      </c>
      <c r="E153" s="59" t="s">
        <v>3263</v>
      </c>
      <c r="F153" s="59" t="s">
        <v>3132</v>
      </c>
      <c r="G153" s="59" t="s">
        <v>3086</v>
      </c>
      <c r="H153" s="59" t="s">
        <v>3269</v>
      </c>
      <c r="I153" s="59" t="s">
        <v>17</v>
      </c>
    </row>
    <row r="154">
      <c r="A154" s="85" t="s">
        <v>1339</v>
      </c>
      <c r="B154" s="59" t="s">
        <v>2934</v>
      </c>
      <c r="C154" s="59" t="s">
        <v>3082</v>
      </c>
      <c r="D154" s="59" t="s">
        <v>3279</v>
      </c>
      <c r="E154" s="59" t="s">
        <v>3265</v>
      </c>
      <c r="F154" s="59" t="s">
        <v>3142</v>
      </c>
      <c r="G154" s="59" t="s">
        <v>3086</v>
      </c>
      <c r="H154" s="59" t="s">
        <v>3269</v>
      </c>
      <c r="I154" s="59" t="s">
        <v>17</v>
      </c>
    </row>
    <row r="155">
      <c r="A155" s="85" t="s">
        <v>1341</v>
      </c>
      <c r="B155" s="59" t="s">
        <v>2934</v>
      </c>
      <c r="C155" s="59" t="s">
        <v>3082</v>
      </c>
      <c r="D155" s="59" t="s">
        <v>3280</v>
      </c>
      <c r="E155" s="59" t="s">
        <v>3267</v>
      </c>
      <c r="F155" s="59" t="s">
        <v>3132</v>
      </c>
      <c r="G155" s="59" t="s">
        <v>3086</v>
      </c>
      <c r="H155" s="59" t="s">
        <v>3269</v>
      </c>
      <c r="I155" s="59" t="s">
        <v>17</v>
      </c>
    </row>
    <row r="156">
      <c r="A156" s="85" t="s">
        <v>1343</v>
      </c>
      <c r="B156" s="59" t="s">
        <v>2934</v>
      </c>
      <c r="C156" s="59" t="s">
        <v>3082</v>
      </c>
      <c r="D156" s="59" t="s">
        <v>3281</v>
      </c>
      <c r="E156" s="59" t="s">
        <v>3222</v>
      </c>
      <c r="F156" s="59" t="s">
        <v>3132</v>
      </c>
      <c r="G156" s="59" t="s">
        <v>3086</v>
      </c>
      <c r="H156" s="59" t="s">
        <v>3269</v>
      </c>
      <c r="I156" s="59" t="s">
        <v>17</v>
      </c>
    </row>
    <row r="157">
      <c r="A157" s="85" t="s">
        <v>1345</v>
      </c>
      <c r="B157" s="59" t="s">
        <v>2934</v>
      </c>
      <c r="C157" s="59" t="s">
        <v>3082</v>
      </c>
      <c r="D157" s="59" t="s">
        <v>3282</v>
      </c>
      <c r="E157" s="59" t="s">
        <v>3224</v>
      </c>
      <c r="F157" s="59" t="s">
        <v>3132</v>
      </c>
      <c r="G157" s="59" t="s">
        <v>3086</v>
      </c>
      <c r="H157" s="59" t="s">
        <v>3269</v>
      </c>
      <c r="I157" s="59" t="s">
        <v>17</v>
      </c>
    </row>
    <row r="158">
      <c r="A158" s="85" t="s">
        <v>1347</v>
      </c>
      <c r="B158" s="59" t="s">
        <v>2934</v>
      </c>
      <c r="C158" s="59" t="s">
        <v>3082</v>
      </c>
      <c r="D158" s="59" t="s">
        <v>3283</v>
      </c>
      <c r="E158" s="59" t="s">
        <v>3226</v>
      </c>
      <c r="F158" s="59" t="s">
        <v>3132</v>
      </c>
      <c r="G158" s="59" t="s">
        <v>3086</v>
      </c>
      <c r="H158" s="59" t="s">
        <v>3269</v>
      </c>
      <c r="I158" s="59" t="s">
        <v>17</v>
      </c>
    </row>
    <row r="159">
      <c r="A159" s="85" t="s">
        <v>1349</v>
      </c>
      <c r="B159" s="59" t="s">
        <v>2934</v>
      </c>
      <c r="C159" s="59" t="s">
        <v>3082</v>
      </c>
      <c r="D159" s="59" t="s">
        <v>3284</v>
      </c>
      <c r="E159" s="59" t="s">
        <v>3228</v>
      </c>
      <c r="F159" s="59" t="s">
        <v>3132</v>
      </c>
      <c r="G159" s="59" t="s">
        <v>3086</v>
      </c>
      <c r="H159" s="59" t="s">
        <v>3269</v>
      </c>
      <c r="I159" s="59" t="s">
        <v>17</v>
      </c>
    </row>
    <row r="160">
      <c r="A160" s="85" t="s">
        <v>1351</v>
      </c>
      <c r="B160" s="59" t="s">
        <v>2934</v>
      </c>
      <c r="C160" s="59" t="s">
        <v>3082</v>
      </c>
      <c r="D160" s="59" t="s">
        <v>3285</v>
      </c>
      <c r="E160" s="59" t="s">
        <v>3230</v>
      </c>
      <c r="F160" s="59" t="s">
        <v>3132</v>
      </c>
      <c r="G160" s="59" t="s">
        <v>3086</v>
      </c>
      <c r="H160" s="59" t="s">
        <v>3269</v>
      </c>
      <c r="I160" s="59" t="s">
        <v>17</v>
      </c>
    </row>
    <row r="161">
      <c r="A161" s="85" t="s">
        <v>1353</v>
      </c>
      <c r="B161" s="59" t="s">
        <v>2934</v>
      </c>
      <c r="C161" s="59" t="s">
        <v>3082</v>
      </c>
      <c r="D161" s="59" t="s">
        <v>3286</v>
      </c>
      <c r="E161" s="59" t="s">
        <v>3232</v>
      </c>
      <c r="F161" s="59" t="s">
        <v>3132</v>
      </c>
      <c r="G161" s="59" t="s">
        <v>3086</v>
      </c>
      <c r="H161" s="59" t="s">
        <v>3269</v>
      </c>
      <c r="I161" s="59" t="s">
        <v>17</v>
      </c>
    </row>
    <row r="162">
      <c r="A162" s="85" t="s">
        <v>1356</v>
      </c>
      <c r="B162" s="59" t="s">
        <v>2934</v>
      </c>
      <c r="C162" s="59" t="s">
        <v>3082</v>
      </c>
      <c r="D162" s="59" t="s">
        <v>3287</v>
      </c>
      <c r="E162" s="59" t="s">
        <v>3234</v>
      </c>
      <c r="F162" s="59" t="s">
        <v>3132</v>
      </c>
      <c r="G162" s="59" t="s">
        <v>3086</v>
      </c>
      <c r="H162" s="59" t="s">
        <v>3269</v>
      </c>
      <c r="I162" s="59" t="s">
        <v>17</v>
      </c>
    </row>
    <row r="163">
      <c r="A163" s="85" t="s">
        <v>1358</v>
      </c>
      <c r="B163" s="59" t="s">
        <v>2934</v>
      </c>
      <c r="C163" s="59" t="s">
        <v>3082</v>
      </c>
      <c r="D163" s="59" t="s">
        <v>3288</v>
      </c>
      <c r="E163" s="59" t="s">
        <v>3236</v>
      </c>
      <c r="F163" s="59" t="s">
        <v>3132</v>
      </c>
      <c r="G163" s="59" t="s">
        <v>3086</v>
      </c>
      <c r="H163" s="59" t="s">
        <v>3269</v>
      </c>
      <c r="I163" s="59" t="s">
        <v>17</v>
      </c>
    </row>
    <row r="164">
      <c r="A164" s="85" t="s">
        <v>1360</v>
      </c>
      <c r="B164" s="59" t="s">
        <v>2934</v>
      </c>
      <c r="C164" s="59" t="s">
        <v>3082</v>
      </c>
      <c r="D164" s="59" t="s">
        <v>3289</v>
      </c>
      <c r="E164" s="59" t="s">
        <v>3238</v>
      </c>
      <c r="F164" s="59" t="s">
        <v>3132</v>
      </c>
      <c r="G164" s="59" t="s">
        <v>3086</v>
      </c>
      <c r="H164" s="59" t="s">
        <v>3269</v>
      </c>
      <c r="I164" s="59" t="s">
        <v>17</v>
      </c>
    </row>
    <row r="165">
      <c r="A165" s="85" t="s">
        <v>1362</v>
      </c>
      <c r="B165" s="59" t="s">
        <v>2934</v>
      </c>
      <c r="C165" s="59" t="s">
        <v>3082</v>
      </c>
      <c r="D165" s="59" t="s">
        <v>3290</v>
      </c>
      <c r="E165" s="59" t="s">
        <v>3240</v>
      </c>
      <c r="F165" s="59" t="s">
        <v>3132</v>
      </c>
      <c r="G165" s="59" t="s">
        <v>3086</v>
      </c>
      <c r="H165" s="59" t="s">
        <v>3269</v>
      </c>
      <c r="I165" s="59" t="s">
        <v>17</v>
      </c>
    </row>
    <row r="166">
      <c r="A166" s="85" t="s">
        <v>1364</v>
      </c>
      <c r="B166" s="59" t="s">
        <v>2934</v>
      </c>
      <c r="C166" s="59" t="s">
        <v>3082</v>
      </c>
      <c r="D166" s="59" t="s">
        <v>3291</v>
      </c>
      <c r="E166" s="59" t="s">
        <v>3242</v>
      </c>
      <c r="F166" s="59" t="s">
        <v>3132</v>
      </c>
      <c r="G166" s="59" t="s">
        <v>3086</v>
      </c>
      <c r="H166" s="59" t="s">
        <v>3269</v>
      </c>
      <c r="I166" s="59" t="s">
        <v>17</v>
      </c>
    </row>
    <row r="167">
      <c r="A167" s="85" t="s">
        <v>1366</v>
      </c>
      <c r="B167" s="59" t="s">
        <v>2934</v>
      </c>
      <c r="C167" s="59" t="s">
        <v>3082</v>
      </c>
      <c r="D167" s="59" t="s">
        <v>3292</v>
      </c>
      <c r="E167" s="59" t="s">
        <v>3244</v>
      </c>
      <c r="F167" s="59" t="s">
        <v>3132</v>
      </c>
      <c r="G167" s="59" t="s">
        <v>3086</v>
      </c>
      <c r="H167" s="59" t="s">
        <v>3269</v>
      </c>
      <c r="I167" s="59" t="s">
        <v>17</v>
      </c>
    </row>
    <row r="168">
      <c r="A168" s="85" t="s">
        <v>1368</v>
      </c>
      <c r="B168" s="59" t="s">
        <v>2934</v>
      </c>
      <c r="C168" s="59" t="s">
        <v>3082</v>
      </c>
      <c r="D168" s="59" t="s">
        <v>3293</v>
      </c>
      <c r="E168" s="59" t="s">
        <v>3222</v>
      </c>
      <c r="F168" s="59" t="s">
        <v>3294</v>
      </c>
      <c r="G168" s="59" t="s">
        <v>3086</v>
      </c>
      <c r="H168" s="59" t="s">
        <v>3295</v>
      </c>
      <c r="I168" s="59" t="s">
        <v>17</v>
      </c>
    </row>
    <row r="169">
      <c r="A169" s="85" t="s">
        <v>1370</v>
      </c>
      <c r="B169" s="59" t="s">
        <v>2934</v>
      </c>
      <c r="C169" s="59" t="s">
        <v>3082</v>
      </c>
      <c r="D169" s="59" t="s">
        <v>3296</v>
      </c>
      <c r="E169" s="59" t="s">
        <v>3247</v>
      </c>
      <c r="F169" s="59" t="s">
        <v>3297</v>
      </c>
      <c r="G169" s="59" t="s">
        <v>3086</v>
      </c>
      <c r="H169" s="59" t="s">
        <v>3295</v>
      </c>
      <c r="I169" s="59" t="s">
        <v>17</v>
      </c>
    </row>
    <row r="170">
      <c r="A170" s="85" t="s">
        <v>1372</v>
      </c>
      <c r="B170" s="59" t="s">
        <v>2934</v>
      </c>
      <c r="C170" s="59" t="s">
        <v>3082</v>
      </c>
      <c r="D170" s="59" t="s">
        <v>3298</v>
      </c>
      <c r="E170" s="59" t="s">
        <v>3249</v>
      </c>
      <c r="F170" s="59" t="s">
        <v>3299</v>
      </c>
      <c r="G170" s="59" t="s">
        <v>3086</v>
      </c>
      <c r="H170" s="59" t="s">
        <v>3295</v>
      </c>
      <c r="I170" s="59" t="s">
        <v>17</v>
      </c>
    </row>
    <row r="171">
      <c r="A171" s="85" t="s">
        <v>1373</v>
      </c>
      <c r="B171" s="59" t="s">
        <v>2934</v>
      </c>
      <c r="C171" s="59" t="s">
        <v>3082</v>
      </c>
      <c r="D171" s="59" t="s">
        <v>3300</v>
      </c>
      <c r="E171" s="59" t="s">
        <v>3251</v>
      </c>
      <c r="F171" s="59" t="s">
        <v>3301</v>
      </c>
      <c r="G171" s="59" t="s">
        <v>3086</v>
      </c>
      <c r="H171" s="59" t="s">
        <v>3295</v>
      </c>
      <c r="I171" s="59" t="s">
        <v>17</v>
      </c>
    </row>
    <row r="172">
      <c r="A172" s="85" t="s">
        <v>1376</v>
      </c>
      <c r="B172" s="59" t="s">
        <v>2934</v>
      </c>
      <c r="C172" s="59" t="s">
        <v>3082</v>
      </c>
      <c r="D172" s="59" t="s">
        <v>3302</v>
      </c>
      <c r="E172" s="59" t="s">
        <v>3253</v>
      </c>
      <c r="F172" s="59" t="s">
        <v>3303</v>
      </c>
      <c r="G172" s="59" t="s">
        <v>3086</v>
      </c>
      <c r="H172" s="59" t="s">
        <v>3295</v>
      </c>
      <c r="I172" s="59" t="s">
        <v>17</v>
      </c>
    </row>
    <row r="173">
      <c r="A173" s="85" t="s">
        <v>1378</v>
      </c>
      <c r="B173" s="59" t="s">
        <v>2934</v>
      </c>
      <c r="C173" s="59" t="s">
        <v>3082</v>
      </c>
      <c r="D173" s="59" t="s">
        <v>3304</v>
      </c>
      <c r="E173" s="59" t="s">
        <v>3255</v>
      </c>
      <c r="F173" s="59" t="s">
        <v>3305</v>
      </c>
      <c r="G173" s="59" t="s">
        <v>3086</v>
      </c>
      <c r="H173" s="59" t="s">
        <v>3295</v>
      </c>
      <c r="I173" s="59" t="s">
        <v>17</v>
      </c>
    </row>
    <row r="174">
      <c r="A174" s="85" t="s">
        <v>1380</v>
      </c>
      <c r="B174" s="59" t="s">
        <v>2934</v>
      </c>
      <c r="C174" s="59" t="s">
        <v>3082</v>
      </c>
      <c r="D174" s="59" t="s">
        <v>3306</v>
      </c>
      <c r="E174" s="59" t="s">
        <v>3257</v>
      </c>
      <c r="F174" s="59" t="s">
        <v>3307</v>
      </c>
      <c r="G174" s="59" t="s">
        <v>3086</v>
      </c>
      <c r="H174" s="59" t="s">
        <v>3295</v>
      </c>
      <c r="I174" s="59" t="s">
        <v>17</v>
      </c>
    </row>
    <row r="175">
      <c r="A175" s="85" t="s">
        <v>1382</v>
      </c>
      <c r="B175" s="59" t="s">
        <v>2934</v>
      </c>
      <c r="C175" s="59" t="s">
        <v>3082</v>
      </c>
      <c r="D175" s="59" t="s">
        <v>3308</v>
      </c>
      <c r="E175" s="59" t="s">
        <v>3259</v>
      </c>
      <c r="F175" s="59" t="s">
        <v>3309</v>
      </c>
      <c r="G175" s="59" t="s">
        <v>3086</v>
      </c>
      <c r="H175" s="59" t="s">
        <v>3295</v>
      </c>
      <c r="I175" s="59" t="s">
        <v>17</v>
      </c>
    </row>
    <row r="176">
      <c r="A176" s="85" t="s">
        <v>1385</v>
      </c>
      <c r="B176" s="59" t="s">
        <v>2934</v>
      </c>
      <c r="C176" s="59" t="s">
        <v>3082</v>
      </c>
      <c r="D176" s="59" t="s">
        <v>3310</v>
      </c>
      <c r="E176" s="59" t="s">
        <v>3261</v>
      </c>
      <c r="F176" s="59" t="s">
        <v>3311</v>
      </c>
      <c r="G176" s="59" t="s">
        <v>3086</v>
      </c>
      <c r="H176" s="59" t="s">
        <v>3295</v>
      </c>
      <c r="I176" s="59" t="s">
        <v>17</v>
      </c>
    </row>
    <row r="177">
      <c r="A177" s="85" t="s">
        <v>1387</v>
      </c>
      <c r="B177" s="59" t="s">
        <v>2934</v>
      </c>
      <c r="C177" s="59" t="s">
        <v>3082</v>
      </c>
      <c r="D177" s="59" t="s">
        <v>3312</v>
      </c>
      <c r="E177" s="59" t="s">
        <v>3313</v>
      </c>
      <c r="F177" s="59" t="s">
        <v>3314</v>
      </c>
      <c r="G177" s="59" t="s">
        <v>3086</v>
      </c>
      <c r="H177" s="59" t="s">
        <v>3295</v>
      </c>
      <c r="I177" s="59" t="s">
        <v>17</v>
      </c>
    </row>
    <row r="178">
      <c r="A178" s="85" t="s">
        <v>1389</v>
      </c>
      <c r="B178" s="59" t="s">
        <v>2934</v>
      </c>
      <c r="C178" s="59" t="s">
        <v>3082</v>
      </c>
      <c r="D178" s="59" t="s">
        <v>3315</v>
      </c>
      <c r="E178" s="59" t="s">
        <v>3265</v>
      </c>
      <c r="F178" s="59" t="s">
        <v>3316</v>
      </c>
      <c r="G178" s="59" t="s">
        <v>3086</v>
      </c>
      <c r="H178" s="59" t="s">
        <v>3295</v>
      </c>
      <c r="I178" s="59" t="s">
        <v>17</v>
      </c>
    </row>
    <row r="179">
      <c r="A179" s="85" t="s">
        <v>1391</v>
      </c>
      <c r="B179" s="59" t="s">
        <v>2934</v>
      </c>
      <c r="C179" s="59" t="s">
        <v>3082</v>
      </c>
      <c r="D179" s="59" t="s">
        <v>3317</v>
      </c>
      <c r="E179" s="59" t="s">
        <v>3267</v>
      </c>
      <c r="F179" s="59" t="s">
        <v>3318</v>
      </c>
      <c r="G179" s="59" t="s">
        <v>3086</v>
      </c>
      <c r="H179" s="59" t="s">
        <v>3295</v>
      </c>
      <c r="I179" s="59" t="s">
        <v>17</v>
      </c>
    </row>
    <row r="180">
      <c r="A180" s="85" t="s">
        <v>1393</v>
      </c>
      <c r="B180" s="59" t="s">
        <v>2934</v>
      </c>
      <c r="C180" s="59" t="s">
        <v>3082</v>
      </c>
      <c r="D180" s="59" t="s">
        <v>3319</v>
      </c>
      <c r="E180" s="59" t="s">
        <v>3320</v>
      </c>
      <c r="F180" s="59" t="s">
        <v>3090</v>
      </c>
      <c r="G180" s="59" t="s">
        <v>3086</v>
      </c>
      <c r="H180" s="59" t="s">
        <v>3087</v>
      </c>
      <c r="I180" s="59" t="s">
        <v>17</v>
      </c>
    </row>
    <row r="181">
      <c r="A181" s="85" t="s">
        <v>1395</v>
      </c>
      <c r="B181" s="59" t="s">
        <v>2934</v>
      </c>
      <c r="C181" s="59" t="s">
        <v>3082</v>
      </c>
      <c r="D181" s="59" t="s">
        <v>3321</v>
      </c>
      <c r="E181" s="59" t="s">
        <v>3322</v>
      </c>
      <c r="F181" s="59" t="s">
        <v>3090</v>
      </c>
      <c r="G181" s="59" t="s">
        <v>3086</v>
      </c>
      <c r="H181" s="59" t="s">
        <v>3087</v>
      </c>
      <c r="I181" s="59" t="s">
        <v>17</v>
      </c>
    </row>
    <row r="182">
      <c r="A182" s="85" t="s">
        <v>1397</v>
      </c>
      <c r="B182" s="59" t="s">
        <v>2934</v>
      </c>
      <c r="C182" s="59" t="s">
        <v>3082</v>
      </c>
      <c r="D182" s="59" t="s">
        <v>3323</v>
      </c>
      <c r="E182" s="59" t="s">
        <v>3324</v>
      </c>
      <c r="F182" s="59" t="s">
        <v>3090</v>
      </c>
      <c r="G182" s="59" t="s">
        <v>3086</v>
      </c>
      <c r="H182" s="59" t="s">
        <v>3087</v>
      </c>
      <c r="I182" s="59" t="s">
        <v>17</v>
      </c>
    </row>
    <row r="183">
      <c r="A183" s="85" t="s">
        <v>1399</v>
      </c>
      <c r="B183" s="59" t="s">
        <v>2934</v>
      </c>
      <c r="C183" s="59" t="s">
        <v>3082</v>
      </c>
      <c r="D183" s="59" t="s">
        <v>3325</v>
      </c>
      <c r="E183" s="59" t="s">
        <v>3326</v>
      </c>
      <c r="F183" s="59" t="s">
        <v>3090</v>
      </c>
      <c r="G183" s="59" t="s">
        <v>3086</v>
      </c>
      <c r="H183" s="59" t="s">
        <v>3087</v>
      </c>
      <c r="I183" s="59" t="s">
        <v>17</v>
      </c>
    </row>
    <row r="184">
      <c r="A184" s="85" t="s">
        <v>1401</v>
      </c>
      <c r="B184" s="59" t="s">
        <v>2934</v>
      </c>
      <c r="C184" s="59" t="s">
        <v>3082</v>
      </c>
      <c r="D184" s="59" t="s">
        <v>3327</v>
      </c>
      <c r="E184" s="59" t="s">
        <v>3328</v>
      </c>
      <c r="F184" s="59" t="s">
        <v>3090</v>
      </c>
      <c r="G184" s="59" t="s">
        <v>3086</v>
      </c>
      <c r="H184" s="59" t="s">
        <v>3087</v>
      </c>
      <c r="I184" s="59" t="s">
        <v>17</v>
      </c>
    </row>
    <row r="185">
      <c r="A185" s="85" t="s">
        <v>1403</v>
      </c>
      <c r="B185" s="59" t="s">
        <v>2934</v>
      </c>
      <c r="C185" s="59" t="s">
        <v>3082</v>
      </c>
      <c r="D185" s="59" t="s">
        <v>3329</v>
      </c>
      <c r="E185" s="59" t="s">
        <v>3330</v>
      </c>
      <c r="F185" s="59" t="s">
        <v>3090</v>
      </c>
      <c r="G185" s="59" t="s">
        <v>3086</v>
      </c>
      <c r="H185" s="59" t="s">
        <v>3087</v>
      </c>
      <c r="I185" s="59" t="s">
        <v>17</v>
      </c>
    </row>
    <row r="186">
      <c r="A186" s="85" t="s">
        <v>1405</v>
      </c>
      <c r="B186" s="59" t="s">
        <v>2934</v>
      </c>
      <c r="C186" s="59" t="s">
        <v>3082</v>
      </c>
      <c r="D186" s="59" t="s">
        <v>3331</v>
      </c>
      <c r="E186" s="59" t="s">
        <v>3332</v>
      </c>
      <c r="F186" s="59" t="s">
        <v>3090</v>
      </c>
      <c r="G186" s="59" t="s">
        <v>3086</v>
      </c>
      <c r="H186" s="59" t="s">
        <v>3087</v>
      </c>
      <c r="I186" s="59" t="s">
        <v>17</v>
      </c>
    </row>
    <row r="187">
      <c r="A187" s="85" t="s">
        <v>1407</v>
      </c>
      <c r="B187" s="59" t="s">
        <v>2934</v>
      </c>
      <c r="C187" s="59" t="s">
        <v>3082</v>
      </c>
      <c r="D187" s="59" t="s">
        <v>3333</v>
      </c>
      <c r="E187" s="59" t="s">
        <v>3334</v>
      </c>
      <c r="F187" s="59" t="s">
        <v>3090</v>
      </c>
      <c r="G187" s="59" t="s">
        <v>3086</v>
      </c>
      <c r="H187" s="59" t="s">
        <v>3087</v>
      </c>
      <c r="I187" s="59" t="s">
        <v>17</v>
      </c>
    </row>
    <row r="188">
      <c r="A188" s="85" t="s">
        <v>1409</v>
      </c>
      <c r="B188" s="59" t="s">
        <v>2934</v>
      </c>
      <c r="C188" s="59" t="s">
        <v>3082</v>
      </c>
      <c r="D188" s="59" t="s">
        <v>3335</v>
      </c>
      <c r="E188" s="59" t="s">
        <v>3336</v>
      </c>
      <c r="F188" s="59" t="s">
        <v>3090</v>
      </c>
      <c r="G188" s="59" t="s">
        <v>3086</v>
      </c>
      <c r="H188" s="59" t="s">
        <v>3087</v>
      </c>
      <c r="I188" s="59" t="s">
        <v>17</v>
      </c>
    </row>
    <row r="189">
      <c r="A189" s="85" t="s">
        <v>1411</v>
      </c>
      <c r="B189" s="59" t="s">
        <v>2934</v>
      </c>
      <c r="C189" s="59" t="s">
        <v>3082</v>
      </c>
      <c r="D189" s="59" t="s">
        <v>3337</v>
      </c>
      <c r="E189" s="59" t="s">
        <v>3338</v>
      </c>
      <c r="F189" s="59" t="s">
        <v>3090</v>
      </c>
      <c r="G189" s="59" t="s">
        <v>3086</v>
      </c>
      <c r="H189" s="59" t="s">
        <v>3087</v>
      </c>
      <c r="I189" s="59" t="s">
        <v>17</v>
      </c>
    </row>
    <row r="190">
      <c r="A190" s="85" t="s">
        <v>1413</v>
      </c>
      <c r="B190" s="59" t="s">
        <v>2934</v>
      </c>
      <c r="C190" s="59" t="s">
        <v>3082</v>
      </c>
      <c r="D190" s="59" t="s">
        <v>3339</v>
      </c>
      <c r="E190" s="59" t="s">
        <v>3340</v>
      </c>
      <c r="F190" s="59" t="s">
        <v>3090</v>
      </c>
      <c r="G190" s="59" t="s">
        <v>3086</v>
      </c>
      <c r="H190" s="59" t="s">
        <v>3087</v>
      </c>
      <c r="I190" s="59" t="s">
        <v>17</v>
      </c>
    </row>
    <row r="191">
      <c r="A191" s="85" t="s">
        <v>1415</v>
      </c>
      <c r="B191" s="59" t="s">
        <v>2934</v>
      </c>
      <c r="C191" s="59" t="s">
        <v>3082</v>
      </c>
      <c r="D191" s="59" t="s">
        <v>3341</v>
      </c>
      <c r="E191" s="59" t="s">
        <v>3342</v>
      </c>
      <c r="F191" s="59" t="s">
        <v>3195</v>
      </c>
      <c r="G191" s="59" t="s">
        <v>3196</v>
      </c>
      <c r="H191" s="59" t="s">
        <v>3197</v>
      </c>
      <c r="I191" s="59" t="s">
        <v>17</v>
      </c>
    </row>
    <row r="192">
      <c r="A192" s="85" t="s">
        <v>1417</v>
      </c>
      <c r="B192" s="59" t="s">
        <v>2934</v>
      </c>
      <c r="C192" s="59" t="s">
        <v>3082</v>
      </c>
      <c r="D192" s="59" t="s">
        <v>3343</v>
      </c>
      <c r="E192" s="59" t="s">
        <v>3344</v>
      </c>
      <c r="F192" s="59" t="s">
        <v>3199</v>
      </c>
      <c r="G192" s="59" t="s">
        <v>3196</v>
      </c>
      <c r="H192" s="59" t="s">
        <v>3197</v>
      </c>
      <c r="I192" s="59" t="s">
        <v>17</v>
      </c>
    </row>
    <row r="193">
      <c r="A193" s="85" t="s">
        <v>1419</v>
      </c>
      <c r="B193" s="59" t="s">
        <v>2934</v>
      </c>
      <c r="C193" s="59" t="s">
        <v>3082</v>
      </c>
      <c r="D193" s="59" t="s">
        <v>3209</v>
      </c>
      <c r="E193" s="59" t="s">
        <v>3345</v>
      </c>
      <c r="F193" s="59" t="s">
        <v>3218</v>
      </c>
      <c r="G193" s="59" t="s">
        <v>3219</v>
      </c>
      <c r="H193" s="59" t="s">
        <v>3220</v>
      </c>
      <c r="I193" s="59" t="s">
        <v>17</v>
      </c>
    </row>
    <row r="194">
      <c r="A194" s="85" t="s">
        <v>1421</v>
      </c>
      <c r="B194" s="59" t="s">
        <v>2934</v>
      </c>
      <c r="C194" s="59" t="s">
        <v>3082</v>
      </c>
      <c r="D194" s="59" t="s">
        <v>3346</v>
      </c>
      <c r="E194" s="59" t="s">
        <v>3347</v>
      </c>
      <c r="F194" s="59" t="s">
        <v>3085</v>
      </c>
      <c r="G194" s="59" t="s">
        <v>3086</v>
      </c>
      <c r="H194" s="59" t="s">
        <v>3087</v>
      </c>
      <c r="I194" s="59" t="s">
        <v>16</v>
      </c>
    </row>
    <row r="195">
      <c r="A195" s="85" t="s">
        <v>1423</v>
      </c>
      <c r="B195" s="59" t="s">
        <v>2934</v>
      </c>
      <c r="C195" s="59" t="s">
        <v>3082</v>
      </c>
      <c r="D195" s="59" t="s">
        <v>3348</v>
      </c>
      <c r="E195" s="59" t="s">
        <v>3349</v>
      </c>
      <c r="F195" s="59" t="s">
        <v>3090</v>
      </c>
      <c r="G195" s="59" t="s">
        <v>3086</v>
      </c>
      <c r="H195" s="59" t="s">
        <v>3087</v>
      </c>
      <c r="I195" s="59" t="s">
        <v>16</v>
      </c>
    </row>
    <row r="196">
      <c r="A196" s="85" t="s">
        <v>1424</v>
      </c>
      <c r="B196" s="59" t="s">
        <v>2934</v>
      </c>
      <c r="C196" s="59" t="s">
        <v>3082</v>
      </c>
      <c r="D196" s="59" t="s">
        <v>3350</v>
      </c>
      <c r="E196" s="59" t="s">
        <v>3351</v>
      </c>
      <c r="F196" s="59" t="s">
        <v>3085</v>
      </c>
      <c r="G196" s="59" t="s">
        <v>3086</v>
      </c>
      <c r="H196" s="59" t="s">
        <v>3087</v>
      </c>
      <c r="I196" s="59" t="s">
        <v>16</v>
      </c>
    </row>
    <row r="197">
      <c r="A197" s="85" t="s">
        <v>1426</v>
      </c>
      <c r="B197" s="59" t="s">
        <v>2934</v>
      </c>
      <c r="C197" s="59" t="s">
        <v>3082</v>
      </c>
      <c r="D197" s="59" t="s">
        <v>3352</v>
      </c>
      <c r="E197" s="59" t="s">
        <v>3353</v>
      </c>
      <c r="F197" s="59" t="s">
        <v>3090</v>
      </c>
      <c r="G197" s="59" t="s">
        <v>3086</v>
      </c>
      <c r="H197" s="59" t="s">
        <v>3087</v>
      </c>
      <c r="I197" s="59" t="s">
        <v>16</v>
      </c>
    </row>
    <row r="198">
      <c r="A198" s="85" t="s">
        <v>1428</v>
      </c>
      <c r="B198" s="59" t="s">
        <v>2934</v>
      </c>
      <c r="C198" s="59" t="s">
        <v>3082</v>
      </c>
      <c r="D198" s="59" t="s">
        <v>3354</v>
      </c>
      <c r="E198" s="59" t="s">
        <v>3355</v>
      </c>
      <c r="F198" s="59" t="s">
        <v>3090</v>
      </c>
      <c r="G198" s="59" t="s">
        <v>3086</v>
      </c>
      <c r="H198" s="59" t="s">
        <v>3087</v>
      </c>
      <c r="I198" s="59" t="s">
        <v>16</v>
      </c>
    </row>
    <row r="199">
      <c r="A199" s="85" t="s">
        <v>1430</v>
      </c>
      <c r="B199" s="59" t="s">
        <v>2934</v>
      </c>
      <c r="C199" s="59" t="s">
        <v>3082</v>
      </c>
      <c r="D199" s="59" t="s">
        <v>3356</v>
      </c>
      <c r="E199" s="59" t="s">
        <v>3357</v>
      </c>
      <c r="F199" s="59" t="s">
        <v>3090</v>
      </c>
      <c r="G199" s="59" t="s">
        <v>3086</v>
      </c>
      <c r="H199" s="59" t="s">
        <v>3087</v>
      </c>
      <c r="I199" s="59" t="s">
        <v>16</v>
      </c>
    </row>
    <row r="200">
      <c r="A200" s="85" t="s">
        <v>1432</v>
      </c>
      <c r="B200" s="59" t="s">
        <v>2934</v>
      </c>
      <c r="C200" s="59" t="s">
        <v>3082</v>
      </c>
      <c r="D200" s="59" t="s">
        <v>3358</v>
      </c>
      <c r="E200" s="59" t="s">
        <v>3359</v>
      </c>
      <c r="F200" s="59" t="s">
        <v>3090</v>
      </c>
      <c r="G200" s="59" t="s">
        <v>3086</v>
      </c>
      <c r="H200" s="59" t="s">
        <v>3087</v>
      </c>
      <c r="I200" s="59" t="s">
        <v>16</v>
      </c>
    </row>
    <row r="201">
      <c r="A201" s="85" t="s">
        <v>1434</v>
      </c>
      <c r="B201" s="59" t="s">
        <v>2934</v>
      </c>
      <c r="C201" s="59" t="s">
        <v>3082</v>
      </c>
      <c r="D201" s="59" t="s">
        <v>3360</v>
      </c>
      <c r="E201" s="59" t="s">
        <v>3361</v>
      </c>
      <c r="F201" s="59" t="s">
        <v>3090</v>
      </c>
      <c r="G201" s="59" t="s">
        <v>3086</v>
      </c>
      <c r="H201" s="59" t="s">
        <v>3087</v>
      </c>
      <c r="I201" s="59" t="s">
        <v>16</v>
      </c>
    </row>
    <row r="202">
      <c r="A202" s="85" t="s">
        <v>1435</v>
      </c>
      <c r="B202" s="59" t="s">
        <v>2934</v>
      </c>
      <c r="C202" s="59" t="s">
        <v>3082</v>
      </c>
      <c r="D202" s="59" t="s">
        <v>3362</v>
      </c>
      <c r="E202" s="59" t="s">
        <v>3363</v>
      </c>
      <c r="F202" s="59" t="s">
        <v>3090</v>
      </c>
      <c r="G202" s="59" t="s">
        <v>3086</v>
      </c>
      <c r="H202" s="59" t="s">
        <v>3087</v>
      </c>
      <c r="I202" s="59" t="s">
        <v>16</v>
      </c>
    </row>
    <row r="203">
      <c r="A203" s="85" t="s">
        <v>1437</v>
      </c>
      <c r="B203" s="59" t="s">
        <v>2934</v>
      </c>
      <c r="C203" s="59" t="s">
        <v>3082</v>
      </c>
      <c r="D203" s="59" t="s">
        <v>3364</v>
      </c>
      <c r="E203" s="59" t="s">
        <v>3365</v>
      </c>
      <c r="F203" s="59" t="s">
        <v>3090</v>
      </c>
      <c r="G203" s="59" t="s">
        <v>3086</v>
      </c>
      <c r="H203" s="59" t="s">
        <v>3087</v>
      </c>
      <c r="I203" s="59" t="s">
        <v>16</v>
      </c>
    </row>
    <row r="204">
      <c r="A204" s="85" t="s">
        <v>1439</v>
      </c>
      <c r="B204" s="59" t="s">
        <v>2934</v>
      </c>
      <c r="C204" s="59" t="s">
        <v>3082</v>
      </c>
      <c r="D204" s="59" t="s">
        <v>3366</v>
      </c>
      <c r="E204" s="59" t="s">
        <v>3367</v>
      </c>
      <c r="F204" s="59" t="s">
        <v>3090</v>
      </c>
      <c r="G204" s="59" t="s">
        <v>3086</v>
      </c>
      <c r="H204" s="59" t="s">
        <v>3087</v>
      </c>
      <c r="I204" s="59" t="s">
        <v>16</v>
      </c>
    </row>
    <row r="205">
      <c r="A205" s="85" t="s">
        <v>1440</v>
      </c>
      <c r="B205" s="59" t="s">
        <v>2934</v>
      </c>
      <c r="C205" s="59" t="s">
        <v>3082</v>
      </c>
      <c r="D205" s="59" t="s">
        <v>3368</v>
      </c>
      <c r="E205" s="59" t="s">
        <v>3369</v>
      </c>
      <c r="F205" s="59" t="s">
        <v>3090</v>
      </c>
      <c r="G205" s="59" t="s">
        <v>3086</v>
      </c>
      <c r="H205" s="59" t="s">
        <v>3087</v>
      </c>
      <c r="I205" s="59" t="s">
        <v>16</v>
      </c>
    </row>
    <row r="206">
      <c r="A206" s="85" t="s">
        <v>1441</v>
      </c>
      <c r="B206" s="59" t="s">
        <v>2934</v>
      </c>
      <c r="C206" s="59" t="s">
        <v>3082</v>
      </c>
      <c r="D206" s="59" t="s">
        <v>3370</v>
      </c>
      <c r="E206" s="59" t="s">
        <v>3371</v>
      </c>
      <c r="F206" s="59" t="s">
        <v>3108</v>
      </c>
      <c r="G206" s="59" t="s">
        <v>3086</v>
      </c>
      <c r="H206" s="59" t="s">
        <v>3109</v>
      </c>
      <c r="I206" s="59" t="s">
        <v>16</v>
      </c>
    </row>
    <row r="207">
      <c r="A207" s="85" t="s">
        <v>1443</v>
      </c>
      <c r="B207" s="59" t="s">
        <v>2934</v>
      </c>
      <c r="C207" s="59" t="s">
        <v>3082</v>
      </c>
      <c r="D207" s="59" t="s">
        <v>3372</v>
      </c>
      <c r="E207" s="59" t="s">
        <v>3373</v>
      </c>
      <c r="F207" s="59" t="s">
        <v>3108</v>
      </c>
      <c r="G207" s="59" t="s">
        <v>3086</v>
      </c>
      <c r="H207" s="59" t="s">
        <v>3109</v>
      </c>
      <c r="I207" s="59" t="s">
        <v>16</v>
      </c>
    </row>
    <row r="208">
      <c r="A208" s="85" t="s">
        <v>1444</v>
      </c>
      <c r="B208" s="59" t="s">
        <v>2934</v>
      </c>
      <c r="C208" s="59" t="s">
        <v>3082</v>
      </c>
      <c r="D208" s="59" t="s">
        <v>3374</v>
      </c>
      <c r="E208" s="59" t="s">
        <v>3375</v>
      </c>
      <c r="F208" s="59" t="s">
        <v>3108</v>
      </c>
      <c r="G208" s="59" t="s">
        <v>3086</v>
      </c>
      <c r="H208" s="59" t="s">
        <v>3109</v>
      </c>
      <c r="I208" s="59" t="s">
        <v>16</v>
      </c>
    </row>
    <row r="209">
      <c r="A209" s="85" t="s">
        <v>1445</v>
      </c>
      <c r="B209" s="59" t="s">
        <v>2934</v>
      </c>
      <c r="C209" s="59" t="s">
        <v>3082</v>
      </c>
      <c r="D209" s="59" t="s">
        <v>3376</v>
      </c>
      <c r="E209" s="59" t="s">
        <v>3377</v>
      </c>
      <c r="F209" s="59" t="s">
        <v>3108</v>
      </c>
      <c r="G209" s="59" t="s">
        <v>3086</v>
      </c>
      <c r="H209" s="59" t="s">
        <v>3109</v>
      </c>
      <c r="I209" s="59" t="s">
        <v>16</v>
      </c>
    </row>
    <row r="210">
      <c r="A210" s="85" t="s">
        <v>1446</v>
      </c>
      <c r="B210" s="59" t="s">
        <v>2934</v>
      </c>
      <c r="C210" s="59" t="s">
        <v>3082</v>
      </c>
      <c r="D210" s="59" t="s">
        <v>3378</v>
      </c>
      <c r="E210" s="59" t="s">
        <v>3379</v>
      </c>
      <c r="F210" s="59" t="s">
        <v>3108</v>
      </c>
      <c r="G210" s="59" t="s">
        <v>3086</v>
      </c>
      <c r="H210" s="59" t="s">
        <v>3109</v>
      </c>
      <c r="I210" s="59" t="s">
        <v>16</v>
      </c>
    </row>
    <row r="211">
      <c r="A211" s="85" t="s">
        <v>1447</v>
      </c>
      <c r="B211" s="59" t="s">
        <v>2934</v>
      </c>
      <c r="C211" s="59" t="s">
        <v>3082</v>
      </c>
      <c r="D211" s="59" t="s">
        <v>3380</v>
      </c>
      <c r="E211" s="59" t="s">
        <v>3381</v>
      </c>
      <c r="F211" s="59" t="s">
        <v>3108</v>
      </c>
      <c r="G211" s="59" t="s">
        <v>3086</v>
      </c>
      <c r="H211" s="59" t="s">
        <v>3109</v>
      </c>
      <c r="I211" s="59" t="s">
        <v>16</v>
      </c>
    </row>
    <row r="212">
      <c r="A212" s="85" t="s">
        <v>1448</v>
      </c>
      <c r="B212" s="59" t="s">
        <v>2934</v>
      </c>
      <c r="C212" s="59" t="s">
        <v>3082</v>
      </c>
      <c r="D212" s="59" t="s">
        <v>3382</v>
      </c>
      <c r="E212" s="59" t="s">
        <v>3383</v>
      </c>
      <c r="F212" s="59" t="s">
        <v>3108</v>
      </c>
      <c r="G212" s="59" t="s">
        <v>3086</v>
      </c>
      <c r="H212" s="59" t="s">
        <v>3109</v>
      </c>
      <c r="I212" s="59" t="s">
        <v>16</v>
      </c>
    </row>
    <row r="213">
      <c r="A213" s="85" t="s">
        <v>1995</v>
      </c>
      <c r="B213" s="59" t="s">
        <v>2934</v>
      </c>
      <c r="C213" s="59" t="s">
        <v>3082</v>
      </c>
      <c r="D213" s="59" t="s">
        <v>3384</v>
      </c>
      <c r="E213" s="59" t="s">
        <v>3385</v>
      </c>
      <c r="F213" s="59" t="s">
        <v>3108</v>
      </c>
      <c r="G213" s="59" t="s">
        <v>3086</v>
      </c>
      <c r="H213" s="59" t="s">
        <v>3109</v>
      </c>
      <c r="I213" s="59" t="s">
        <v>16</v>
      </c>
    </row>
    <row r="214">
      <c r="A214" s="85" t="s">
        <v>2000</v>
      </c>
      <c r="B214" s="59" t="s">
        <v>2934</v>
      </c>
      <c r="C214" s="59" t="s">
        <v>3082</v>
      </c>
      <c r="D214" s="59" t="s">
        <v>3386</v>
      </c>
      <c r="E214" s="59" t="s">
        <v>3387</v>
      </c>
      <c r="F214" s="59" t="s">
        <v>3108</v>
      </c>
      <c r="G214" s="59" t="s">
        <v>3086</v>
      </c>
      <c r="H214" s="59" t="s">
        <v>3109</v>
      </c>
      <c r="I214" s="59" t="s">
        <v>16</v>
      </c>
    </row>
    <row r="215">
      <c r="A215" s="85" t="s">
        <v>2003</v>
      </c>
      <c r="B215" s="59" t="s">
        <v>2934</v>
      </c>
      <c r="C215" s="59" t="s">
        <v>3082</v>
      </c>
      <c r="D215" s="59" t="s">
        <v>3388</v>
      </c>
      <c r="E215" s="59" t="s">
        <v>3389</v>
      </c>
      <c r="F215" s="59" t="s">
        <v>3108</v>
      </c>
      <c r="G215" s="59" t="s">
        <v>3086</v>
      </c>
      <c r="H215" s="59" t="s">
        <v>3109</v>
      </c>
      <c r="I215" s="59" t="s">
        <v>16</v>
      </c>
    </row>
    <row r="216">
      <c r="A216" s="85" t="s">
        <v>2004</v>
      </c>
      <c r="B216" s="59" t="s">
        <v>2934</v>
      </c>
      <c r="C216" s="59" t="s">
        <v>3082</v>
      </c>
      <c r="D216" s="59" t="s">
        <v>3390</v>
      </c>
      <c r="E216" s="59" t="s">
        <v>3391</v>
      </c>
      <c r="F216" s="59" t="s">
        <v>3108</v>
      </c>
      <c r="G216" s="59" t="s">
        <v>3086</v>
      </c>
      <c r="H216" s="59" t="s">
        <v>3109</v>
      </c>
      <c r="I216" s="59" t="s">
        <v>16</v>
      </c>
    </row>
    <row r="217">
      <c r="A217" s="85" t="s">
        <v>2005</v>
      </c>
      <c r="B217" s="59" t="s">
        <v>2934</v>
      </c>
      <c r="C217" s="59" t="s">
        <v>3082</v>
      </c>
      <c r="D217" s="59" t="s">
        <v>3392</v>
      </c>
      <c r="E217" s="59" t="s">
        <v>3393</v>
      </c>
      <c r="F217" s="59" t="s">
        <v>3108</v>
      </c>
      <c r="G217" s="59" t="s">
        <v>3086</v>
      </c>
      <c r="H217" s="59" t="s">
        <v>3109</v>
      </c>
      <c r="I217" s="59" t="s">
        <v>16</v>
      </c>
    </row>
    <row r="218">
      <c r="A218" s="85" t="s">
        <v>2006</v>
      </c>
      <c r="B218" s="59" t="s">
        <v>2934</v>
      </c>
      <c r="C218" s="59" t="s">
        <v>3082</v>
      </c>
      <c r="D218" s="59" t="s">
        <v>3394</v>
      </c>
      <c r="E218" s="59" t="s">
        <v>3371</v>
      </c>
      <c r="F218" s="59" t="s">
        <v>3108</v>
      </c>
      <c r="G218" s="59" t="s">
        <v>3086</v>
      </c>
      <c r="H218" s="59" t="s">
        <v>3269</v>
      </c>
      <c r="I218" s="59" t="s">
        <v>16</v>
      </c>
    </row>
    <row r="219">
      <c r="A219" s="85" t="s">
        <v>2007</v>
      </c>
      <c r="B219" s="59" t="s">
        <v>2934</v>
      </c>
      <c r="C219" s="59" t="s">
        <v>3082</v>
      </c>
      <c r="D219" s="59" t="s">
        <v>3395</v>
      </c>
      <c r="E219" s="59" t="s">
        <v>3373</v>
      </c>
      <c r="F219" s="59" t="s">
        <v>3132</v>
      </c>
      <c r="G219" s="59" t="s">
        <v>3086</v>
      </c>
      <c r="H219" s="59" t="s">
        <v>3269</v>
      </c>
      <c r="I219" s="59" t="s">
        <v>16</v>
      </c>
    </row>
    <row r="220">
      <c r="A220" s="85" t="s">
        <v>2008</v>
      </c>
      <c r="B220" s="59" t="s">
        <v>2934</v>
      </c>
      <c r="C220" s="59" t="s">
        <v>3082</v>
      </c>
      <c r="D220" s="59" t="s">
        <v>3396</v>
      </c>
      <c r="E220" s="59" t="s">
        <v>3375</v>
      </c>
      <c r="F220" s="59" t="s">
        <v>3132</v>
      </c>
      <c r="G220" s="59" t="s">
        <v>3086</v>
      </c>
      <c r="H220" s="59" t="s">
        <v>3269</v>
      </c>
      <c r="I220" s="59" t="s">
        <v>16</v>
      </c>
    </row>
    <row r="221">
      <c r="A221" s="85" t="s">
        <v>2009</v>
      </c>
      <c r="B221" s="59" t="s">
        <v>2934</v>
      </c>
      <c r="C221" s="59" t="s">
        <v>3082</v>
      </c>
      <c r="D221" s="59" t="s">
        <v>3397</v>
      </c>
      <c r="E221" s="59" t="s">
        <v>3377</v>
      </c>
      <c r="F221" s="59" t="s">
        <v>3132</v>
      </c>
      <c r="G221" s="59" t="s">
        <v>3086</v>
      </c>
      <c r="H221" s="59" t="s">
        <v>3269</v>
      </c>
      <c r="I221" s="59" t="s">
        <v>16</v>
      </c>
    </row>
    <row r="222">
      <c r="A222" s="85" t="s">
        <v>2010</v>
      </c>
      <c r="B222" s="59" t="s">
        <v>2934</v>
      </c>
      <c r="C222" s="59" t="s">
        <v>3082</v>
      </c>
      <c r="D222" s="59" t="s">
        <v>3398</v>
      </c>
      <c r="E222" s="59" t="s">
        <v>3379</v>
      </c>
      <c r="F222" s="59" t="s">
        <v>3132</v>
      </c>
      <c r="G222" s="59" t="s">
        <v>3086</v>
      </c>
      <c r="H222" s="59" t="s">
        <v>3269</v>
      </c>
      <c r="I222" s="59" t="s">
        <v>16</v>
      </c>
    </row>
    <row r="223">
      <c r="A223" s="85" t="s">
        <v>2011</v>
      </c>
      <c r="B223" s="59" t="s">
        <v>2934</v>
      </c>
      <c r="C223" s="59" t="s">
        <v>3082</v>
      </c>
      <c r="D223" s="59" t="s">
        <v>3399</v>
      </c>
      <c r="E223" s="59" t="s">
        <v>3381</v>
      </c>
      <c r="F223" s="59" t="s">
        <v>3132</v>
      </c>
      <c r="G223" s="59" t="s">
        <v>3086</v>
      </c>
      <c r="H223" s="59" t="s">
        <v>3269</v>
      </c>
      <c r="I223" s="59" t="s">
        <v>16</v>
      </c>
    </row>
    <row r="224">
      <c r="A224" s="85" t="s">
        <v>2012</v>
      </c>
      <c r="B224" s="59" t="s">
        <v>2934</v>
      </c>
      <c r="C224" s="59" t="s">
        <v>3082</v>
      </c>
      <c r="D224" s="59" t="s">
        <v>3400</v>
      </c>
      <c r="E224" s="59" t="s">
        <v>3401</v>
      </c>
      <c r="F224" s="59" t="s">
        <v>3132</v>
      </c>
      <c r="G224" s="59" t="s">
        <v>3086</v>
      </c>
      <c r="H224" s="59" t="s">
        <v>3269</v>
      </c>
      <c r="I224" s="59" t="s">
        <v>16</v>
      </c>
    </row>
    <row r="225">
      <c r="A225" s="85" t="s">
        <v>2014</v>
      </c>
      <c r="B225" s="59" t="s">
        <v>2934</v>
      </c>
      <c r="C225" s="59" t="s">
        <v>3082</v>
      </c>
      <c r="D225" s="59" t="s">
        <v>3402</v>
      </c>
      <c r="E225" s="59" t="s">
        <v>3403</v>
      </c>
      <c r="F225" s="59" t="s">
        <v>3132</v>
      </c>
      <c r="G225" s="59" t="s">
        <v>3086</v>
      </c>
      <c r="H225" s="59" t="s">
        <v>3269</v>
      </c>
      <c r="I225" s="59" t="s">
        <v>16</v>
      </c>
    </row>
    <row r="226">
      <c r="A226" s="85" t="s">
        <v>2017</v>
      </c>
      <c r="B226" s="59" t="s">
        <v>2934</v>
      </c>
      <c r="C226" s="59" t="s">
        <v>3082</v>
      </c>
      <c r="D226" s="59" t="s">
        <v>3404</v>
      </c>
      <c r="E226" s="59" t="s">
        <v>3387</v>
      </c>
      <c r="F226" s="59" t="s">
        <v>3132</v>
      </c>
      <c r="G226" s="59" t="s">
        <v>3086</v>
      </c>
      <c r="H226" s="59" t="s">
        <v>3269</v>
      </c>
      <c r="I226" s="59" t="s">
        <v>16</v>
      </c>
    </row>
    <row r="227">
      <c r="A227" s="85" t="s">
        <v>2018</v>
      </c>
      <c r="B227" s="59" t="s">
        <v>2934</v>
      </c>
      <c r="C227" s="59" t="s">
        <v>3082</v>
      </c>
      <c r="D227" s="59" t="s">
        <v>3405</v>
      </c>
      <c r="E227" s="59" t="s">
        <v>3389</v>
      </c>
      <c r="F227" s="59" t="s">
        <v>3132</v>
      </c>
      <c r="G227" s="59" t="s">
        <v>3086</v>
      </c>
      <c r="H227" s="59" t="s">
        <v>3269</v>
      </c>
      <c r="I227" s="59" t="s">
        <v>16</v>
      </c>
    </row>
    <row r="228">
      <c r="A228" s="85" t="s">
        <v>2020</v>
      </c>
      <c r="B228" s="59" t="s">
        <v>2934</v>
      </c>
      <c r="C228" s="59" t="s">
        <v>3082</v>
      </c>
      <c r="D228" s="59" t="s">
        <v>3406</v>
      </c>
      <c r="E228" s="59" t="s">
        <v>3391</v>
      </c>
      <c r="F228" s="59" t="s">
        <v>3142</v>
      </c>
      <c r="G228" s="59" t="s">
        <v>3086</v>
      </c>
      <c r="H228" s="59" t="s">
        <v>3269</v>
      </c>
      <c r="I228" s="59" t="s">
        <v>16</v>
      </c>
    </row>
    <row r="229">
      <c r="A229" s="85" t="s">
        <v>2022</v>
      </c>
      <c r="B229" s="59" t="s">
        <v>2934</v>
      </c>
      <c r="C229" s="59" t="s">
        <v>3082</v>
      </c>
      <c r="D229" s="59" t="s">
        <v>3407</v>
      </c>
      <c r="E229" s="59" t="s">
        <v>3393</v>
      </c>
      <c r="F229" s="59" t="s">
        <v>3132</v>
      </c>
      <c r="G229" s="59" t="s">
        <v>3086</v>
      </c>
      <c r="H229" s="59" t="s">
        <v>3269</v>
      </c>
      <c r="I229" s="59" t="s">
        <v>16</v>
      </c>
    </row>
    <row r="230">
      <c r="A230" s="85" t="s">
        <v>2024</v>
      </c>
      <c r="B230" s="59" t="s">
        <v>2934</v>
      </c>
      <c r="C230" s="59" t="s">
        <v>3082</v>
      </c>
      <c r="D230" s="59" t="s">
        <v>3408</v>
      </c>
      <c r="E230" s="59" t="s">
        <v>3347</v>
      </c>
      <c r="F230" s="59" t="s">
        <v>3132</v>
      </c>
      <c r="G230" s="59" t="s">
        <v>3086</v>
      </c>
      <c r="H230" s="59" t="s">
        <v>3269</v>
      </c>
      <c r="I230" s="59" t="s">
        <v>16</v>
      </c>
    </row>
    <row r="231">
      <c r="A231" s="85" t="s">
        <v>2026</v>
      </c>
      <c r="B231" s="59" t="s">
        <v>2934</v>
      </c>
      <c r="C231" s="59" t="s">
        <v>3082</v>
      </c>
      <c r="D231" s="59" t="s">
        <v>3409</v>
      </c>
      <c r="E231" s="59" t="s">
        <v>3349</v>
      </c>
      <c r="F231" s="59" t="s">
        <v>3132</v>
      </c>
      <c r="G231" s="59" t="s">
        <v>3086</v>
      </c>
      <c r="H231" s="59" t="s">
        <v>3269</v>
      </c>
      <c r="I231" s="59" t="s">
        <v>16</v>
      </c>
    </row>
    <row r="232">
      <c r="A232" s="85" t="s">
        <v>2028</v>
      </c>
      <c r="B232" s="59" t="s">
        <v>2934</v>
      </c>
      <c r="C232" s="59" t="s">
        <v>3082</v>
      </c>
      <c r="D232" s="59" t="s">
        <v>3410</v>
      </c>
      <c r="E232" s="59" t="s">
        <v>3351</v>
      </c>
      <c r="F232" s="59" t="s">
        <v>3132</v>
      </c>
      <c r="G232" s="59" t="s">
        <v>3086</v>
      </c>
      <c r="H232" s="59" t="s">
        <v>3269</v>
      </c>
      <c r="I232" s="59" t="s">
        <v>16</v>
      </c>
    </row>
    <row r="233">
      <c r="A233" s="85" t="s">
        <v>2030</v>
      </c>
      <c r="B233" s="59" t="s">
        <v>2934</v>
      </c>
      <c r="C233" s="59" t="s">
        <v>3082</v>
      </c>
      <c r="D233" s="59" t="s">
        <v>3411</v>
      </c>
      <c r="E233" s="59" t="s">
        <v>3353</v>
      </c>
      <c r="F233" s="59" t="s">
        <v>3132</v>
      </c>
      <c r="G233" s="59" t="s">
        <v>3086</v>
      </c>
      <c r="H233" s="59" t="s">
        <v>3269</v>
      </c>
      <c r="I233" s="59" t="s">
        <v>16</v>
      </c>
    </row>
    <row r="234">
      <c r="A234" s="85" t="s">
        <v>2032</v>
      </c>
      <c r="B234" s="59" t="s">
        <v>2934</v>
      </c>
      <c r="C234" s="59" t="s">
        <v>3082</v>
      </c>
      <c r="D234" s="59" t="s">
        <v>3412</v>
      </c>
      <c r="E234" s="59" t="s">
        <v>3355</v>
      </c>
      <c r="F234" s="59" t="s">
        <v>3132</v>
      </c>
      <c r="G234" s="59" t="s">
        <v>3086</v>
      </c>
      <c r="H234" s="59" t="s">
        <v>3269</v>
      </c>
      <c r="I234" s="59" t="s">
        <v>16</v>
      </c>
    </row>
    <row r="235">
      <c r="A235" s="85" t="s">
        <v>2034</v>
      </c>
      <c r="B235" s="59" t="s">
        <v>2934</v>
      </c>
      <c r="C235" s="59" t="s">
        <v>3082</v>
      </c>
      <c r="D235" s="59" t="s">
        <v>3413</v>
      </c>
      <c r="E235" s="59" t="s">
        <v>3357</v>
      </c>
      <c r="F235" s="59" t="s">
        <v>3132</v>
      </c>
      <c r="G235" s="59" t="s">
        <v>3086</v>
      </c>
      <c r="H235" s="59" t="s">
        <v>3269</v>
      </c>
      <c r="I235" s="59" t="s">
        <v>16</v>
      </c>
    </row>
    <row r="236">
      <c r="A236" s="85" t="s">
        <v>2035</v>
      </c>
      <c r="B236" s="59" t="s">
        <v>2934</v>
      </c>
      <c r="C236" s="59" t="s">
        <v>3082</v>
      </c>
      <c r="D236" s="59" t="s">
        <v>3414</v>
      </c>
      <c r="E236" s="59" t="s">
        <v>3359</v>
      </c>
      <c r="F236" s="59" t="s">
        <v>3132</v>
      </c>
      <c r="G236" s="59" t="s">
        <v>3086</v>
      </c>
      <c r="H236" s="59" t="s">
        <v>3269</v>
      </c>
      <c r="I236" s="59" t="s">
        <v>16</v>
      </c>
    </row>
    <row r="237">
      <c r="A237" s="85" t="s">
        <v>2036</v>
      </c>
      <c r="B237" s="59" t="s">
        <v>2934</v>
      </c>
      <c r="C237" s="59" t="s">
        <v>3082</v>
      </c>
      <c r="D237" s="59" t="s">
        <v>3415</v>
      </c>
      <c r="E237" s="59" t="s">
        <v>3361</v>
      </c>
      <c r="F237" s="59" t="s">
        <v>3132</v>
      </c>
      <c r="G237" s="59" t="s">
        <v>3086</v>
      </c>
      <c r="H237" s="59" t="s">
        <v>3269</v>
      </c>
      <c r="I237" s="59" t="s">
        <v>16</v>
      </c>
    </row>
    <row r="238">
      <c r="A238" s="85" t="s">
        <v>2037</v>
      </c>
      <c r="B238" s="59" t="s">
        <v>2934</v>
      </c>
      <c r="C238" s="59" t="s">
        <v>3082</v>
      </c>
      <c r="D238" s="59" t="s">
        <v>3416</v>
      </c>
      <c r="E238" s="59" t="s">
        <v>3363</v>
      </c>
      <c r="F238" s="59" t="s">
        <v>3132</v>
      </c>
      <c r="G238" s="59" t="s">
        <v>3086</v>
      </c>
      <c r="H238" s="59" t="s">
        <v>3269</v>
      </c>
      <c r="I238" s="59" t="s">
        <v>16</v>
      </c>
    </row>
    <row r="239">
      <c r="A239" s="85" t="s">
        <v>2039</v>
      </c>
      <c r="B239" s="59" t="s">
        <v>2934</v>
      </c>
      <c r="C239" s="59" t="s">
        <v>3082</v>
      </c>
      <c r="D239" s="59" t="s">
        <v>3417</v>
      </c>
      <c r="E239" s="59" t="s">
        <v>3365</v>
      </c>
      <c r="F239" s="59" t="s">
        <v>3132</v>
      </c>
      <c r="G239" s="59" t="s">
        <v>3086</v>
      </c>
      <c r="H239" s="59" t="s">
        <v>3269</v>
      </c>
      <c r="I239" s="59" t="s">
        <v>16</v>
      </c>
    </row>
    <row r="240">
      <c r="A240" s="85" t="s">
        <v>2041</v>
      </c>
      <c r="B240" s="59" t="s">
        <v>2934</v>
      </c>
      <c r="C240" s="59" t="s">
        <v>3082</v>
      </c>
      <c r="D240" s="59" t="s">
        <v>3418</v>
      </c>
      <c r="E240" s="59" t="s">
        <v>3367</v>
      </c>
      <c r="F240" s="59" t="s">
        <v>3132</v>
      </c>
      <c r="G240" s="59" t="s">
        <v>3086</v>
      </c>
      <c r="H240" s="59" t="s">
        <v>3269</v>
      </c>
      <c r="I240" s="59" t="s">
        <v>16</v>
      </c>
    </row>
    <row r="241">
      <c r="A241" s="85" t="s">
        <v>2043</v>
      </c>
      <c r="B241" s="59" t="s">
        <v>2934</v>
      </c>
      <c r="C241" s="59" t="s">
        <v>3082</v>
      </c>
      <c r="D241" s="59" t="s">
        <v>3419</v>
      </c>
      <c r="E241" s="59" t="s">
        <v>3369</v>
      </c>
      <c r="F241" s="59" t="s">
        <v>3132</v>
      </c>
      <c r="G241" s="59" t="s">
        <v>3086</v>
      </c>
      <c r="H241" s="59" t="s">
        <v>3269</v>
      </c>
      <c r="I241" s="59" t="s">
        <v>16</v>
      </c>
    </row>
    <row r="242">
      <c r="A242" s="85" t="s">
        <v>2045</v>
      </c>
      <c r="B242" s="59" t="s">
        <v>2934</v>
      </c>
      <c r="C242" s="59" t="s">
        <v>3082</v>
      </c>
      <c r="D242" s="59" t="s">
        <v>3420</v>
      </c>
      <c r="E242" s="59" t="s">
        <v>3371</v>
      </c>
      <c r="F242" s="59" t="s">
        <v>3421</v>
      </c>
      <c r="G242" s="59" t="s">
        <v>3086</v>
      </c>
      <c r="H242" s="59" t="s">
        <v>3295</v>
      </c>
      <c r="I242" s="59" t="s">
        <v>16</v>
      </c>
    </row>
    <row r="243">
      <c r="A243" s="85" t="s">
        <v>2047</v>
      </c>
      <c r="B243" s="59" t="s">
        <v>2934</v>
      </c>
      <c r="C243" s="59" t="s">
        <v>3082</v>
      </c>
      <c r="D243" s="59" t="s">
        <v>3420</v>
      </c>
      <c r="E243" s="59" t="s">
        <v>3373</v>
      </c>
      <c r="F243" s="59" t="s">
        <v>3422</v>
      </c>
      <c r="G243" s="59" t="s">
        <v>3086</v>
      </c>
      <c r="H243" s="59" t="s">
        <v>3295</v>
      </c>
      <c r="I243" s="59" t="s">
        <v>16</v>
      </c>
    </row>
    <row r="244">
      <c r="A244" s="85" t="s">
        <v>2049</v>
      </c>
      <c r="B244" s="59" t="s">
        <v>2934</v>
      </c>
      <c r="C244" s="59" t="s">
        <v>3082</v>
      </c>
      <c r="D244" s="59" t="s">
        <v>3420</v>
      </c>
      <c r="E244" s="59" t="s">
        <v>3375</v>
      </c>
      <c r="F244" s="59" t="s">
        <v>3423</v>
      </c>
      <c r="G244" s="59" t="s">
        <v>3086</v>
      </c>
      <c r="H244" s="59" t="s">
        <v>3295</v>
      </c>
      <c r="I244" s="59" t="s">
        <v>16</v>
      </c>
    </row>
    <row r="245">
      <c r="A245" s="85" t="s">
        <v>2051</v>
      </c>
      <c r="B245" s="59" t="s">
        <v>2934</v>
      </c>
      <c r="C245" s="59" t="s">
        <v>3082</v>
      </c>
      <c r="D245" s="59" t="s">
        <v>3420</v>
      </c>
      <c r="E245" s="59" t="s">
        <v>3377</v>
      </c>
      <c r="F245" s="59" t="s">
        <v>3424</v>
      </c>
      <c r="G245" s="59" t="s">
        <v>3086</v>
      </c>
      <c r="H245" s="59" t="s">
        <v>3295</v>
      </c>
      <c r="I245" s="59" t="s">
        <v>16</v>
      </c>
    </row>
    <row r="246">
      <c r="A246" s="85" t="s">
        <v>2053</v>
      </c>
      <c r="B246" s="59" t="s">
        <v>2934</v>
      </c>
      <c r="C246" s="59" t="s">
        <v>3082</v>
      </c>
      <c r="D246" s="59" t="s">
        <v>3420</v>
      </c>
      <c r="E246" s="59" t="s">
        <v>3379</v>
      </c>
      <c r="F246" s="59" t="s">
        <v>3425</v>
      </c>
      <c r="G246" s="59" t="s">
        <v>3086</v>
      </c>
      <c r="H246" s="59" t="s">
        <v>3295</v>
      </c>
      <c r="I246" s="59" t="s">
        <v>16</v>
      </c>
    </row>
    <row r="247">
      <c r="A247" s="85" t="s">
        <v>2055</v>
      </c>
      <c r="B247" s="59" t="s">
        <v>2934</v>
      </c>
      <c r="C247" s="59" t="s">
        <v>3082</v>
      </c>
      <c r="D247" s="59" t="s">
        <v>3420</v>
      </c>
      <c r="E247" s="59" t="s">
        <v>3381</v>
      </c>
      <c r="F247" s="59" t="s">
        <v>3426</v>
      </c>
      <c r="G247" s="59" t="s">
        <v>3086</v>
      </c>
      <c r="H247" s="59" t="s">
        <v>3295</v>
      </c>
      <c r="I247" s="59" t="s">
        <v>16</v>
      </c>
    </row>
    <row r="248">
      <c r="A248" s="85" t="s">
        <v>2057</v>
      </c>
      <c r="B248" s="59" t="s">
        <v>2934</v>
      </c>
      <c r="C248" s="59" t="s">
        <v>3082</v>
      </c>
      <c r="D248" s="59" t="s">
        <v>3420</v>
      </c>
      <c r="E248" s="59" t="s">
        <v>3401</v>
      </c>
      <c r="F248" s="59" t="s">
        <v>3427</v>
      </c>
      <c r="G248" s="59" t="s">
        <v>3086</v>
      </c>
      <c r="H248" s="59" t="s">
        <v>3295</v>
      </c>
      <c r="I248" s="59" t="s">
        <v>16</v>
      </c>
    </row>
    <row r="249">
      <c r="A249" s="85" t="s">
        <v>2059</v>
      </c>
      <c r="B249" s="59" t="s">
        <v>2934</v>
      </c>
      <c r="C249" s="59" t="s">
        <v>3082</v>
      </c>
      <c r="D249" s="59" t="s">
        <v>3420</v>
      </c>
      <c r="E249" s="59" t="s">
        <v>3403</v>
      </c>
      <c r="F249" s="59" t="s">
        <v>3428</v>
      </c>
      <c r="G249" s="59" t="s">
        <v>3086</v>
      </c>
      <c r="H249" s="59" t="s">
        <v>3295</v>
      </c>
      <c r="I249" s="59" t="s">
        <v>16</v>
      </c>
    </row>
    <row r="250">
      <c r="A250" s="85" t="s">
        <v>2061</v>
      </c>
      <c r="B250" s="59" t="s">
        <v>2934</v>
      </c>
      <c r="C250" s="59" t="s">
        <v>3082</v>
      </c>
      <c r="D250" s="59" t="s">
        <v>3420</v>
      </c>
      <c r="E250" s="59" t="s">
        <v>3387</v>
      </c>
      <c r="F250" s="59" t="s">
        <v>3429</v>
      </c>
      <c r="G250" s="59" t="s">
        <v>3086</v>
      </c>
      <c r="H250" s="59" t="s">
        <v>3295</v>
      </c>
      <c r="I250" s="59" t="s">
        <v>16</v>
      </c>
    </row>
    <row r="251">
      <c r="A251" s="85" t="s">
        <v>2062</v>
      </c>
      <c r="B251" s="59" t="s">
        <v>2934</v>
      </c>
      <c r="C251" s="59" t="s">
        <v>3082</v>
      </c>
      <c r="D251" s="59" t="s">
        <v>3430</v>
      </c>
      <c r="E251" s="59" t="s">
        <v>3389</v>
      </c>
      <c r="F251" s="59" t="s">
        <v>3431</v>
      </c>
      <c r="G251" s="59" t="s">
        <v>3086</v>
      </c>
      <c r="H251" s="59" t="s">
        <v>3295</v>
      </c>
      <c r="I251" s="59" t="s">
        <v>16</v>
      </c>
    </row>
    <row r="252">
      <c r="A252" s="85" t="s">
        <v>2064</v>
      </c>
      <c r="B252" s="59" t="s">
        <v>2934</v>
      </c>
      <c r="C252" s="59" t="s">
        <v>3082</v>
      </c>
      <c r="D252" s="59" t="s">
        <v>3432</v>
      </c>
      <c r="E252" s="59" t="s">
        <v>3391</v>
      </c>
      <c r="F252" s="59" t="s">
        <v>3433</v>
      </c>
      <c r="G252" s="59" t="s">
        <v>3086</v>
      </c>
      <c r="H252" s="59" t="s">
        <v>3295</v>
      </c>
      <c r="I252" s="59" t="s">
        <v>16</v>
      </c>
    </row>
    <row r="253">
      <c r="A253" s="85" t="s">
        <v>2066</v>
      </c>
      <c r="B253" s="59" t="s">
        <v>2934</v>
      </c>
      <c r="C253" s="59" t="s">
        <v>3082</v>
      </c>
      <c r="D253" s="59" t="s">
        <v>3183</v>
      </c>
      <c r="E253" s="59" t="s">
        <v>3393</v>
      </c>
      <c r="F253" s="59" t="s">
        <v>3434</v>
      </c>
      <c r="G253" s="59" t="s">
        <v>3086</v>
      </c>
      <c r="H253" s="59" t="s">
        <v>3295</v>
      </c>
      <c r="I253" s="59" t="s">
        <v>16</v>
      </c>
    </row>
    <row r="254">
      <c r="A254" s="85" t="s">
        <v>2068</v>
      </c>
      <c r="B254" s="59" t="s">
        <v>2934</v>
      </c>
      <c r="C254" s="59" t="s">
        <v>3082</v>
      </c>
      <c r="D254" s="59" t="s">
        <v>3183</v>
      </c>
      <c r="E254" s="59" t="s">
        <v>3435</v>
      </c>
      <c r="F254" s="59" t="s">
        <v>3090</v>
      </c>
      <c r="G254" s="59" t="s">
        <v>3086</v>
      </c>
      <c r="H254" s="59" t="s">
        <v>3087</v>
      </c>
      <c r="I254" s="59" t="s">
        <v>16</v>
      </c>
    </row>
    <row r="255">
      <c r="A255" s="85" t="s">
        <v>2070</v>
      </c>
      <c r="B255" s="59" t="s">
        <v>2934</v>
      </c>
      <c r="C255" s="59" t="s">
        <v>3082</v>
      </c>
      <c r="D255" s="59" t="s">
        <v>3183</v>
      </c>
      <c r="E255" s="59" t="s">
        <v>3436</v>
      </c>
      <c r="F255" s="59" t="s">
        <v>3090</v>
      </c>
      <c r="G255" s="59" t="s">
        <v>3086</v>
      </c>
      <c r="H255" s="59" t="s">
        <v>3087</v>
      </c>
      <c r="I255" s="59" t="s">
        <v>16</v>
      </c>
    </row>
    <row r="256">
      <c r="A256" s="85" t="s">
        <v>2072</v>
      </c>
      <c r="B256" s="59" t="s">
        <v>2934</v>
      </c>
      <c r="C256" s="59" t="s">
        <v>3082</v>
      </c>
      <c r="D256" s="59" t="s">
        <v>3183</v>
      </c>
      <c r="E256" s="59" t="s">
        <v>3437</v>
      </c>
      <c r="F256" s="59" t="s">
        <v>3090</v>
      </c>
      <c r="G256" s="59" t="s">
        <v>3086</v>
      </c>
      <c r="H256" s="59" t="s">
        <v>3087</v>
      </c>
      <c r="I256" s="59" t="s">
        <v>16</v>
      </c>
    </row>
    <row r="257">
      <c r="A257" s="85" t="s">
        <v>2073</v>
      </c>
      <c r="B257" s="59" t="s">
        <v>2934</v>
      </c>
      <c r="C257" s="59" t="s">
        <v>3082</v>
      </c>
      <c r="D257" s="59" t="s">
        <v>3183</v>
      </c>
      <c r="E257" s="59" t="s">
        <v>3438</v>
      </c>
      <c r="F257" s="59" t="s">
        <v>3090</v>
      </c>
      <c r="G257" s="59" t="s">
        <v>3086</v>
      </c>
      <c r="H257" s="59" t="s">
        <v>3087</v>
      </c>
      <c r="I257" s="59" t="s">
        <v>16</v>
      </c>
    </row>
    <row r="258">
      <c r="A258" s="85" t="s">
        <v>2074</v>
      </c>
      <c r="B258" s="59" t="s">
        <v>2934</v>
      </c>
      <c r="C258" s="59" t="s">
        <v>3082</v>
      </c>
      <c r="D258" s="59" t="s">
        <v>3183</v>
      </c>
      <c r="E258" s="59" t="s">
        <v>3439</v>
      </c>
      <c r="F258" s="59" t="s">
        <v>3090</v>
      </c>
      <c r="G258" s="59" t="s">
        <v>3086</v>
      </c>
      <c r="H258" s="59" t="s">
        <v>3087</v>
      </c>
      <c r="I258" s="59" t="s">
        <v>16</v>
      </c>
    </row>
    <row r="259">
      <c r="A259" s="85" t="s">
        <v>2076</v>
      </c>
      <c r="B259" s="59" t="s">
        <v>2934</v>
      </c>
      <c r="C259" s="59" t="s">
        <v>3082</v>
      </c>
      <c r="D259" s="59" t="s">
        <v>3183</v>
      </c>
      <c r="E259" s="59" t="s">
        <v>3440</v>
      </c>
      <c r="F259" s="59" t="s">
        <v>3090</v>
      </c>
      <c r="G259" s="59" t="s">
        <v>3086</v>
      </c>
      <c r="H259" s="59" t="s">
        <v>3087</v>
      </c>
      <c r="I259" s="59" t="s">
        <v>16</v>
      </c>
    </row>
    <row r="260">
      <c r="A260" s="85" t="s">
        <v>2078</v>
      </c>
      <c r="B260" s="59" t="s">
        <v>2934</v>
      </c>
      <c r="C260" s="59" t="s">
        <v>3082</v>
      </c>
      <c r="D260" s="59" t="s">
        <v>3183</v>
      </c>
      <c r="E260" s="59" t="s">
        <v>3441</v>
      </c>
      <c r="F260" s="59" t="s">
        <v>3090</v>
      </c>
      <c r="G260" s="59" t="s">
        <v>3086</v>
      </c>
      <c r="H260" s="59" t="s">
        <v>3087</v>
      </c>
      <c r="I260" s="59" t="s">
        <v>16</v>
      </c>
    </row>
    <row r="261">
      <c r="A261" s="85" t="s">
        <v>2080</v>
      </c>
      <c r="B261" s="59" t="s">
        <v>2934</v>
      </c>
      <c r="C261" s="59" t="s">
        <v>3082</v>
      </c>
      <c r="D261" s="59" t="s">
        <v>3183</v>
      </c>
      <c r="E261" s="59" t="s">
        <v>3442</v>
      </c>
      <c r="F261" s="59" t="s">
        <v>3090</v>
      </c>
      <c r="G261" s="59" t="s">
        <v>3086</v>
      </c>
      <c r="H261" s="59" t="s">
        <v>3087</v>
      </c>
      <c r="I261" s="59" t="s">
        <v>16</v>
      </c>
    </row>
    <row r="262">
      <c r="A262" s="85" t="s">
        <v>2081</v>
      </c>
      <c r="B262" s="59" t="s">
        <v>2934</v>
      </c>
      <c r="C262" s="59" t="s">
        <v>3082</v>
      </c>
      <c r="D262" s="59" t="s">
        <v>3183</v>
      </c>
      <c r="E262" s="59" t="s">
        <v>3443</v>
      </c>
      <c r="F262" s="59" t="s">
        <v>3090</v>
      </c>
      <c r="G262" s="59" t="s">
        <v>3086</v>
      </c>
      <c r="H262" s="59" t="s">
        <v>3087</v>
      </c>
      <c r="I262" s="59" t="s">
        <v>16</v>
      </c>
    </row>
    <row r="263">
      <c r="A263" s="85" t="s">
        <v>2083</v>
      </c>
      <c r="B263" s="59" t="s">
        <v>2934</v>
      </c>
      <c r="C263" s="59" t="s">
        <v>3082</v>
      </c>
      <c r="D263" s="59" t="s">
        <v>3183</v>
      </c>
      <c r="E263" s="59" t="s">
        <v>3444</v>
      </c>
      <c r="F263" s="59" t="s">
        <v>3090</v>
      </c>
      <c r="G263" s="59" t="s">
        <v>3086</v>
      </c>
      <c r="H263" s="59" t="s">
        <v>3087</v>
      </c>
      <c r="I263" s="59" t="s">
        <v>16</v>
      </c>
    </row>
    <row r="264">
      <c r="A264" s="85" t="s">
        <v>2085</v>
      </c>
      <c r="B264" s="59" t="s">
        <v>2934</v>
      </c>
      <c r="C264" s="59" t="s">
        <v>3082</v>
      </c>
      <c r="D264" s="59" t="s">
        <v>3183</v>
      </c>
      <c r="E264" s="59" t="s">
        <v>3445</v>
      </c>
      <c r="F264" s="59" t="s">
        <v>3090</v>
      </c>
      <c r="G264" s="59" t="s">
        <v>3086</v>
      </c>
      <c r="H264" s="59" t="s">
        <v>3087</v>
      </c>
      <c r="I264" s="59" t="s">
        <v>16</v>
      </c>
    </row>
    <row r="265">
      <c r="A265" s="85" t="s">
        <v>2087</v>
      </c>
      <c r="B265" s="59" t="s">
        <v>2934</v>
      </c>
      <c r="C265" s="59" t="s">
        <v>3082</v>
      </c>
      <c r="D265" s="59" t="s">
        <v>3446</v>
      </c>
      <c r="E265" s="59" t="s">
        <v>3447</v>
      </c>
      <c r="F265" s="59" t="s">
        <v>3195</v>
      </c>
      <c r="G265" s="59" t="s">
        <v>3196</v>
      </c>
      <c r="H265" s="59" t="s">
        <v>3197</v>
      </c>
      <c r="I265" s="59" t="s">
        <v>16</v>
      </c>
    </row>
    <row r="266">
      <c r="A266" s="85" t="s">
        <v>2089</v>
      </c>
      <c r="B266" s="59" t="s">
        <v>2934</v>
      </c>
      <c r="C266" s="59" t="s">
        <v>3082</v>
      </c>
      <c r="D266" s="59" t="s">
        <v>3013</v>
      </c>
      <c r="E266" s="59" t="s">
        <v>3448</v>
      </c>
      <c r="F266" s="59" t="s">
        <v>3199</v>
      </c>
      <c r="G266" s="59" t="s">
        <v>3196</v>
      </c>
      <c r="H266" s="59" t="s">
        <v>3197</v>
      </c>
      <c r="I266" s="59" t="s">
        <v>16</v>
      </c>
    </row>
    <row r="267">
      <c r="A267" s="85" t="s">
        <v>2090</v>
      </c>
      <c r="B267" s="59" t="s">
        <v>2934</v>
      </c>
      <c r="C267" s="59" t="s">
        <v>3082</v>
      </c>
      <c r="D267" s="59" t="s">
        <v>3209</v>
      </c>
      <c r="E267" s="59" t="s">
        <v>3449</v>
      </c>
      <c r="F267" s="59" t="s">
        <v>3218</v>
      </c>
      <c r="G267" s="59" t="s">
        <v>3219</v>
      </c>
      <c r="H267" s="59" t="s">
        <v>3220</v>
      </c>
      <c r="I267" s="59" t="s">
        <v>16</v>
      </c>
    </row>
    <row r="268">
      <c r="A268" s="85" t="s">
        <v>2092</v>
      </c>
      <c r="B268" s="59" t="s">
        <v>2934</v>
      </c>
      <c r="C268" s="59" t="s">
        <v>3082</v>
      </c>
      <c r="D268" s="59" t="s">
        <v>3450</v>
      </c>
      <c r="E268" s="59" t="s">
        <v>3451</v>
      </c>
      <c r="F268" s="59" t="s">
        <v>3085</v>
      </c>
      <c r="G268" s="59" t="s">
        <v>3086</v>
      </c>
      <c r="H268" s="59" t="s">
        <v>3087</v>
      </c>
      <c r="I268" s="59" t="s">
        <v>15</v>
      </c>
    </row>
    <row r="269">
      <c r="A269" s="85" t="s">
        <v>2094</v>
      </c>
      <c r="B269" s="59" t="s">
        <v>2934</v>
      </c>
      <c r="C269" s="59" t="s">
        <v>3082</v>
      </c>
      <c r="D269" s="59" t="s">
        <v>3452</v>
      </c>
      <c r="E269" s="59" t="s">
        <v>3453</v>
      </c>
      <c r="F269" s="59" t="s">
        <v>3090</v>
      </c>
      <c r="G269" s="59" t="s">
        <v>3086</v>
      </c>
      <c r="H269" s="59" t="s">
        <v>3087</v>
      </c>
      <c r="I269" s="59" t="s">
        <v>15</v>
      </c>
    </row>
    <row r="270">
      <c r="A270" s="85" t="s">
        <v>2096</v>
      </c>
      <c r="B270" s="59" t="s">
        <v>2934</v>
      </c>
      <c r="C270" s="59" t="s">
        <v>3082</v>
      </c>
      <c r="D270" s="59" t="s">
        <v>3454</v>
      </c>
      <c r="E270" s="59" t="s">
        <v>3455</v>
      </c>
      <c r="F270" s="59" t="s">
        <v>3085</v>
      </c>
      <c r="G270" s="59" t="s">
        <v>3086</v>
      </c>
      <c r="H270" s="59" t="s">
        <v>3087</v>
      </c>
      <c r="I270" s="59" t="s">
        <v>15</v>
      </c>
    </row>
    <row r="271">
      <c r="A271" s="85" t="s">
        <v>2098</v>
      </c>
      <c r="B271" s="59" t="s">
        <v>2934</v>
      </c>
      <c r="C271" s="59" t="s">
        <v>3082</v>
      </c>
      <c r="D271" s="59" t="s">
        <v>3456</v>
      </c>
      <c r="E271" s="59" t="s">
        <v>3457</v>
      </c>
      <c r="F271" s="59" t="s">
        <v>3085</v>
      </c>
      <c r="G271" s="59" t="s">
        <v>3086</v>
      </c>
      <c r="H271" s="59" t="s">
        <v>3087</v>
      </c>
      <c r="I271" s="59" t="s">
        <v>15</v>
      </c>
    </row>
    <row r="272">
      <c r="A272" s="85" t="s">
        <v>2100</v>
      </c>
      <c r="B272" s="59" t="s">
        <v>2934</v>
      </c>
      <c r="C272" s="59" t="s">
        <v>3082</v>
      </c>
      <c r="D272" s="59" t="s">
        <v>3458</v>
      </c>
      <c r="E272" s="59" t="s">
        <v>3459</v>
      </c>
      <c r="F272" s="59" t="s">
        <v>3090</v>
      </c>
      <c r="G272" s="59" t="s">
        <v>3086</v>
      </c>
      <c r="H272" s="59" t="s">
        <v>3087</v>
      </c>
      <c r="I272" s="59" t="s">
        <v>15</v>
      </c>
    </row>
    <row r="273">
      <c r="A273" s="85" t="s">
        <v>2102</v>
      </c>
      <c r="B273" s="59" t="s">
        <v>2934</v>
      </c>
      <c r="C273" s="59" t="s">
        <v>3082</v>
      </c>
      <c r="D273" s="59" t="s">
        <v>3460</v>
      </c>
      <c r="E273" s="59" t="s">
        <v>3461</v>
      </c>
      <c r="F273" s="59" t="s">
        <v>3090</v>
      </c>
      <c r="G273" s="59" t="s">
        <v>3086</v>
      </c>
      <c r="H273" s="59" t="s">
        <v>3087</v>
      </c>
      <c r="I273" s="59" t="s">
        <v>15</v>
      </c>
    </row>
    <row r="274">
      <c r="A274" s="85" t="s">
        <v>2104</v>
      </c>
      <c r="B274" s="59" t="s">
        <v>2934</v>
      </c>
      <c r="C274" s="59" t="s">
        <v>3082</v>
      </c>
      <c r="D274" s="59" t="s">
        <v>3462</v>
      </c>
      <c r="E274" s="59" t="s">
        <v>3463</v>
      </c>
      <c r="F274" s="59" t="s">
        <v>3090</v>
      </c>
      <c r="G274" s="59" t="s">
        <v>3086</v>
      </c>
      <c r="H274" s="59" t="s">
        <v>3087</v>
      </c>
      <c r="I274" s="59" t="s">
        <v>15</v>
      </c>
    </row>
    <row r="275">
      <c r="A275" s="85" t="s">
        <v>2106</v>
      </c>
      <c r="B275" s="59" t="s">
        <v>2934</v>
      </c>
      <c r="C275" s="59" t="s">
        <v>3082</v>
      </c>
      <c r="D275" s="59" t="s">
        <v>3464</v>
      </c>
      <c r="E275" s="59" t="s">
        <v>3465</v>
      </c>
      <c r="F275" s="59" t="s">
        <v>3090</v>
      </c>
      <c r="G275" s="59" t="s">
        <v>3086</v>
      </c>
      <c r="H275" s="59" t="s">
        <v>3087</v>
      </c>
      <c r="I275" s="59" t="s">
        <v>15</v>
      </c>
    </row>
    <row r="276">
      <c r="A276" s="85" t="s">
        <v>2108</v>
      </c>
      <c r="B276" s="59" t="s">
        <v>2934</v>
      </c>
      <c r="C276" s="59" t="s">
        <v>3082</v>
      </c>
      <c r="D276" s="59" t="s">
        <v>3466</v>
      </c>
      <c r="E276" s="59" t="s">
        <v>3467</v>
      </c>
      <c r="F276" s="59" t="s">
        <v>3090</v>
      </c>
      <c r="G276" s="59" t="s">
        <v>3086</v>
      </c>
      <c r="H276" s="59" t="s">
        <v>3087</v>
      </c>
      <c r="I276" s="59" t="s">
        <v>15</v>
      </c>
    </row>
    <row r="277">
      <c r="A277" s="85" t="s">
        <v>2110</v>
      </c>
      <c r="B277" s="59" t="s">
        <v>2934</v>
      </c>
      <c r="C277" s="59" t="s">
        <v>3082</v>
      </c>
      <c r="D277" s="59" t="s">
        <v>3468</v>
      </c>
      <c r="E277" s="59" t="s">
        <v>3469</v>
      </c>
      <c r="F277" s="59" t="s">
        <v>3090</v>
      </c>
      <c r="G277" s="59" t="s">
        <v>3086</v>
      </c>
      <c r="H277" s="59" t="s">
        <v>3087</v>
      </c>
      <c r="I277" s="59" t="s">
        <v>15</v>
      </c>
    </row>
    <row r="278">
      <c r="A278" s="85" t="s">
        <v>2112</v>
      </c>
      <c r="B278" s="59" t="s">
        <v>2934</v>
      </c>
      <c r="C278" s="59" t="s">
        <v>3082</v>
      </c>
      <c r="D278" s="59" t="s">
        <v>3470</v>
      </c>
      <c r="E278" s="59" t="s">
        <v>3471</v>
      </c>
      <c r="F278" s="59" t="s">
        <v>3090</v>
      </c>
      <c r="G278" s="59" t="s">
        <v>3086</v>
      </c>
      <c r="H278" s="59" t="s">
        <v>3087</v>
      </c>
      <c r="I278" s="59" t="s">
        <v>15</v>
      </c>
    </row>
    <row r="279">
      <c r="A279" s="85" t="s">
        <v>2114</v>
      </c>
      <c r="B279" s="59" t="s">
        <v>2934</v>
      </c>
      <c r="C279" s="59" t="s">
        <v>3082</v>
      </c>
      <c r="D279" s="59" t="s">
        <v>3472</v>
      </c>
      <c r="E279" s="59" t="s">
        <v>3473</v>
      </c>
      <c r="F279" s="59" t="s">
        <v>3090</v>
      </c>
      <c r="G279" s="59" t="s">
        <v>3086</v>
      </c>
      <c r="H279" s="59" t="s">
        <v>3087</v>
      </c>
      <c r="I279" s="59" t="s">
        <v>15</v>
      </c>
    </row>
    <row r="280">
      <c r="A280" s="85" t="s">
        <v>2116</v>
      </c>
      <c r="B280" s="59" t="s">
        <v>2934</v>
      </c>
      <c r="C280" s="59" t="s">
        <v>3082</v>
      </c>
      <c r="D280" s="59" t="s">
        <v>3474</v>
      </c>
      <c r="E280" s="59" t="s">
        <v>3475</v>
      </c>
      <c r="F280" s="59" t="s">
        <v>3108</v>
      </c>
      <c r="G280" s="59" t="s">
        <v>3086</v>
      </c>
      <c r="H280" s="59" t="s">
        <v>3109</v>
      </c>
      <c r="I280" s="59" t="s">
        <v>15</v>
      </c>
    </row>
    <row r="281">
      <c r="A281" s="85" t="s">
        <v>2118</v>
      </c>
      <c r="B281" s="59" t="s">
        <v>2934</v>
      </c>
      <c r="C281" s="59" t="s">
        <v>3082</v>
      </c>
      <c r="D281" s="59" t="s">
        <v>3476</v>
      </c>
      <c r="E281" s="59" t="s">
        <v>3477</v>
      </c>
      <c r="F281" s="59" t="s">
        <v>3108</v>
      </c>
      <c r="G281" s="59" t="s">
        <v>3086</v>
      </c>
      <c r="H281" s="59" t="s">
        <v>3109</v>
      </c>
      <c r="I281" s="59" t="s">
        <v>15</v>
      </c>
    </row>
    <row r="282">
      <c r="A282" s="85" t="s">
        <v>2120</v>
      </c>
      <c r="B282" s="59" t="s">
        <v>2934</v>
      </c>
      <c r="C282" s="59" t="s">
        <v>3082</v>
      </c>
      <c r="D282" s="59" t="s">
        <v>3478</v>
      </c>
      <c r="E282" s="59" t="s">
        <v>3479</v>
      </c>
      <c r="F282" s="59" t="s">
        <v>3108</v>
      </c>
      <c r="G282" s="59" t="s">
        <v>3086</v>
      </c>
      <c r="H282" s="59" t="s">
        <v>3109</v>
      </c>
      <c r="I282" s="59" t="s">
        <v>15</v>
      </c>
    </row>
    <row r="283">
      <c r="A283" s="85" t="s">
        <v>2122</v>
      </c>
      <c r="B283" s="59" t="s">
        <v>2934</v>
      </c>
      <c r="C283" s="59" t="s">
        <v>3082</v>
      </c>
      <c r="D283" s="59" t="s">
        <v>3480</v>
      </c>
      <c r="E283" s="59" t="s">
        <v>3481</v>
      </c>
      <c r="F283" s="59" t="s">
        <v>3108</v>
      </c>
      <c r="G283" s="59" t="s">
        <v>3086</v>
      </c>
      <c r="H283" s="59" t="s">
        <v>3109</v>
      </c>
      <c r="I283" s="59" t="s">
        <v>15</v>
      </c>
    </row>
    <row r="284">
      <c r="A284" s="85" t="s">
        <v>2123</v>
      </c>
      <c r="B284" s="59" t="s">
        <v>2934</v>
      </c>
      <c r="C284" s="59" t="s">
        <v>3082</v>
      </c>
      <c r="D284" s="59" t="s">
        <v>3482</v>
      </c>
      <c r="E284" s="59" t="s">
        <v>3483</v>
      </c>
      <c r="F284" s="59" t="s">
        <v>3108</v>
      </c>
      <c r="G284" s="59" t="s">
        <v>3086</v>
      </c>
      <c r="H284" s="59" t="s">
        <v>3109</v>
      </c>
      <c r="I284" s="59" t="s">
        <v>15</v>
      </c>
    </row>
    <row r="285">
      <c r="A285" s="85" t="s">
        <v>2125</v>
      </c>
      <c r="B285" s="59" t="s">
        <v>2934</v>
      </c>
      <c r="C285" s="59" t="s">
        <v>3082</v>
      </c>
      <c r="D285" s="59" t="s">
        <v>3484</v>
      </c>
      <c r="E285" s="59" t="s">
        <v>3485</v>
      </c>
      <c r="F285" s="59" t="s">
        <v>3108</v>
      </c>
      <c r="G285" s="59" t="s">
        <v>3086</v>
      </c>
      <c r="H285" s="59" t="s">
        <v>3109</v>
      </c>
      <c r="I285" s="59" t="s">
        <v>15</v>
      </c>
    </row>
    <row r="286">
      <c r="A286" s="85" t="s">
        <v>2126</v>
      </c>
      <c r="B286" s="59" t="s">
        <v>2934</v>
      </c>
      <c r="C286" s="59" t="s">
        <v>3082</v>
      </c>
      <c r="D286" s="59" t="s">
        <v>3486</v>
      </c>
      <c r="E286" s="59" t="s">
        <v>3487</v>
      </c>
      <c r="F286" s="59" t="s">
        <v>3108</v>
      </c>
      <c r="G286" s="59" t="s">
        <v>3086</v>
      </c>
      <c r="H286" s="59" t="s">
        <v>3109</v>
      </c>
      <c r="I286" s="59" t="s">
        <v>15</v>
      </c>
    </row>
    <row r="287">
      <c r="A287" s="85" t="s">
        <v>2127</v>
      </c>
      <c r="B287" s="59" t="s">
        <v>2934</v>
      </c>
      <c r="C287" s="59" t="s">
        <v>3082</v>
      </c>
      <c r="D287" s="59" t="s">
        <v>3488</v>
      </c>
      <c r="E287" s="59" t="s">
        <v>3489</v>
      </c>
      <c r="F287" s="59" t="s">
        <v>3108</v>
      </c>
      <c r="G287" s="59" t="s">
        <v>3086</v>
      </c>
      <c r="H287" s="59" t="s">
        <v>3109</v>
      </c>
      <c r="I287" s="59" t="s">
        <v>15</v>
      </c>
    </row>
    <row r="288">
      <c r="A288" s="85" t="s">
        <v>2128</v>
      </c>
      <c r="B288" s="59" t="s">
        <v>2934</v>
      </c>
      <c r="C288" s="59" t="s">
        <v>3082</v>
      </c>
      <c r="D288" s="59" t="s">
        <v>3490</v>
      </c>
      <c r="E288" s="59" t="s">
        <v>3491</v>
      </c>
      <c r="F288" s="59" t="s">
        <v>3108</v>
      </c>
      <c r="G288" s="59" t="s">
        <v>3086</v>
      </c>
      <c r="H288" s="59" t="s">
        <v>3109</v>
      </c>
      <c r="I288" s="59" t="s">
        <v>15</v>
      </c>
    </row>
    <row r="289">
      <c r="A289" s="85" t="s">
        <v>2129</v>
      </c>
      <c r="B289" s="59" t="s">
        <v>2934</v>
      </c>
      <c r="C289" s="59" t="s">
        <v>3082</v>
      </c>
      <c r="D289" s="59" t="s">
        <v>3492</v>
      </c>
      <c r="E289" s="59" t="s">
        <v>3493</v>
      </c>
      <c r="F289" s="59" t="s">
        <v>3108</v>
      </c>
      <c r="G289" s="59" t="s">
        <v>3086</v>
      </c>
      <c r="H289" s="59" t="s">
        <v>3109</v>
      </c>
      <c r="I289" s="59" t="s">
        <v>15</v>
      </c>
    </row>
    <row r="290">
      <c r="A290" s="85" t="s">
        <v>2130</v>
      </c>
      <c r="B290" s="59" t="s">
        <v>2934</v>
      </c>
      <c r="C290" s="59" t="s">
        <v>3082</v>
      </c>
      <c r="D290" s="59" t="s">
        <v>3494</v>
      </c>
      <c r="E290" s="59" t="s">
        <v>3495</v>
      </c>
      <c r="F290" s="59" t="s">
        <v>3108</v>
      </c>
      <c r="G290" s="59" t="s">
        <v>3086</v>
      </c>
      <c r="H290" s="59" t="s">
        <v>3109</v>
      </c>
      <c r="I290" s="59" t="s">
        <v>15</v>
      </c>
    </row>
    <row r="291">
      <c r="A291" s="85" t="s">
        <v>2132</v>
      </c>
      <c r="B291" s="59" t="s">
        <v>2934</v>
      </c>
      <c r="C291" s="59" t="s">
        <v>3082</v>
      </c>
      <c r="D291" s="59" t="s">
        <v>3496</v>
      </c>
      <c r="E291" s="59" t="s">
        <v>3497</v>
      </c>
      <c r="F291" s="59" t="s">
        <v>3108</v>
      </c>
      <c r="G291" s="59" t="s">
        <v>3086</v>
      </c>
      <c r="H291" s="59" t="s">
        <v>3109</v>
      </c>
      <c r="I291" s="59" t="s">
        <v>15</v>
      </c>
    </row>
    <row r="292">
      <c r="A292" s="85" t="s">
        <v>2133</v>
      </c>
      <c r="B292" s="59" t="s">
        <v>2934</v>
      </c>
      <c r="C292" s="59" t="s">
        <v>3082</v>
      </c>
      <c r="D292" s="59" t="s">
        <v>3498</v>
      </c>
      <c r="E292" s="59" t="s">
        <v>3475</v>
      </c>
      <c r="F292" s="59" t="s">
        <v>3108</v>
      </c>
      <c r="G292" s="59" t="s">
        <v>3086</v>
      </c>
      <c r="H292" s="59" t="s">
        <v>3269</v>
      </c>
      <c r="I292" s="59" t="s">
        <v>15</v>
      </c>
    </row>
    <row r="293">
      <c r="A293" s="85" t="s">
        <v>2135</v>
      </c>
      <c r="B293" s="59" t="s">
        <v>2934</v>
      </c>
      <c r="C293" s="59" t="s">
        <v>3082</v>
      </c>
      <c r="D293" s="59" t="s">
        <v>3499</v>
      </c>
      <c r="E293" s="59" t="s">
        <v>3477</v>
      </c>
      <c r="F293" s="59" t="s">
        <v>3132</v>
      </c>
      <c r="G293" s="59" t="s">
        <v>3086</v>
      </c>
      <c r="H293" s="59" t="s">
        <v>3269</v>
      </c>
      <c r="I293" s="59" t="s">
        <v>15</v>
      </c>
    </row>
    <row r="294">
      <c r="A294" s="85" t="s">
        <v>2136</v>
      </c>
      <c r="B294" s="59" t="s">
        <v>2934</v>
      </c>
      <c r="C294" s="59" t="s">
        <v>3082</v>
      </c>
      <c r="D294" s="59" t="s">
        <v>3500</v>
      </c>
      <c r="E294" s="59" t="s">
        <v>3479</v>
      </c>
      <c r="F294" s="59" t="s">
        <v>3132</v>
      </c>
      <c r="G294" s="59" t="s">
        <v>3086</v>
      </c>
      <c r="H294" s="59" t="s">
        <v>3269</v>
      </c>
      <c r="I294" s="59" t="s">
        <v>15</v>
      </c>
    </row>
    <row r="295">
      <c r="A295" s="85" t="s">
        <v>2139</v>
      </c>
      <c r="B295" s="59" t="s">
        <v>2934</v>
      </c>
      <c r="C295" s="59" t="s">
        <v>3082</v>
      </c>
      <c r="D295" s="59" t="s">
        <v>3501</v>
      </c>
      <c r="E295" s="59" t="s">
        <v>3481</v>
      </c>
      <c r="F295" s="59" t="s">
        <v>3132</v>
      </c>
      <c r="G295" s="59" t="s">
        <v>3086</v>
      </c>
      <c r="H295" s="59" t="s">
        <v>3269</v>
      </c>
      <c r="I295" s="59" t="s">
        <v>15</v>
      </c>
    </row>
    <row r="296">
      <c r="A296" s="85" t="s">
        <v>2142</v>
      </c>
      <c r="B296" s="59" t="s">
        <v>2934</v>
      </c>
      <c r="C296" s="59" t="s">
        <v>3082</v>
      </c>
      <c r="D296" s="59" t="s">
        <v>3502</v>
      </c>
      <c r="E296" s="59" t="s">
        <v>3483</v>
      </c>
      <c r="F296" s="59" t="s">
        <v>3132</v>
      </c>
      <c r="G296" s="59" t="s">
        <v>3086</v>
      </c>
      <c r="H296" s="59" t="s">
        <v>3269</v>
      </c>
      <c r="I296" s="59" t="s">
        <v>15</v>
      </c>
    </row>
    <row r="297">
      <c r="A297" s="85" t="s">
        <v>2144</v>
      </c>
      <c r="B297" s="59" t="s">
        <v>2934</v>
      </c>
      <c r="C297" s="59" t="s">
        <v>3082</v>
      </c>
      <c r="D297" s="59" t="s">
        <v>3503</v>
      </c>
      <c r="E297" s="59" t="s">
        <v>3485</v>
      </c>
      <c r="F297" s="59" t="s">
        <v>3132</v>
      </c>
      <c r="G297" s="59" t="s">
        <v>3086</v>
      </c>
      <c r="H297" s="59" t="s">
        <v>3269</v>
      </c>
      <c r="I297" s="59" t="s">
        <v>15</v>
      </c>
    </row>
    <row r="298">
      <c r="A298" s="85" t="s">
        <v>2147</v>
      </c>
      <c r="B298" s="59" t="s">
        <v>2934</v>
      </c>
      <c r="C298" s="59" t="s">
        <v>3082</v>
      </c>
      <c r="D298" s="59" t="s">
        <v>3504</v>
      </c>
      <c r="E298" s="59" t="s">
        <v>3487</v>
      </c>
      <c r="F298" s="59" t="s">
        <v>3132</v>
      </c>
      <c r="G298" s="59" t="s">
        <v>3086</v>
      </c>
      <c r="H298" s="59" t="s">
        <v>3269</v>
      </c>
      <c r="I298" s="59" t="s">
        <v>15</v>
      </c>
    </row>
    <row r="299">
      <c r="A299" s="85" t="s">
        <v>2150</v>
      </c>
      <c r="B299" s="59" t="s">
        <v>2934</v>
      </c>
      <c r="C299" s="59" t="s">
        <v>3082</v>
      </c>
      <c r="D299" s="59" t="s">
        <v>3505</v>
      </c>
      <c r="E299" s="59" t="s">
        <v>3489</v>
      </c>
      <c r="F299" s="59" t="s">
        <v>3132</v>
      </c>
      <c r="G299" s="59" t="s">
        <v>3086</v>
      </c>
      <c r="H299" s="59" t="s">
        <v>3269</v>
      </c>
      <c r="I299" s="59" t="s">
        <v>15</v>
      </c>
    </row>
    <row r="300">
      <c r="A300" s="85" t="s">
        <v>2153</v>
      </c>
      <c r="B300" s="59" t="s">
        <v>2934</v>
      </c>
      <c r="C300" s="59" t="s">
        <v>3082</v>
      </c>
      <c r="D300" s="59" t="s">
        <v>3506</v>
      </c>
      <c r="E300" s="59" t="s">
        <v>3491</v>
      </c>
      <c r="F300" s="59" t="s">
        <v>3132</v>
      </c>
      <c r="G300" s="59" t="s">
        <v>3086</v>
      </c>
      <c r="H300" s="59" t="s">
        <v>3269</v>
      </c>
      <c r="I300" s="59" t="s">
        <v>15</v>
      </c>
    </row>
    <row r="301">
      <c r="A301" s="85" t="s">
        <v>2156</v>
      </c>
      <c r="B301" s="59" t="s">
        <v>2934</v>
      </c>
      <c r="C301" s="59" t="s">
        <v>3082</v>
      </c>
      <c r="D301" s="59" t="s">
        <v>3507</v>
      </c>
      <c r="E301" s="59" t="s">
        <v>3493</v>
      </c>
      <c r="F301" s="59" t="s">
        <v>3132</v>
      </c>
      <c r="G301" s="59" t="s">
        <v>3086</v>
      </c>
      <c r="H301" s="59" t="s">
        <v>3269</v>
      </c>
      <c r="I301" s="59" t="s">
        <v>15</v>
      </c>
    </row>
    <row r="302">
      <c r="A302" s="85" t="s">
        <v>2159</v>
      </c>
      <c r="B302" s="59" t="s">
        <v>2934</v>
      </c>
      <c r="C302" s="59" t="s">
        <v>3082</v>
      </c>
      <c r="D302" s="59" t="s">
        <v>3508</v>
      </c>
      <c r="E302" s="59" t="s">
        <v>3495</v>
      </c>
      <c r="F302" s="59" t="s">
        <v>3142</v>
      </c>
      <c r="G302" s="59" t="s">
        <v>3086</v>
      </c>
      <c r="H302" s="59" t="s">
        <v>3269</v>
      </c>
      <c r="I302" s="59" t="s">
        <v>15</v>
      </c>
    </row>
    <row r="303">
      <c r="A303" s="85" t="s">
        <v>2162</v>
      </c>
      <c r="B303" s="59" t="s">
        <v>2934</v>
      </c>
      <c r="C303" s="59" t="s">
        <v>3082</v>
      </c>
      <c r="D303" s="59" t="s">
        <v>3509</v>
      </c>
      <c r="E303" s="59" t="s">
        <v>3497</v>
      </c>
      <c r="F303" s="59" t="s">
        <v>3132</v>
      </c>
      <c r="G303" s="59" t="s">
        <v>3086</v>
      </c>
      <c r="H303" s="59" t="s">
        <v>3269</v>
      </c>
      <c r="I303" s="59" t="s">
        <v>15</v>
      </c>
    </row>
    <row r="304">
      <c r="A304" s="85" t="s">
        <v>2165</v>
      </c>
      <c r="B304" s="59" t="s">
        <v>2934</v>
      </c>
      <c r="C304" s="59" t="s">
        <v>3082</v>
      </c>
      <c r="D304" s="59" t="s">
        <v>3510</v>
      </c>
      <c r="E304" s="59" t="s">
        <v>3451</v>
      </c>
      <c r="F304" s="59" t="s">
        <v>3132</v>
      </c>
      <c r="G304" s="59" t="s">
        <v>3086</v>
      </c>
      <c r="H304" s="59" t="s">
        <v>3269</v>
      </c>
      <c r="I304" s="59" t="s">
        <v>15</v>
      </c>
    </row>
    <row r="305">
      <c r="A305" s="85" t="s">
        <v>2168</v>
      </c>
      <c r="B305" s="59" t="s">
        <v>2934</v>
      </c>
      <c r="C305" s="59" t="s">
        <v>3082</v>
      </c>
      <c r="D305" s="59" t="s">
        <v>3511</v>
      </c>
      <c r="E305" s="59" t="s">
        <v>3453</v>
      </c>
      <c r="F305" s="59" t="s">
        <v>3132</v>
      </c>
      <c r="G305" s="59" t="s">
        <v>3086</v>
      </c>
      <c r="H305" s="59" t="s">
        <v>3269</v>
      </c>
      <c r="I305" s="59" t="s">
        <v>15</v>
      </c>
    </row>
    <row r="306">
      <c r="A306" s="85" t="s">
        <v>2170</v>
      </c>
      <c r="B306" s="59" t="s">
        <v>2934</v>
      </c>
      <c r="C306" s="59" t="s">
        <v>3082</v>
      </c>
      <c r="D306" s="59" t="s">
        <v>3512</v>
      </c>
      <c r="E306" s="59" t="s">
        <v>3455</v>
      </c>
      <c r="F306" s="59" t="s">
        <v>3132</v>
      </c>
      <c r="G306" s="59" t="s">
        <v>3086</v>
      </c>
      <c r="H306" s="59" t="s">
        <v>3269</v>
      </c>
      <c r="I306" s="59" t="s">
        <v>15</v>
      </c>
    </row>
    <row r="307">
      <c r="A307" s="85" t="s">
        <v>2172</v>
      </c>
      <c r="B307" s="59" t="s">
        <v>2934</v>
      </c>
      <c r="C307" s="59" t="s">
        <v>3082</v>
      </c>
      <c r="D307" s="59" t="s">
        <v>3513</v>
      </c>
      <c r="E307" s="59" t="s">
        <v>3457</v>
      </c>
      <c r="F307" s="59" t="s">
        <v>3132</v>
      </c>
      <c r="G307" s="59" t="s">
        <v>3086</v>
      </c>
      <c r="H307" s="59" t="s">
        <v>3269</v>
      </c>
      <c r="I307" s="59" t="s">
        <v>15</v>
      </c>
    </row>
    <row r="308">
      <c r="A308" s="85" t="s">
        <v>2174</v>
      </c>
      <c r="B308" s="59" t="s">
        <v>2934</v>
      </c>
      <c r="C308" s="59" t="s">
        <v>3082</v>
      </c>
      <c r="D308" s="59" t="s">
        <v>3514</v>
      </c>
      <c r="E308" s="59" t="s">
        <v>3459</v>
      </c>
      <c r="F308" s="59" t="s">
        <v>3132</v>
      </c>
      <c r="G308" s="59" t="s">
        <v>3086</v>
      </c>
      <c r="H308" s="59" t="s">
        <v>3269</v>
      </c>
      <c r="I308" s="59" t="s">
        <v>15</v>
      </c>
    </row>
    <row r="309">
      <c r="A309" s="85" t="s">
        <v>2177</v>
      </c>
      <c r="B309" s="59" t="s">
        <v>2934</v>
      </c>
      <c r="C309" s="59" t="s">
        <v>3082</v>
      </c>
      <c r="D309" s="59" t="s">
        <v>3515</v>
      </c>
      <c r="E309" s="59" t="s">
        <v>3461</v>
      </c>
      <c r="F309" s="59" t="s">
        <v>3132</v>
      </c>
      <c r="G309" s="59" t="s">
        <v>3086</v>
      </c>
      <c r="H309" s="59" t="s">
        <v>3269</v>
      </c>
      <c r="I309" s="59" t="s">
        <v>15</v>
      </c>
    </row>
    <row r="310">
      <c r="A310" s="85" t="s">
        <v>2180</v>
      </c>
      <c r="B310" s="59" t="s">
        <v>2934</v>
      </c>
      <c r="C310" s="59" t="s">
        <v>3082</v>
      </c>
      <c r="D310" s="59" t="s">
        <v>3516</v>
      </c>
      <c r="E310" s="59" t="s">
        <v>3463</v>
      </c>
      <c r="F310" s="59" t="s">
        <v>3132</v>
      </c>
      <c r="G310" s="59" t="s">
        <v>3086</v>
      </c>
      <c r="H310" s="59" t="s">
        <v>3269</v>
      </c>
      <c r="I310" s="59" t="s">
        <v>15</v>
      </c>
    </row>
    <row r="311">
      <c r="A311" s="85" t="s">
        <v>2183</v>
      </c>
      <c r="B311" s="59" t="s">
        <v>2934</v>
      </c>
      <c r="C311" s="59" t="s">
        <v>3082</v>
      </c>
      <c r="D311" s="59" t="s">
        <v>3517</v>
      </c>
      <c r="E311" s="59" t="s">
        <v>3465</v>
      </c>
      <c r="F311" s="59" t="s">
        <v>3132</v>
      </c>
      <c r="G311" s="59" t="s">
        <v>3086</v>
      </c>
      <c r="H311" s="59" t="s">
        <v>3269</v>
      </c>
      <c r="I311" s="59" t="s">
        <v>15</v>
      </c>
    </row>
    <row r="312">
      <c r="A312" s="85" t="s">
        <v>2186</v>
      </c>
      <c r="B312" s="59" t="s">
        <v>2934</v>
      </c>
      <c r="C312" s="59" t="s">
        <v>3082</v>
      </c>
      <c r="D312" s="59" t="s">
        <v>3518</v>
      </c>
      <c r="E312" s="59" t="s">
        <v>3467</v>
      </c>
      <c r="F312" s="59" t="s">
        <v>3132</v>
      </c>
      <c r="G312" s="59" t="s">
        <v>3086</v>
      </c>
      <c r="H312" s="59" t="s">
        <v>3269</v>
      </c>
      <c r="I312" s="59" t="s">
        <v>15</v>
      </c>
    </row>
    <row r="313">
      <c r="A313" s="85" t="s">
        <v>2189</v>
      </c>
      <c r="B313" s="59" t="s">
        <v>2934</v>
      </c>
      <c r="C313" s="59" t="s">
        <v>3082</v>
      </c>
      <c r="D313" s="59" t="s">
        <v>3519</v>
      </c>
      <c r="E313" s="59" t="s">
        <v>3469</v>
      </c>
      <c r="F313" s="59" t="s">
        <v>3132</v>
      </c>
      <c r="G313" s="59" t="s">
        <v>3086</v>
      </c>
      <c r="H313" s="59" t="s">
        <v>3269</v>
      </c>
      <c r="I313" s="59" t="s">
        <v>15</v>
      </c>
    </row>
    <row r="314">
      <c r="A314" s="85" t="s">
        <v>2192</v>
      </c>
      <c r="B314" s="59" t="s">
        <v>2934</v>
      </c>
      <c r="C314" s="59" t="s">
        <v>3082</v>
      </c>
      <c r="D314" s="59" t="s">
        <v>3520</v>
      </c>
      <c r="E314" s="59" t="s">
        <v>3471</v>
      </c>
      <c r="F314" s="59" t="s">
        <v>3132</v>
      </c>
      <c r="G314" s="59" t="s">
        <v>3086</v>
      </c>
      <c r="H314" s="59" t="s">
        <v>3269</v>
      </c>
      <c r="I314" s="59" t="s">
        <v>15</v>
      </c>
    </row>
    <row r="315">
      <c r="A315" s="85" t="s">
        <v>2194</v>
      </c>
      <c r="B315" s="59" t="s">
        <v>2934</v>
      </c>
      <c r="C315" s="59" t="s">
        <v>3082</v>
      </c>
      <c r="D315" s="59" t="s">
        <v>3521</v>
      </c>
      <c r="E315" s="59" t="s">
        <v>3473</v>
      </c>
      <c r="F315" s="59" t="s">
        <v>3132</v>
      </c>
      <c r="G315" s="59" t="s">
        <v>3086</v>
      </c>
      <c r="H315" s="59" t="s">
        <v>3269</v>
      </c>
      <c r="I315" s="59" t="s">
        <v>15</v>
      </c>
    </row>
    <row r="316">
      <c r="A316" s="85" t="s">
        <v>2196</v>
      </c>
      <c r="B316" s="59" t="s">
        <v>2934</v>
      </c>
      <c r="C316" s="59" t="s">
        <v>3082</v>
      </c>
      <c r="D316" s="59" t="s">
        <v>3420</v>
      </c>
      <c r="E316" s="59" t="s">
        <v>3475</v>
      </c>
      <c r="F316" s="59" t="s">
        <v>3522</v>
      </c>
      <c r="G316" s="59" t="s">
        <v>3086</v>
      </c>
      <c r="H316" s="59" t="s">
        <v>3295</v>
      </c>
      <c r="I316" s="59" t="s">
        <v>15</v>
      </c>
    </row>
    <row r="317">
      <c r="A317" s="85" t="s">
        <v>2198</v>
      </c>
      <c r="B317" s="59" t="s">
        <v>2934</v>
      </c>
      <c r="C317" s="59" t="s">
        <v>3082</v>
      </c>
      <c r="D317" s="59" t="s">
        <v>3420</v>
      </c>
      <c r="E317" s="59" t="s">
        <v>3477</v>
      </c>
      <c r="F317" s="59" t="s">
        <v>3523</v>
      </c>
      <c r="G317" s="59" t="s">
        <v>3086</v>
      </c>
      <c r="H317" s="59" t="s">
        <v>3295</v>
      </c>
      <c r="I317" s="59" t="s">
        <v>15</v>
      </c>
    </row>
    <row r="318">
      <c r="A318" s="85" t="s">
        <v>2200</v>
      </c>
      <c r="B318" s="59" t="s">
        <v>2934</v>
      </c>
      <c r="C318" s="59" t="s">
        <v>3082</v>
      </c>
      <c r="D318" s="59" t="s">
        <v>3420</v>
      </c>
      <c r="E318" s="59" t="s">
        <v>3479</v>
      </c>
      <c r="F318" s="59" t="s">
        <v>3524</v>
      </c>
      <c r="G318" s="59" t="s">
        <v>3086</v>
      </c>
      <c r="H318" s="59" t="s">
        <v>3295</v>
      </c>
      <c r="I318" s="59" t="s">
        <v>15</v>
      </c>
    </row>
    <row r="319">
      <c r="A319" s="85" t="s">
        <v>2202</v>
      </c>
      <c r="B319" s="59" t="s">
        <v>2934</v>
      </c>
      <c r="C319" s="59" t="s">
        <v>3082</v>
      </c>
      <c r="D319" s="59" t="s">
        <v>3420</v>
      </c>
      <c r="E319" s="59" t="s">
        <v>3481</v>
      </c>
      <c r="F319" s="59" t="s">
        <v>3525</v>
      </c>
      <c r="G319" s="59" t="s">
        <v>3086</v>
      </c>
      <c r="H319" s="59" t="s">
        <v>3295</v>
      </c>
      <c r="I319" s="59" t="s">
        <v>15</v>
      </c>
    </row>
    <row r="320">
      <c r="A320" s="85" t="s">
        <v>2204</v>
      </c>
      <c r="B320" s="59" t="s">
        <v>2934</v>
      </c>
      <c r="C320" s="59" t="s">
        <v>3082</v>
      </c>
      <c r="D320" s="59" t="s">
        <v>3420</v>
      </c>
      <c r="E320" s="59" t="s">
        <v>3483</v>
      </c>
      <c r="F320" s="59" t="s">
        <v>3526</v>
      </c>
      <c r="G320" s="59" t="s">
        <v>3086</v>
      </c>
      <c r="H320" s="59" t="s">
        <v>3295</v>
      </c>
      <c r="I320" s="59" t="s">
        <v>15</v>
      </c>
    </row>
    <row r="321">
      <c r="A321" s="85" t="s">
        <v>2205</v>
      </c>
      <c r="B321" s="59" t="s">
        <v>2934</v>
      </c>
      <c r="C321" s="59" t="s">
        <v>3082</v>
      </c>
      <c r="D321" s="59" t="s">
        <v>3420</v>
      </c>
      <c r="E321" s="59" t="s">
        <v>3485</v>
      </c>
      <c r="F321" s="59" t="s">
        <v>3527</v>
      </c>
      <c r="G321" s="59" t="s">
        <v>3086</v>
      </c>
      <c r="H321" s="59" t="s">
        <v>3295</v>
      </c>
      <c r="I321" s="59" t="s">
        <v>15</v>
      </c>
    </row>
    <row r="322">
      <c r="A322" s="85" t="s">
        <v>2207</v>
      </c>
      <c r="B322" s="59" t="s">
        <v>2934</v>
      </c>
      <c r="C322" s="59" t="s">
        <v>3082</v>
      </c>
      <c r="D322" s="59" t="s">
        <v>3420</v>
      </c>
      <c r="E322" s="59" t="s">
        <v>3487</v>
      </c>
      <c r="F322" s="59" t="s">
        <v>3528</v>
      </c>
      <c r="G322" s="59" t="s">
        <v>3086</v>
      </c>
      <c r="H322" s="59" t="s">
        <v>3295</v>
      </c>
      <c r="I322" s="59" t="s">
        <v>15</v>
      </c>
    </row>
    <row r="323">
      <c r="A323" s="85" t="s">
        <v>2209</v>
      </c>
      <c r="B323" s="59" t="s">
        <v>2934</v>
      </c>
      <c r="C323" s="59" t="s">
        <v>3082</v>
      </c>
      <c r="D323" s="59" t="s">
        <v>3420</v>
      </c>
      <c r="E323" s="59" t="s">
        <v>3489</v>
      </c>
      <c r="F323" s="59" t="s">
        <v>3529</v>
      </c>
      <c r="G323" s="59" t="s">
        <v>3086</v>
      </c>
      <c r="H323" s="59" t="s">
        <v>3295</v>
      </c>
      <c r="I323" s="59" t="s">
        <v>15</v>
      </c>
    </row>
    <row r="324">
      <c r="A324" s="85" t="s">
        <v>2211</v>
      </c>
      <c r="B324" s="59" t="s">
        <v>2934</v>
      </c>
      <c r="C324" s="59" t="s">
        <v>3082</v>
      </c>
      <c r="D324" s="59" t="s">
        <v>3420</v>
      </c>
      <c r="E324" s="59" t="s">
        <v>3491</v>
      </c>
      <c r="F324" s="59" t="s">
        <v>3530</v>
      </c>
      <c r="G324" s="59" t="s">
        <v>3086</v>
      </c>
      <c r="H324" s="59" t="s">
        <v>3295</v>
      </c>
      <c r="I324" s="59" t="s">
        <v>15</v>
      </c>
    </row>
    <row r="325">
      <c r="A325" s="85" t="s">
        <v>2213</v>
      </c>
      <c r="B325" s="59" t="s">
        <v>2934</v>
      </c>
      <c r="C325" s="59" t="s">
        <v>3082</v>
      </c>
      <c r="D325" s="59" t="s">
        <v>3531</v>
      </c>
      <c r="E325" s="59" t="s">
        <v>3493</v>
      </c>
      <c r="F325" s="59" t="s">
        <v>3532</v>
      </c>
      <c r="G325" s="59" t="s">
        <v>3086</v>
      </c>
      <c r="H325" s="59" t="s">
        <v>3295</v>
      </c>
      <c r="I325" s="59" t="s">
        <v>15</v>
      </c>
    </row>
    <row r="326">
      <c r="A326" s="85" t="s">
        <v>2215</v>
      </c>
      <c r="B326" s="59" t="s">
        <v>2934</v>
      </c>
      <c r="C326" s="59" t="s">
        <v>3082</v>
      </c>
      <c r="D326" s="59" t="s">
        <v>3533</v>
      </c>
      <c r="E326" s="59" t="s">
        <v>3495</v>
      </c>
      <c r="F326" s="59" t="s">
        <v>3534</v>
      </c>
      <c r="G326" s="59" t="s">
        <v>3086</v>
      </c>
      <c r="H326" s="59" t="s">
        <v>3295</v>
      </c>
      <c r="I326" s="59" t="s">
        <v>15</v>
      </c>
    </row>
    <row r="327">
      <c r="A327" s="85" t="s">
        <v>2216</v>
      </c>
      <c r="B327" s="59" t="s">
        <v>2934</v>
      </c>
      <c r="C327" s="59" t="s">
        <v>3082</v>
      </c>
      <c r="D327" s="59" t="s">
        <v>3535</v>
      </c>
      <c r="E327" s="59" t="s">
        <v>3497</v>
      </c>
      <c r="F327" s="59" t="s">
        <v>3536</v>
      </c>
      <c r="G327" s="59" t="s">
        <v>3086</v>
      </c>
      <c r="H327" s="59" t="s">
        <v>3295</v>
      </c>
      <c r="I327" s="59" t="s">
        <v>15</v>
      </c>
    </row>
    <row r="328">
      <c r="A328" s="85" t="s">
        <v>2217</v>
      </c>
      <c r="B328" s="59" t="s">
        <v>2934</v>
      </c>
      <c r="C328" s="59" t="s">
        <v>3082</v>
      </c>
      <c r="D328" s="59" t="s">
        <v>3183</v>
      </c>
      <c r="E328" s="59" t="s">
        <v>3537</v>
      </c>
      <c r="F328" s="59" t="s">
        <v>3090</v>
      </c>
      <c r="G328" s="59" t="s">
        <v>3086</v>
      </c>
      <c r="H328" s="59" t="s">
        <v>3087</v>
      </c>
      <c r="I328" s="59" t="s">
        <v>15</v>
      </c>
    </row>
    <row r="329">
      <c r="A329" s="85" t="s">
        <v>2219</v>
      </c>
      <c r="B329" s="59" t="s">
        <v>2934</v>
      </c>
      <c r="C329" s="59" t="s">
        <v>3082</v>
      </c>
      <c r="D329" s="59" t="s">
        <v>3183</v>
      </c>
      <c r="E329" s="59" t="s">
        <v>3538</v>
      </c>
      <c r="F329" s="59" t="s">
        <v>3090</v>
      </c>
      <c r="G329" s="59" t="s">
        <v>3086</v>
      </c>
      <c r="H329" s="59" t="s">
        <v>3087</v>
      </c>
      <c r="I329" s="59" t="s">
        <v>15</v>
      </c>
    </row>
    <row r="330">
      <c r="A330" s="85" t="s">
        <v>2221</v>
      </c>
      <c r="B330" s="59" t="s">
        <v>2934</v>
      </c>
      <c r="C330" s="59" t="s">
        <v>3082</v>
      </c>
      <c r="D330" s="59" t="s">
        <v>3183</v>
      </c>
      <c r="E330" s="59" t="s">
        <v>3539</v>
      </c>
      <c r="F330" s="59" t="s">
        <v>3090</v>
      </c>
      <c r="G330" s="59" t="s">
        <v>3086</v>
      </c>
      <c r="H330" s="59" t="s">
        <v>3087</v>
      </c>
      <c r="I330" s="59" t="s">
        <v>15</v>
      </c>
    </row>
    <row r="331">
      <c r="A331" s="85" t="s">
        <v>2223</v>
      </c>
      <c r="B331" s="59" t="s">
        <v>2934</v>
      </c>
      <c r="C331" s="59" t="s">
        <v>3082</v>
      </c>
      <c r="D331" s="59" t="s">
        <v>3183</v>
      </c>
      <c r="E331" s="59" t="s">
        <v>3540</v>
      </c>
      <c r="F331" s="59" t="s">
        <v>3090</v>
      </c>
      <c r="G331" s="59" t="s">
        <v>3086</v>
      </c>
      <c r="H331" s="59" t="s">
        <v>3087</v>
      </c>
      <c r="I331" s="59" t="s">
        <v>15</v>
      </c>
    </row>
    <row r="332">
      <c r="A332" s="85" t="s">
        <v>2224</v>
      </c>
      <c r="B332" s="59" t="s">
        <v>2934</v>
      </c>
      <c r="C332" s="59" t="s">
        <v>3082</v>
      </c>
      <c r="D332" s="59" t="s">
        <v>3183</v>
      </c>
      <c r="E332" s="59" t="s">
        <v>3541</v>
      </c>
      <c r="F332" s="59" t="s">
        <v>3090</v>
      </c>
      <c r="G332" s="59" t="s">
        <v>3086</v>
      </c>
      <c r="H332" s="59" t="s">
        <v>3087</v>
      </c>
      <c r="I332" s="59" t="s">
        <v>15</v>
      </c>
    </row>
    <row r="333">
      <c r="A333" s="85" t="s">
        <v>2226</v>
      </c>
      <c r="B333" s="59" t="s">
        <v>2934</v>
      </c>
      <c r="C333" s="59" t="s">
        <v>3082</v>
      </c>
      <c r="D333" s="59" t="s">
        <v>3183</v>
      </c>
      <c r="E333" s="59" t="s">
        <v>3542</v>
      </c>
      <c r="F333" s="59" t="s">
        <v>3090</v>
      </c>
      <c r="G333" s="59" t="s">
        <v>3086</v>
      </c>
      <c r="H333" s="59" t="s">
        <v>3087</v>
      </c>
      <c r="I333" s="59" t="s">
        <v>15</v>
      </c>
    </row>
    <row r="334">
      <c r="A334" s="85" t="s">
        <v>2228</v>
      </c>
      <c r="B334" s="59" t="s">
        <v>2934</v>
      </c>
      <c r="C334" s="59" t="s">
        <v>3082</v>
      </c>
      <c r="D334" s="59" t="s">
        <v>3183</v>
      </c>
      <c r="E334" s="59" t="s">
        <v>3543</v>
      </c>
      <c r="F334" s="59" t="s">
        <v>3090</v>
      </c>
      <c r="G334" s="59" t="s">
        <v>3086</v>
      </c>
      <c r="H334" s="59" t="s">
        <v>3087</v>
      </c>
      <c r="I334" s="59" t="s">
        <v>15</v>
      </c>
    </row>
    <row r="335">
      <c r="A335" s="85" t="s">
        <v>2230</v>
      </c>
      <c r="B335" s="59" t="s">
        <v>2934</v>
      </c>
      <c r="C335" s="59" t="s">
        <v>3082</v>
      </c>
      <c r="D335" s="59" t="s">
        <v>3183</v>
      </c>
      <c r="E335" s="59" t="s">
        <v>3544</v>
      </c>
      <c r="F335" s="59" t="s">
        <v>3090</v>
      </c>
      <c r="G335" s="59" t="s">
        <v>3086</v>
      </c>
      <c r="H335" s="59" t="s">
        <v>3087</v>
      </c>
      <c r="I335" s="59" t="s">
        <v>15</v>
      </c>
    </row>
    <row r="336">
      <c r="A336" s="85" t="s">
        <v>2232</v>
      </c>
      <c r="B336" s="59" t="s">
        <v>2934</v>
      </c>
      <c r="C336" s="59" t="s">
        <v>3082</v>
      </c>
      <c r="D336" s="59" t="s">
        <v>3183</v>
      </c>
      <c r="E336" s="59" t="s">
        <v>3545</v>
      </c>
      <c r="F336" s="59" t="s">
        <v>3090</v>
      </c>
      <c r="G336" s="59" t="s">
        <v>3086</v>
      </c>
      <c r="H336" s="59" t="s">
        <v>3087</v>
      </c>
      <c r="I336" s="59" t="s">
        <v>15</v>
      </c>
    </row>
    <row r="337">
      <c r="A337" s="85" t="s">
        <v>2233</v>
      </c>
      <c r="B337" s="59" t="s">
        <v>2934</v>
      </c>
      <c r="C337" s="59" t="s">
        <v>3082</v>
      </c>
      <c r="D337" s="59" t="s">
        <v>3183</v>
      </c>
      <c r="E337" s="59" t="s">
        <v>3546</v>
      </c>
      <c r="F337" s="59" t="s">
        <v>3090</v>
      </c>
      <c r="G337" s="59" t="s">
        <v>3086</v>
      </c>
      <c r="H337" s="59" t="s">
        <v>3087</v>
      </c>
      <c r="I337" s="59" t="s">
        <v>15</v>
      </c>
    </row>
    <row r="338">
      <c r="A338" s="85" t="s">
        <v>2235</v>
      </c>
      <c r="B338" s="59" t="s">
        <v>2934</v>
      </c>
      <c r="C338" s="59" t="s">
        <v>3082</v>
      </c>
      <c r="D338" s="59" t="s">
        <v>3547</v>
      </c>
      <c r="E338" s="59" t="s">
        <v>3548</v>
      </c>
      <c r="F338" s="59" t="s">
        <v>3090</v>
      </c>
      <c r="G338" s="59" t="s">
        <v>3086</v>
      </c>
      <c r="H338" s="59" t="s">
        <v>3087</v>
      </c>
      <c r="I338" s="59" t="s">
        <v>15</v>
      </c>
    </row>
    <row r="339">
      <c r="A339" s="85" t="s">
        <v>2237</v>
      </c>
      <c r="B339" s="59" t="s">
        <v>2934</v>
      </c>
      <c r="C339" s="59" t="s">
        <v>3082</v>
      </c>
      <c r="D339" s="59" t="s">
        <v>3549</v>
      </c>
      <c r="E339" s="59" t="s">
        <v>3550</v>
      </c>
      <c r="F339" s="59" t="s">
        <v>3195</v>
      </c>
      <c r="G339" s="59" t="s">
        <v>3196</v>
      </c>
      <c r="H339" s="59" t="s">
        <v>3197</v>
      </c>
      <c r="I339" s="59" t="s">
        <v>15</v>
      </c>
    </row>
    <row r="340">
      <c r="A340" s="85" t="s">
        <v>2239</v>
      </c>
      <c r="B340" s="59" t="s">
        <v>2934</v>
      </c>
      <c r="C340" s="59" t="s">
        <v>3082</v>
      </c>
      <c r="D340" s="59" t="s">
        <v>3551</v>
      </c>
      <c r="E340" s="59" t="s">
        <v>3552</v>
      </c>
      <c r="F340" s="59" t="s">
        <v>3199</v>
      </c>
      <c r="G340" s="59" t="s">
        <v>3196</v>
      </c>
      <c r="H340" s="59" t="s">
        <v>3197</v>
      </c>
      <c r="I340" s="59" t="s">
        <v>15</v>
      </c>
    </row>
    <row r="341">
      <c r="A341" s="85" t="s">
        <v>2241</v>
      </c>
      <c r="B341" s="59" t="s">
        <v>2934</v>
      </c>
      <c r="C341" s="59" t="s">
        <v>3082</v>
      </c>
      <c r="D341" s="59" t="s">
        <v>3209</v>
      </c>
      <c r="E341" s="59" t="s">
        <v>3553</v>
      </c>
      <c r="F341" s="59" t="s">
        <v>3218</v>
      </c>
      <c r="G341" s="59" t="s">
        <v>3219</v>
      </c>
      <c r="H341" s="59" t="s">
        <v>3220</v>
      </c>
      <c r="I341" s="59" t="s">
        <v>15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26.13"/>
    <col customWidth="1" min="3" max="3" width="15.0"/>
    <col customWidth="1" min="4" max="4" width="22.5"/>
    <col customWidth="1" min="5" max="5" width="30.75"/>
    <col customWidth="1" min="6" max="6" width="56.75"/>
    <col customWidth="1" min="7" max="7" width="32.13"/>
    <col customWidth="1" min="8" max="8" width="33.13"/>
  </cols>
  <sheetData>
    <row r="1">
      <c r="A1" s="31" t="s">
        <v>78</v>
      </c>
      <c r="B1" s="32" t="s">
        <v>79</v>
      </c>
      <c r="C1" s="66" t="s">
        <v>80</v>
      </c>
      <c r="D1" s="66" t="s">
        <v>81</v>
      </c>
      <c r="E1" s="67" t="s">
        <v>82</v>
      </c>
      <c r="F1" s="68" t="s">
        <v>413</v>
      </c>
      <c r="G1" s="68" t="s">
        <v>414</v>
      </c>
      <c r="H1" s="31" t="s">
        <v>83</v>
      </c>
      <c r="I1" s="31" t="s">
        <v>278</v>
      </c>
      <c r="Z1" s="58"/>
    </row>
    <row r="2">
      <c r="A2" s="38" t="s">
        <v>84</v>
      </c>
      <c r="B2" s="59" t="s">
        <v>3554</v>
      </c>
      <c r="C2" s="59" t="s">
        <v>3555</v>
      </c>
      <c r="D2" s="59" t="s">
        <v>3556</v>
      </c>
      <c r="E2" s="59" t="s">
        <v>3557</v>
      </c>
      <c r="F2" s="59" t="s">
        <v>3558</v>
      </c>
      <c r="G2" s="59" t="s">
        <v>3559</v>
      </c>
      <c r="H2" s="59" t="s">
        <v>3560</v>
      </c>
      <c r="I2" s="59" t="s">
        <v>13</v>
      </c>
      <c r="L2" s="1" t="s">
        <v>284</v>
      </c>
      <c r="M2" s="21">
        <f>SUM(M3:M4)</f>
        <v>26</v>
      </c>
    </row>
    <row r="3">
      <c r="A3" s="38" t="s">
        <v>92</v>
      </c>
      <c r="B3" s="59" t="s">
        <v>3554</v>
      </c>
      <c r="C3" s="59" t="s">
        <v>3561</v>
      </c>
      <c r="D3" s="59" t="s">
        <v>3562</v>
      </c>
      <c r="E3" s="59" t="s">
        <v>3557</v>
      </c>
      <c r="F3" s="59" t="s">
        <v>3563</v>
      </c>
      <c r="G3" s="59" t="s">
        <v>3564</v>
      </c>
      <c r="H3" s="59" t="s">
        <v>3565</v>
      </c>
      <c r="I3" s="59" t="s">
        <v>13</v>
      </c>
      <c r="L3" s="1" t="s">
        <v>13</v>
      </c>
      <c r="M3" s="21">
        <f>COUNTIF(I$2:I$27,"Todos")</f>
        <v>25</v>
      </c>
    </row>
    <row r="4">
      <c r="A4" s="38" t="s">
        <v>96</v>
      </c>
      <c r="B4" s="59" t="s">
        <v>3554</v>
      </c>
      <c r="C4" s="59" t="s">
        <v>3566</v>
      </c>
      <c r="D4" s="59" t="s">
        <v>3562</v>
      </c>
      <c r="E4" s="59" t="s">
        <v>3557</v>
      </c>
      <c r="F4" s="59" t="s">
        <v>3567</v>
      </c>
      <c r="G4" s="59" t="s">
        <v>3564</v>
      </c>
      <c r="H4" s="59" t="s">
        <v>3568</v>
      </c>
      <c r="I4" s="59" t="s">
        <v>13</v>
      </c>
      <c r="L4" s="1" t="s">
        <v>18</v>
      </c>
      <c r="M4" s="21">
        <f>COUNTIF(I$2:I$27,"El Salvador")</f>
        <v>1</v>
      </c>
    </row>
    <row r="5">
      <c r="A5" s="38" t="s">
        <v>101</v>
      </c>
      <c r="B5" s="59" t="s">
        <v>3554</v>
      </c>
      <c r="C5" s="59" t="s">
        <v>3569</v>
      </c>
      <c r="D5" s="59" t="s">
        <v>3562</v>
      </c>
      <c r="E5" s="59" t="s">
        <v>3557</v>
      </c>
      <c r="F5" s="59" t="s">
        <v>3570</v>
      </c>
      <c r="G5" s="65"/>
      <c r="H5" s="59" t="s">
        <v>3571</v>
      </c>
      <c r="I5" s="59" t="s">
        <v>13</v>
      </c>
    </row>
    <row r="6">
      <c r="A6" s="38" t="s">
        <v>106</v>
      </c>
      <c r="B6" s="59" t="s">
        <v>3554</v>
      </c>
      <c r="C6" s="59" t="s">
        <v>3572</v>
      </c>
      <c r="D6" s="59" t="s">
        <v>3562</v>
      </c>
      <c r="E6" s="59" t="s">
        <v>3573</v>
      </c>
      <c r="F6" s="59" t="s">
        <v>3574</v>
      </c>
      <c r="G6" s="65"/>
      <c r="H6" s="59" t="s">
        <v>3575</v>
      </c>
      <c r="I6" s="59" t="s">
        <v>13</v>
      </c>
    </row>
    <row r="7">
      <c r="A7" s="38" t="s">
        <v>110</v>
      </c>
      <c r="B7" s="59" t="s">
        <v>3554</v>
      </c>
      <c r="C7" s="59" t="s">
        <v>3576</v>
      </c>
      <c r="D7" s="59" t="s">
        <v>3577</v>
      </c>
      <c r="E7" s="59" t="s">
        <v>3578</v>
      </c>
      <c r="F7" s="59" t="s">
        <v>3579</v>
      </c>
      <c r="G7" s="59" t="s">
        <v>3580</v>
      </c>
      <c r="H7" s="59" t="s">
        <v>3581</v>
      </c>
      <c r="I7" s="59" t="s">
        <v>13</v>
      </c>
    </row>
    <row r="8">
      <c r="A8" s="38" t="s">
        <v>115</v>
      </c>
      <c r="B8" s="59" t="s">
        <v>3554</v>
      </c>
      <c r="C8" s="59" t="s">
        <v>3576</v>
      </c>
      <c r="D8" s="59" t="s">
        <v>3577</v>
      </c>
      <c r="E8" s="59" t="s">
        <v>3578</v>
      </c>
      <c r="F8" s="59" t="s">
        <v>3582</v>
      </c>
      <c r="G8" s="59" t="s">
        <v>3580</v>
      </c>
      <c r="H8" s="59" t="s">
        <v>3581</v>
      </c>
      <c r="I8" s="59" t="s">
        <v>13</v>
      </c>
    </row>
    <row r="9">
      <c r="A9" s="38" t="s">
        <v>120</v>
      </c>
      <c r="B9" s="59" t="s">
        <v>3554</v>
      </c>
      <c r="C9" s="59" t="s">
        <v>3576</v>
      </c>
      <c r="D9" s="59" t="s">
        <v>3577</v>
      </c>
      <c r="E9" s="59" t="s">
        <v>3578</v>
      </c>
      <c r="F9" s="59" t="s">
        <v>3583</v>
      </c>
      <c r="G9" s="59" t="s">
        <v>3580</v>
      </c>
      <c r="H9" s="59" t="s">
        <v>3581</v>
      </c>
      <c r="I9" s="59" t="s">
        <v>13</v>
      </c>
    </row>
    <row r="10">
      <c r="A10" s="38" t="s">
        <v>125</v>
      </c>
      <c r="B10" s="59" t="s">
        <v>3554</v>
      </c>
      <c r="C10" s="59" t="s">
        <v>3576</v>
      </c>
      <c r="D10" s="59" t="s">
        <v>3577</v>
      </c>
      <c r="E10" s="59" t="s">
        <v>3578</v>
      </c>
      <c r="F10" s="59" t="s">
        <v>3584</v>
      </c>
      <c r="G10" s="59" t="s">
        <v>3580</v>
      </c>
      <c r="H10" s="59" t="s">
        <v>3581</v>
      </c>
      <c r="I10" s="59" t="s">
        <v>13</v>
      </c>
    </row>
    <row r="11">
      <c r="A11" s="38" t="s">
        <v>129</v>
      </c>
      <c r="B11" s="59" t="s">
        <v>3554</v>
      </c>
      <c r="C11" s="59" t="s">
        <v>3576</v>
      </c>
      <c r="D11" s="59" t="s">
        <v>3577</v>
      </c>
      <c r="E11" s="59" t="s">
        <v>3578</v>
      </c>
      <c r="F11" s="59" t="s">
        <v>3585</v>
      </c>
      <c r="G11" s="59" t="s">
        <v>3580</v>
      </c>
      <c r="H11" s="59" t="s">
        <v>3586</v>
      </c>
      <c r="I11" s="59" t="s">
        <v>13</v>
      </c>
      <c r="J11" s="122"/>
      <c r="K11" s="122"/>
      <c r="L11" s="122"/>
      <c r="M11" s="122"/>
      <c r="N11" s="122"/>
      <c r="O11" s="122"/>
      <c r="P11" s="122"/>
      <c r="Q11" s="122"/>
      <c r="R11" s="122"/>
      <c r="S11" s="122"/>
      <c r="T11" s="122"/>
      <c r="U11" s="122"/>
      <c r="V11" s="122"/>
      <c r="W11" s="122"/>
      <c r="X11" s="122"/>
      <c r="Y11" s="122"/>
      <c r="Z11" s="122"/>
    </row>
    <row r="12">
      <c r="A12" s="38" t="s">
        <v>134</v>
      </c>
      <c r="B12" s="59" t="s">
        <v>3554</v>
      </c>
      <c r="C12" s="59" t="s">
        <v>3576</v>
      </c>
      <c r="D12" s="59" t="s">
        <v>3577</v>
      </c>
      <c r="E12" s="59" t="s">
        <v>3578</v>
      </c>
      <c r="F12" s="59" t="s">
        <v>3587</v>
      </c>
      <c r="G12" s="59" t="s">
        <v>3580</v>
      </c>
      <c r="H12" s="59" t="s">
        <v>3588</v>
      </c>
      <c r="I12" s="59" t="s">
        <v>13</v>
      </c>
      <c r="J12" s="122"/>
      <c r="K12" s="122"/>
      <c r="L12" s="122"/>
      <c r="M12" s="122"/>
      <c r="N12" s="122"/>
      <c r="O12" s="122"/>
      <c r="P12" s="122"/>
      <c r="Q12" s="122"/>
      <c r="R12" s="122"/>
      <c r="S12" s="122"/>
      <c r="T12" s="122"/>
      <c r="U12" s="122"/>
      <c r="V12" s="122"/>
      <c r="W12" s="122"/>
      <c r="X12" s="122"/>
      <c r="Y12" s="122"/>
      <c r="Z12" s="122"/>
    </row>
    <row r="13">
      <c r="A13" s="38" t="s">
        <v>139</v>
      </c>
      <c r="B13" s="59" t="s">
        <v>3554</v>
      </c>
      <c r="C13" s="59" t="s">
        <v>3589</v>
      </c>
      <c r="D13" s="59" t="s">
        <v>3590</v>
      </c>
      <c r="E13" s="59" t="s">
        <v>3591</v>
      </c>
      <c r="F13" s="59" t="s">
        <v>3592</v>
      </c>
      <c r="G13" s="59"/>
      <c r="H13" s="59" t="s">
        <v>3593</v>
      </c>
      <c r="I13" s="59" t="s">
        <v>13</v>
      </c>
      <c r="J13" s="122"/>
      <c r="K13" s="122"/>
      <c r="L13" s="122"/>
      <c r="M13" s="122"/>
      <c r="N13" s="122"/>
      <c r="O13" s="122"/>
      <c r="P13" s="122"/>
      <c r="Q13" s="122"/>
      <c r="R13" s="122"/>
      <c r="S13" s="122"/>
      <c r="T13" s="122"/>
      <c r="U13" s="122"/>
      <c r="V13" s="122"/>
      <c r="W13" s="122"/>
      <c r="X13" s="122"/>
      <c r="Y13" s="122"/>
      <c r="Z13" s="122"/>
    </row>
    <row r="14">
      <c r="A14" s="38" t="s">
        <v>144</v>
      </c>
      <c r="B14" s="59" t="s">
        <v>3554</v>
      </c>
      <c r="C14" s="59" t="s">
        <v>3594</v>
      </c>
      <c r="D14" s="59" t="s">
        <v>3595</v>
      </c>
      <c r="E14" s="59" t="s">
        <v>3596</v>
      </c>
      <c r="F14" s="59" t="s">
        <v>3597</v>
      </c>
      <c r="G14" s="59" t="s">
        <v>3598</v>
      </c>
      <c r="H14" s="59" t="s">
        <v>3599</v>
      </c>
      <c r="I14" s="59" t="s">
        <v>13</v>
      </c>
      <c r="J14" s="122"/>
      <c r="K14" s="122"/>
      <c r="L14" s="122"/>
      <c r="M14" s="122"/>
      <c r="N14" s="122"/>
      <c r="O14" s="122"/>
      <c r="P14" s="122"/>
      <c r="Q14" s="122"/>
      <c r="R14" s="122"/>
      <c r="S14" s="122"/>
      <c r="T14" s="122"/>
      <c r="U14" s="122"/>
      <c r="V14" s="122"/>
      <c r="W14" s="122"/>
      <c r="X14" s="122"/>
      <c r="Y14" s="122"/>
      <c r="Z14" s="122"/>
    </row>
    <row r="15">
      <c r="A15" s="38" t="s">
        <v>149</v>
      </c>
      <c r="B15" s="59" t="s">
        <v>3554</v>
      </c>
      <c r="C15" s="59" t="s">
        <v>3594</v>
      </c>
      <c r="D15" s="59" t="s">
        <v>3600</v>
      </c>
      <c r="E15" s="59" t="s">
        <v>3596</v>
      </c>
      <c r="F15" s="59" t="s">
        <v>3597</v>
      </c>
      <c r="G15" s="59"/>
      <c r="H15" s="59" t="s">
        <v>3601</v>
      </c>
      <c r="I15" s="59" t="s">
        <v>13</v>
      </c>
      <c r="J15" s="122"/>
      <c r="K15" s="122"/>
      <c r="L15" s="122"/>
      <c r="M15" s="122"/>
      <c r="N15" s="122"/>
      <c r="O15" s="122"/>
      <c r="P15" s="122"/>
      <c r="Q15" s="122"/>
      <c r="R15" s="122"/>
      <c r="S15" s="122"/>
      <c r="T15" s="122"/>
      <c r="U15" s="122"/>
      <c r="V15" s="122"/>
      <c r="W15" s="122"/>
      <c r="X15" s="122"/>
      <c r="Y15" s="122"/>
      <c r="Z15" s="122"/>
    </row>
    <row r="16">
      <c r="A16" s="38" t="s">
        <v>153</v>
      </c>
      <c r="B16" s="59" t="s">
        <v>3554</v>
      </c>
      <c r="C16" s="59" t="s">
        <v>3594</v>
      </c>
      <c r="D16" s="59" t="s">
        <v>3602</v>
      </c>
      <c r="E16" s="59" t="s">
        <v>3603</v>
      </c>
      <c r="F16" s="59" t="s">
        <v>3604</v>
      </c>
      <c r="G16" s="59" t="s">
        <v>3605</v>
      </c>
      <c r="H16" s="59" t="s">
        <v>3599</v>
      </c>
      <c r="I16" s="59" t="s">
        <v>13</v>
      </c>
      <c r="J16" s="122"/>
      <c r="K16" s="122"/>
      <c r="L16" s="122"/>
      <c r="M16" s="122"/>
      <c r="N16" s="122"/>
      <c r="O16" s="122"/>
      <c r="P16" s="122"/>
      <c r="Q16" s="122"/>
      <c r="R16" s="122"/>
      <c r="S16" s="122"/>
      <c r="T16" s="122"/>
      <c r="U16" s="122"/>
      <c r="V16" s="122"/>
      <c r="W16" s="122"/>
      <c r="X16" s="122"/>
      <c r="Y16" s="122"/>
      <c r="Z16" s="122"/>
    </row>
    <row r="17">
      <c r="A17" s="38" t="s">
        <v>158</v>
      </c>
      <c r="B17" s="59" t="s">
        <v>3554</v>
      </c>
      <c r="C17" s="59" t="s">
        <v>3594</v>
      </c>
      <c r="D17" s="59" t="s">
        <v>3602</v>
      </c>
      <c r="E17" s="59" t="s">
        <v>3596</v>
      </c>
      <c r="F17" s="59" t="s">
        <v>3604</v>
      </c>
      <c r="G17" s="59"/>
      <c r="H17" s="59" t="s">
        <v>3601</v>
      </c>
      <c r="I17" s="59" t="s">
        <v>13</v>
      </c>
      <c r="J17" s="122"/>
      <c r="K17" s="122"/>
      <c r="L17" s="122"/>
      <c r="M17" s="122"/>
      <c r="N17" s="122"/>
      <c r="O17" s="122"/>
      <c r="P17" s="122"/>
      <c r="Q17" s="122"/>
      <c r="R17" s="122"/>
      <c r="S17" s="122"/>
      <c r="T17" s="122"/>
      <c r="U17" s="122"/>
      <c r="V17" s="122"/>
      <c r="W17" s="122"/>
      <c r="X17" s="122"/>
      <c r="Y17" s="122"/>
      <c r="Z17" s="122"/>
    </row>
    <row r="18">
      <c r="A18" s="38" t="s">
        <v>162</v>
      </c>
      <c r="B18" s="59" t="s">
        <v>3554</v>
      </c>
      <c r="C18" s="59" t="s">
        <v>3606</v>
      </c>
      <c r="D18" s="59" t="s">
        <v>3607</v>
      </c>
      <c r="E18" s="59" t="s">
        <v>3608</v>
      </c>
      <c r="F18" s="59" t="s">
        <v>3609</v>
      </c>
      <c r="G18" s="59"/>
      <c r="H18" s="59" t="s">
        <v>3610</v>
      </c>
      <c r="I18" s="59" t="s">
        <v>13</v>
      </c>
      <c r="J18" s="122"/>
      <c r="K18" s="122"/>
      <c r="L18" s="122"/>
      <c r="M18" s="122"/>
      <c r="N18" s="122"/>
      <c r="O18" s="122"/>
      <c r="P18" s="122"/>
      <c r="Q18" s="122"/>
      <c r="R18" s="122"/>
      <c r="S18" s="122"/>
      <c r="T18" s="122"/>
      <c r="U18" s="122"/>
      <c r="V18" s="122"/>
      <c r="W18" s="122"/>
      <c r="X18" s="122"/>
      <c r="Y18" s="122"/>
      <c r="Z18" s="122"/>
    </row>
    <row r="19">
      <c r="A19" s="38" t="s">
        <v>165</v>
      </c>
      <c r="B19" s="59" t="s">
        <v>3554</v>
      </c>
      <c r="C19" s="59" t="s">
        <v>3611</v>
      </c>
      <c r="D19" s="59" t="s">
        <v>3607</v>
      </c>
      <c r="E19" s="59" t="s">
        <v>3608</v>
      </c>
      <c r="F19" s="59" t="s">
        <v>3612</v>
      </c>
      <c r="G19" s="59"/>
      <c r="H19" s="59" t="s">
        <v>3613</v>
      </c>
      <c r="I19" s="59" t="s">
        <v>13</v>
      </c>
      <c r="J19" s="122"/>
      <c r="K19" s="122"/>
      <c r="L19" s="122"/>
      <c r="M19" s="122"/>
      <c r="N19" s="122"/>
      <c r="O19" s="122"/>
      <c r="P19" s="122"/>
      <c r="Q19" s="122"/>
      <c r="R19" s="122"/>
      <c r="S19" s="122"/>
      <c r="T19" s="122"/>
      <c r="U19" s="122"/>
      <c r="V19" s="122"/>
      <c r="W19" s="122"/>
      <c r="X19" s="122"/>
      <c r="Y19" s="122"/>
      <c r="Z19" s="122"/>
    </row>
    <row r="20">
      <c r="A20" s="38" t="s">
        <v>167</v>
      </c>
      <c r="B20" s="59" t="s">
        <v>3554</v>
      </c>
      <c r="C20" s="59" t="s">
        <v>3614</v>
      </c>
      <c r="D20" s="59" t="s">
        <v>3607</v>
      </c>
      <c r="E20" s="59" t="s">
        <v>3608</v>
      </c>
      <c r="F20" s="59" t="s">
        <v>3615</v>
      </c>
      <c r="G20" s="59"/>
      <c r="H20" s="59" t="s">
        <v>3610</v>
      </c>
      <c r="I20" s="59" t="s">
        <v>13</v>
      </c>
      <c r="J20" s="122"/>
      <c r="K20" s="122"/>
      <c r="L20" s="122"/>
      <c r="M20" s="122"/>
      <c r="N20" s="122"/>
      <c r="O20" s="122"/>
      <c r="P20" s="122"/>
      <c r="Q20" s="122"/>
      <c r="R20" s="122"/>
      <c r="S20" s="122"/>
      <c r="T20" s="122"/>
      <c r="U20" s="122"/>
      <c r="V20" s="122"/>
      <c r="W20" s="122"/>
      <c r="X20" s="122"/>
      <c r="Y20" s="122"/>
      <c r="Z20" s="122"/>
    </row>
    <row r="21">
      <c r="A21" s="38" t="s">
        <v>170</v>
      </c>
      <c r="B21" s="59" t="s">
        <v>3554</v>
      </c>
      <c r="C21" s="59" t="s">
        <v>3614</v>
      </c>
      <c r="D21" s="59" t="s">
        <v>3607</v>
      </c>
      <c r="E21" s="59" t="s">
        <v>3608</v>
      </c>
      <c r="F21" s="59" t="s">
        <v>3616</v>
      </c>
      <c r="G21" s="59"/>
      <c r="H21" s="59" t="s">
        <v>3617</v>
      </c>
      <c r="I21" s="59" t="s">
        <v>13</v>
      </c>
      <c r="J21" s="122"/>
      <c r="K21" s="122"/>
      <c r="L21" s="122"/>
      <c r="M21" s="122"/>
      <c r="N21" s="122"/>
      <c r="O21" s="122"/>
      <c r="P21" s="122"/>
      <c r="Q21" s="122"/>
      <c r="R21" s="122"/>
      <c r="S21" s="122"/>
      <c r="T21" s="122"/>
      <c r="U21" s="122"/>
      <c r="V21" s="122"/>
      <c r="W21" s="122"/>
      <c r="X21" s="122"/>
      <c r="Y21" s="122"/>
      <c r="Z21" s="122"/>
    </row>
    <row r="22">
      <c r="A22" s="38" t="s">
        <v>175</v>
      </c>
      <c r="B22" s="59" t="s">
        <v>3554</v>
      </c>
      <c r="C22" s="59" t="s">
        <v>3614</v>
      </c>
      <c r="D22" s="59" t="s">
        <v>3607</v>
      </c>
      <c r="E22" s="59" t="s">
        <v>3608</v>
      </c>
      <c r="F22" s="59" t="s">
        <v>3618</v>
      </c>
      <c r="G22" s="59"/>
      <c r="H22" s="59" t="s">
        <v>3619</v>
      </c>
      <c r="I22" s="59" t="s">
        <v>18</v>
      </c>
      <c r="J22" s="122"/>
      <c r="K22" s="122"/>
      <c r="L22" s="122"/>
      <c r="M22" s="122"/>
      <c r="N22" s="122"/>
      <c r="O22" s="122"/>
      <c r="P22" s="122"/>
      <c r="Q22" s="122"/>
      <c r="R22" s="122"/>
      <c r="S22" s="122"/>
      <c r="T22" s="122"/>
      <c r="U22" s="122"/>
      <c r="V22" s="122"/>
      <c r="W22" s="122"/>
      <c r="X22" s="122"/>
      <c r="Y22" s="122"/>
      <c r="Z22" s="122"/>
    </row>
    <row r="23">
      <c r="A23" s="38" t="s">
        <v>180</v>
      </c>
      <c r="B23" s="59" t="s">
        <v>3554</v>
      </c>
      <c r="C23" s="59" t="s">
        <v>3620</v>
      </c>
      <c r="D23" s="59" t="s">
        <v>3607</v>
      </c>
      <c r="E23" s="59" t="s">
        <v>3621</v>
      </c>
      <c r="F23" s="59" t="s">
        <v>3622</v>
      </c>
      <c r="G23" s="59" t="s">
        <v>3623</v>
      </c>
      <c r="H23" s="59" t="s">
        <v>3624</v>
      </c>
      <c r="I23" s="59" t="s">
        <v>13</v>
      </c>
      <c r="J23" s="122"/>
      <c r="K23" s="122"/>
      <c r="L23" s="122"/>
      <c r="M23" s="122"/>
      <c r="N23" s="122"/>
      <c r="O23" s="122"/>
      <c r="P23" s="122"/>
      <c r="Q23" s="122"/>
      <c r="R23" s="122"/>
      <c r="S23" s="122"/>
      <c r="T23" s="122"/>
      <c r="U23" s="122"/>
      <c r="V23" s="122"/>
      <c r="W23" s="122"/>
      <c r="X23" s="122"/>
      <c r="Y23" s="122"/>
      <c r="Z23" s="122"/>
    </row>
    <row r="24">
      <c r="A24" s="38" t="s">
        <v>185</v>
      </c>
      <c r="B24" s="59" t="s">
        <v>3554</v>
      </c>
      <c r="C24" s="59" t="s">
        <v>3625</v>
      </c>
      <c r="D24" s="59" t="s">
        <v>3607</v>
      </c>
      <c r="E24" s="59" t="s">
        <v>3621</v>
      </c>
      <c r="F24" s="59" t="s">
        <v>3622</v>
      </c>
      <c r="G24" s="59" t="s">
        <v>3623</v>
      </c>
      <c r="H24" s="59" t="s">
        <v>3626</v>
      </c>
      <c r="I24" s="59" t="s">
        <v>13</v>
      </c>
      <c r="J24" s="122"/>
      <c r="K24" s="122"/>
      <c r="L24" s="122"/>
      <c r="M24" s="122"/>
      <c r="N24" s="122"/>
      <c r="O24" s="122"/>
      <c r="P24" s="122"/>
      <c r="Q24" s="122"/>
      <c r="R24" s="122"/>
      <c r="S24" s="122"/>
      <c r="T24" s="122"/>
      <c r="U24" s="122"/>
      <c r="V24" s="122"/>
      <c r="W24" s="122"/>
      <c r="X24" s="122"/>
      <c r="Y24" s="122"/>
      <c r="Z24" s="122"/>
    </row>
    <row r="25">
      <c r="A25" s="38" t="s">
        <v>190</v>
      </c>
      <c r="B25" s="59" t="s">
        <v>3554</v>
      </c>
      <c r="C25" s="59" t="s">
        <v>3620</v>
      </c>
      <c r="D25" s="59" t="s">
        <v>3627</v>
      </c>
      <c r="E25" s="59" t="s">
        <v>3621</v>
      </c>
      <c r="F25" s="59" t="s">
        <v>3628</v>
      </c>
      <c r="G25" s="65"/>
      <c r="H25" s="59" t="s">
        <v>3629</v>
      </c>
      <c r="I25" s="59" t="s">
        <v>13</v>
      </c>
    </row>
    <row r="26">
      <c r="A26" s="38" t="s">
        <v>195</v>
      </c>
      <c r="B26" s="59" t="s">
        <v>3554</v>
      </c>
      <c r="C26" s="59" t="s">
        <v>3630</v>
      </c>
      <c r="D26" s="59" t="s">
        <v>3631</v>
      </c>
      <c r="E26" s="59" t="s">
        <v>3632</v>
      </c>
      <c r="F26" s="59" t="s">
        <v>3633</v>
      </c>
      <c r="G26" s="65"/>
      <c r="H26" s="59" t="s">
        <v>3634</v>
      </c>
      <c r="I26" s="59" t="s">
        <v>13</v>
      </c>
    </row>
    <row r="27">
      <c r="A27" s="38" t="s">
        <v>200</v>
      </c>
      <c r="B27" s="59" t="s">
        <v>3554</v>
      </c>
      <c r="C27" s="59" t="s">
        <v>3635</v>
      </c>
      <c r="D27" s="59" t="s">
        <v>3636</v>
      </c>
      <c r="E27" s="59" t="s">
        <v>3637</v>
      </c>
      <c r="F27" s="59" t="s">
        <v>3638</v>
      </c>
      <c r="G27" s="59" t="s">
        <v>3639</v>
      </c>
      <c r="H27" s="59" t="s">
        <v>3640</v>
      </c>
      <c r="I27" s="59" t="s">
        <v>13</v>
      </c>
    </row>
    <row r="28">
      <c r="B28" s="57"/>
    </row>
    <row r="29">
      <c r="B29" s="57"/>
    </row>
    <row r="30">
      <c r="B30" s="57"/>
    </row>
    <row r="31">
      <c r="B31" s="57"/>
    </row>
    <row r="32">
      <c r="B32" s="57"/>
    </row>
    <row r="33">
      <c r="B33" s="57"/>
    </row>
    <row r="34">
      <c r="B34" s="57"/>
    </row>
    <row r="35">
      <c r="B35" s="57"/>
    </row>
    <row r="36">
      <c r="B36" s="57"/>
    </row>
    <row r="37">
      <c r="B37" s="57"/>
    </row>
    <row r="38">
      <c r="B38" s="57"/>
    </row>
    <row r="39">
      <c r="B39" s="57"/>
    </row>
    <row r="40">
      <c r="B40" s="57"/>
    </row>
    <row r="41">
      <c r="B41" s="57"/>
    </row>
    <row r="42">
      <c r="B42" s="57"/>
    </row>
    <row r="43">
      <c r="B43" s="57"/>
    </row>
    <row r="44">
      <c r="B44" s="57"/>
    </row>
    <row r="45">
      <c r="B45" s="57"/>
    </row>
    <row r="46">
      <c r="B46" s="57"/>
    </row>
    <row r="47">
      <c r="B47" s="57"/>
    </row>
    <row r="48">
      <c r="B48" s="57"/>
    </row>
    <row r="49">
      <c r="B49" s="57"/>
    </row>
    <row r="50">
      <c r="B50" s="57"/>
    </row>
    <row r="51">
      <c r="B51" s="57"/>
    </row>
    <row r="52">
      <c r="B52" s="57"/>
    </row>
    <row r="53">
      <c r="B53" s="57"/>
    </row>
    <row r="54">
      <c r="B54" s="57"/>
    </row>
    <row r="55">
      <c r="B55" s="57"/>
    </row>
    <row r="56">
      <c r="B56" s="57"/>
    </row>
    <row r="57">
      <c r="B57" s="57"/>
    </row>
    <row r="58">
      <c r="B58" s="57"/>
    </row>
    <row r="59">
      <c r="B59" s="57"/>
    </row>
    <row r="60">
      <c r="B60" s="57"/>
    </row>
    <row r="61">
      <c r="B61" s="57"/>
    </row>
    <row r="62">
      <c r="B62" s="57"/>
    </row>
    <row r="63">
      <c r="B63" s="57"/>
    </row>
    <row r="64">
      <c r="B64" s="57"/>
    </row>
    <row r="65">
      <c r="B65" s="57"/>
    </row>
    <row r="66">
      <c r="B66" s="57"/>
    </row>
    <row r="67">
      <c r="B67" s="57"/>
    </row>
    <row r="68">
      <c r="B68" s="57"/>
    </row>
    <row r="69">
      <c r="B69" s="57"/>
    </row>
    <row r="70">
      <c r="B70" s="57"/>
    </row>
    <row r="71">
      <c r="B71" s="57"/>
    </row>
    <row r="72">
      <c r="B72" s="57"/>
    </row>
    <row r="73">
      <c r="B73" s="57"/>
    </row>
    <row r="74">
      <c r="B74" s="57"/>
    </row>
    <row r="75">
      <c r="B75" s="57"/>
    </row>
    <row r="76">
      <c r="B76" s="57"/>
    </row>
    <row r="77">
      <c r="B77" s="57"/>
    </row>
    <row r="78">
      <c r="B78" s="57"/>
    </row>
    <row r="79">
      <c r="B79" s="57"/>
    </row>
    <row r="80">
      <c r="B80" s="57"/>
    </row>
    <row r="81">
      <c r="B81" s="57"/>
    </row>
    <row r="82">
      <c r="B82" s="57"/>
    </row>
    <row r="83">
      <c r="B83" s="57"/>
    </row>
    <row r="84">
      <c r="B84" s="57"/>
    </row>
    <row r="85">
      <c r="B85" s="57"/>
    </row>
    <row r="86">
      <c r="B86" s="57"/>
    </row>
    <row r="87">
      <c r="B87" s="57"/>
    </row>
    <row r="88">
      <c r="B88" s="57"/>
    </row>
    <row r="89">
      <c r="B89" s="57"/>
    </row>
    <row r="90">
      <c r="B90" s="57"/>
    </row>
    <row r="91">
      <c r="B91" s="57"/>
    </row>
    <row r="92">
      <c r="B92" s="57"/>
    </row>
    <row r="93">
      <c r="B93" s="57"/>
    </row>
    <row r="94">
      <c r="B94" s="57"/>
    </row>
    <row r="95">
      <c r="B95" s="57"/>
    </row>
    <row r="96">
      <c r="B96" s="57"/>
    </row>
    <row r="97">
      <c r="B97" s="57"/>
    </row>
    <row r="98">
      <c r="B98" s="57"/>
    </row>
    <row r="99">
      <c r="B99" s="57"/>
    </row>
    <row r="100">
      <c r="B100" s="57"/>
    </row>
    <row r="101">
      <c r="B101" s="57"/>
    </row>
    <row r="102">
      <c r="B102" s="57"/>
    </row>
    <row r="103">
      <c r="B103" s="57"/>
    </row>
    <row r="104">
      <c r="B104" s="57"/>
    </row>
    <row r="105">
      <c r="B105" s="57"/>
    </row>
    <row r="106">
      <c r="B106" s="57"/>
    </row>
    <row r="107">
      <c r="B107" s="57"/>
    </row>
    <row r="108">
      <c r="B108" s="57"/>
    </row>
    <row r="109">
      <c r="B109" s="57"/>
    </row>
    <row r="110">
      <c r="B110" s="57"/>
    </row>
    <row r="111">
      <c r="B111" s="57"/>
    </row>
    <row r="112">
      <c r="B112" s="57"/>
    </row>
    <row r="113">
      <c r="B113" s="57"/>
    </row>
    <row r="114">
      <c r="B114" s="57"/>
    </row>
    <row r="115">
      <c r="B115" s="57"/>
    </row>
    <row r="116">
      <c r="B116" s="57"/>
    </row>
    <row r="117">
      <c r="B117" s="57"/>
    </row>
    <row r="118">
      <c r="B118" s="57"/>
    </row>
    <row r="119">
      <c r="B119" s="57"/>
    </row>
    <row r="120">
      <c r="B120" s="57"/>
    </row>
    <row r="121">
      <c r="B121" s="57"/>
    </row>
    <row r="122">
      <c r="B122" s="57"/>
    </row>
    <row r="123">
      <c r="B123" s="57"/>
    </row>
    <row r="124">
      <c r="B124" s="57"/>
    </row>
    <row r="125">
      <c r="B125" s="57"/>
    </row>
    <row r="126">
      <c r="B126" s="57"/>
    </row>
    <row r="127">
      <c r="B127" s="57"/>
    </row>
    <row r="128">
      <c r="B128" s="57"/>
    </row>
    <row r="129">
      <c r="B129" s="57"/>
    </row>
    <row r="130">
      <c r="B130" s="57"/>
    </row>
    <row r="131">
      <c r="B131" s="57"/>
    </row>
    <row r="132">
      <c r="B132" s="57"/>
    </row>
    <row r="133">
      <c r="B133" s="57"/>
    </row>
    <row r="134">
      <c r="B134" s="57"/>
    </row>
    <row r="135">
      <c r="B135" s="57"/>
    </row>
    <row r="136">
      <c r="B136" s="57"/>
    </row>
    <row r="137">
      <c r="B137" s="57"/>
    </row>
    <row r="138">
      <c r="B138" s="57"/>
    </row>
    <row r="139">
      <c r="B139" s="57"/>
    </row>
    <row r="140">
      <c r="B140" s="57"/>
    </row>
    <row r="141">
      <c r="B141" s="57"/>
    </row>
    <row r="142">
      <c r="B142" s="57"/>
    </row>
    <row r="143">
      <c r="B143" s="57"/>
    </row>
    <row r="144">
      <c r="B144" s="57"/>
    </row>
    <row r="145">
      <c r="B145" s="57"/>
    </row>
    <row r="146">
      <c r="B146" s="57"/>
    </row>
    <row r="147">
      <c r="B147" s="57"/>
    </row>
    <row r="148">
      <c r="B148" s="57"/>
    </row>
    <row r="149">
      <c r="B149" s="57"/>
    </row>
    <row r="150">
      <c r="B150" s="57"/>
    </row>
    <row r="151">
      <c r="B151" s="57"/>
    </row>
    <row r="152">
      <c r="B152" s="57"/>
    </row>
    <row r="153">
      <c r="B153" s="57"/>
    </row>
    <row r="154">
      <c r="B154" s="57"/>
    </row>
    <row r="155">
      <c r="B155" s="57"/>
    </row>
    <row r="156">
      <c r="B156" s="57"/>
    </row>
    <row r="157">
      <c r="B157" s="57"/>
    </row>
    <row r="158">
      <c r="B158" s="57"/>
    </row>
    <row r="159">
      <c r="B159" s="57"/>
    </row>
    <row r="160">
      <c r="B160" s="57"/>
    </row>
    <row r="161">
      <c r="B161" s="57"/>
    </row>
    <row r="162">
      <c r="B162" s="57"/>
    </row>
    <row r="163">
      <c r="B163" s="57"/>
    </row>
    <row r="164">
      <c r="B164" s="57"/>
    </row>
    <row r="165">
      <c r="B165" s="57"/>
    </row>
    <row r="166">
      <c r="B166" s="57"/>
    </row>
    <row r="167">
      <c r="B167" s="57"/>
    </row>
    <row r="168">
      <c r="B168" s="57"/>
    </row>
    <row r="169">
      <c r="B169" s="57"/>
    </row>
    <row r="170">
      <c r="B170" s="57"/>
    </row>
    <row r="171">
      <c r="B171" s="57"/>
    </row>
    <row r="172">
      <c r="B172" s="57"/>
    </row>
    <row r="173">
      <c r="B173" s="57"/>
    </row>
    <row r="174">
      <c r="B174" s="57"/>
    </row>
    <row r="175">
      <c r="B175" s="57"/>
    </row>
    <row r="176">
      <c r="B176" s="57"/>
    </row>
    <row r="177">
      <c r="B177" s="57"/>
    </row>
    <row r="178">
      <c r="B178" s="57"/>
    </row>
    <row r="179">
      <c r="B179" s="57"/>
    </row>
    <row r="180">
      <c r="B180" s="57"/>
    </row>
    <row r="181">
      <c r="B181" s="57"/>
    </row>
    <row r="182">
      <c r="B182" s="57"/>
    </row>
    <row r="183">
      <c r="B183" s="57"/>
    </row>
    <row r="184">
      <c r="B184" s="57"/>
    </row>
    <row r="185">
      <c r="B185" s="57"/>
    </row>
    <row r="186">
      <c r="B186" s="57"/>
    </row>
    <row r="187">
      <c r="B187" s="57"/>
    </row>
    <row r="188">
      <c r="B188" s="57"/>
    </row>
    <row r="189">
      <c r="B189" s="57"/>
    </row>
    <row r="190">
      <c r="B190" s="57"/>
    </row>
    <row r="191">
      <c r="B191" s="57"/>
    </row>
    <row r="192">
      <c r="B192" s="57"/>
    </row>
    <row r="193">
      <c r="B193" s="57"/>
    </row>
    <row r="194">
      <c r="B194" s="57"/>
    </row>
    <row r="195">
      <c r="B195" s="57"/>
    </row>
    <row r="196">
      <c r="B196" s="57"/>
    </row>
    <row r="197">
      <c r="B197" s="57"/>
    </row>
    <row r="198">
      <c r="B198" s="57"/>
    </row>
    <row r="199">
      <c r="B199" s="57"/>
    </row>
    <row r="200">
      <c r="B200" s="57"/>
    </row>
    <row r="201">
      <c r="B201" s="57"/>
    </row>
    <row r="202">
      <c r="B202" s="57"/>
    </row>
    <row r="203">
      <c r="B203" s="57"/>
    </row>
    <row r="204">
      <c r="B204" s="57"/>
    </row>
    <row r="205">
      <c r="B205" s="57"/>
    </row>
    <row r="206">
      <c r="B206" s="57"/>
    </row>
    <row r="207">
      <c r="B207" s="57"/>
    </row>
    <row r="208">
      <c r="B208" s="57"/>
    </row>
    <row r="209">
      <c r="B209" s="57"/>
    </row>
    <row r="210">
      <c r="B210" s="57"/>
    </row>
    <row r="211">
      <c r="B211" s="57"/>
    </row>
    <row r="212">
      <c r="B212" s="57"/>
    </row>
    <row r="213">
      <c r="B213" s="57"/>
    </row>
    <row r="214">
      <c r="B214" s="57"/>
    </row>
    <row r="215">
      <c r="B215" s="57"/>
    </row>
    <row r="216">
      <c r="B216" s="57"/>
    </row>
    <row r="217">
      <c r="B217" s="57"/>
    </row>
    <row r="218">
      <c r="B218" s="57"/>
    </row>
    <row r="219">
      <c r="B219" s="57"/>
    </row>
    <row r="220">
      <c r="B220" s="57"/>
    </row>
    <row r="221">
      <c r="B221" s="57"/>
    </row>
    <row r="222">
      <c r="B222" s="57"/>
    </row>
    <row r="223">
      <c r="B223" s="57"/>
    </row>
    <row r="224">
      <c r="B224" s="57"/>
    </row>
    <row r="225">
      <c r="B225" s="57"/>
    </row>
    <row r="226">
      <c r="B226" s="57"/>
    </row>
    <row r="227">
      <c r="B227" s="57"/>
    </row>
    <row r="228">
      <c r="B228" s="57"/>
    </row>
    <row r="229">
      <c r="B229" s="57"/>
    </row>
    <row r="230">
      <c r="B230" s="57"/>
    </row>
    <row r="231">
      <c r="B231" s="57"/>
    </row>
    <row r="232">
      <c r="B232" s="57"/>
    </row>
    <row r="233">
      <c r="B233" s="57"/>
    </row>
    <row r="234">
      <c r="B234" s="57"/>
    </row>
    <row r="235">
      <c r="B235" s="57"/>
    </row>
    <row r="236">
      <c r="B236" s="57"/>
    </row>
    <row r="237">
      <c r="B237" s="57"/>
    </row>
    <row r="238">
      <c r="B238" s="57"/>
    </row>
    <row r="239">
      <c r="B239" s="57"/>
    </row>
    <row r="240">
      <c r="B240" s="57"/>
    </row>
    <row r="241">
      <c r="B241" s="57"/>
    </row>
    <row r="242">
      <c r="B242" s="57"/>
    </row>
    <row r="243">
      <c r="B243" s="57"/>
    </row>
    <row r="244">
      <c r="B244" s="57"/>
    </row>
    <row r="245">
      <c r="B245" s="57"/>
    </row>
    <row r="246">
      <c r="B246" s="57"/>
    </row>
    <row r="247">
      <c r="B247" s="57"/>
    </row>
    <row r="248">
      <c r="B248" s="57"/>
    </row>
    <row r="249">
      <c r="B249" s="57"/>
    </row>
    <row r="250">
      <c r="B250" s="57"/>
    </row>
    <row r="251">
      <c r="B251" s="57"/>
    </row>
    <row r="252">
      <c r="B252" s="57"/>
    </row>
    <row r="253">
      <c r="B253" s="57"/>
    </row>
    <row r="254">
      <c r="B254" s="57"/>
    </row>
    <row r="255">
      <c r="B255" s="57"/>
    </row>
    <row r="256">
      <c r="B256" s="57"/>
    </row>
    <row r="257">
      <c r="B257" s="57"/>
    </row>
    <row r="258">
      <c r="B258" s="57"/>
    </row>
    <row r="259">
      <c r="B259" s="57"/>
    </row>
    <row r="260">
      <c r="B260" s="57"/>
    </row>
    <row r="261">
      <c r="B261" s="57"/>
    </row>
    <row r="262">
      <c r="B262" s="57"/>
    </row>
    <row r="263">
      <c r="B263" s="57"/>
    </row>
    <row r="264">
      <c r="B264" s="57"/>
    </row>
    <row r="265">
      <c r="B265" s="57"/>
    </row>
    <row r="266">
      <c r="B266" s="57"/>
    </row>
    <row r="267">
      <c r="B267" s="57"/>
    </row>
    <row r="268">
      <c r="B268" s="57"/>
    </row>
    <row r="269">
      <c r="B269" s="57"/>
    </row>
    <row r="270">
      <c r="B270" s="57"/>
    </row>
    <row r="271">
      <c r="B271" s="57"/>
    </row>
    <row r="272">
      <c r="B272" s="57"/>
    </row>
    <row r="273">
      <c r="B273" s="57"/>
    </row>
    <row r="274">
      <c r="B274" s="57"/>
    </row>
    <row r="275">
      <c r="B275" s="57"/>
    </row>
    <row r="276">
      <c r="B276" s="57"/>
    </row>
    <row r="277">
      <c r="B277" s="57"/>
    </row>
    <row r="278">
      <c r="B278" s="57"/>
    </row>
    <row r="279">
      <c r="B279" s="57"/>
    </row>
    <row r="280">
      <c r="B280" s="57"/>
    </row>
    <row r="281">
      <c r="B281" s="57"/>
    </row>
    <row r="282">
      <c r="B282" s="57"/>
    </row>
    <row r="283">
      <c r="B283" s="57"/>
    </row>
    <row r="284">
      <c r="B284" s="57"/>
    </row>
    <row r="285">
      <c r="B285" s="57"/>
    </row>
    <row r="286">
      <c r="B286" s="57"/>
    </row>
    <row r="287">
      <c r="B287" s="57"/>
    </row>
    <row r="288">
      <c r="B288" s="57"/>
    </row>
    <row r="289">
      <c r="B289" s="57"/>
    </row>
    <row r="290">
      <c r="B290" s="57"/>
    </row>
    <row r="291">
      <c r="B291" s="57"/>
    </row>
    <row r="292">
      <c r="B292" s="57"/>
    </row>
    <row r="293">
      <c r="B293" s="57"/>
    </row>
    <row r="294">
      <c r="B294" s="57"/>
    </row>
    <row r="295">
      <c r="B295" s="57"/>
    </row>
    <row r="296">
      <c r="B296" s="57"/>
    </row>
    <row r="297">
      <c r="B297" s="57"/>
    </row>
    <row r="298">
      <c r="B298" s="57"/>
    </row>
    <row r="299">
      <c r="B299" s="57"/>
    </row>
    <row r="300">
      <c r="B300" s="57"/>
    </row>
    <row r="301">
      <c r="B301" s="57"/>
    </row>
    <row r="302">
      <c r="B302" s="57"/>
    </row>
    <row r="303">
      <c r="B303" s="57"/>
    </row>
    <row r="304">
      <c r="B304" s="57"/>
    </row>
    <row r="305">
      <c r="B305" s="57"/>
    </row>
    <row r="306">
      <c r="B306" s="57"/>
    </row>
    <row r="307">
      <c r="B307" s="57"/>
    </row>
    <row r="308">
      <c r="B308" s="57"/>
    </row>
    <row r="309">
      <c r="B309" s="57"/>
    </row>
    <row r="310">
      <c r="B310" s="57"/>
    </row>
    <row r="311">
      <c r="B311" s="57"/>
    </row>
    <row r="312">
      <c r="B312" s="57"/>
    </row>
    <row r="313">
      <c r="B313" s="57"/>
    </row>
    <row r="314">
      <c r="B314" s="57"/>
    </row>
    <row r="315">
      <c r="B315" s="57"/>
    </row>
    <row r="316">
      <c r="B316" s="57"/>
    </row>
    <row r="317">
      <c r="B317" s="57"/>
    </row>
    <row r="318">
      <c r="B318" s="57"/>
    </row>
    <row r="319">
      <c r="B319" s="57"/>
    </row>
    <row r="320">
      <c r="B320" s="57"/>
    </row>
    <row r="321">
      <c r="B321" s="57"/>
    </row>
    <row r="322">
      <c r="B322" s="57"/>
    </row>
    <row r="323">
      <c r="B323" s="57"/>
    </row>
    <row r="324">
      <c r="B324" s="57"/>
    </row>
    <row r="325">
      <c r="B325" s="57"/>
    </row>
    <row r="326">
      <c r="B326" s="57"/>
    </row>
    <row r="327">
      <c r="B327" s="57"/>
    </row>
    <row r="328">
      <c r="B328" s="57"/>
    </row>
    <row r="329">
      <c r="B329" s="57"/>
    </row>
    <row r="330">
      <c r="B330" s="57"/>
    </row>
    <row r="331">
      <c r="B331" s="57"/>
    </row>
    <row r="332">
      <c r="B332" s="57"/>
    </row>
    <row r="333">
      <c r="B333" s="57"/>
    </row>
    <row r="334">
      <c r="B334" s="57"/>
    </row>
    <row r="335">
      <c r="B335" s="57"/>
    </row>
    <row r="336">
      <c r="B336" s="57"/>
    </row>
    <row r="337">
      <c r="B337" s="57"/>
    </row>
    <row r="338">
      <c r="B338" s="57"/>
    </row>
    <row r="339">
      <c r="B339" s="57"/>
    </row>
    <row r="340">
      <c r="B340" s="57"/>
    </row>
    <row r="341">
      <c r="B341" s="57"/>
    </row>
    <row r="342">
      <c r="B342" s="57"/>
    </row>
    <row r="343">
      <c r="B343" s="57"/>
    </row>
    <row r="344">
      <c r="B344" s="57"/>
    </row>
    <row r="345">
      <c r="B345" s="57"/>
    </row>
    <row r="346">
      <c r="B346" s="57"/>
    </row>
    <row r="347">
      <c r="B347" s="57"/>
    </row>
    <row r="348">
      <c r="B348" s="57"/>
    </row>
    <row r="349">
      <c r="B349" s="57"/>
    </row>
    <row r="350">
      <c r="B350" s="57"/>
    </row>
    <row r="351">
      <c r="B351" s="57"/>
    </row>
    <row r="352">
      <c r="B352" s="57"/>
    </row>
    <row r="353">
      <c r="B353" s="57"/>
    </row>
    <row r="354">
      <c r="B354" s="57"/>
    </row>
    <row r="355">
      <c r="B355" s="57"/>
    </row>
    <row r="356">
      <c r="B356" s="57"/>
    </row>
    <row r="357">
      <c r="B357" s="57"/>
    </row>
    <row r="358">
      <c r="B358" s="57"/>
    </row>
    <row r="359">
      <c r="B359" s="57"/>
    </row>
    <row r="360">
      <c r="B360" s="57"/>
    </row>
    <row r="361">
      <c r="B361" s="57"/>
    </row>
    <row r="362">
      <c r="B362" s="57"/>
    </row>
    <row r="363">
      <c r="B363" s="57"/>
    </row>
    <row r="364">
      <c r="B364" s="57"/>
    </row>
    <row r="365">
      <c r="B365" s="57"/>
    </row>
    <row r="366">
      <c r="B366" s="57"/>
    </row>
    <row r="367">
      <c r="B367" s="57"/>
    </row>
    <row r="368">
      <c r="B368" s="57"/>
    </row>
    <row r="369">
      <c r="B369" s="57"/>
    </row>
    <row r="370">
      <c r="B370" s="57"/>
    </row>
    <row r="371">
      <c r="B371" s="57"/>
    </row>
    <row r="372">
      <c r="B372" s="57"/>
    </row>
    <row r="373">
      <c r="B373" s="57"/>
    </row>
    <row r="374">
      <c r="B374" s="57"/>
    </row>
    <row r="375">
      <c r="B375" s="57"/>
    </row>
    <row r="376">
      <c r="B376" s="57"/>
    </row>
    <row r="377">
      <c r="B377" s="57"/>
    </row>
    <row r="378">
      <c r="B378" s="57"/>
    </row>
    <row r="379">
      <c r="B379" s="57"/>
    </row>
    <row r="380">
      <c r="B380" s="57"/>
    </row>
    <row r="381">
      <c r="B381" s="57"/>
    </row>
    <row r="382">
      <c r="B382" s="57"/>
    </row>
    <row r="383">
      <c r="B383" s="57"/>
    </row>
    <row r="384">
      <c r="B384" s="57"/>
    </row>
    <row r="385">
      <c r="B385" s="57"/>
    </row>
    <row r="386">
      <c r="B386" s="57"/>
    </row>
    <row r="387">
      <c r="B387" s="57"/>
    </row>
    <row r="388">
      <c r="B388" s="57"/>
    </row>
    <row r="389">
      <c r="B389" s="57"/>
    </row>
    <row r="390">
      <c r="B390" s="57"/>
    </row>
    <row r="391">
      <c r="B391" s="57"/>
    </row>
    <row r="392">
      <c r="B392" s="57"/>
    </row>
    <row r="393">
      <c r="B393" s="57"/>
    </row>
    <row r="394">
      <c r="B394" s="57"/>
    </row>
    <row r="395">
      <c r="B395" s="57"/>
    </row>
    <row r="396">
      <c r="B396" s="57"/>
    </row>
    <row r="397">
      <c r="B397" s="57"/>
    </row>
    <row r="398">
      <c r="B398" s="57"/>
    </row>
    <row r="399">
      <c r="B399" s="57"/>
    </row>
    <row r="400">
      <c r="B400" s="57"/>
    </row>
    <row r="401">
      <c r="B401" s="57"/>
    </row>
    <row r="402">
      <c r="B402" s="57"/>
    </row>
    <row r="403">
      <c r="B403" s="57"/>
    </row>
    <row r="404">
      <c r="B404" s="57"/>
    </row>
    <row r="405">
      <c r="B405" s="57"/>
    </row>
    <row r="406">
      <c r="B406" s="57"/>
    </row>
    <row r="407">
      <c r="B407" s="57"/>
    </row>
    <row r="408">
      <c r="B408" s="57"/>
    </row>
    <row r="409">
      <c r="B409" s="57"/>
    </row>
    <row r="410">
      <c r="B410" s="57"/>
    </row>
    <row r="411">
      <c r="B411" s="57"/>
    </row>
    <row r="412">
      <c r="B412" s="57"/>
    </row>
    <row r="413">
      <c r="B413" s="57"/>
    </row>
    <row r="414">
      <c r="B414" s="57"/>
    </row>
    <row r="415">
      <c r="B415" s="57"/>
    </row>
    <row r="416">
      <c r="B416" s="57"/>
    </row>
    <row r="417">
      <c r="B417" s="57"/>
    </row>
    <row r="418">
      <c r="B418" s="57"/>
    </row>
    <row r="419">
      <c r="B419" s="57"/>
    </row>
    <row r="420">
      <c r="B420" s="57"/>
    </row>
    <row r="421">
      <c r="B421" s="57"/>
    </row>
    <row r="422">
      <c r="B422" s="57"/>
    </row>
    <row r="423">
      <c r="B423" s="57"/>
    </row>
    <row r="424">
      <c r="B424" s="57"/>
    </row>
    <row r="425">
      <c r="B425" s="57"/>
    </row>
    <row r="426">
      <c r="B426" s="57"/>
    </row>
    <row r="427">
      <c r="B427" s="57"/>
    </row>
    <row r="428">
      <c r="B428" s="57"/>
    </row>
    <row r="429">
      <c r="B429" s="57"/>
    </row>
    <row r="430">
      <c r="B430" s="57"/>
    </row>
    <row r="431">
      <c r="B431" s="57"/>
    </row>
    <row r="432">
      <c r="B432" s="57"/>
    </row>
    <row r="433">
      <c r="B433" s="57"/>
    </row>
    <row r="434">
      <c r="B434" s="57"/>
    </row>
    <row r="435">
      <c r="B435" s="57"/>
    </row>
    <row r="436">
      <c r="B436" s="57"/>
    </row>
    <row r="437">
      <c r="B437" s="57"/>
    </row>
    <row r="438">
      <c r="B438" s="57"/>
    </row>
    <row r="439">
      <c r="B439" s="57"/>
    </row>
    <row r="440">
      <c r="B440" s="57"/>
    </row>
    <row r="441">
      <c r="B441" s="57"/>
    </row>
    <row r="442">
      <c r="B442" s="57"/>
    </row>
    <row r="443">
      <c r="B443" s="57"/>
    </row>
    <row r="444">
      <c r="B444" s="57"/>
    </row>
    <row r="445">
      <c r="B445" s="57"/>
    </row>
    <row r="446">
      <c r="B446" s="57"/>
    </row>
    <row r="447">
      <c r="B447" s="57"/>
    </row>
    <row r="448">
      <c r="B448" s="57"/>
    </row>
    <row r="449">
      <c r="B449" s="57"/>
    </row>
    <row r="450">
      <c r="B450" s="57"/>
    </row>
    <row r="451">
      <c r="B451" s="57"/>
    </row>
    <row r="452">
      <c r="B452" s="57"/>
    </row>
    <row r="453">
      <c r="B453" s="57"/>
    </row>
    <row r="454">
      <c r="B454" s="57"/>
    </row>
    <row r="455">
      <c r="B455" s="57"/>
    </row>
    <row r="456">
      <c r="B456" s="57"/>
    </row>
    <row r="457">
      <c r="B457" s="57"/>
    </row>
    <row r="458">
      <c r="B458" s="57"/>
    </row>
    <row r="459">
      <c r="B459" s="57"/>
    </row>
    <row r="460">
      <c r="B460" s="57"/>
    </row>
    <row r="461">
      <c r="B461" s="57"/>
    </row>
    <row r="462">
      <c r="B462" s="57"/>
    </row>
    <row r="463">
      <c r="B463" s="57"/>
    </row>
    <row r="464">
      <c r="B464" s="57"/>
    </row>
    <row r="465">
      <c r="B465" s="57"/>
    </row>
    <row r="466">
      <c r="B466" s="57"/>
    </row>
    <row r="467">
      <c r="B467" s="57"/>
    </row>
    <row r="468">
      <c r="B468" s="57"/>
    </row>
    <row r="469">
      <c r="B469" s="57"/>
    </row>
    <row r="470">
      <c r="B470" s="57"/>
    </row>
    <row r="471">
      <c r="B471" s="57"/>
    </row>
    <row r="472">
      <c r="B472" s="57"/>
    </row>
    <row r="473">
      <c r="B473" s="57"/>
    </row>
    <row r="474">
      <c r="B474" s="57"/>
    </row>
    <row r="475">
      <c r="B475" s="57"/>
    </row>
    <row r="476">
      <c r="B476" s="57"/>
    </row>
    <row r="477">
      <c r="B477" s="57"/>
    </row>
    <row r="478">
      <c r="B478" s="57"/>
    </row>
    <row r="479">
      <c r="B479" s="57"/>
    </row>
    <row r="480">
      <c r="B480" s="57"/>
    </row>
    <row r="481">
      <c r="B481" s="57"/>
    </row>
    <row r="482">
      <c r="B482" s="57"/>
    </row>
    <row r="483">
      <c r="B483" s="57"/>
    </row>
    <row r="484">
      <c r="B484" s="57"/>
    </row>
    <row r="485">
      <c r="B485" s="57"/>
    </row>
    <row r="486">
      <c r="B486" s="57"/>
    </row>
    <row r="487">
      <c r="B487" s="57"/>
    </row>
    <row r="488">
      <c r="B488" s="57"/>
    </row>
    <row r="489">
      <c r="B489" s="57"/>
    </row>
    <row r="490">
      <c r="B490" s="57"/>
    </row>
    <row r="491">
      <c r="B491" s="57"/>
    </row>
    <row r="492">
      <c r="B492" s="57"/>
    </row>
    <row r="493">
      <c r="B493" s="57"/>
    </row>
    <row r="494">
      <c r="B494" s="57"/>
    </row>
    <row r="495">
      <c r="B495" s="57"/>
    </row>
    <row r="496">
      <c r="B496" s="57"/>
    </row>
    <row r="497">
      <c r="B497" s="57"/>
    </row>
    <row r="498">
      <c r="B498" s="57"/>
    </row>
    <row r="499">
      <c r="B499" s="57"/>
    </row>
    <row r="500">
      <c r="B500" s="57"/>
    </row>
    <row r="501">
      <c r="B501" s="57"/>
    </row>
    <row r="502">
      <c r="B502" s="57"/>
    </row>
    <row r="503">
      <c r="B503" s="57"/>
    </row>
    <row r="504">
      <c r="B504" s="57"/>
    </row>
    <row r="505">
      <c r="B505" s="57"/>
    </row>
    <row r="506">
      <c r="B506" s="57"/>
    </row>
    <row r="507">
      <c r="B507" s="57"/>
    </row>
    <row r="508">
      <c r="B508" s="57"/>
    </row>
    <row r="509">
      <c r="B509" s="57"/>
    </row>
    <row r="510">
      <c r="B510" s="57"/>
    </row>
    <row r="511">
      <c r="B511" s="57"/>
    </row>
    <row r="512">
      <c r="B512" s="57"/>
    </row>
    <row r="513">
      <c r="B513" s="57"/>
    </row>
    <row r="514">
      <c r="B514" s="57"/>
    </row>
    <row r="515">
      <c r="B515" s="57"/>
    </row>
    <row r="516">
      <c r="B516" s="57"/>
    </row>
    <row r="517">
      <c r="B517" s="57"/>
    </row>
    <row r="518">
      <c r="B518" s="57"/>
    </row>
    <row r="519">
      <c r="B519" s="57"/>
    </row>
    <row r="520">
      <c r="B520" s="57"/>
    </row>
    <row r="521">
      <c r="B521" s="57"/>
    </row>
    <row r="522">
      <c r="B522" s="57"/>
    </row>
    <row r="523">
      <c r="B523" s="57"/>
    </row>
    <row r="524">
      <c r="B524" s="57"/>
    </row>
    <row r="525">
      <c r="B525" s="57"/>
    </row>
    <row r="526">
      <c r="B526" s="57"/>
    </row>
    <row r="527">
      <c r="B527" s="57"/>
    </row>
    <row r="528">
      <c r="B528" s="57"/>
    </row>
    <row r="529">
      <c r="B529" s="57"/>
    </row>
    <row r="530">
      <c r="B530" s="57"/>
    </row>
    <row r="531">
      <c r="B531" s="57"/>
    </row>
    <row r="532">
      <c r="B532" s="57"/>
    </row>
    <row r="533">
      <c r="B533" s="57"/>
    </row>
    <row r="534">
      <c r="B534" s="57"/>
    </row>
    <row r="535">
      <c r="B535" s="57"/>
    </row>
    <row r="536">
      <c r="B536" s="57"/>
    </row>
    <row r="537">
      <c r="B537" s="57"/>
    </row>
    <row r="538">
      <c r="B538" s="57"/>
    </row>
    <row r="539">
      <c r="B539" s="57"/>
    </row>
    <row r="540">
      <c r="B540" s="57"/>
    </row>
    <row r="541">
      <c r="B541" s="57"/>
    </row>
    <row r="542">
      <c r="B542" s="57"/>
    </row>
    <row r="543">
      <c r="B543" s="57"/>
    </row>
    <row r="544">
      <c r="B544" s="57"/>
    </row>
    <row r="545">
      <c r="B545" s="57"/>
    </row>
    <row r="546">
      <c r="B546" s="57"/>
    </row>
    <row r="547">
      <c r="B547" s="57"/>
    </row>
    <row r="548">
      <c r="B548" s="57"/>
    </row>
    <row r="549">
      <c r="B549" s="57"/>
    </row>
    <row r="550">
      <c r="B550" s="57"/>
    </row>
    <row r="551">
      <c r="B551" s="57"/>
    </row>
    <row r="552">
      <c r="B552" s="57"/>
    </row>
    <row r="553">
      <c r="B553" s="57"/>
    </row>
    <row r="554">
      <c r="B554" s="57"/>
    </row>
    <row r="555">
      <c r="B555" s="57"/>
    </row>
    <row r="556">
      <c r="B556" s="57"/>
    </row>
    <row r="557">
      <c r="B557" s="57"/>
    </row>
    <row r="558">
      <c r="B558" s="57"/>
    </row>
    <row r="559">
      <c r="B559" s="57"/>
    </row>
    <row r="560">
      <c r="B560" s="57"/>
    </row>
    <row r="561">
      <c r="B561" s="57"/>
    </row>
    <row r="562">
      <c r="B562" s="57"/>
    </row>
    <row r="563">
      <c r="B563" s="57"/>
    </row>
    <row r="564">
      <c r="B564" s="57"/>
    </row>
    <row r="565">
      <c r="B565" s="57"/>
    </row>
    <row r="566">
      <c r="B566" s="57"/>
    </row>
    <row r="567">
      <c r="B567" s="57"/>
    </row>
    <row r="568">
      <c r="B568" s="57"/>
    </row>
    <row r="569">
      <c r="B569" s="57"/>
    </row>
    <row r="570">
      <c r="B570" s="57"/>
    </row>
    <row r="571">
      <c r="B571" s="57"/>
    </row>
    <row r="572">
      <c r="B572" s="57"/>
    </row>
    <row r="573">
      <c r="B573" s="57"/>
    </row>
    <row r="574">
      <c r="B574" s="57"/>
    </row>
    <row r="575">
      <c r="B575" s="57"/>
    </row>
    <row r="576">
      <c r="B576" s="57"/>
    </row>
    <row r="577">
      <c r="B577" s="57"/>
    </row>
    <row r="578">
      <c r="B578" s="57"/>
    </row>
    <row r="579">
      <c r="B579" s="57"/>
    </row>
    <row r="580">
      <c r="B580" s="57"/>
    </row>
    <row r="581">
      <c r="B581" s="57"/>
    </row>
    <row r="582">
      <c r="B582" s="57"/>
    </row>
    <row r="583">
      <c r="B583" s="57"/>
    </row>
    <row r="584">
      <c r="B584" s="57"/>
    </row>
    <row r="585">
      <c r="B585" s="57"/>
    </row>
    <row r="586">
      <c r="B586" s="57"/>
    </row>
    <row r="587">
      <c r="B587" s="57"/>
    </row>
    <row r="588">
      <c r="B588" s="57"/>
    </row>
    <row r="589">
      <c r="B589" s="57"/>
    </row>
    <row r="590">
      <c r="B590" s="57"/>
    </row>
    <row r="591">
      <c r="B591" s="57"/>
    </row>
    <row r="592">
      <c r="B592" s="57"/>
    </row>
    <row r="593">
      <c r="B593" s="57"/>
    </row>
    <row r="594">
      <c r="B594" s="57"/>
    </row>
    <row r="595">
      <c r="B595" s="57"/>
    </row>
    <row r="596">
      <c r="B596" s="57"/>
    </row>
    <row r="597">
      <c r="B597" s="57"/>
    </row>
    <row r="598">
      <c r="B598" s="57"/>
    </row>
    <row r="599">
      <c r="B599" s="57"/>
    </row>
    <row r="600">
      <c r="B600" s="57"/>
    </row>
    <row r="601">
      <c r="B601" s="57"/>
    </row>
    <row r="602">
      <c r="B602" s="57"/>
    </row>
    <row r="603">
      <c r="B603" s="57"/>
    </row>
    <row r="604">
      <c r="B604" s="57"/>
    </row>
    <row r="605">
      <c r="B605" s="57"/>
    </row>
    <row r="606">
      <c r="B606" s="57"/>
    </row>
    <row r="607">
      <c r="B607" s="57"/>
    </row>
    <row r="608">
      <c r="B608" s="57"/>
    </row>
    <row r="609">
      <c r="B609" s="57"/>
    </row>
    <row r="610">
      <c r="B610" s="57"/>
    </row>
    <row r="611">
      <c r="B611" s="57"/>
    </row>
    <row r="612">
      <c r="B612" s="57"/>
    </row>
    <row r="613">
      <c r="B613" s="57"/>
    </row>
    <row r="614">
      <c r="B614" s="57"/>
    </row>
    <row r="615">
      <c r="B615" s="57"/>
    </row>
    <row r="616">
      <c r="B616" s="57"/>
    </row>
    <row r="617">
      <c r="B617" s="57"/>
    </row>
    <row r="618">
      <c r="B618" s="57"/>
    </row>
    <row r="619">
      <c r="B619" s="57"/>
    </row>
    <row r="620">
      <c r="B620" s="57"/>
    </row>
    <row r="621">
      <c r="B621" s="57"/>
    </row>
    <row r="622">
      <c r="B622" s="57"/>
    </row>
    <row r="623">
      <c r="B623" s="57"/>
    </row>
    <row r="624">
      <c r="B624" s="57"/>
    </row>
    <row r="625">
      <c r="B625" s="57"/>
    </row>
    <row r="626">
      <c r="B626" s="57"/>
    </row>
    <row r="627">
      <c r="B627" s="57"/>
    </row>
    <row r="628">
      <c r="B628" s="57"/>
    </row>
    <row r="629">
      <c r="B629" s="57"/>
    </row>
    <row r="630">
      <c r="B630" s="57"/>
    </row>
    <row r="631">
      <c r="B631" s="57"/>
    </row>
    <row r="632">
      <c r="B632" s="57"/>
    </row>
    <row r="633">
      <c r="B633" s="57"/>
    </row>
    <row r="634">
      <c r="B634" s="57"/>
    </row>
    <row r="635">
      <c r="B635" s="57"/>
    </row>
    <row r="636">
      <c r="B636" s="57"/>
    </row>
    <row r="637">
      <c r="B637" s="57"/>
    </row>
    <row r="638">
      <c r="B638" s="57"/>
    </row>
    <row r="639">
      <c r="B639" s="57"/>
    </row>
    <row r="640">
      <c r="B640" s="57"/>
    </row>
    <row r="641">
      <c r="B641" s="57"/>
    </row>
    <row r="642">
      <c r="B642" s="57"/>
    </row>
    <row r="643">
      <c r="B643" s="57"/>
    </row>
    <row r="644">
      <c r="B644" s="57"/>
    </row>
    <row r="645">
      <c r="B645" s="57"/>
    </row>
    <row r="646">
      <c r="B646" s="57"/>
    </row>
    <row r="647">
      <c r="B647" s="57"/>
    </row>
    <row r="648">
      <c r="B648" s="57"/>
    </row>
    <row r="649">
      <c r="B649" s="57"/>
    </row>
    <row r="650">
      <c r="B650" s="57"/>
    </row>
    <row r="651">
      <c r="B651" s="57"/>
    </row>
    <row r="652">
      <c r="B652" s="57"/>
    </row>
    <row r="653">
      <c r="B653" s="57"/>
    </row>
    <row r="654">
      <c r="B654" s="57"/>
    </row>
    <row r="655">
      <c r="B655" s="57"/>
    </row>
    <row r="656">
      <c r="B656" s="57"/>
    </row>
    <row r="657">
      <c r="B657" s="57"/>
    </row>
    <row r="658">
      <c r="B658" s="57"/>
    </row>
    <row r="659">
      <c r="B659" s="57"/>
    </row>
    <row r="660">
      <c r="B660" s="57"/>
    </row>
    <row r="661">
      <c r="B661" s="57"/>
    </row>
    <row r="662">
      <c r="B662" s="57"/>
    </row>
    <row r="663">
      <c r="B663" s="57"/>
    </row>
    <row r="664">
      <c r="B664" s="57"/>
    </row>
    <row r="665">
      <c r="B665" s="57"/>
    </row>
    <row r="666">
      <c r="B666" s="57"/>
    </row>
    <row r="667">
      <c r="B667" s="57"/>
    </row>
    <row r="668">
      <c r="B668" s="57"/>
    </row>
    <row r="669">
      <c r="B669" s="57"/>
    </row>
    <row r="670">
      <c r="B670" s="57"/>
    </row>
    <row r="671">
      <c r="B671" s="57"/>
    </row>
    <row r="672">
      <c r="B672" s="57"/>
    </row>
    <row r="673">
      <c r="B673" s="57"/>
    </row>
    <row r="674">
      <c r="B674" s="57"/>
    </row>
    <row r="675">
      <c r="B675" s="57"/>
    </row>
    <row r="676">
      <c r="B676" s="57"/>
    </row>
    <row r="677">
      <c r="B677" s="57"/>
    </row>
    <row r="678">
      <c r="B678" s="57"/>
    </row>
    <row r="679">
      <c r="B679" s="57"/>
    </row>
    <row r="680">
      <c r="B680" s="57"/>
    </row>
    <row r="681">
      <c r="B681" s="57"/>
    </row>
    <row r="682">
      <c r="B682" s="57"/>
    </row>
    <row r="683">
      <c r="B683" s="57"/>
    </row>
    <row r="684">
      <c r="B684" s="57"/>
    </row>
    <row r="685">
      <c r="B685" s="57"/>
    </row>
    <row r="686">
      <c r="B686" s="57"/>
    </row>
    <row r="687">
      <c r="B687" s="57"/>
    </row>
    <row r="688">
      <c r="B688" s="57"/>
    </row>
    <row r="689">
      <c r="B689" s="57"/>
    </row>
    <row r="690">
      <c r="B690" s="57"/>
    </row>
    <row r="691">
      <c r="B691" s="57"/>
    </row>
    <row r="692">
      <c r="B692" s="57"/>
    </row>
    <row r="693">
      <c r="B693" s="57"/>
    </row>
    <row r="694">
      <c r="B694" s="57"/>
    </row>
    <row r="695">
      <c r="B695" s="57"/>
    </row>
    <row r="696">
      <c r="B696" s="57"/>
    </row>
    <row r="697">
      <c r="B697" s="57"/>
    </row>
    <row r="698">
      <c r="B698" s="57"/>
    </row>
    <row r="699">
      <c r="B699" s="57"/>
    </row>
    <row r="700">
      <c r="B700" s="57"/>
    </row>
    <row r="701">
      <c r="B701" s="57"/>
    </row>
    <row r="702">
      <c r="B702" s="57"/>
    </row>
    <row r="703">
      <c r="B703" s="57"/>
    </row>
    <row r="704">
      <c r="B704" s="57"/>
    </row>
    <row r="705">
      <c r="B705" s="57"/>
    </row>
    <row r="706">
      <c r="B706" s="57"/>
    </row>
    <row r="707">
      <c r="B707" s="57"/>
    </row>
    <row r="708">
      <c r="B708" s="57"/>
    </row>
    <row r="709">
      <c r="B709" s="57"/>
    </row>
    <row r="710">
      <c r="B710" s="57"/>
    </row>
    <row r="711">
      <c r="B711" s="57"/>
    </row>
    <row r="712">
      <c r="B712" s="57"/>
    </row>
    <row r="713">
      <c r="B713" s="57"/>
    </row>
    <row r="714">
      <c r="B714" s="57"/>
    </row>
    <row r="715">
      <c r="B715" s="57"/>
    </row>
    <row r="716">
      <c r="B716" s="57"/>
    </row>
    <row r="717">
      <c r="B717" s="57"/>
    </row>
    <row r="718">
      <c r="B718" s="57"/>
    </row>
    <row r="719">
      <c r="B719" s="57"/>
    </row>
    <row r="720">
      <c r="B720" s="57"/>
    </row>
    <row r="721">
      <c r="B721" s="57"/>
    </row>
    <row r="722">
      <c r="B722" s="57"/>
    </row>
    <row r="723">
      <c r="B723" s="57"/>
    </row>
    <row r="724">
      <c r="B724" s="57"/>
    </row>
    <row r="725">
      <c r="B725" s="57"/>
    </row>
    <row r="726">
      <c r="B726" s="57"/>
    </row>
    <row r="727">
      <c r="B727" s="57"/>
    </row>
    <row r="728">
      <c r="B728" s="57"/>
    </row>
    <row r="729">
      <c r="B729" s="57"/>
    </row>
    <row r="730">
      <c r="B730" s="57"/>
    </row>
    <row r="731">
      <c r="B731" s="57"/>
    </row>
    <row r="732">
      <c r="B732" s="57"/>
    </row>
    <row r="733">
      <c r="B733" s="57"/>
    </row>
    <row r="734">
      <c r="B734" s="57"/>
    </row>
    <row r="735">
      <c r="B735" s="57"/>
    </row>
    <row r="736">
      <c r="B736" s="57"/>
    </row>
    <row r="737">
      <c r="B737" s="57"/>
    </row>
    <row r="738">
      <c r="B738" s="57"/>
    </row>
    <row r="739">
      <c r="B739" s="57"/>
    </row>
    <row r="740">
      <c r="B740" s="57"/>
    </row>
    <row r="741">
      <c r="B741" s="57"/>
    </row>
    <row r="742">
      <c r="B742" s="57"/>
    </row>
    <row r="743">
      <c r="B743" s="57"/>
    </row>
    <row r="744">
      <c r="B744" s="57"/>
    </row>
    <row r="745">
      <c r="B745" s="57"/>
    </row>
    <row r="746">
      <c r="B746" s="57"/>
    </row>
    <row r="747">
      <c r="B747" s="57"/>
    </row>
    <row r="748">
      <c r="B748" s="57"/>
    </row>
    <row r="749">
      <c r="B749" s="57"/>
    </row>
    <row r="750">
      <c r="B750" s="57"/>
    </row>
    <row r="751">
      <c r="B751" s="57"/>
    </row>
    <row r="752">
      <c r="B752" s="57"/>
    </row>
    <row r="753">
      <c r="B753" s="57"/>
    </row>
    <row r="754">
      <c r="B754" s="57"/>
    </row>
    <row r="755">
      <c r="B755" s="57"/>
    </row>
    <row r="756">
      <c r="B756" s="57"/>
    </row>
    <row r="757">
      <c r="B757" s="57"/>
    </row>
    <row r="758">
      <c r="B758" s="57"/>
    </row>
    <row r="759">
      <c r="B759" s="57"/>
    </row>
    <row r="760">
      <c r="B760" s="57"/>
    </row>
    <row r="761">
      <c r="B761" s="57"/>
    </row>
    <row r="762">
      <c r="B762" s="57"/>
    </row>
    <row r="763">
      <c r="B763" s="57"/>
    </row>
    <row r="764">
      <c r="B764" s="57"/>
    </row>
    <row r="765">
      <c r="B765" s="57"/>
    </row>
    <row r="766">
      <c r="B766" s="57"/>
    </row>
    <row r="767">
      <c r="B767" s="57"/>
    </row>
    <row r="768">
      <c r="B768" s="57"/>
    </row>
    <row r="769">
      <c r="B769" s="57"/>
    </row>
    <row r="770">
      <c r="B770" s="57"/>
    </row>
    <row r="771">
      <c r="B771" s="57"/>
    </row>
    <row r="772">
      <c r="B772" s="57"/>
    </row>
    <row r="773">
      <c r="B773" s="57"/>
    </row>
    <row r="774">
      <c r="B774" s="57"/>
    </row>
    <row r="775">
      <c r="B775" s="57"/>
    </row>
    <row r="776">
      <c r="B776" s="57"/>
    </row>
    <row r="777">
      <c r="B777" s="57"/>
    </row>
    <row r="778">
      <c r="B778" s="57"/>
    </row>
    <row r="779">
      <c r="B779" s="57"/>
    </row>
    <row r="780">
      <c r="B780" s="57"/>
    </row>
    <row r="781">
      <c r="B781" s="57"/>
    </row>
    <row r="782">
      <c r="B782" s="57"/>
    </row>
    <row r="783">
      <c r="B783" s="57"/>
    </row>
    <row r="784">
      <c r="B784" s="57"/>
    </row>
    <row r="785">
      <c r="B785" s="57"/>
    </row>
    <row r="786">
      <c r="B786" s="57"/>
    </row>
    <row r="787">
      <c r="B787" s="57"/>
    </row>
    <row r="788">
      <c r="B788" s="57"/>
    </row>
    <row r="789">
      <c r="B789" s="57"/>
    </row>
    <row r="790">
      <c r="B790" s="57"/>
    </row>
    <row r="791">
      <c r="B791" s="57"/>
    </row>
    <row r="792">
      <c r="B792" s="57"/>
    </row>
    <row r="793">
      <c r="B793" s="57"/>
    </row>
    <row r="794">
      <c r="B794" s="57"/>
    </row>
    <row r="795">
      <c r="B795" s="57"/>
    </row>
    <row r="796">
      <c r="B796" s="57"/>
    </row>
    <row r="797">
      <c r="B797" s="57"/>
    </row>
    <row r="798">
      <c r="B798" s="57"/>
    </row>
    <row r="799">
      <c r="B799" s="57"/>
    </row>
    <row r="800">
      <c r="B800" s="57"/>
    </row>
    <row r="801">
      <c r="B801" s="57"/>
    </row>
    <row r="802">
      <c r="B802" s="57"/>
    </row>
    <row r="803">
      <c r="B803" s="57"/>
    </row>
    <row r="804">
      <c r="B804" s="57"/>
    </row>
    <row r="805">
      <c r="B805" s="57"/>
    </row>
    <row r="806">
      <c r="B806" s="57"/>
    </row>
    <row r="807">
      <c r="B807" s="57"/>
    </row>
    <row r="808">
      <c r="B808" s="57"/>
    </row>
    <row r="809">
      <c r="B809" s="57"/>
    </row>
    <row r="810">
      <c r="B810" s="57"/>
    </row>
    <row r="811">
      <c r="B811" s="57"/>
    </row>
    <row r="812">
      <c r="B812" s="57"/>
    </row>
    <row r="813">
      <c r="B813" s="57"/>
    </row>
    <row r="814">
      <c r="B814" s="57"/>
    </row>
    <row r="815">
      <c r="B815" s="57"/>
    </row>
    <row r="816">
      <c r="B816" s="57"/>
    </row>
    <row r="817">
      <c r="B817" s="57"/>
    </row>
    <row r="818">
      <c r="B818" s="57"/>
    </row>
    <row r="819">
      <c r="B819" s="57"/>
    </row>
    <row r="820">
      <c r="B820" s="57"/>
    </row>
    <row r="821">
      <c r="B821" s="57"/>
    </row>
    <row r="822">
      <c r="B822" s="57"/>
    </row>
    <row r="823">
      <c r="B823" s="57"/>
    </row>
    <row r="824">
      <c r="B824" s="57"/>
    </row>
    <row r="825">
      <c r="B825" s="57"/>
    </row>
    <row r="826">
      <c r="B826" s="57"/>
    </row>
    <row r="827">
      <c r="B827" s="57"/>
    </row>
    <row r="828">
      <c r="B828" s="57"/>
    </row>
    <row r="829">
      <c r="B829" s="57"/>
    </row>
    <row r="830">
      <c r="B830" s="57"/>
    </row>
    <row r="831">
      <c r="B831" s="57"/>
    </row>
    <row r="832">
      <c r="B832" s="57"/>
    </row>
    <row r="833">
      <c r="B833" s="57"/>
    </row>
    <row r="834">
      <c r="B834" s="57"/>
    </row>
    <row r="835">
      <c r="B835" s="57"/>
    </row>
    <row r="836">
      <c r="B836" s="57"/>
    </row>
    <row r="837">
      <c r="B837" s="57"/>
    </row>
    <row r="838">
      <c r="B838" s="57"/>
    </row>
    <row r="839">
      <c r="B839" s="57"/>
    </row>
    <row r="840">
      <c r="B840" s="57"/>
    </row>
    <row r="841">
      <c r="B841" s="57"/>
    </row>
    <row r="842">
      <c r="B842" s="57"/>
    </row>
    <row r="843">
      <c r="B843" s="57"/>
    </row>
    <row r="844">
      <c r="B844" s="57"/>
    </row>
    <row r="845">
      <c r="B845" s="57"/>
    </row>
    <row r="846">
      <c r="B846" s="57"/>
    </row>
    <row r="847">
      <c r="B847" s="57"/>
    </row>
    <row r="848">
      <c r="B848" s="57"/>
    </row>
    <row r="849">
      <c r="B849" s="57"/>
    </row>
    <row r="850">
      <c r="B850" s="57"/>
    </row>
    <row r="851">
      <c r="B851" s="57"/>
    </row>
    <row r="852">
      <c r="B852" s="57"/>
    </row>
    <row r="853">
      <c r="B853" s="57"/>
    </row>
    <row r="854">
      <c r="B854" s="57"/>
    </row>
    <row r="855">
      <c r="B855" s="57"/>
    </row>
    <row r="856">
      <c r="B856" s="57"/>
    </row>
    <row r="857">
      <c r="B857" s="57"/>
    </row>
    <row r="858">
      <c r="B858" s="57"/>
    </row>
    <row r="859">
      <c r="B859" s="57"/>
    </row>
    <row r="860">
      <c r="B860" s="57"/>
    </row>
    <row r="861">
      <c r="B861" s="57"/>
    </row>
    <row r="862">
      <c r="B862" s="57"/>
    </row>
    <row r="863">
      <c r="B863" s="57"/>
    </row>
    <row r="864">
      <c r="B864" s="57"/>
    </row>
    <row r="865">
      <c r="B865" s="57"/>
    </row>
    <row r="866">
      <c r="B866" s="57"/>
    </row>
    <row r="867">
      <c r="B867" s="57"/>
    </row>
    <row r="868">
      <c r="B868" s="57"/>
    </row>
    <row r="869">
      <c r="B869" s="57"/>
    </row>
    <row r="870">
      <c r="B870" s="57"/>
    </row>
    <row r="871">
      <c r="B871" s="57"/>
    </row>
    <row r="872">
      <c r="B872" s="57"/>
    </row>
    <row r="873">
      <c r="B873" s="57"/>
    </row>
    <row r="874">
      <c r="B874" s="57"/>
    </row>
    <row r="875">
      <c r="B875" s="57"/>
    </row>
    <row r="876">
      <c r="B876" s="57"/>
    </row>
    <row r="877">
      <c r="B877" s="57"/>
    </row>
    <row r="878">
      <c r="B878" s="57"/>
    </row>
    <row r="879">
      <c r="B879" s="57"/>
    </row>
    <row r="880">
      <c r="B880" s="57"/>
    </row>
    <row r="881">
      <c r="B881" s="57"/>
    </row>
    <row r="882">
      <c r="B882" s="57"/>
    </row>
    <row r="883">
      <c r="B883" s="57"/>
    </row>
    <row r="884">
      <c r="B884" s="57"/>
    </row>
    <row r="885">
      <c r="B885" s="57"/>
    </row>
    <row r="886">
      <c r="B886" s="57"/>
    </row>
    <row r="887">
      <c r="B887" s="57"/>
    </row>
    <row r="888">
      <c r="B888" s="57"/>
    </row>
    <row r="889">
      <c r="B889" s="57"/>
    </row>
    <row r="890">
      <c r="B890" s="57"/>
    </row>
    <row r="891">
      <c r="B891" s="57"/>
    </row>
    <row r="892">
      <c r="B892" s="57"/>
    </row>
    <row r="893">
      <c r="B893" s="57"/>
    </row>
    <row r="894">
      <c r="B894" s="57"/>
    </row>
    <row r="895">
      <c r="B895" s="57"/>
    </row>
    <row r="896">
      <c r="B896" s="57"/>
    </row>
    <row r="897">
      <c r="B897" s="57"/>
    </row>
    <row r="898">
      <c r="B898" s="57"/>
    </row>
    <row r="899">
      <c r="B899" s="57"/>
    </row>
    <row r="900">
      <c r="B900" s="57"/>
    </row>
    <row r="901">
      <c r="B901" s="57"/>
    </row>
    <row r="902">
      <c r="B902" s="57"/>
    </row>
    <row r="903">
      <c r="B903" s="57"/>
    </row>
    <row r="904">
      <c r="B904" s="57"/>
    </row>
    <row r="905">
      <c r="B905" s="57"/>
    </row>
    <row r="906">
      <c r="B906" s="57"/>
    </row>
    <row r="907">
      <c r="B907" s="57"/>
    </row>
    <row r="908">
      <c r="B908" s="57"/>
    </row>
    <row r="909">
      <c r="B909" s="57"/>
    </row>
    <row r="910">
      <c r="B910" s="57"/>
    </row>
    <row r="911">
      <c r="B911" s="57"/>
    </row>
    <row r="912">
      <c r="B912" s="57"/>
    </row>
    <row r="913">
      <c r="B913" s="57"/>
    </row>
    <row r="914">
      <c r="B914" s="57"/>
    </row>
    <row r="915">
      <c r="B915" s="57"/>
    </row>
    <row r="916">
      <c r="B916" s="57"/>
    </row>
    <row r="917">
      <c r="B917" s="57"/>
    </row>
    <row r="918">
      <c r="B918" s="57"/>
    </row>
    <row r="919">
      <c r="B919" s="57"/>
    </row>
    <row r="920">
      <c r="B920" s="57"/>
    </row>
    <row r="921">
      <c r="B921" s="57"/>
    </row>
    <row r="922">
      <c r="B922" s="57"/>
    </row>
    <row r="923">
      <c r="B923" s="57"/>
    </row>
    <row r="924">
      <c r="B924" s="57"/>
    </row>
    <row r="925">
      <c r="B925" s="57"/>
    </row>
    <row r="926">
      <c r="B926" s="57"/>
    </row>
    <row r="927">
      <c r="B927" s="57"/>
    </row>
    <row r="928">
      <c r="B928" s="57"/>
    </row>
    <row r="929">
      <c r="B929" s="57"/>
    </row>
    <row r="930">
      <c r="B930" s="57"/>
    </row>
    <row r="931">
      <c r="B931" s="57"/>
    </row>
    <row r="932">
      <c r="B932" s="57"/>
    </row>
    <row r="933">
      <c r="B933" s="57"/>
    </row>
    <row r="934">
      <c r="B934" s="57"/>
    </row>
    <row r="935">
      <c r="B935" s="57"/>
    </row>
    <row r="936">
      <c r="B936" s="57"/>
    </row>
    <row r="937">
      <c r="B937" s="57"/>
    </row>
    <row r="938">
      <c r="B938" s="57"/>
    </row>
    <row r="939">
      <c r="B939" s="57"/>
    </row>
    <row r="940">
      <c r="B940" s="57"/>
    </row>
    <row r="941">
      <c r="B941" s="57"/>
    </row>
    <row r="942">
      <c r="B942" s="57"/>
    </row>
    <row r="943">
      <c r="B943" s="57"/>
    </row>
    <row r="944">
      <c r="B944" s="57"/>
    </row>
    <row r="945">
      <c r="B945" s="57"/>
    </row>
    <row r="946">
      <c r="B946" s="57"/>
    </row>
    <row r="947">
      <c r="B947" s="57"/>
    </row>
    <row r="948">
      <c r="B948" s="57"/>
    </row>
    <row r="949">
      <c r="B949" s="57"/>
    </row>
    <row r="950">
      <c r="B950" s="57"/>
    </row>
    <row r="951">
      <c r="B951" s="57"/>
    </row>
    <row r="952">
      <c r="B952" s="57"/>
    </row>
    <row r="953">
      <c r="B953" s="57"/>
    </row>
    <row r="954">
      <c r="B954" s="57"/>
    </row>
    <row r="955">
      <c r="B955" s="57"/>
    </row>
    <row r="956">
      <c r="B956" s="57"/>
    </row>
    <row r="957">
      <c r="B957" s="57"/>
    </row>
    <row r="958">
      <c r="B958" s="57"/>
    </row>
    <row r="959">
      <c r="B959" s="57"/>
    </row>
    <row r="960">
      <c r="B960" s="57"/>
    </row>
    <row r="961">
      <c r="B961" s="57"/>
    </row>
    <row r="962">
      <c r="B962" s="57"/>
    </row>
    <row r="963">
      <c r="B963" s="57"/>
    </row>
    <row r="964">
      <c r="B964" s="57"/>
    </row>
    <row r="965">
      <c r="B965" s="57"/>
    </row>
    <row r="966">
      <c r="B966" s="57"/>
    </row>
    <row r="967">
      <c r="B967" s="57"/>
    </row>
    <row r="968">
      <c r="B968" s="57"/>
    </row>
    <row r="969">
      <c r="B969" s="57"/>
    </row>
    <row r="970">
      <c r="B970" s="57"/>
    </row>
    <row r="971">
      <c r="B971" s="57"/>
    </row>
    <row r="972">
      <c r="B972" s="57"/>
    </row>
    <row r="973">
      <c r="B973" s="57"/>
    </row>
    <row r="974">
      <c r="B974" s="57"/>
    </row>
    <row r="975">
      <c r="B975" s="57"/>
    </row>
    <row r="976">
      <c r="B976" s="57"/>
    </row>
    <row r="977">
      <c r="B977" s="57"/>
    </row>
    <row r="978">
      <c r="B978" s="57"/>
    </row>
    <row r="979">
      <c r="B979" s="57"/>
    </row>
    <row r="980">
      <c r="B980" s="57"/>
    </row>
    <row r="981">
      <c r="B981" s="57"/>
    </row>
    <row r="982">
      <c r="B982" s="57"/>
    </row>
    <row r="983">
      <c r="B983" s="57"/>
    </row>
    <row r="984">
      <c r="B984" s="57"/>
    </row>
    <row r="985">
      <c r="B985" s="57"/>
    </row>
    <row r="986">
      <c r="B986" s="57"/>
    </row>
    <row r="987">
      <c r="B987" s="57"/>
    </row>
    <row r="988">
      <c r="B988" s="57"/>
    </row>
    <row r="989">
      <c r="B989" s="57"/>
    </row>
    <row r="990">
      <c r="B990" s="57"/>
    </row>
    <row r="991">
      <c r="B991" s="57"/>
    </row>
    <row r="992">
      <c r="B992" s="57"/>
    </row>
    <row r="993">
      <c r="B993" s="57"/>
    </row>
    <row r="994">
      <c r="B994" s="57"/>
    </row>
    <row r="995">
      <c r="B995" s="57"/>
    </row>
    <row r="996">
      <c r="B996" s="57"/>
    </row>
    <row r="997">
      <c r="B997" s="57"/>
    </row>
    <row r="998">
      <c r="B998" s="57"/>
    </row>
    <row r="999">
      <c r="B999" s="57"/>
    </row>
    <row r="1000">
      <c r="B1000" s="57"/>
    </row>
  </sheetData>
  <autoFilter ref="$A$1:$I$27"/>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8.13"/>
    <col customWidth="1" min="3" max="3" width="15.0"/>
    <col customWidth="1" min="4" max="4" width="27.5"/>
    <col customWidth="1" min="5" max="5" width="67.88"/>
    <col customWidth="1" min="6" max="6" width="43.38"/>
    <col customWidth="1" min="7" max="7" width="37.25"/>
    <col customWidth="1" min="8" max="8" width="38.38"/>
  </cols>
  <sheetData>
    <row r="1">
      <c r="A1" s="31" t="s">
        <v>78</v>
      </c>
      <c r="B1" s="32" t="s">
        <v>79</v>
      </c>
      <c r="C1" s="66" t="s">
        <v>80</v>
      </c>
      <c r="D1" s="66" t="s">
        <v>81</v>
      </c>
      <c r="E1" s="67" t="s">
        <v>82</v>
      </c>
      <c r="F1" s="68" t="s">
        <v>413</v>
      </c>
      <c r="G1" s="66" t="s">
        <v>414</v>
      </c>
      <c r="H1" s="31" t="s">
        <v>83</v>
      </c>
      <c r="I1" s="31" t="s">
        <v>278</v>
      </c>
      <c r="J1" s="123"/>
      <c r="K1" s="123"/>
      <c r="L1" s="123"/>
      <c r="M1" s="123"/>
      <c r="N1" s="123"/>
      <c r="O1" s="123"/>
      <c r="P1" s="123"/>
      <c r="Q1" s="123"/>
      <c r="R1" s="123"/>
      <c r="S1" s="123"/>
      <c r="T1" s="123"/>
      <c r="U1" s="123"/>
      <c r="V1" s="123"/>
      <c r="W1" s="123"/>
      <c r="X1" s="123"/>
      <c r="Y1" s="123"/>
      <c r="Z1" s="58"/>
    </row>
    <row r="2">
      <c r="A2" s="73" t="s">
        <v>84</v>
      </c>
      <c r="B2" s="73" t="s">
        <v>3641</v>
      </c>
      <c r="C2" s="73" t="s">
        <v>3555</v>
      </c>
      <c r="D2" s="110" t="s">
        <v>3642</v>
      </c>
      <c r="E2" s="110" t="s">
        <v>3643</v>
      </c>
      <c r="F2" s="110" t="s">
        <v>3644</v>
      </c>
      <c r="G2" s="110" t="s">
        <v>3645</v>
      </c>
      <c r="H2" s="110" t="s">
        <v>3646</v>
      </c>
      <c r="I2" s="124" t="s">
        <v>13</v>
      </c>
      <c r="J2" s="123"/>
      <c r="K2" s="123"/>
      <c r="L2" s="125" t="s">
        <v>284</v>
      </c>
      <c r="M2" s="123">
        <f>SUM(M3:M4)</f>
        <v>50</v>
      </c>
      <c r="N2" s="123"/>
      <c r="O2" s="123"/>
      <c r="P2" s="123"/>
      <c r="Q2" s="123"/>
      <c r="R2" s="123"/>
      <c r="S2" s="123"/>
      <c r="T2" s="123"/>
      <c r="U2" s="123"/>
      <c r="V2" s="123"/>
      <c r="W2" s="123"/>
      <c r="X2" s="123"/>
      <c r="Y2" s="123"/>
      <c r="Z2" s="123"/>
    </row>
    <row r="3">
      <c r="A3" s="73" t="s">
        <v>92</v>
      </c>
      <c r="B3" s="73" t="s">
        <v>3641</v>
      </c>
      <c r="C3" s="73" t="s">
        <v>3555</v>
      </c>
      <c r="D3" s="110" t="s">
        <v>3642</v>
      </c>
      <c r="E3" s="110" t="s">
        <v>3647</v>
      </c>
      <c r="F3" s="110" t="s">
        <v>3644</v>
      </c>
      <c r="G3" s="110"/>
      <c r="H3" s="110" t="s">
        <v>3648</v>
      </c>
      <c r="I3" s="59" t="s">
        <v>13</v>
      </c>
      <c r="J3" s="123"/>
      <c r="K3" s="123"/>
      <c r="L3" s="125" t="s">
        <v>13</v>
      </c>
      <c r="M3" s="123">
        <f>COUNTA(I2:I51)</f>
        <v>50</v>
      </c>
      <c r="N3" s="123"/>
      <c r="O3" s="123"/>
      <c r="P3" s="123"/>
      <c r="Q3" s="123"/>
      <c r="R3" s="123"/>
      <c r="S3" s="123"/>
      <c r="T3" s="123"/>
      <c r="U3" s="123"/>
      <c r="V3" s="123"/>
      <c r="W3" s="123"/>
      <c r="X3" s="123"/>
      <c r="Y3" s="123"/>
      <c r="Z3" s="123"/>
    </row>
    <row r="4">
      <c r="A4" s="73" t="s">
        <v>96</v>
      </c>
      <c r="B4" s="73" t="s">
        <v>3641</v>
      </c>
      <c r="C4" s="73" t="s">
        <v>3555</v>
      </c>
      <c r="D4" s="110" t="s">
        <v>3642</v>
      </c>
      <c r="E4" s="110" t="s">
        <v>3649</v>
      </c>
      <c r="F4" s="110" t="s">
        <v>3644</v>
      </c>
      <c r="G4" s="110"/>
      <c r="H4" s="110" t="s">
        <v>3650</v>
      </c>
      <c r="I4" s="59" t="s">
        <v>13</v>
      </c>
      <c r="J4" s="123"/>
      <c r="K4" s="123"/>
      <c r="L4" s="123"/>
      <c r="M4" s="123"/>
      <c r="N4" s="123"/>
      <c r="O4" s="123"/>
      <c r="P4" s="123"/>
      <c r="Q4" s="123"/>
      <c r="R4" s="123"/>
      <c r="S4" s="123"/>
      <c r="T4" s="123"/>
      <c r="U4" s="123"/>
      <c r="V4" s="123"/>
      <c r="W4" s="123"/>
      <c r="X4" s="123"/>
      <c r="Y4" s="123"/>
      <c r="Z4" s="123"/>
    </row>
    <row r="5">
      <c r="A5" s="73" t="s">
        <v>101</v>
      </c>
      <c r="B5" s="73" t="s">
        <v>3641</v>
      </c>
      <c r="C5" s="73" t="s">
        <v>3651</v>
      </c>
      <c r="D5" s="110" t="s">
        <v>3652</v>
      </c>
      <c r="E5" s="110" t="s">
        <v>3653</v>
      </c>
      <c r="F5" s="73" t="s">
        <v>3654</v>
      </c>
      <c r="G5" s="73"/>
      <c r="H5" s="73" t="s">
        <v>3655</v>
      </c>
      <c r="I5" s="59" t="s">
        <v>13</v>
      </c>
      <c r="J5" s="123"/>
      <c r="K5" s="123"/>
      <c r="L5" s="123"/>
      <c r="M5" s="123"/>
      <c r="N5" s="123"/>
      <c r="O5" s="123"/>
      <c r="P5" s="123"/>
      <c r="Q5" s="123"/>
      <c r="R5" s="123"/>
      <c r="S5" s="123"/>
      <c r="T5" s="123"/>
      <c r="U5" s="123"/>
      <c r="V5" s="123"/>
      <c r="W5" s="123"/>
      <c r="X5" s="123"/>
      <c r="Y5" s="123"/>
      <c r="Z5" s="123"/>
    </row>
    <row r="6">
      <c r="A6" s="73" t="s">
        <v>106</v>
      </c>
      <c r="B6" s="73" t="s">
        <v>3641</v>
      </c>
      <c r="C6" s="73" t="s">
        <v>3651</v>
      </c>
      <c r="D6" s="110" t="s">
        <v>3652</v>
      </c>
      <c r="E6" s="73" t="s">
        <v>3656</v>
      </c>
      <c r="F6" s="73" t="s">
        <v>3657</v>
      </c>
      <c r="G6" s="73"/>
      <c r="H6" s="73" t="s">
        <v>3655</v>
      </c>
      <c r="I6" s="59" t="s">
        <v>13</v>
      </c>
      <c r="J6" s="123"/>
      <c r="K6" s="123"/>
      <c r="L6" s="123"/>
      <c r="M6" s="123"/>
      <c r="N6" s="123"/>
      <c r="O6" s="123"/>
      <c r="P6" s="123"/>
      <c r="Q6" s="123"/>
      <c r="R6" s="123"/>
      <c r="S6" s="123"/>
      <c r="T6" s="123"/>
      <c r="U6" s="123"/>
      <c r="V6" s="123"/>
      <c r="W6" s="123"/>
      <c r="X6" s="123"/>
      <c r="Y6" s="123"/>
      <c r="Z6" s="123"/>
    </row>
    <row r="7">
      <c r="A7" s="73" t="s">
        <v>110</v>
      </c>
      <c r="B7" s="73" t="s">
        <v>3641</v>
      </c>
      <c r="C7" s="73" t="s">
        <v>3651</v>
      </c>
      <c r="D7" s="110" t="s">
        <v>3652</v>
      </c>
      <c r="E7" s="73" t="s">
        <v>3658</v>
      </c>
      <c r="F7" s="73" t="s">
        <v>3659</v>
      </c>
      <c r="G7" s="73"/>
      <c r="H7" s="73" t="s">
        <v>3655</v>
      </c>
      <c r="I7" s="59" t="s">
        <v>13</v>
      </c>
      <c r="J7" s="123"/>
      <c r="K7" s="123"/>
      <c r="L7" s="123"/>
      <c r="M7" s="123"/>
      <c r="N7" s="123"/>
      <c r="O7" s="123"/>
      <c r="P7" s="123"/>
      <c r="Q7" s="123"/>
      <c r="R7" s="123"/>
      <c r="S7" s="123"/>
      <c r="T7" s="123"/>
      <c r="U7" s="123"/>
      <c r="V7" s="123"/>
      <c r="W7" s="123"/>
      <c r="X7" s="123"/>
      <c r="Y7" s="123"/>
      <c r="Z7" s="123"/>
    </row>
    <row r="8">
      <c r="A8" s="73" t="s">
        <v>115</v>
      </c>
      <c r="B8" s="73" t="s">
        <v>3641</v>
      </c>
      <c r="C8" s="73" t="s">
        <v>3660</v>
      </c>
      <c r="D8" s="110" t="s">
        <v>3652</v>
      </c>
      <c r="E8" s="73" t="s">
        <v>3661</v>
      </c>
      <c r="F8" s="73" t="s">
        <v>3662</v>
      </c>
      <c r="G8" s="73"/>
      <c r="H8" s="73" t="s">
        <v>3663</v>
      </c>
      <c r="I8" s="59" t="s">
        <v>13</v>
      </c>
      <c r="J8" s="123"/>
      <c r="K8" s="123"/>
      <c r="L8" s="123"/>
      <c r="M8" s="123"/>
      <c r="N8" s="123"/>
      <c r="O8" s="123"/>
      <c r="P8" s="123"/>
      <c r="Q8" s="123"/>
      <c r="R8" s="123"/>
      <c r="S8" s="123"/>
      <c r="T8" s="123"/>
      <c r="U8" s="123"/>
      <c r="V8" s="123"/>
      <c r="W8" s="123"/>
      <c r="X8" s="123"/>
      <c r="Y8" s="123"/>
      <c r="Z8" s="123"/>
    </row>
    <row r="9">
      <c r="A9" s="73" t="s">
        <v>120</v>
      </c>
      <c r="B9" s="73" t="s">
        <v>3641</v>
      </c>
      <c r="C9" s="73" t="s">
        <v>3664</v>
      </c>
      <c r="D9" s="110" t="s">
        <v>3665</v>
      </c>
      <c r="E9" s="73" t="s">
        <v>3666</v>
      </c>
      <c r="F9" s="73" t="s">
        <v>3667</v>
      </c>
      <c r="G9" s="73"/>
      <c r="H9" s="73" t="s">
        <v>3668</v>
      </c>
      <c r="I9" s="59" t="s">
        <v>13</v>
      </c>
      <c r="J9" s="123"/>
      <c r="K9" s="123"/>
      <c r="L9" s="123"/>
      <c r="M9" s="123"/>
      <c r="N9" s="123"/>
      <c r="O9" s="123"/>
      <c r="P9" s="123"/>
      <c r="Q9" s="123"/>
      <c r="R9" s="123"/>
      <c r="S9" s="123"/>
      <c r="T9" s="123"/>
      <c r="U9" s="123"/>
      <c r="V9" s="123"/>
      <c r="W9" s="123"/>
      <c r="X9" s="123"/>
      <c r="Y9" s="123"/>
      <c r="Z9" s="123"/>
    </row>
    <row r="10">
      <c r="A10" s="73" t="s">
        <v>125</v>
      </c>
      <c r="B10" s="73" t="s">
        <v>3641</v>
      </c>
      <c r="C10" s="73" t="s">
        <v>3664</v>
      </c>
      <c r="D10" s="110" t="s">
        <v>3669</v>
      </c>
      <c r="E10" s="73" t="s">
        <v>3670</v>
      </c>
      <c r="F10" s="73" t="s">
        <v>3671</v>
      </c>
      <c r="G10" s="73"/>
      <c r="H10" s="73" t="s">
        <v>3668</v>
      </c>
      <c r="I10" s="59" t="s">
        <v>13</v>
      </c>
      <c r="J10" s="123"/>
      <c r="K10" s="123"/>
      <c r="L10" s="123"/>
      <c r="M10" s="123"/>
      <c r="N10" s="123"/>
      <c r="O10" s="123"/>
      <c r="P10" s="123"/>
      <c r="Q10" s="123"/>
      <c r="R10" s="123"/>
      <c r="S10" s="123"/>
      <c r="T10" s="123"/>
      <c r="U10" s="123"/>
      <c r="V10" s="123"/>
      <c r="W10" s="123"/>
      <c r="X10" s="123"/>
      <c r="Y10" s="123"/>
      <c r="Z10" s="123"/>
    </row>
    <row r="11">
      <c r="A11" s="73" t="s">
        <v>129</v>
      </c>
      <c r="B11" s="73" t="s">
        <v>3641</v>
      </c>
      <c r="C11" s="73" t="s">
        <v>3664</v>
      </c>
      <c r="D11" s="110" t="s">
        <v>3672</v>
      </c>
      <c r="E11" s="73" t="s">
        <v>3673</v>
      </c>
      <c r="F11" s="73" t="s">
        <v>3674</v>
      </c>
      <c r="G11" s="73"/>
      <c r="H11" s="73" t="s">
        <v>3675</v>
      </c>
      <c r="I11" s="59" t="s">
        <v>13</v>
      </c>
      <c r="J11" s="123"/>
      <c r="K11" s="123"/>
      <c r="L11" s="123"/>
      <c r="M11" s="123"/>
      <c r="N11" s="123"/>
      <c r="O11" s="123"/>
      <c r="P11" s="123"/>
      <c r="Q11" s="123"/>
      <c r="R11" s="123"/>
      <c r="S11" s="123"/>
      <c r="T11" s="123"/>
      <c r="U11" s="123"/>
      <c r="V11" s="123"/>
      <c r="W11" s="123"/>
      <c r="X11" s="123"/>
      <c r="Y11" s="123"/>
      <c r="Z11" s="123"/>
    </row>
    <row r="12">
      <c r="A12" s="73" t="s">
        <v>134</v>
      </c>
      <c r="B12" s="73" t="s">
        <v>3641</v>
      </c>
      <c r="C12" s="73" t="s">
        <v>3664</v>
      </c>
      <c r="D12" s="110" t="s">
        <v>3676</v>
      </c>
      <c r="E12" s="73" t="s">
        <v>3677</v>
      </c>
      <c r="F12" s="73" t="s">
        <v>3678</v>
      </c>
      <c r="G12" s="73"/>
      <c r="H12" s="73" t="s">
        <v>3668</v>
      </c>
      <c r="I12" s="59" t="s">
        <v>13</v>
      </c>
      <c r="J12" s="123"/>
      <c r="K12" s="123"/>
      <c r="L12" s="123"/>
      <c r="M12" s="123"/>
      <c r="N12" s="123"/>
      <c r="O12" s="123"/>
      <c r="P12" s="123"/>
      <c r="Q12" s="123"/>
      <c r="R12" s="123"/>
      <c r="S12" s="123"/>
      <c r="T12" s="123"/>
      <c r="U12" s="123"/>
      <c r="V12" s="123"/>
      <c r="W12" s="123"/>
      <c r="X12" s="123"/>
      <c r="Y12" s="123"/>
      <c r="Z12" s="123"/>
    </row>
    <row r="13">
      <c r="A13" s="73" t="s">
        <v>139</v>
      </c>
      <c r="B13" s="73" t="s">
        <v>3641</v>
      </c>
      <c r="C13" s="73" t="s">
        <v>3664</v>
      </c>
      <c r="D13" s="110" t="s">
        <v>3676</v>
      </c>
      <c r="E13" s="73" t="s">
        <v>3679</v>
      </c>
      <c r="F13" s="73" t="s">
        <v>3680</v>
      </c>
      <c r="G13" s="73"/>
      <c r="H13" s="73" t="s">
        <v>3668</v>
      </c>
      <c r="I13" s="59" t="s">
        <v>13</v>
      </c>
      <c r="J13" s="123"/>
      <c r="K13" s="123"/>
      <c r="L13" s="123"/>
      <c r="M13" s="123"/>
      <c r="N13" s="123"/>
      <c r="O13" s="123"/>
      <c r="P13" s="123"/>
      <c r="Q13" s="123"/>
      <c r="R13" s="123"/>
      <c r="S13" s="123"/>
      <c r="T13" s="123"/>
      <c r="U13" s="123"/>
      <c r="V13" s="123"/>
      <c r="W13" s="123"/>
      <c r="X13" s="123"/>
      <c r="Y13" s="123"/>
      <c r="Z13" s="123"/>
    </row>
    <row r="14">
      <c r="A14" s="73" t="s">
        <v>144</v>
      </c>
      <c r="B14" s="73" t="s">
        <v>3641</v>
      </c>
      <c r="C14" s="73" t="s">
        <v>3664</v>
      </c>
      <c r="D14" s="110" t="s">
        <v>3676</v>
      </c>
      <c r="E14" s="73" t="s">
        <v>3673</v>
      </c>
      <c r="F14" s="73" t="s">
        <v>3681</v>
      </c>
      <c r="G14" s="73"/>
      <c r="H14" s="73" t="s">
        <v>3675</v>
      </c>
      <c r="I14" s="59" t="s">
        <v>13</v>
      </c>
      <c r="J14" s="123"/>
      <c r="K14" s="123"/>
      <c r="L14" s="123"/>
      <c r="M14" s="123"/>
      <c r="N14" s="123"/>
      <c r="O14" s="123"/>
      <c r="P14" s="123"/>
      <c r="Q14" s="123"/>
      <c r="R14" s="123"/>
      <c r="S14" s="123"/>
      <c r="T14" s="123"/>
      <c r="U14" s="123"/>
      <c r="V14" s="123"/>
      <c r="W14" s="123"/>
      <c r="X14" s="123"/>
      <c r="Y14" s="123"/>
      <c r="Z14" s="123"/>
    </row>
    <row r="15">
      <c r="A15" s="73" t="s">
        <v>149</v>
      </c>
      <c r="B15" s="73" t="s">
        <v>3641</v>
      </c>
      <c r="C15" s="73" t="s">
        <v>3664</v>
      </c>
      <c r="D15" s="110" t="s">
        <v>3682</v>
      </c>
      <c r="E15" s="73" t="s">
        <v>3677</v>
      </c>
      <c r="F15" s="73" t="s">
        <v>3678</v>
      </c>
      <c r="G15" s="73"/>
      <c r="H15" s="73" t="s">
        <v>3668</v>
      </c>
      <c r="I15" s="59" t="s">
        <v>13</v>
      </c>
      <c r="J15" s="123"/>
      <c r="K15" s="123"/>
      <c r="L15" s="123"/>
      <c r="M15" s="123"/>
      <c r="N15" s="123"/>
      <c r="O15" s="123"/>
      <c r="P15" s="123"/>
      <c r="Q15" s="123"/>
      <c r="R15" s="123"/>
      <c r="S15" s="123"/>
      <c r="T15" s="123"/>
      <c r="U15" s="123"/>
      <c r="V15" s="123"/>
      <c r="W15" s="123"/>
      <c r="X15" s="123"/>
      <c r="Y15" s="123"/>
      <c r="Z15" s="123"/>
    </row>
    <row r="16">
      <c r="A16" s="73" t="s">
        <v>153</v>
      </c>
      <c r="B16" s="73" t="s">
        <v>3641</v>
      </c>
      <c r="C16" s="73" t="s">
        <v>3664</v>
      </c>
      <c r="D16" s="110" t="s">
        <v>3682</v>
      </c>
      <c r="E16" s="73" t="s">
        <v>3679</v>
      </c>
      <c r="F16" s="73" t="s">
        <v>3680</v>
      </c>
      <c r="G16" s="73"/>
      <c r="H16" s="73" t="s">
        <v>3668</v>
      </c>
      <c r="I16" s="59" t="s">
        <v>13</v>
      </c>
      <c r="J16" s="123"/>
      <c r="K16" s="123"/>
      <c r="L16" s="123"/>
      <c r="M16" s="123"/>
      <c r="N16" s="123"/>
      <c r="O16" s="123"/>
      <c r="P16" s="123"/>
      <c r="Q16" s="123"/>
      <c r="R16" s="123"/>
      <c r="S16" s="123"/>
      <c r="T16" s="123"/>
      <c r="U16" s="123"/>
      <c r="V16" s="123"/>
      <c r="W16" s="123"/>
      <c r="X16" s="123"/>
      <c r="Y16" s="123"/>
      <c r="Z16" s="123"/>
    </row>
    <row r="17">
      <c r="A17" s="73" t="s">
        <v>158</v>
      </c>
      <c r="B17" s="73" t="s">
        <v>3641</v>
      </c>
      <c r="C17" s="73" t="s">
        <v>3664</v>
      </c>
      <c r="D17" s="110" t="s">
        <v>3682</v>
      </c>
      <c r="E17" s="73" t="s">
        <v>3673</v>
      </c>
      <c r="F17" s="73" t="s">
        <v>3681</v>
      </c>
      <c r="G17" s="73"/>
      <c r="H17" s="73" t="s">
        <v>3675</v>
      </c>
      <c r="I17" s="59" t="s">
        <v>13</v>
      </c>
      <c r="J17" s="123"/>
      <c r="K17" s="123"/>
      <c r="L17" s="123"/>
      <c r="M17" s="123"/>
      <c r="N17" s="123"/>
      <c r="O17" s="123"/>
      <c r="P17" s="123"/>
      <c r="Q17" s="123"/>
      <c r="R17" s="123"/>
      <c r="S17" s="123"/>
      <c r="T17" s="123"/>
      <c r="U17" s="123"/>
      <c r="V17" s="123"/>
      <c r="W17" s="123"/>
      <c r="X17" s="123"/>
      <c r="Y17" s="123"/>
      <c r="Z17" s="123"/>
    </row>
    <row r="18">
      <c r="A18" s="73" t="s">
        <v>162</v>
      </c>
      <c r="B18" s="73" t="s">
        <v>3641</v>
      </c>
      <c r="C18" s="73" t="s">
        <v>3664</v>
      </c>
      <c r="D18" s="110" t="s">
        <v>3672</v>
      </c>
      <c r="E18" s="73" t="s">
        <v>3683</v>
      </c>
      <c r="F18" s="73" t="s">
        <v>3684</v>
      </c>
      <c r="G18" s="73"/>
      <c r="H18" s="73" t="s">
        <v>3685</v>
      </c>
      <c r="I18" s="59" t="s">
        <v>13</v>
      </c>
      <c r="J18" s="123"/>
      <c r="K18" s="123"/>
      <c r="L18" s="123"/>
      <c r="M18" s="123"/>
      <c r="N18" s="123"/>
      <c r="O18" s="123"/>
      <c r="P18" s="123"/>
      <c r="Q18" s="123"/>
      <c r="R18" s="123"/>
      <c r="S18" s="123"/>
      <c r="T18" s="123"/>
      <c r="U18" s="123"/>
      <c r="V18" s="123"/>
      <c r="W18" s="123"/>
      <c r="X18" s="123"/>
      <c r="Y18" s="123"/>
      <c r="Z18" s="123"/>
    </row>
    <row r="19">
      <c r="A19" s="73" t="s">
        <v>165</v>
      </c>
      <c r="B19" s="73" t="s">
        <v>3641</v>
      </c>
      <c r="C19" s="73" t="s">
        <v>3664</v>
      </c>
      <c r="D19" s="110" t="s">
        <v>3686</v>
      </c>
      <c r="E19" s="73" t="s">
        <v>3687</v>
      </c>
      <c r="F19" s="73" t="s">
        <v>3688</v>
      </c>
      <c r="G19" s="73"/>
      <c r="H19" s="73" t="s">
        <v>3689</v>
      </c>
      <c r="I19" s="59" t="s">
        <v>13</v>
      </c>
      <c r="J19" s="123"/>
      <c r="K19" s="123"/>
      <c r="L19" s="123"/>
      <c r="M19" s="123"/>
      <c r="N19" s="123"/>
      <c r="O19" s="123"/>
      <c r="P19" s="123"/>
      <c r="Q19" s="123"/>
      <c r="R19" s="123"/>
      <c r="S19" s="123"/>
      <c r="T19" s="123"/>
      <c r="U19" s="123"/>
      <c r="V19" s="123"/>
      <c r="W19" s="123"/>
      <c r="X19" s="123"/>
      <c r="Y19" s="123"/>
      <c r="Z19" s="123"/>
    </row>
    <row r="20">
      <c r="A20" s="73" t="s">
        <v>167</v>
      </c>
      <c r="B20" s="73" t="s">
        <v>3641</v>
      </c>
      <c r="C20" s="73" t="s">
        <v>3664</v>
      </c>
      <c r="D20" s="110" t="s">
        <v>3682</v>
      </c>
      <c r="E20" s="73" t="s">
        <v>3687</v>
      </c>
      <c r="F20" s="73" t="s">
        <v>3688</v>
      </c>
      <c r="G20" s="73"/>
      <c r="H20" s="73" t="s">
        <v>3689</v>
      </c>
      <c r="I20" s="59" t="s">
        <v>13</v>
      </c>
      <c r="J20" s="123"/>
      <c r="K20" s="123"/>
      <c r="L20" s="123"/>
      <c r="M20" s="123"/>
      <c r="N20" s="123"/>
      <c r="O20" s="123"/>
      <c r="P20" s="123"/>
      <c r="Q20" s="123"/>
      <c r="R20" s="123"/>
      <c r="S20" s="123"/>
      <c r="T20" s="123"/>
      <c r="U20" s="123"/>
      <c r="V20" s="123"/>
      <c r="W20" s="123"/>
      <c r="X20" s="123"/>
      <c r="Y20" s="123"/>
      <c r="Z20" s="123"/>
    </row>
    <row r="21">
      <c r="A21" s="73" t="s">
        <v>170</v>
      </c>
      <c r="B21" s="73" t="s">
        <v>3641</v>
      </c>
      <c r="C21" s="73" t="s">
        <v>3690</v>
      </c>
      <c r="D21" s="110" t="s">
        <v>3672</v>
      </c>
      <c r="E21" s="73" t="s">
        <v>3691</v>
      </c>
      <c r="F21" s="73" t="s">
        <v>3692</v>
      </c>
      <c r="G21" s="73" t="s">
        <v>3693</v>
      </c>
      <c r="H21" s="73" t="s">
        <v>3694</v>
      </c>
      <c r="I21" s="59" t="s">
        <v>13</v>
      </c>
      <c r="J21" s="123"/>
      <c r="K21" s="123"/>
      <c r="L21" s="123"/>
      <c r="M21" s="123"/>
      <c r="N21" s="123"/>
      <c r="O21" s="123"/>
      <c r="P21" s="123"/>
      <c r="Q21" s="123"/>
      <c r="R21" s="123"/>
      <c r="S21" s="123"/>
      <c r="T21" s="123"/>
      <c r="U21" s="123"/>
      <c r="V21" s="123"/>
      <c r="W21" s="123"/>
      <c r="X21" s="123"/>
      <c r="Y21" s="123"/>
      <c r="Z21" s="123"/>
    </row>
    <row r="22">
      <c r="A22" s="73" t="s">
        <v>175</v>
      </c>
      <c r="B22" s="73" t="s">
        <v>3641</v>
      </c>
      <c r="C22" s="73" t="s">
        <v>3690</v>
      </c>
      <c r="D22" s="110" t="s">
        <v>3695</v>
      </c>
      <c r="E22" s="73" t="s">
        <v>3696</v>
      </c>
      <c r="F22" s="73" t="s">
        <v>3692</v>
      </c>
      <c r="G22" s="73" t="s">
        <v>3693</v>
      </c>
      <c r="H22" s="73" t="s">
        <v>3694</v>
      </c>
      <c r="I22" s="59" t="s">
        <v>13</v>
      </c>
      <c r="J22" s="123"/>
      <c r="K22" s="123"/>
      <c r="L22" s="123"/>
      <c r="M22" s="123"/>
      <c r="N22" s="123"/>
      <c r="O22" s="123"/>
      <c r="P22" s="123"/>
      <c r="Q22" s="123"/>
      <c r="R22" s="123"/>
      <c r="S22" s="123"/>
      <c r="T22" s="123"/>
      <c r="U22" s="123"/>
      <c r="V22" s="123"/>
      <c r="W22" s="123"/>
      <c r="X22" s="123"/>
      <c r="Y22" s="123"/>
      <c r="Z22" s="123"/>
    </row>
    <row r="23">
      <c r="A23" s="73" t="s">
        <v>180</v>
      </c>
      <c r="B23" s="73" t="s">
        <v>3641</v>
      </c>
      <c r="C23" s="73" t="s">
        <v>3690</v>
      </c>
      <c r="D23" s="110" t="s">
        <v>3697</v>
      </c>
      <c r="E23" s="73" t="s">
        <v>3698</v>
      </c>
      <c r="F23" s="73" t="s">
        <v>3692</v>
      </c>
      <c r="G23" s="73" t="s">
        <v>3693</v>
      </c>
      <c r="H23" s="73" t="s">
        <v>3699</v>
      </c>
      <c r="I23" s="59" t="s">
        <v>13</v>
      </c>
      <c r="J23" s="123"/>
      <c r="K23" s="123"/>
      <c r="L23" s="123"/>
      <c r="M23" s="123"/>
      <c r="N23" s="123"/>
      <c r="O23" s="123"/>
      <c r="P23" s="123"/>
      <c r="Q23" s="123"/>
      <c r="R23" s="123"/>
      <c r="S23" s="123"/>
      <c r="T23" s="123"/>
      <c r="U23" s="123"/>
      <c r="V23" s="123"/>
      <c r="W23" s="123"/>
      <c r="X23" s="123"/>
      <c r="Y23" s="123"/>
      <c r="Z23" s="123"/>
    </row>
    <row r="24">
      <c r="A24" s="73" t="s">
        <v>185</v>
      </c>
      <c r="B24" s="73" t="s">
        <v>3641</v>
      </c>
      <c r="C24" s="73" t="s">
        <v>3690</v>
      </c>
      <c r="D24" s="110" t="s">
        <v>3672</v>
      </c>
      <c r="E24" s="73" t="s">
        <v>3700</v>
      </c>
      <c r="F24" s="73" t="s">
        <v>3701</v>
      </c>
      <c r="G24" s="73" t="s">
        <v>3693</v>
      </c>
      <c r="H24" s="73" t="s">
        <v>3702</v>
      </c>
      <c r="I24" s="59" t="s">
        <v>13</v>
      </c>
      <c r="J24" s="123"/>
      <c r="K24" s="123"/>
      <c r="L24" s="123"/>
      <c r="M24" s="123"/>
      <c r="N24" s="123"/>
      <c r="O24" s="123"/>
      <c r="P24" s="123"/>
      <c r="Q24" s="123"/>
      <c r="R24" s="123"/>
      <c r="S24" s="123"/>
      <c r="T24" s="123"/>
      <c r="U24" s="123"/>
      <c r="V24" s="123"/>
      <c r="W24" s="123"/>
      <c r="X24" s="123"/>
      <c r="Y24" s="123"/>
      <c r="Z24" s="123"/>
    </row>
    <row r="25">
      <c r="A25" s="73" t="s">
        <v>190</v>
      </c>
      <c r="B25" s="73" t="s">
        <v>3641</v>
      </c>
      <c r="C25" s="73" t="s">
        <v>3703</v>
      </c>
      <c r="D25" s="110" t="s">
        <v>3672</v>
      </c>
      <c r="E25" s="73" t="s">
        <v>3704</v>
      </c>
      <c r="F25" s="75"/>
      <c r="G25" s="73" t="s">
        <v>3705</v>
      </c>
      <c r="H25" s="75"/>
      <c r="I25" s="59" t="s">
        <v>13</v>
      </c>
      <c r="J25" s="123"/>
      <c r="K25" s="123"/>
      <c r="L25" s="123"/>
      <c r="M25" s="123"/>
      <c r="N25" s="123"/>
      <c r="O25" s="123"/>
      <c r="P25" s="123"/>
      <c r="Q25" s="123"/>
      <c r="R25" s="123"/>
      <c r="S25" s="123"/>
      <c r="T25" s="123"/>
      <c r="U25" s="123"/>
      <c r="V25" s="123"/>
      <c r="W25" s="123"/>
      <c r="X25" s="123"/>
      <c r="Y25" s="123"/>
      <c r="Z25" s="123"/>
    </row>
    <row r="26">
      <c r="A26" s="73" t="s">
        <v>195</v>
      </c>
      <c r="B26" s="73" t="s">
        <v>3641</v>
      </c>
      <c r="C26" s="73" t="s">
        <v>3703</v>
      </c>
      <c r="D26" s="110" t="s">
        <v>3695</v>
      </c>
      <c r="E26" s="73" t="s">
        <v>3706</v>
      </c>
      <c r="F26" s="73" t="s">
        <v>3692</v>
      </c>
      <c r="G26" s="73" t="s">
        <v>3705</v>
      </c>
      <c r="H26" s="73" t="s">
        <v>3694</v>
      </c>
      <c r="I26" s="59" t="s">
        <v>13</v>
      </c>
      <c r="J26" s="123"/>
      <c r="K26" s="123"/>
      <c r="L26" s="123"/>
      <c r="M26" s="123"/>
      <c r="N26" s="123"/>
      <c r="O26" s="123"/>
      <c r="P26" s="123"/>
      <c r="Q26" s="123"/>
      <c r="R26" s="123"/>
      <c r="S26" s="123"/>
      <c r="T26" s="123"/>
      <c r="U26" s="123"/>
      <c r="V26" s="123"/>
      <c r="W26" s="123"/>
      <c r="X26" s="123"/>
      <c r="Y26" s="123"/>
      <c r="Z26" s="123"/>
    </row>
    <row r="27">
      <c r="A27" s="73" t="s">
        <v>200</v>
      </c>
      <c r="B27" s="73" t="s">
        <v>3641</v>
      </c>
      <c r="C27" s="73" t="s">
        <v>3703</v>
      </c>
      <c r="D27" s="110" t="s">
        <v>3697</v>
      </c>
      <c r="E27" s="73" t="s">
        <v>3707</v>
      </c>
      <c r="F27" s="73" t="s">
        <v>3692</v>
      </c>
      <c r="G27" s="73" t="s">
        <v>3705</v>
      </c>
      <c r="H27" s="73" t="s">
        <v>3699</v>
      </c>
      <c r="I27" s="59" t="s">
        <v>13</v>
      </c>
      <c r="J27" s="123"/>
      <c r="K27" s="123"/>
      <c r="L27" s="123"/>
      <c r="M27" s="123"/>
      <c r="N27" s="123"/>
      <c r="O27" s="123"/>
      <c r="P27" s="123"/>
      <c r="Q27" s="123"/>
      <c r="R27" s="123"/>
      <c r="S27" s="123"/>
      <c r="T27" s="123"/>
      <c r="U27" s="123"/>
      <c r="V27" s="123"/>
      <c r="W27" s="123"/>
      <c r="X27" s="123"/>
      <c r="Y27" s="123"/>
      <c r="Z27" s="123"/>
    </row>
    <row r="28">
      <c r="A28" s="73" t="s">
        <v>205</v>
      </c>
      <c r="B28" s="73" t="s">
        <v>3641</v>
      </c>
      <c r="C28" s="73" t="s">
        <v>3703</v>
      </c>
      <c r="D28" s="110" t="s">
        <v>3672</v>
      </c>
      <c r="E28" s="73" t="s">
        <v>3708</v>
      </c>
      <c r="F28" s="73" t="s">
        <v>3701</v>
      </c>
      <c r="G28" s="73" t="s">
        <v>3705</v>
      </c>
      <c r="H28" s="73" t="s">
        <v>3702</v>
      </c>
      <c r="I28" s="59" t="s">
        <v>13</v>
      </c>
      <c r="J28" s="123"/>
      <c r="K28" s="123"/>
      <c r="L28" s="123"/>
      <c r="M28" s="123"/>
      <c r="N28" s="123"/>
      <c r="O28" s="123"/>
      <c r="P28" s="123"/>
      <c r="Q28" s="123"/>
      <c r="R28" s="123"/>
      <c r="S28" s="123"/>
      <c r="T28" s="123"/>
      <c r="U28" s="123"/>
      <c r="V28" s="123"/>
      <c r="W28" s="123"/>
      <c r="X28" s="123"/>
      <c r="Y28" s="123"/>
      <c r="Z28" s="123"/>
    </row>
    <row r="29">
      <c r="A29" s="73" t="s">
        <v>210</v>
      </c>
      <c r="B29" s="73" t="s">
        <v>3641</v>
      </c>
      <c r="C29" s="73" t="s">
        <v>3709</v>
      </c>
      <c r="D29" s="110" t="s">
        <v>3672</v>
      </c>
      <c r="E29" s="73" t="s">
        <v>3704</v>
      </c>
      <c r="F29" s="75"/>
      <c r="G29" s="73" t="s">
        <v>3705</v>
      </c>
      <c r="H29" s="75"/>
      <c r="I29" s="59" t="s">
        <v>13</v>
      </c>
      <c r="J29" s="123"/>
      <c r="K29" s="123"/>
      <c r="L29" s="123"/>
      <c r="M29" s="123"/>
      <c r="N29" s="123"/>
      <c r="O29" s="123"/>
      <c r="P29" s="123"/>
      <c r="Q29" s="123"/>
      <c r="R29" s="123"/>
      <c r="S29" s="123"/>
      <c r="T29" s="123"/>
      <c r="U29" s="123"/>
      <c r="V29" s="123"/>
      <c r="W29" s="123"/>
      <c r="X29" s="123"/>
      <c r="Y29" s="123"/>
      <c r="Z29" s="123"/>
    </row>
    <row r="30">
      <c r="A30" s="73" t="s">
        <v>215</v>
      </c>
      <c r="B30" s="73" t="s">
        <v>3641</v>
      </c>
      <c r="C30" s="73" t="s">
        <v>3709</v>
      </c>
      <c r="D30" s="110" t="s">
        <v>3695</v>
      </c>
      <c r="E30" s="73" t="s">
        <v>3710</v>
      </c>
      <c r="F30" s="73" t="s">
        <v>3692</v>
      </c>
      <c r="G30" s="73" t="s">
        <v>3705</v>
      </c>
      <c r="H30" s="73" t="s">
        <v>3694</v>
      </c>
      <c r="I30" s="59" t="s">
        <v>13</v>
      </c>
      <c r="J30" s="123"/>
      <c r="K30" s="123"/>
      <c r="L30" s="123"/>
      <c r="M30" s="123"/>
      <c r="N30" s="123"/>
      <c r="O30" s="123"/>
      <c r="P30" s="123"/>
      <c r="Q30" s="123"/>
      <c r="R30" s="123"/>
      <c r="S30" s="123"/>
      <c r="T30" s="123"/>
      <c r="U30" s="123"/>
      <c r="V30" s="123"/>
      <c r="W30" s="123"/>
      <c r="X30" s="123"/>
      <c r="Y30" s="123"/>
      <c r="Z30" s="123"/>
    </row>
    <row r="31">
      <c r="A31" s="73" t="s">
        <v>220</v>
      </c>
      <c r="B31" s="73" t="s">
        <v>3641</v>
      </c>
      <c r="C31" s="73" t="s">
        <v>3709</v>
      </c>
      <c r="D31" s="110" t="s">
        <v>3697</v>
      </c>
      <c r="E31" s="73" t="s">
        <v>3711</v>
      </c>
      <c r="F31" s="73" t="s">
        <v>3692</v>
      </c>
      <c r="G31" s="73" t="s">
        <v>3705</v>
      </c>
      <c r="H31" s="73" t="s">
        <v>3699</v>
      </c>
      <c r="I31" s="59" t="s">
        <v>13</v>
      </c>
      <c r="J31" s="123"/>
      <c r="K31" s="123"/>
      <c r="L31" s="123"/>
      <c r="M31" s="123"/>
      <c r="N31" s="123"/>
      <c r="O31" s="123"/>
      <c r="P31" s="123"/>
      <c r="Q31" s="123"/>
      <c r="R31" s="123"/>
      <c r="S31" s="123"/>
      <c r="T31" s="123"/>
      <c r="U31" s="123"/>
      <c r="V31" s="123"/>
      <c r="W31" s="123"/>
      <c r="X31" s="123"/>
      <c r="Y31" s="123"/>
      <c r="Z31" s="123"/>
    </row>
    <row r="32">
      <c r="A32" s="73" t="s">
        <v>224</v>
      </c>
      <c r="B32" s="73" t="s">
        <v>3641</v>
      </c>
      <c r="C32" s="73" t="s">
        <v>3709</v>
      </c>
      <c r="D32" s="110" t="s">
        <v>3672</v>
      </c>
      <c r="E32" s="73" t="s">
        <v>3712</v>
      </c>
      <c r="F32" s="73" t="s">
        <v>3701</v>
      </c>
      <c r="G32" s="73" t="s">
        <v>3705</v>
      </c>
      <c r="H32" s="73" t="s">
        <v>3702</v>
      </c>
      <c r="I32" s="59" t="s">
        <v>13</v>
      </c>
      <c r="J32" s="123"/>
      <c r="K32" s="123"/>
      <c r="L32" s="123"/>
      <c r="M32" s="123"/>
      <c r="N32" s="123"/>
      <c r="O32" s="123"/>
      <c r="P32" s="123"/>
      <c r="Q32" s="123"/>
      <c r="R32" s="123"/>
      <c r="S32" s="123"/>
      <c r="T32" s="123"/>
      <c r="U32" s="123"/>
      <c r="V32" s="123"/>
      <c r="W32" s="123"/>
      <c r="X32" s="123"/>
      <c r="Y32" s="123"/>
      <c r="Z32" s="123"/>
    </row>
    <row r="33">
      <c r="A33" s="73" t="s">
        <v>228</v>
      </c>
      <c r="B33" s="126" t="s">
        <v>3641</v>
      </c>
      <c r="C33" s="126" t="s">
        <v>3709</v>
      </c>
      <c r="D33" s="127" t="s">
        <v>3713</v>
      </c>
      <c r="E33" s="126" t="s">
        <v>3714</v>
      </c>
      <c r="F33" s="126" t="s">
        <v>3715</v>
      </c>
      <c r="G33" s="126" t="s">
        <v>3693</v>
      </c>
      <c r="H33" s="126" t="s">
        <v>3716</v>
      </c>
      <c r="I33" s="59" t="s">
        <v>13</v>
      </c>
      <c r="J33" s="123"/>
      <c r="K33" s="123"/>
      <c r="L33" s="123"/>
      <c r="M33" s="123"/>
      <c r="N33" s="123"/>
      <c r="O33" s="123"/>
      <c r="P33" s="123"/>
      <c r="Q33" s="123"/>
      <c r="R33" s="123"/>
      <c r="S33" s="123"/>
      <c r="T33" s="123"/>
      <c r="U33" s="123"/>
      <c r="V33" s="123"/>
      <c r="W33" s="123"/>
      <c r="X33" s="123"/>
      <c r="Y33" s="123"/>
      <c r="Z33" s="123"/>
    </row>
    <row r="34">
      <c r="A34" s="73" t="s">
        <v>233</v>
      </c>
      <c r="B34" s="126" t="s">
        <v>3641</v>
      </c>
      <c r="C34" s="126" t="s">
        <v>3709</v>
      </c>
      <c r="D34" s="127" t="s">
        <v>3717</v>
      </c>
      <c r="E34" s="126" t="s">
        <v>3718</v>
      </c>
      <c r="F34" s="126" t="s">
        <v>3719</v>
      </c>
      <c r="G34" s="126" t="s">
        <v>3693</v>
      </c>
      <c r="H34" s="126" t="s">
        <v>3720</v>
      </c>
      <c r="I34" s="59" t="s">
        <v>13</v>
      </c>
      <c r="J34" s="123"/>
      <c r="K34" s="123"/>
      <c r="L34" s="123"/>
      <c r="M34" s="123"/>
      <c r="N34" s="123"/>
      <c r="O34" s="123"/>
      <c r="P34" s="123"/>
      <c r="Q34" s="123"/>
      <c r="R34" s="123"/>
      <c r="S34" s="123"/>
      <c r="T34" s="123"/>
      <c r="U34" s="123"/>
      <c r="V34" s="123"/>
      <c r="W34" s="123"/>
      <c r="X34" s="123"/>
      <c r="Y34" s="123"/>
      <c r="Z34" s="123"/>
    </row>
    <row r="35">
      <c r="A35" s="73" t="s">
        <v>237</v>
      </c>
      <c r="B35" s="73" t="s">
        <v>3721</v>
      </c>
      <c r="C35" s="59" t="s">
        <v>3722</v>
      </c>
      <c r="D35" s="59" t="s">
        <v>3055</v>
      </c>
      <c r="E35" s="59" t="s">
        <v>3723</v>
      </c>
      <c r="F35" s="59" t="s">
        <v>3724</v>
      </c>
      <c r="G35" s="59" t="s">
        <v>3725</v>
      </c>
      <c r="H35" s="59" t="s">
        <v>3726</v>
      </c>
      <c r="I35" s="59" t="s">
        <v>13</v>
      </c>
      <c r="J35" s="123"/>
      <c r="K35" s="123"/>
      <c r="L35" s="123"/>
      <c r="M35" s="123"/>
      <c r="N35" s="123"/>
      <c r="O35" s="123"/>
      <c r="P35" s="123"/>
      <c r="Q35" s="123"/>
      <c r="R35" s="123"/>
      <c r="S35" s="123"/>
      <c r="T35" s="123"/>
      <c r="U35" s="123"/>
      <c r="V35" s="123"/>
      <c r="W35" s="123"/>
      <c r="X35" s="123"/>
      <c r="Y35" s="123"/>
      <c r="Z35" s="123"/>
    </row>
    <row r="36">
      <c r="A36" s="73" t="s">
        <v>241</v>
      </c>
      <c r="B36" s="73" t="s">
        <v>3721</v>
      </c>
      <c r="C36" s="59" t="s">
        <v>3722</v>
      </c>
      <c r="D36" s="59" t="s">
        <v>3055</v>
      </c>
      <c r="E36" s="59" t="s">
        <v>3727</v>
      </c>
      <c r="F36" s="59" t="s">
        <v>3728</v>
      </c>
      <c r="G36" s="59" t="s">
        <v>3725</v>
      </c>
      <c r="H36" s="59" t="s">
        <v>3729</v>
      </c>
      <c r="I36" s="59" t="s">
        <v>13</v>
      </c>
      <c r="J36" s="123"/>
      <c r="K36" s="123"/>
      <c r="L36" s="123"/>
      <c r="M36" s="123"/>
      <c r="N36" s="123"/>
      <c r="O36" s="123"/>
      <c r="P36" s="123"/>
      <c r="Q36" s="123"/>
      <c r="R36" s="123"/>
      <c r="S36" s="123"/>
      <c r="T36" s="123"/>
      <c r="U36" s="123"/>
      <c r="V36" s="123"/>
      <c r="W36" s="123"/>
      <c r="X36" s="123"/>
      <c r="Y36" s="123"/>
      <c r="Z36" s="123"/>
    </row>
    <row r="37">
      <c r="A37" s="73" t="s">
        <v>245</v>
      </c>
      <c r="B37" s="73" t="s">
        <v>3721</v>
      </c>
      <c r="C37" s="59" t="s">
        <v>3722</v>
      </c>
      <c r="D37" s="59" t="s">
        <v>3055</v>
      </c>
      <c r="E37" s="59" t="s">
        <v>3730</v>
      </c>
      <c r="F37" s="59" t="s">
        <v>3731</v>
      </c>
      <c r="G37" s="59" t="s">
        <v>3725</v>
      </c>
      <c r="H37" s="59" t="s">
        <v>3732</v>
      </c>
      <c r="I37" s="59" t="s">
        <v>13</v>
      </c>
      <c r="J37" s="123"/>
      <c r="K37" s="123"/>
      <c r="L37" s="123"/>
      <c r="M37" s="123"/>
      <c r="N37" s="123"/>
      <c r="O37" s="123"/>
      <c r="P37" s="123"/>
      <c r="Q37" s="123"/>
      <c r="R37" s="123"/>
      <c r="S37" s="123"/>
      <c r="T37" s="123"/>
      <c r="U37" s="123"/>
      <c r="V37" s="123"/>
      <c r="W37" s="123"/>
      <c r="X37" s="123"/>
      <c r="Y37" s="123"/>
      <c r="Z37" s="123"/>
    </row>
    <row r="38">
      <c r="A38" s="73" t="s">
        <v>250</v>
      </c>
      <c r="B38" s="73" t="s">
        <v>3721</v>
      </c>
      <c r="C38" s="59" t="s">
        <v>3722</v>
      </c>
      <c r="D38" s="59" t="s">
        <v>3055</v>
      </c>
      <c r="E38" s="59" t="s">
        <v>3733</v>
      </c>
      <c r="F38" s="59" t="s">
        <v>3057</v>
      </c>
      <c r="G38" s="59" t="s">
        <v>3734</v>
      </c>
      <c r="H38" s="59" t="s">
        <v>3059</v>
      </c>
      <c r="I38" s="59" t="s">
        <v>13</v>
      </c>
      <c r="J38" s="123"/>
      <c r="K38" s="123"/>
      <c r="L38" s="123"/>
      <c r="M38" s="123"/>
      <c r="N38" s="123"/>
      <c r="O38" s="123"/>
      <c r="P38" s="123"/>
      <c r="Q38" s="123"/>
      <c r="R38" s="123"/>
      <c r="S38" s="123"/>
      <c r="T38" s="123"/>
      <c r="U38" s="123"/>
      <c r="V38" s="123"/>
      <c r="W38" s="123"/>
      <c r="X38" s="123"/>
      <c r="Y38" s="123"/>
      <c r="Z38" s="123"/>
    </row>
    <row r="39">
      <c r="A39" s="73" t="s">
        <v>254</v>
      </c>
      <c r="B39" s="73" t="s">
        <v>3721</v>
      </c>
      <c r="C39" s="59" t="s">
        <v>3722</v>
      </c>
      <c r="D39" s="59" t="s">
        <v>3055</v>
      </c>
      <c r="E39" s="59" t="s">
        <v>3735</v>
      </c>
      <c r="F39" s="59" t="s">
        <v>3736</v>
      </c>
      <c r="G39" s="59" t="s">
        <v>3737</v>
      </c>
      <c r="H39" s="59" t="s">
        <v>3738</v>
      </c>
      <c r="I39" s="59" t="s">
        <v>13</v>
      </c>
      <c r="J39" s="123"/>
      <c r="K39" s="123"/>
      <c r="L39" s="123"/>
      <c r="M39" s="123"/>
      <c r="N39" s="123"/>
      <c r="O39" s="123"/>
      <c r="P39" s="123"/>
      <c r="Q39" s="123"/>
      <c r="R39" s="123"/>
      <c r="S39" s="123"/>
      <c r="T39" s="123"/>
      <c r="U39" s="123"/>
      <c r="V39" s="123"/>
      <c r="W39" s="123"/>
      <c r="X39" s="123"/>
      <c r="Y39" s="123"/>
      <c r="Z39" s="123"/>
    </row>
    <row r="40">
      <c r="A40" s="73" t="s">
        <v>258</v>
      </c>
      <c r="B40" s="73" t="s">
        <v>3721</v>
      </c>
      <c r="C40" s="59" t="s">
        <v>3722</v>
      </c>
      <c r="D40" s="59" t="s">
        <v>3055</v>
      </c>
      <c r="E40" s="59" t="s">
        <v>3739</v>
      </c>
      <c r="F40" s="59" t="s">
        <v>3740</v>
      </c>
      <c r="G40" s="59" t="s">
        <v>3741</v>
      </c>
      <c r="H40" s="59" t="s">
        <v>3742</v>
      </c>
      <c r="I40" s="59" t="s">
        <v>13</v>
      </c>
      <c r="J40" s="123"/>
      <c r="K40" s="123"/>
      <c r="L40" s="123"/>
      <c r="M40" s="123"/>
      <c r="N40" s="123"/>
      <c r="O40" s="123"/>
      <c r="P40" s="123"/>
      <c r="Q40" s="123"/>
      <c r="R40" s="123"/>
      <c r="S40" s="123"/>
      <c r="T40" s="123"/>
      <c r="U40" s="123"/>
      <c r="V40" s="123"/>
      <c r="W40" s="123"/>
      <c r="X40" s="123"/>
      <c r="Y40" s="123"/>
      <c r="Z40" s="123"/>
    </row>
    <row r="41">
      <c r="A41" s="73" t="s">
        <v>263</v>
      </c>
      <c r="B41" s="73" t="s">
        <v>3721</v>
      </c>
      <c r="C41" s="59" t="s">
        <v>3722</v>
      </c>
      <c r="D41" s="59" t="s">
        <v>3055</v>
      </c>
      <c r="E41" s="59" t="s">
        <v>3743</v>
      </c>
      <c r="F41" s="59" t="s">
        <v>3744</v>
      </c>
      <c r="G41" s="59" t="s">
        <v>3741</v>
      </c>
      <c r="H41" s="59" t="s">
        <v>3742</v>
      </c>
      <c r="I41" s="59" t="s">
        <v>13</v>
      </c>
      <c r="J41" s="123"/>
      <c r="K41" s="123"/>
      <c r="L41" s="123"/>
      <c r="M41" s="123"/>
      <c r="N41" s="123"/>
      <c r="O41" s="123"/>
      <c r="P41" s="123"/>
      <c r="Q41" s="123"/>
      <c r="R41" s="123"/>
      <c r="S41" s="123"/>
      <c r="T41" s="123"/>
      <c r="U41" s="123"/>
      <c r="V41" s="123"/>
      <c r="W41" s="123"/>
      <c r="X41" s="123"/>
      <c r="Y41" s="123"/>
      <c r="Z41" s="123"/>
    </row>
    <row r="42">
      <c r="A42" s="73" t="s">
        <v>268</v>
      </c>
      <c r="B42" s="73" t="s">
        <v>3721</v>
      </c>
      <c r="C42" s="59" t="s">
        <v>3060</v>
      </c>
      <c r="D42" s="59" t="s">
        <v>3049</v>
      </c>
      <c r="E42" s="59" t="s">
        <v>3745</v>
      </c>
      <c r="F42" s="59" t="s">
        <v>3062</v>
      </c>
      <c r="G42" s="59" t="s">
        <v>3063</v>
      </c>
      <c r="H42" s="59" t="s">
        <v>3064</v>
      </c>
      <c r="I42" s="59" t="s">
        <v>13</v>
      </c>
      <c r="J42" s="123"/>
      <c r="K42" s="123"/>
      <c r="L42" s="123"/>
      <c r="M42" s="123"/>
      <c r="N42" s="123"/>
      <c r="O42" s="123"/>
      <c r="P42" s="123"/>
      <c r="Q42" s="123"/>
      <c r="R42" s="123"/>
      <c r="S42" s="123"/>
      <c r="T42" s="123"/>
      <c r="U42" s="123"/>
      <c r="V42" s="123"/>
      <c r="W42" s="123"/>
      <c r="X42" s="123"/>
      <c r="Y42" s="123"/>
      <c r="Z42" s="123"/>
    </row>
    <row r="43">
      <c r="A43" s="73" t="s">
        <v>271</v>
      </c>
      <c r="B43" s="73" t="s">
        <v>3721</v>
      </c>
      <c r="C43" s="59" t="s">
        <v>3060</v>
      </c>
      <c r="D43" s="59" t="s">
        <v>3055</v>
      </c>
      <c r="E43" s="59" t="s">
        <v>3746</v>
      </c>
      <c r="F43" s="59" t="s">
        <v>3066</v>
      </c>
      <c r="G43" s="59" t="s">
        <v>3063</v>
      </c>
      <c r="H43" s="59" t="s">
        <v>3067</v>
      </c>
      <c r="I43" s="59" t="s">
        <v>13</v>
      </c>
      <c r="J43" s="123"/>
      <c r="K43" s="123"/>
      <c r="L43" s="123"/>
      <c r="M43" s="123"/>
      <c r="N43" s="123"/>
      <c r="O43" s="123"/>
      <c r="P43" s="123"/>
      <c r="Q43" s="123"/>
      <c r="R43" s="123"/>
      <c r="S43" s="123"/>
      <c r="T43" s="123"/>
      <c r="U43" s="123"/>
      <c r="V43" s="123"/>
      <c r="W43" s="123"/>
      <c r="X43" s="123"/>
      <c r="Y43" s="123"/>
      <c r="Z43" s="123"/>
    </row>
    <row r="44">
      <c r="A44" s="73" t="s">
        <v>274</v>
      </c>
      <c r="B44" s="73" t="s">
        <v>3721</v>
      </c>
      <c r="C44" s="59" t="s">
        <v>3060</v>
      </c>
      <c r="D44" s="59" t="s">
        <v>3055</v>
      </c>
      <c r="E44" s="59" t="s">
        <v>3747</v>
      </c>
      <c r="F44" s="59" t="s">
        <v>3748</v>
      </c>
      <c r="G44" s="59" t="s">
        <v>3749</v>
      </c>
      <c r="H44" s="59" t="s">
        <v>3071</v>
      </c>
      <c r="I44" s="59" t="s">
        <v>13</v>
      </c>
      <c r="J44" s="123"/>
      <c r="K44" s="123"/>
      <c r="L44" s="123"/>
      <c r="M44" s="123"/>
      <c r="N44" s="123"/>
      <c r="O44" s="123"/>
      <c r="P44" s="123"/>
      <c r="Q44" s="123"/>
      <c r="R44" s="123"/>
      <c r="S44" s="123"/>
      <c r="T44" s="123"/>
      <c r="U44" s="123"/>
      <c r="V44" s="123"/>
      <c r="W44" s="123"/>
      <c r="X44" s="123"/>
      <c r="Y44" s="123"/>
      <c r="Z44" s="123"/>
    </row>
    <row r="45">
      <c r="A45" s="73" t="s">
        <v>405</v>
      </c>
      <c r="B45" s="73" t="s">
        <v>3721</v>
      </c>
      <c r="C45" s="59" t="s">
        <v>3060</v>
      </c>
      <c r="D45" s="59" t="s">
        <v>3072</v>
      </c>
      <c r="E45" s="59" t="s">
        <v>3750</v>
      </c>
      <c r="F45" s="59" t="s">
        <v>3074</v>
      </c>
      <c r="G45" s="59" t="s">
        <v>46</v>
      </c>
      <c r="H45" s="59" t="s">
        <v>3075</v>
      </c>
      <c r="I45" s="59" t="s">
        <v>13</v>
      </c>
      <c r="J45" s="123"/>
      <c r="K45" s="123"/>
      <c r="L45" s="123"/>
      <c r="M45" s="123"/>
      <c r="N45" s="123"/>
      <c r="O45" s="123"/>
      <c r="P45" s="123"/>
      <c r="Q45" s="123"/>
      <c r="R45" s="123"/>
      <c r="S45" s="123"/>
      <c r="T45" s="123"/>
      <c r="U45" s="123"/>
      <c r="V45" s="123"/>
      <c r="W45" s="123"/>
      <c r="X45" s="123"/>
      <c r="Y45" s="123"/>
      <c r="Z45" s="123"/>
    </row>
    <row r="46">
      <c r="A46" s="73" t="s">
        <v>408</v>
      </c>
      <c r="B46" s="73" t="s">
        <v>3721</v>
      </c>
      <c r="C46" s="59" t="s">
        <v>3060</v>
      </c>
      <c r="D46" s="59" t="s">
        <v>3072</v>
      </c>
      <c r="E46" s="59" t="s">
        <v>3751</v>
      </c>
      <c r="F46" s="59" t="s">
        <v>3077</v>
      </c>
      <c r="G46" s="59" t="s">
        <v>46</v>
      </c>
      <c r="H46" s="65"/>
      <c r="I46" s="59" t="s">
        <v>13</v>
      </c>
      <c r="J46" s="123"/>
      <c r="K46" s="123"/>
      <c r="L46" s="123"/>
      <c r="M46" s="123"/>
      <c r="N46" s="123"/>
      <c r="O46" s="123"/>
      <c r="P46" s="123"/>
      <c r="Q46" s="123"/>
      <c r="R46" s="123"/>
      <c r="S46" s="123"/>
      <c r="T46" s="123"/>
      <c r="U46" s="123"/>
      <c r="V46" s="123"/>
      <c r="W46" s="123"/>
      <c r="X46" s="123"/>
      <c r="Y46" s="123"/>
      <c r="Z46" s="123"/>
    </row>
    <row r="47">
      <c r="A47" s="73" t="s">
        <v>629</v>
      </c>
      <c r="B47" s="73" t="s">
        <v>3721</v>
      </c>
      <c r="C47" s="59" t="s">
        <v>3060</v>
      </c>
      <c r="D47" s="59" t="s">
        <v>3072</v>
      </c>
      <c r="E47" s="59" t="s">
        <v>3752</v>
      </c>
      <c r="F47" s="59" t="s">
        <v>3753</v>
      </c>
      <c r="G47" s="59" t="s">
        <v>46</v>
      </c>
      <c r="H47" s="59" t="s">
        <v>3754</v>
      </c>
      <c r="I47" s="59" t="s">
        <v>13</v>
      </c>
      <c r="J47" s="123"/>
      <c r="K47" s="123"/>
      <c r="L47" s="123"/>
      <c r="M47" s="123"/>
      <c r="N47" s="123"/>
      <c r="O47" s="123"/>
      <c r="P47" s="123"/>
      <c r="Q47" s="123"/>
      <c r="R47" s="123"/>
      <c r="S47" s="123"/>
      <c r="T47" s="123"/>
      <c r="U47" s="123"/>
      <c r="V47" s="123"/>
      <c r="W47" s="123"/>
      <c r="X47" s="123"/>
      <c r="Y47" s="123"/>
      <c r="Z47" s="123"/>
    </row>
    <row r="48">
      <c r="A48" s="73" t="s">
        <v>633</v>
      </c>
      <c r="B48" s="73" t="s">
        <v>3721</v>
      </c>
      <c r="C48" s="59" t="s">
        <v>3060</v>
      </c>
      <c r="D48" s="59" t="s">
        <v>3072</v>
      </c>
      <c r="E48" s="59" t="s">
        <v>3755</v>
      </c>
      <c r="F48" s="59" t="s">
        <v>3756</v>
      </c>
      <c r="G48" s="59" t="s">
        <v>3757</v>
      </c>
      <c r="H48" s="59" t="s">
        <v>3754</v>
      </c>
      <c r="I48" s="59" t="s">
        <v>13</v>
      </c>
      <c r="J48" s="123"/>
      <c r="K48" s="123"/>
      <c r="L48" s="123"/>
      <c r="M48" s="123"/>
      <c r="N48" s="123"/>
      <c r="O48" s="123"/>
      <c r="P48" s="123"/>
      <c r="Q48" s="123"/>
      <c r="R48" s="123"/>
      <c r="S48" s="123"/>
      <c r="T48" s="123"/>
      <c r="U48" s="123"/>
      <c r="V48" s="123"/>
      <c r="W48" s="123"/>
      <c r="X48" s="123"/>
      <c r="Y48" s="123"/>
      <c r="Z48" s="123"/>
    </row>
    <row r="49">
      <c r="A49" s="73" t="s">
        <v>637</v>
      </c>
      <c r="B49" s="73" t="s">
        <v>3721</v>
      </c>
      <c r="C49" s="59" t="s">
        <v>3758</v>
      </c>
      <c r="D49" s="59" t="s">
        <v>402</v>
      </c>
      <c r="E49" s="59" t="s">
        <v>3759</v>
      </c>
      <c r="F49" s="59" t="s">
        <v>3760</v>
      </c>
      <c r="G49" s="59" t="s">
        <v>46</v>
      </c>
      <c r="H49" s="59" t="s">
        <v>479</v>
      </c>
      <c r="I49" s="59" t="s">
        <v>13</v>
      </c>
      <c r="J49" s="123"/>
      <c r="K49" s="123"/>
      <c r="L49" s="123"/>
      <c r="M49" s="123"/>
      <c r="N49" s="123"/>
      <c r="O49" s="123"/>
      <c r="P49" s="123"/>
      <c r="Q49" s="123"/>
      <c r="R49" s="123"/>
      <c r="S49" s="123"/>
      <c r="T49" s="123"/>
      <c r="U49" s="123"/>
      <c r="V49" s="123"/>
      <c r="W49" s="123"/>
      <c r="X49" s="123"/>
      <c r="Y49" s="123"/>
      <c r="Z49" s="123"/>
    </row>
    <row r="50">
      <c r="A50" s="73" t="s">
        <v>641</v>
      </c>
      <c r="B50" s="73" t="s">
        <v>3721</v>
      </c>
      <c r="C50" s="59" t="s">
        <v>401</v>
      </c>
      <c r="D50" s="59" t="s">
        <v>406</v>
      </c>
      <c r="E50" s="59" t="s">
        <v>3761</v>
      </c>
      <c r="F50" s="59" t="s">
        <v>3762</v>
      </c>
      <c r="G50" s="59" t="s">
        <v>46</v>
      </c>
      <c r="H50" s="59" t="s">
        <v>479</v>
      </c>
      <c r="I50" s="59" t="s">
        <v>13</v>
      </c>
      <c r="J50" s="123"/>
      <c r="K50" s="123"/>
      <c r="L50" s="123"/>
      <c r="M50" s="123"/>
      <c r="N50" s="123"/>
      <c r="O50" s="123"/>
      <c r="P50" s="123"/>
      <c r="Q50" s="123"/>
      <c r="R50" s="123"/>
      <c r="S50" s="123"/>
      <c r="T50" s="123"/>
      <c r="U50" s="123"/>
      <c r="V50" s="123"/>
      <c r="W50" s="123"/>
      <c r="X50" s="123"/>
      <c r="Y50" s="123"/>
      <c r="Z50" s="123"/>
    </row>
    <row r="51">
      <c r="A51" s="73" t="s">
        <v>644</v>
      </c>
      <c r="B51" s="73" t="s">
        <v>3721</v>
      </c>
      <c r="C51" s="59" t="s">
        <v>3763</v>
      </c>
      <c r="D51" s="59" t="s">
        <v>3636</v>
      </c>
      <c r="E51" s="59" t="s">
        <v>3637</v>
      </c>
      <c r="F51" s="59" t="s">
        <v>3638</v>
      </c>
      <c r="G51" s="59" t="s">
        <v>3639</v>
      </c>
      <c r="H51" s="59" t="s">
        <v>3640</v>
      </c>
      <c r="I51" s="59" t="s">
        <v>13</v>
      </c>
      <c r="J51" s="123"/>
      <c r="K51" s="123"/>
      <c r="L51" s="123"/>
      <c r="M51" s="123"/>
      <c r="N51" s="123"/>
      <c r="O51" s="123"/>
      <c r="P51" s="123"/>
      <c r="Q51" s="123"/>
      <c r="R51" s="123"/>
      <c r="S51" s="123"/>
      <c r="T51" s="123"/>
      <c r="U51" s="123"/>
      <c r="V51" s="123"/>
      <c r="W51" s="123"/>
      <c r="X51" s="123"/>
      <c r="Y51" s="123"/>
      <c r="Z51" s="123"/>
    </row>
    <row r="52">
      <c r="A52" s="123"/>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row>
    <row r="53">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row>
    <row r="54">
      <c r="A54" s="123"/>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row>
    <row r="55">
      <c r="A55" s="123"/>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row>
    <row r="56">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row>
    <row r="57">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row>
    <row r="58">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row>
    <row r="59">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row>
    <row r="62">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row>
    <row r="63">
      <c r="A63" s="123"/>
      <c r="B63" s="123"/>
      <c r="C63" s="125">
        <v>0.0</v>
      </c>
      <c r="D63" s="123"/>
      <c r="E63" s="123"/>
      <c r="F63" s="123"/>
      <c r="G63" s="123"/>
      <c r="H63" s="123"/>
      <c r="I63" s="123"/>
      <c r="J63" s="123"/>
      <c r="K63" s="123"/>
      <c r="L63" s="123"/>
      <c r="M63" s="123"/>
      <c r="N63" s="123"/>
      <c r="O63" s="123"/>
      <c r="P63" s="123"/>
      <c r="Q63" s="123"/>
      <c r="R63" s="123"/>
      <c r="S63" s="123"/>
      <c r="T63" s="123"/>
      <c r="U63" s="123"/>
      <c r="V63" s="123"/>
      <c r="W63" s="123"/>
      <c r="X63" s="123"/>
      <c r="Y63" s="123"/>
      <c r="Z63" s="123"/>
    </row>
    <row r="64">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row>
    <row r="65">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row>
    <row r="66">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row>
    <row r="67">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row>
    <row r="68">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row>
    <row r="69">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row>
    <row r="70">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row>
    <row r="71">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row>
    <row r="72">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row>
    <row r="73">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row>
    <row r="74">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row>
    <row r="75">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row>
    <row r="76">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row>
    <row r="77">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row>
    <row r="78">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row>
    <row r="79">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row>
    <row r="80">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row>
    <row r="81">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row>
    <row r="82">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row>
    <row r="83">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row>
    <row r="84">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row>
    <row r="85">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row>
    <row r="86">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row>
    <row r="87">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row>
    <row r="88">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row>
    <row r="89">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row>
    <row r="90">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row>
    <row r="91">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row>
    <row r="92">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row>
    <row r="93">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row>
    <row r="94">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row>
    <row r="95">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row>
    <row r="96">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row>
    <row r="97">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row>
    <row r="98">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row>
    <row r="99">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row>
    <row r="100">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c r="A154" s="12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c r="A155" s="12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c r="A156" s="12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c r="A157" s="12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c r="A158" s="123"/>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c r="A159" s="123"/>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c r="A160" s="123"/>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c r="A161" s="123"/>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c r="A162" s="123"/>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c r="A163" s="123"/>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c r="A164" s="123"/>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c r="A165" s="123"/>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c r="A166" s="123"/>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c r="A167" s="123"/>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c r="A168" s="123"/>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c r="A169" s="123"/>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c r="A170" s="123"/>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c r="A171" s="123"/>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c r="A172" s="123"/>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c r="A173" s="123"/>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c r="A174" s="123"/>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c r="A175" s="123"/>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c r="A176" s="123"/>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c r="A177" s="123"/>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c r="A178" s="123"/>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c r="A179" s="123"/>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c r="A180" s="123"/>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c r="A181" s="123"/>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c r="A182" s="123"/>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c r="A183" s="123"/>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c r="A184" s="123"/>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c r="A185" s="123"/>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c r="A186" s="123"/>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c r="A187" s="123"/>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c r="A188" s="123"/>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c r="A189" s="123"/>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c r="A190" s="123"/>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c r="A191" s="123"/>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c r="A192" s="123"/>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c r="A193" s="123"/>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c r="A194" s="123"/>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c r="A195" s="123"/>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c r="A196" s="123"/>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c r="A197" s="123"/>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c r="A198" s="123"/>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c r="A199" s="123"/>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c r="A200" s="123"/>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c r="A201" s="123"/>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c r="A202" s="123"/>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c r="A203" s="123"/>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c r="A204" s="123"/>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c r="A205" s="123"/>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c r="A206" s="123"/>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c r="A207" s="123"/>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c r="A208" s="123"/>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c r="A209" s="123"/>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c r="A210" s="123"/>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c r="A211" s="123"/>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c r="A212" s="123"/>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c r="A213" s="123"/>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c r="A214" s="123"/>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c r="A215" s="123"/>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c r="A216" s="123"/>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c r="A217" s="123"/>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c r="A218" s="123"/>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c r="A219" s="123"/>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c r="A220" s="123"/>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c r="A221" s="123"/>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c r="A222" s="123"/>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c r="A223" s="123"/>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c r="A224" s="12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row>
    <row r="307">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row>
    <row r="308">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row>
    <row r="309">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row>
    <row r="310">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row>
    <row r="311">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row>
    <row r="312">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row>
    <row r="313">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row>
    <row r="314">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row>
    <row r="315">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row>
    <row r="316">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row>
    <row r="317">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row>
    <row r="318">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row>
    <row r="319">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row>
    <row r="320">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row>
    <row r="321">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row>
    <row r="322">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row>
    <row r="323">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row>
    <row r="324">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row>
    <row r="325">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row>
    <row r="326">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row>
    <row r="327">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row>
    <row r="328">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row>
    <row r="329">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row>
    <row r="330">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row>
    <row r="331">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row>
    <row r="332">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row>
    <row r="333">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row>
    <row r="334">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row>
    <row r="335">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row>
    <row r="336">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row>
    <row r="337">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row>
    <row r="338">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row>
    <row r="339">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row>
    <row r="340">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row>
    <row r="341">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row>
    <row r="342">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row>
    <row r="343">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row>
    <row r="344">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row>
    <row r="345">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row>
    <row r="346">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row>
    <row r="347">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row>
    <row r="348">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row>
    <row r="349">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row>
    <row r="350">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row>
    <row r="351">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row>
    <row r="352">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row>
    <row r="353">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row>
    <row r="354">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row>
    <row r="355">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row>
    <row r="356">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row>
    <row r="357">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row>
    <row r="358">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row>
    <row r="359">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row>
    <row r="360">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row>
    <row r="361">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row>
    <row r="362">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row>
    <row r="363">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row>
    <row r="364">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row>
    <row r="365">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row>
    <row r="366">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row>
    <row r="367">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row>
    <row r="368">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row>
    <row r="369">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row>
    <row r="370">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row>
    <row r="371">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row>
    <row r="372">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row>
    <row r="373">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row>
    <row r="374">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row>
    <row r="375">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row>
    <row r="376">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row>
    <row r="377">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row>
    <row r="378">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row>
    <row r="379">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row>
    <row r="380">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row>
    <row r="381">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row>
    <row r="382">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row>
    <row r="383">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row>
    <row r="384">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row>
    <row r="385">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row>
    <row r="386">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row>
    <row r="387">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row>
    <row r="388">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row>
    <row r="389">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row>
    <row r="390">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row>
    <row r="391">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row>
    <row r="392">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row>
    <row r="393">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row>
    <row r="394">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row>
    <row r="395">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row>
    <row r="396">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row>
    <row r="397">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row>
    <row r="398">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row>
    <row r="399">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row>
    <row r="400">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row>
    <row r="401">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row>
    <row r="402">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row>
    <row r="403">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row>
    <row r="404">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row>
    <row r="405">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row>
    <row r="406">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row>
    <row r="407">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row>
    <row r="408">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row>
    <row r="409">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row>
    <row r="410">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row>
    <row r="411">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row>
    <row r="412">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row>
    <row r="413">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row>
    <row r="414">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row>
    <row r="415">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row>
    <row r="416">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row>
    <row r="417">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row>
    <row r="418">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row>
    <row r="419">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row>
    <row r="420">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row>
    <row r="421">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row>
    <row r="422">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row>
    <row r="423">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row>
    <row r="424">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row>
    <row r="425">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row>
    <row r="426">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row>
    <row r="427">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row>
    <row r="428">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row>
    <row r="429">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row>
    <row r="430">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row>
    <row r="431">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row>
    <row r="432">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row>
    <row r="433">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row>
    <row r="434">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row>
    <row r="435">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row>
    <row r="436">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row>
    <row r="437">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row>
    <row r="438">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row>
    <row r="439">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row>
    <row r="440">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row>
    <row r="441">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row>
    <row r="442">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row>
    <row r="443">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row>
    <row r="444">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row>
    <row r="445">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row>
    <row r="446">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row>
    <row r="447">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row>
    <row r="448">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row>
    <row r="449">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row>
    <row r="450">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row>
    <row r="451">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row>
    <row r="452">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row>
    <row r="453">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row>
    <row r="454">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row>
    <row r="455">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row>
    <row r="456">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row>
    <row r="457">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row>
    <row r="458">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row>
    <row r="459">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row>
    <row r="460">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row>
    <row r="461">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row>
    <row r="462">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row>
    <row r="463">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row>
    <row r="464">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row>
    <row r="465">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row>
    <row r="466">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row>
    <row r="467">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row>
    <row r="468">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row>
    <row r="469">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row>
    <row r="470">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row>
    <row r="471">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row>
    <row r="472">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row>
    <row r="473">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row>
    <row r="474">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row>
    <row r="475">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row>
    <row r="476">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row>
    <row r="477">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row>
    <row r="478">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row>
    <row r="479">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row>
    <row r="480">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row>
    <row r="481">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row>
    <row r="482">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row>
    <row r="483">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row>
    <row r="484">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row>
    <row r="485">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row>
    <row r="486">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row>
    <row r="487">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row>
    <row r="488">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row>
    <row r="489">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row>
    <row r="490">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row>
    <row r="491">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row>
    <row r="492">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row>
    <row r="493">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row>
    <row r="494">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row>
    <row r="495">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row>
    <row r="496">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row>
    <row r="497">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row>
    <row r="498">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row>
    <row r="499">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row>
    <row r="500">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row>
    <row r="501">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row>
    <row r="502">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row>
    <row r="503">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row>
    <row r="504">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row>
    <row r="505">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row>
    <row r="506">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row>
    <row r="507">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row>
    <row r="508">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row>
    <row r="509">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row>
    <row r="510">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row>
    <row r="511">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row>
    <row r="512">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row>
    <row r="513">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row>
    <row r="514">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row>
    <row r="515">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row>
    <row r="516">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row>
    <row r="517">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row>
    <row r="518">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row>
    <row r="519">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row>
    <row r="520">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row>
    <row r="521">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row>
    <row r="522">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row>
    <row r="523">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row>
    <row r="524">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row>
    <row r="525">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row>
    <row r="526">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row>
    <row r="527">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row>
    <row r="528">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row>
    <row r="529">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row>
    <row r="530">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row>
    <row r="531">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row>
    <row r="532">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row>
    <row r="533">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row>
    <row r="534">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row>
    <row r="535">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row>
    <row r="536">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row>
    <row r="537">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row>
    <row r="538">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row>
    <row r="539">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row>
    <row r="540">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row>
    <row r="541">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row>
    <row r="542">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row>
    <row r="543">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row>
    <row r="544">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row>
    <row r="545">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row>
    <row r="546">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row>
    <row r="547">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row>
    <row r="548">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row>
    <row r="549">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row>
    <row r="550">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row>
    <row r="551">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row>
    <row r="552">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row>
    <row r="553">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row>
    <row r="554">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row>
    <row r="555">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row>
    <row r="556">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row>
    <row r="557">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row>
    <row r="558">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row>
    <row r="559">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row>
    <row r="560">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row>
    <row r="561">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row>
    <row r="562">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row>
    <row r="563">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row>
    <row r="564">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row>
    <row r="565">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row>
    <row r="566">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row>
    <row r="567">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row>
    <row r="568">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row>
    <row r="569">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row>
    <row r="570">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row>
    <row r="571">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row>
    <row r="572">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row>
    <row r="573">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row>
    <row r="574">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row>
    <row r="575">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row>
    <row r="576">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row>
    <row r="577">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row>
    <row r="578">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row>
    <row r="579">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row>
    <row r="580">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row>
    <row r="581">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row>
    <row r="582">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row>
    <row r="583">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row>
    <row r="584">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row>
    <row r="585">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row>
    <row r="586">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row>
    <row r="587">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row>
    <row r="588">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row>
    <row r="589">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row>
    <row r="590">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row>
    <row r="591">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row>
    <row r="592">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row>
    <row r="593">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row>
    <row r="594">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row>
    <row r="595">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row>
    <row r="596">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row>
    <row r="597">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row>
    <row r="598">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row>
    <row r="599">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row>
    <row r="600">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row>
    <row r="601">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row>
    <row r="602">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row>
    <row r="603">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row>
    <row r="604">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row>
    <row r="605">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row>
    <row r="606">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row>
    <row r="607">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row>
    <row r="608">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row>
    <row r="609">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row>
    <row r="610">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row>
    <row r="611">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row>
    <row r="612">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row>
    <row r="613">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row>
    <row r="614">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row>
    <row r="615">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row>
    <row r="616">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row>
    <row r="617">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row>
    <row r="618">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row>
    <row r="619">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row>
    <row r="620">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row>
    <row r="621">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row>
    <row r="622">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row>
    <row r="623">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row>
    <row r="624">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row>
    <row r="625">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row>
    <row r="626">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row>
    <row r="627">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row>
    <row r="628">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row>
    <row r="629">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row>
    <row r="630">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row>
    <row r="631">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row>
    <row r="632">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row>
    <row r="633">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row>
    <row r="634">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row>
    <row r="635">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row>
    <row r="636">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row>
    <row r="637">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row>
    <row r="638">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row>
    <row r="639">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row>
    <row r="640">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row>
    <row r="641">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row>
    <row r="642">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row>
    <row r="643">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row>
    <row r="644">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row>
    <row r="645">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row>
    <row r="646">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row>
    <row r="647">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row>
    <row r="648">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row>
    <row r="649">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row>
    <row r="650">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row>
    <row r="651">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row>
    <row r="652">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row>
    <row r="653">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row>
    <row r="654">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row>
    <row r="655">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row>
    <row r="656">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row>
    <row r="657">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row>
    <row r="658">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row>
    <row r="659">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row>
    <row r="660">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row>
    <row r="661">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row>
    <row r="662">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row>
    <row r="663">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row>
    <row r="664">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row>
    <row r="665">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row>
    <row r="666">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row>
    <row r="667">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row>
    <row r="668">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row>
    <row r="669">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row>
    <row r="670">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row>
    <row r="671">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row>
    <row r="672">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row>
    <row r="673">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row>
    <row r="674">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row>
    <row r="675">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row>
    <row r="676">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row>
    <row r="677">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row>
    <row r="678">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row>
    <row r="679">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row>
    <row r="680">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row>
    <row r="681">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row>
    <row r="682">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row>
    <row r="683">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row>
    <row r="684">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row>
    <row r="685">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row>
    <row r="686">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row>
    <row r="687">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row>
    <row r="688">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row>
    <row r="689">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row>
    <row r="690">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row>
    <row r="691">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row>
    <row r="692">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row>
    <row r="693">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row>
    <row r="694">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row>
    <row r="695">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row>
    <row r="696">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row>
    <row r="697">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row>
    <row r="698">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row>
    <row r="699">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row>
    <row r="700">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row>
    <row r="701">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row>
    <row r="702">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row>
    <row r="703">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row>
    <row r="704">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row>
    <row r="705">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row>
    <row r="706">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row>
    <row r="707">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row>
    <row r="708">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row>
    <row r="709">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row>
    <row r="710">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row>
    <row r="711">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row>
    <row r="712">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row>
    <row r="713">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row>
    <row r="714">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row>
    <row r="715">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row>
    <row r="716">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row>
    <row r="717">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row>
    <row r="718">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row>
    <row r="719">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row>
    <row r="720">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row>
    <row r="721">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row>
    <row r="722">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row>
    <row r="723">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row>
    <row r="724">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row>
    <row r="725">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row>
    <row r="726">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row>
    <row r="727">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row>
    <row r="728">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row>
    <row r="729">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row>
    <row r="730">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row>
    <row r="731">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row>
    <row r="732">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row>
    <row r="733">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row>
    <row r="734">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row>
    <row r="735">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row>
    <row r="736">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row>
    <row r="737">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row>
    <row r="738">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row>
    <row r="739">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row>
    <row r="740">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row>
    <row r="741">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row>
    <row r="742">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row>
    <row r="743">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row>
    <row r="744">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row>
    <row r="745">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row>
    <row r="746">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row>
    <row r="747">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row>
    <row r="748">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row>
    <row r="749">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row>
    <row r="750">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row>
    <row r="751">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row>
    <row r="752">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row>
    <row r="753">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row>
    <row r="754">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row>
    <row r="755">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row>
    <row r="756">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row>
    <row r="757">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row>
    <row r="758">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row>
    <row r="759">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row>
    <row r="760">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row>
    <row r="761">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row>
    <row r="762">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row>
    <row r="763">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row>
    <row r="764">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row>
    <row r="765">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row>
    <row r="766">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row>
    <row r="767">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row>
    <row r="768">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row>
    <row r="769">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row>
    <row r="770">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row>
    <row r="771">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row>
    <row r="772">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row>
    <row r="773">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row>
    <row r="774">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row>
    <row r="775">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row>
    <row r="776">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row>
    <row r="777">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row>
    <row r="778">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row>
    <row r="779">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row>
    <row r="780">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row>
    <row r="781">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row>
    <row r="782">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row>
    <row r="783">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row>
    <row r="784">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row>
    <row r="785">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row>
    <row r="786">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row>
    <row r="787">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row>
    <row r="788">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row>
    <row r="789">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row>
    <row r="790">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row>
    <row r="791">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row>
    <row r="792">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row>
    <row r="793">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row>
    <row r="794">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row>
    <row r="795">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row>
    <row r="796">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row>
    <row r="797">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row>
    <row r="798">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row>
    <row r="799">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row>
    <row r="800">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row>
    <row r="801">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row>
    <row r="802">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row>
    <row r="803">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row>
    <row r="804">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row>
    <row r="805">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row>
    <row r="806">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row>
    <row r="807">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row>
    <row r="808">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row>
    <row r="809">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row>
    <row r="810">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row>
    <row r="811">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row>
    <row r="812">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row>
    <row r="813">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row>
    <row r="814">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row>
    <row r="815">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row>
    <row r="816">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row>
    <row r="817">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row>
    <row r="818">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row>
    <row r="819">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row>
    <row r="820">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row>
    <row r="821">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row>
    <row r="822">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row>
    <row r="823">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row>
    <row r="824">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row>
    <row r="825">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row>
    <row r="826">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row>
    <row r="827">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row>
    <row r="828">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row>
    <row r="829">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row>
    <row r="830">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row>
    <row r="831">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row>
    <row r="832">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row>
    <row r="833">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row>
    <row r="834">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row>
    <row r="835">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row>
    <row r="836">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row>
    <row r="837">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row>
    <row r="838">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row>
    <row r="839">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row>
    <row r="840">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row>
    <row r="841">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row>
    <row r="842">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row>
    <row r="843">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row>
    <row r="844">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row>
    <row r="845">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row>
    <row r="846">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row>
    <row r="847">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row>
    <row r="848">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row>
    <row r="849">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row>
    <row r="850">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row>
    <row r="851">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row>
    <row r="852">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row>
    <row r="853">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row>
    <row r="854">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row>
    <row r="855">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row>
    <row r="856">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row>
    <row r="857">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row>
    <row r="858">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row>
    <row r="859">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row>
    <row r="860">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row>
    <row r="861">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row>
    <row r="862">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row>
    <row r="863">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row>
    <row r="864">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row>
    <row r="865">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row>
    <row r="866">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row>
    <row r="867">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row>
    <row r="868">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row>
    <row r="869">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row>
    <row r="870">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row>
    <row r="871">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row>
    <row r="872">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row>
    <row r="873">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row>
    <row r="874">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row>
    <row r="875">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row>
    <row r="876">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row>
    <row r="877">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row>
    <row r="878">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row>
    <row r="879">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row>
    <row r="880">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row>
    <row r="881">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row>
    <row r="882">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row>
    <row r="883">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row>
    <row r="884">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row>
    <row r="885">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row>
    <row r="886">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row>
    <row r="887">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row>
    <row r="888">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row>
    <row r="889">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row>
    <row r="890">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row>
    <row r="891">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row>
    <row r="892">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row>
    <row r="893">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row>
    <row r="894">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row>
    <row r="895">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row>
    <row r="896">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row>
    <row r="897">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row>
    <row r="898">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row>
    <row r="899">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row>
    <row r="900">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row>
    <row r="901">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row>
    <row r="902">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row>
    <row r="903">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row>
    <row r="904">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row>
    <row r="905">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row>
    <row r="906">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row>
    <row r="907">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row>
    <row r="908">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row>
    <row r="909">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row>
    <row r="910">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row>
    <row r="911">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row>
    <row r="912">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row>
    <row r="913">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row>
    <row r="914">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row>
    <row r="915">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row>
    <row r="916">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row>
    <row r="917">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row>
    <row r="918">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row>
    <row r="919">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row>
    <row r="920">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row>
    <row r="921">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row>
    <row r="922">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row>
    <row r="923">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row>
    <row r="924">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row>
    <row r="925">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row>
    <row r="926">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row>
    <row r="927">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row>
    <row r="928">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row>
    <row r="929">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row>
    <row r="930">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row>
    <row r="931">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row>
    <row r="932">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row>
    <row r="933">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row>
    <row r="934">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row>
    <row r="935">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row>
    <row r="936">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row>
    <row r="937">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row>
    <row r="938">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row>
    <row r="939">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row>
    <row r="940">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row>
    <row r="941">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row>
    <row r="942">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row>
    <row r="943">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row>
    <row r="944">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row>
    <row r="945">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row>
    <row r="946">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row>
    <row r="947">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row>
    <row r="948">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row>
    <row r="949">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row>
    <row r="950">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row>
    <row r="951">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row>
    <row r="952">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row>
    <row r="953">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row>
    <row r="954">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row>
    <row r="955">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row>
    <row r="956">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row>
    <row r="957">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row>
    <row r="958">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row>
    <row r="959">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row>
    <row r="960">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row>
    <row r="961">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row>
    <row r="962">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row>
    <row r="963">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row>
    <row r="964">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row>
    <row r="965">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row>
    <row r="966">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row>
    <row r="967">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row>
    <row r="968">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row>
  </sheetData>
  <autoFilter ref="$A$1:$I$51"/>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38"/>
    <col customWidth="1" min="3" max="3" width="28.88"/>
    <col customWidth="1" min="4" max="4" width="23.25"/>
    <col customWidth="1" min="5" max="5" width="35.75"/>
    <col customWidth="1" min="6" max="6" width="22.13"/>
    <col customWidth="1" min="7" max="7" width="33.88"/>
    <col customWidth="1" min="8" max="8" width="33.75"/>
  </cols>
  <sheetData>
    <row r="1">
      <c r="A1" s="31" t="s">
        <v>78</v>
      </c>
      <c r="B1" s="32" t="s">
        <v>79</v>
      </c>
      <c r="C1" s="32" t="s">
        <v>80</v>
      </c>
      <c r="D1" s="32" t="s">
        <v>81</v>
      </c>
      <c r="E1" s="32" t="s">
        <v>82</v>
      </c>
      <c r="F1" s="68" t="s">
        <v>413</v>
      </c>
      <c r="G1" s="68" t="s">
        <v>414</v>
      </c>
      <c r="H1" s="31" t="s">
        <v>83</v>
      </c>
      <c r="I1" s="31" t="s">
        <v>278</v>
      </c>
    </row>
    <row r="2">
      <c r="A2" s="38" t="s">
        <v>84</v>
      </c>
      <c r="B2" s="73" t="s">
        <v>3764</v>
      </c>
      <c r="C2" s="73" t="s">
        <v>3765</v>
      </c>
      <c r="D2" s="73" t="s">
        <v>3766</v>
      </c>
      <c r="E2" s="73" t="s">
        <v>3767</v>
      </c>
      <c r="F2" s="73" t="s">
        <v>3768</v>
      </c>
      <c r="G2" s="38" t="s">
        <v>3769</v>
      </c>
      <c r="H2" s="72" t="s">
        <v>3770</v>
      </c>
      <c r="I2" s="59" t="s">
        <v>13</v>
      </c>
      <c r="L2" s="1" t="s">
        <v>284</v>
      </c>
      <c r="M2" s="21">
        <f>SUM(M3:M9)</f>
        <v>88</v>
      </c>
    </row>
    <row r="3">
      <c r="A3" s="38" t="s">
        <v>92</v>
      </c>
      <c r="B3" s="73" t="s">
        <v>3764</v>
      </c>
      <c r="C3" s="73" t="s">
        <v>3765</v>
      </c>
      <c r="D3" s="73" t="s">
        <v>3771</v>
      </c>
      <c r="E3" s="73" t="s">
        <v>3767</v>
      </c>
      <c r="F3" s="73" t="s">
        <v>3768</v>
      </c>
      <c r="G3" s="38" t="s">
        <v>3772</v>
      </c>
      <c r="H3" s="59" t="s">
        <v>3773</v>
      </c>
      <c r="I3" s="59" t="s">
        <v>13</v>
      </c>
      <c r="L3" s="1" t="s">
        <v>14</v>
      </c>
      <c r="M3" s="21">
        <f>COUNTIF(I$2:I$89,"Colombia")</f>
        <v>16</v>
      </c>
    </row>
    <row r="4">
      <c r="A4" s="38" t="s">
        <v>96</v>
      </c>
      <c r="B4" s="73" t="s">
        <v>3764</v>
      </c>
      <c r="C4" s="73" t="s">
        <v>3765</v>
      </c>
      <c r="D4" s="73" t="s">
        <v>3771</v>
      </c>
      <c r="E4" s="73" t="s">
        <v>3767</v>
      </c>
      <c r="F4" s="73" t="s">
        <v>3768</v>
      </c>
      <c r="G4" s="38" t="s">
        <v>3774</v>
      </c>
      <c r="H4" s="59" t="s">
        <v>3775</v>
      </c>
      <c r="I4" s="59" t="s">
        <v>13</v>
      </c>
      <c r="L4" s="1" t="s">
        <v>15</v>
      </c>
      <c r="M4" s="21">
        <f>COUNTIF(I$2:I$89,"Panama")</f>
        <v>2</v>
      </c>
    </row>
    <row r="5">
      <c r="A5" s="38" t="s">
        <v>101</v>
      </c>
      <c r="B5" s="73" t="s">
        <v>3764</v>
      </c>
      <c r="C5" s="73" t="s">
        <v>3765</v>
      </c>
      <c r="D5" s="73" t="s">
        <v>3771</v>
      </c>
      <c r="E5" s="73" t="s">
        <v>3767</v>
      </c>
      <c r="F5" s="73" t="s">
        <v>3768</v>
      </c>
      <c r="G5" s="38" t="s">
        <v>3776</v>
      </c>
      <c r="H5" s="59" t="s">
        <v>3777</v>
      </c>
      <c r="I5" s="59" t="s">
        <v>13</v>
      </c>
      <c r="L5" s="1" t="s">
        <v>3778</v>
      </c>
      <c r="M5" s="21">
        <f>COUNTIF(I$2:I$89,"Costa Rica")</f>
        <v>2</v>
      </c>
    </row>
    <row r="6">
      <c r="A6" s="38" t="s">
        <v>106</v>
      </c>
      <c r="B6" s="73" t="s">
        <v>3764</v>
      </c>
      <c r="C6" s="73" t="s">
        <v>3765</v>
      </c>
      <c r="D6" s="73" t="s">
        <v>3771</v>
      </c>
      <c r="E6" s="73" t="s">
        <v>3767</v>
      </c>
      <c r="F6" s="73" t="s">
        <v>3768</v>
      </c>
      <c r="G6" s="72" t="s">
        <v>3779</v>
      </c>
      <c r="H6" s="59" t="s">
        <v>3780</v>
      </c>
      <c r="I6" s="59" t="s">
        <v>13</v>
      </c>
      <c r="L6" s="1" t="s">
        <v>17</v>
      </c>
      <c r="M6" s="21">
        <f>COUNTIF(I$2:I$89,"Honduras")</f>
        <v>2</v>
      </c>
    </row>
    <row r="7">
      <c r="A7" s="38" t="s">
        <v>110</v>
      </c>
      <c r="B7" s="73" t="s">
        <v>3764</v>
      </c>
      <c r="C7" s="73" t="s">
        <v>3765</v>
      </c>
      <c r="D7" s="73" t="s">
        <v>3771</v>
      </c>
      <c r="E7" s="73" t="s">
        <v>3767</v>
      </c>
      <c r="F7" s="73" t="s">
        <v>3768</v>
      </c>
      <c r="G7" s="72" t="s">
        <v>3781</v>
      </c>
      <c r="H7" s="59" t="s">
        <v>3782</v>
      </c>
      <c r="I7" s="59" t="s">
        <v>13</v>
      </c>
      <c r="L7" s="1" t="s">
        <v>18</v>
      </c>
      <c r="M7" s="21">
        <f>COUNTIF(I$2:I$89,"El Salvador")</f>
        <v>1</v>
      </c>
    </row>
    <row r="8">
      <c r="A8" s="38" t="s">
        <v>115</v>
      </c>
      <c r="B8" s="73" t="s">
        <v>3764</v>
      </c>
      <c r="C8" s="73" t="s">
        <v>3783</v>
      </c>
      <c r="D8" s="73" t="s">
        <v>3771</v>
      </c>
      <c r="E8" s="73" t="s">
        <v>3767</v>
      </c>
      <c r="F8" s="73" t="s">
        <v>3768</v>
      </c>
      <c r="G8" s="72" t="s">
        <v>3784</v>
      </c>
      <c r="H8" s="128" t="s">
        <v>3785</v>
      </c>
      <c r="I8" s="59" t="s">
        <v>13</v>
      </c>
      <c r="L8" s="1" t="s">
        <v>19</v>
      </c>
      <c r="M8" s="21">
        <f>COUNTIF(I$2:I$89,"Miami")</f>
        <v>2</v>
      </c>
    </row>
    <row r="9">
      <c r="A9" s="38" t="s">
        <v>120</v>
      </c>
      <c r="B9" s="73" t="s">
        <v>3764</v>
      </c>
      <c r="C9" s="73" t="s">
        <v>3786</v>
      </c>
      <c r="D9" s="73" t="s">
        <v>3771</v>
      </c>
      <c r="E9" s="73" t="s">
        <v>3767</v>
      </c>
      <c r="F9" s="73" t="s">
        <v>3768</v>
      </c>
      <c r="G9" s="72" t="s">
        <v>3784</v>
      </c>
      <c r="H9" s="128" t="s">
        <v>3787</v>
      </c>
      <c r="I9" s="59" t="s">
        <v>13</v>
      </c>
      <c r="L9" s="1" t="s">
        <v>13</v>
      </c>
      <c r="M9" s="21">
        <f>COUNTIF(I$2:I$89,"Todos")</f>
        <v>63</v>
      </c>
    </row>
    <row r="10">
      <c r="A10" s="38" t="s">
        <v>125</v>
      </c>
      <c r="B10" s="73" t="s">
        <v>3764</v>
      </c>
      <c r="C10" s="73" t="s">
        <v>3788</v>
      </c>
      <c r="D10" s="73" t="s">
        <v>3789</v>
      </c>
      <c r="E10" s="73" t="s">
        <v>3790</v>
      </c>
      <c r="F10" s="73" t="s">
        <v>3768</v>
      </c>
      <c r="G10" s="38" t="s">
        <v>3769</v>
      </c>
      <c r="H10" s="72" t="s">
        <v>3770</v>
      </c>
      <c r="I10" s="59" t="s">
        <v>13</v>
      </c>
    </row>
    <row r="11">
      <c r="A11" s="38" t="s">
        <v>129</v>
      </c>
      <c r="B11" s="73" t="s">
        <v>3764</v>
      </c>
      <c r="C11" s="73" t="s">
        <v>3788</v>
      </c>
      <c r="D11" s="73" t="s">
        <v>3791</v>
      </c>
      <c r="E11" s="73" t="s">
        <v>3790</v>
      </c>
      <c r="F11" s="73" t="s">
        <v>3768</v>
      </c>
      <c r="G11" s="38" t="s">
        <v>3772</v>
      </c>
      <c r="H11" s="59" t="s">
        <v>3792</v>
      </c>
      <c r="I11" s="59" t="s">
        <v>13</v>
      </c>
    </row>
    <row r="12">
      <c r="A12" s="38" t="s">
        <v>134</v>
      </c>
      <c r="B12" s="73" t="s">
        <v>3764</v>
      </c>
      <c r="C12" s="73" t="s">
        <v>3788</v>
      </c>
      <c r="D12" s="73" t="s">
        <v>3791</v>
      </c>
      <c r="E12" s="73" t="s">
        <v>3790</v>
      </c>
      <c r="F12" s="73" t="s">
        <v>3768</v>
      </c>
      <c r="G12" s="38" t="s">
        <v>3774</v>
      </c>
      <c r="H12" s="59" t="s">
        <v>3793</v>
      </c>
      <c r="I12" s="59" t="s">
        <v>13</v>
      </c>
    </row>
    <row r="13">
      <c r="A13" s="38" t="s">
        <v>139</v>
      </c>
      <c r="B13" s="73" t="s">
        <v>3764</v>
      </c>
      <c r="C13" s="73" t="s">
        <v>3788</v>
      </c>
      <c r="D13" s="73" t="s">
        <v>3791</v>
      </c>
      <c r="E13" s="73" t="s">
        <v>3790</v>
      </c>
      <c r="F13" s="73" t="s">
        <v>3768</v>
      </c>
      <c r="G13" s="38" t="s">
        <v>3776</v>
      </c>
      <c r="H13" s="59" t="s">
        <v>3794</v>
      </c>
      <c r="I13" s="59" t="s">
        <v>13</v>
      </c>
    </row>
    <row r="14">
      <c r="A14" s="38" t="s">
        <v>144</v>
      </c>
      <c r="B14" s="73" t="s">
        <v>3764</v>
      </c>
      <c r="C14" s="73" t="s">
        <v>3788</v>
      </c>
      <c r="D14" s="73" t="s">
        <v>3791</v>
      </c>
      <c r="E14" s="73" t="s">
        <v>3790</v>
      </c>
      <c r="F14" s="73" t="s">
        <v>3768</v>
      </c>
      <c r="G14" s="72" t="s">
        <v>3779</v>
      </c>
      <c r="H14" s="59" t="s">
        <v>3795</v>
      </c>
      <c r="I14" s="59" t="s">
        <v>13</v>
      </c>
    </row>
    <row r="15">
      <c r="A15" s="38" t="s">
        <v>149</v>
      </c>
      <c r="B15" s="73" t="s">
        <v>3764</v>
      </c>
      <c r="C15" s="73" t="s">
        <v>3788</v>
      </c>
      <c r="D15" s="73" t="s">
        <v>3791</v>
      </c>
      <c r="E15" s="73" t="s">
        <v>3790</v>
      </c>
      <c r="F15" s="73" t="s">
        <v>3768</v>
      </c>
      <c r="G15" s="72" t="s">
        <v>3796</v>
      </c>
      <c r="H15" s="59" t="s">
        <v>3782</v>
      </c>
      <c r="I15" s="59" t="s">
        <v>13</v>
      </c>
    </row>
    <row r="16">
      <c r="A16" s="38" t="s">
        <v>153</v>
      </c>
      <c r="B16" s="73" t="s">
        <v>3764</v>
      </c>
      <c r="C16" s="73" t="s">
        <v>3797</v>
      </c>
      <c r="D16" s="73" t="s">
        <v>3798</v>
      </c>
      <c r="E16" s="73" t="s">
        <v>3799</v>
      </c>
      <c r="F16" s="73" t="s">
        <v>3768</v>
      </c>
      <c r="G16" s="72" t="s">
        <v>3784</v>
      </c>
      <c r="H16" s="128" t="s">
        <v>3800</v>
      </c>
      <c r="I16" s="59" t="s">
        <v>13</v>
      </c>
    </row>
    <row r="17">
      <c r="A17" s="38" t="s">
        <v>158</v>
      </c>
      <c r="B17" s="73" t="s">
        <v>3764</v>
      </c>
      <c r="C17" s="73" t="s">
        <v>3801</v>
      </c>
      <c r="D17" s="73" t="s">
        <v>3802</v>
      </c>
      <c r="E17" s="73" t="s">
        <v>3803</v>
      </c>
      <c r="F17" s="73" t="s">
        <v>3768</v>
      </c>
      <c r="G17" s="72" t="s">
        <v>3784</v>
      </c>
      <c r="H17" s="128" t="s">
        <v>3804</v>
      </c>
      <c r="I17" s="59" t="s">
        <v>13</v>
      </c>
    </row>
    <row r="18">
      <c r="A18" s="38" t="s">
        <v>162</v>
      </c>
      <c r="B18" s="73" t="s">
        <v>3764</v>
      </c>
      <c r="C18" s="73" t="s">
        <v>3805</v>
      </c>
      <c r="D18" s="73" t="s">
        <v>3806</v>
      </c>
      <c r="E18" s="73" t="s">
        <v>3807</v>
      </c>
      <c r="F18" s="73" t="s">
        <v>3808</v>
      </c>
      <c r="G18" s="38" t="s">
        <v>3769</v>
      </c>
      <c r="H18" s="72" t="s">
        <v>3809</v>
      </c>
      <c r="I18" s="59" t="s">
        <v>13</v>
      </c>
    </row>
    <row r="19">
      <c r="A19" s="38" t="s">
        <v>165</v>
      </c>
      <c r="B19" s="73" t="s">
        <v>3764</v>
      </c>
      <c r="C19" s="73" t="s">
        <v>3805</v>
      </c>
      <c r="D19" s="73" t="s">
        <v>3810</v>
      </c>
      <c r="E19" s="73" t="s">
        <v>3811</v>
      </c>
      <c r="F19" s="73" t="s">
        <v>3808</v>
      </c>
      <c r="G19" s="38" t="s">
        <v>3772</v>
      </c>
      <c r="H19" s="59" t="s">
        <v>3812</v>
      </c>
      <c r="I19" s="59" t="s">
        <v>13</v>
      </c>
    </row>
    <row r="20">
      <c r="A20" s="38" t="s">
        <v>167</v>
      </c>
      <c r="B20" s="73" t="s">
        <v>3764</v>
      </c>
      <c r="C20" s="73" t="s">
        <v>3805</v>
      </c>
      <c r="D20" s="73" t="s">
        <v>3813</v>
      </c>
      <c r="E20" s="73" t="s">
        <v>3807</v>
      </c>
      <c r="F20" s="73" t="s">
        <v>3808</v>
      </c>
      <c r="G20" s="38" t="s">
        <v>3774</v>
      </c>
      <c r="H20" s="59" t="s">
        <v>3814</v>
      </c>
      <c r="I20" s="59" t="s">
        <v>13</v>
      </c>
    </row>
    <row r="21">
      <c r="A21" s="38" t="s">
        <v>170</v>
      </c>
      <c r="B21" s="73" t="s">
        <v>3764</v>
      </c>
      <c r="C21" s="73" t="s">
        <v>3805</v>
      </c>
      <c r="D21" s="73" t="s">
        <v>3815</v>
      </c>
      <c r="E21" s="73" t="s">
        <v>3807</v>
      </c>
      <c r="F21" s="73" t="s">
        <v>3808</v>
      </c>
      <c r="G21" s="38" t="s">
        <v>3776</v>
      </c>
      <c r="H21" s="59" t="s">
        <v>3816</v>
      </c>
      <c r="I21" s="59" t="s">
        <v>13</v>
      </c>
    </row>
    <row r="22">
      <c r="A22" s="38" t="s">
        <v>175</v>
      </c>
      <c r="B22" s="73" t="s">
        <v>3764</v>
      </c>
      <c r="C22" s="73" t="s">
        <v>3805</v>
      </c>
      <c r="D22" s="73" t="s">
        <v>3817</v>
      </c>
      <c r="E22" s="73" t="s">
        <v>3807</v>
      </c>
      <c r="F22" s="73" t="s">
        <v>3808</v>
      </c>
      <c r="G22" s="72" t="s">
        <v>3779</v>
      </c>
      <c r="H22" s="59" t="s">
        <v>3818</v>
      </c>
      <c r="I22" s="59" t="s">
        <v>13</v>
      </c>
    </row>
    <row r="23">
      <c r="A23" s="38" t="s">
        <v>180</v>
      </c>
      <c r="B23" s="73" t="s">
        <v>3764</v>
      </c>
      <c r="C23" s="73" t="s">
        <v>3805</v>
      </c>
      <c r="D23" s="73" t="s">
        <v>3819</v>
      </c>
      <c r="E23" s="73" t="s">
        <v>3807</v>
      </c>
      <c r="F23" s="73" t="s">
        <v>3808</v>
      </c>
      <c r="G23" s="72" t="s">
        <v>3820</v>
      </c>
      <c r="H23" s="59" t="s">
        <v>3782</v>
      </c>
      <c r="I23" s="59" t="s">
        <v>13</v>
      </c>
    </row>
    <row r="24">
      <c r="A24" s="38" t="s">
        <v>185</v>
      </c>
      <c r="B24" s="73" t="s">
        <v>3764</v>
      </c>
      <c r="C24" s="73" t="s">
        <v>3805</v>
      </c>
      <c r="D24" s="73" t="s">
        <v>3821</v>
      </c>
      <c r="E24" s="73" t="s">
        <v>3807</v>
      </c>
      <c r="F24" s="73" t="s">
        <v>3808</v>
      </c>
      <c r="G24" s="72" t="s">
        <v>3784</v>
      </c>
      <c r="H24" s="128" t="s">
        <v>3822</v>
      </c>
      <c r="I24" s="59" t="s">
        <v>13</v>
      </c>
    </row>
    <row r="25">
      <c r="A25" s="38" t="s">
        <v>190</v>
      </c>
      <c r="B25" s="73" t="s">
        <v>3764</v>
      </c>
      <c r="C25" s="73" t="s">
        <v>3823</v>
      </c>
      <c r="D25" s="73" t="s">
        <v>3824</v>
      </c>
      <c r="E25" s="73" t="s">
        <v>3807</v>
      </c>
      <c r="F25" s="73" t="s">
        <v>3808</v>
      </c>
      <c r="G25" s="72" t="s">
        <v>3784</v>
      </c>
      <c r="H25" s="128" t="s">
        <v>3825</v>
      </c>
      <c r="I25" s="59" t="s">
        <v>13</v>
      </c>
    </row>
    <row r="26">
      <c r="A26" s="38" t="s">
        <v>195</v>
      </c>
      <c r="B26" s="73" t="s">
        <v>3764</v>
      </c>
      <c r="C26" s="73" t="s">
        <v>3826</v>
      </c>
      <c r="D26" s="73" t="s">
        <v>3827</v>
      </c>
      <c r="E26" s="73" t="s">
        <v>3828</v>
      </c>
      <c r="F26" s="73" t="s">
        <v>3808</v>
      </c>
      <c r="G26" s="38" t="s">
        <v>3769</v>
      </c>
      <c r="H26" s="72" t="s">
        <v>3829</v>
      </c>
      <c r="I26" s="59" t="s">
        <v>13</v>
      </c>
    </row>
    <row r="27">
      <c r="A27" s="38" t="s">
        <v>200</v>
      </c>
      <c r="B27" s="73" t="s">
        <v>3764</v>
      </c>
      <c r="C27" s="73" t="s">
        <v>3826</v>
      </c>
      <c r="D27" s="73" t="s">
        <v>3830</v>
      </c>
      <c r="E27" s="73" t="s">
        <v>3831</v>
      </c>
      <c r="F27" s="73" t="s">
        <v>3808</v>
      </c>
      <c r="G27" s="38" t="s">
        <v>3772</v>
      </c>
      <c r="H27" s="59" t="s">
        <v>3832</v>
      </c>
      <c r="I27" s="59" t="s">
        <v>13</v>
      </c>
    </row>
    <row r="28">
      <c r="A28" s="38" t="s">
        <v>205</v>
      </c>
      <c r="B28" s="73" t="s">
        <v>3764</v>
      </c>
      <c r="C28" s="73" t="s">
        <v>3826</v>
      </c>
      <c r="D28" s="73" t="s">
        <v>3833</v>
      </c>
      <c r="E28" s="73" t="s">
        <v>3828</v>
      </c>
      <c r="F28" s="73" t="s">
        <v>3808</v>
      </c>
      <c r="G28" s="38" t="s">
        <v>3774</v>
      </c>
      <c r="H28" s="59" t="s">
        <v>3834</v>
      </c>
      <c r="I28" s="59" t="s">
        <v>13</v>
      </c>
    </row>
    <row r="29">
      <c r="A29" s="38" t="s">
        <v>210</v>
      </c>
      <c r="B29" s="73" t="s">
        <v>3764</v>
      </c>
      <c r="C29" s="73" t="s">
        <v>3826</v>
      </c>
      <c r="D29" s="73" t="s">
        <v>3835</v>
      </c>
      <c r="E29" s="73" t="s">
        <v>3828</v>
      </c>
      <c r="F29" s="73" t="s">
        <v>3808</v>
      </c>
      <c r="G29" s="38" t="s">
        <v>3776</v>
      </c>
      <c r="H29" s="59" t="s">
        <v>3836</v>
      </c>
      <c r="I29" s="59" t="s">
        <v>13</v>
      </c>
    </row>
    <row r="30">
      <c r="A30" s="38" t="s">
        <v>215</v>
      </c>
      <c r="B30" s="73" t="s">
        <v>3764</v>
      </c>
      <c r="C30" s="73" t="s">
        <v>3826</v>
      </c>
      <c r="D30" s="73" t="s">
        <v>3837</v>
      </c>
      <c r="E30" s="73" t="s">
        <v>3828</v>
      </c>
      <c r="F30" s="73" t="s">
        <v>3808</v>
      </c>
      <c r="G30" s="72" t="s">
        <v>3779</v>
      </c>
      <c r="H30" s="59" t="s">
        <v>3838</v>
      </c>
      <c r="I30" s="59" t="s">
        <v>13</v>
      </c>
    </row>
    <row r="31">
      <c r="A31" s="38" t="s">
        <v>220</v>
      </c>
      <c r="B31" s="73" t="s">
        <v>3764</v>
      </c>
      <c r="C31" s="73" t="s">
        <v>3826</v>
      </c>
      <c r="D31" s="73" t="s">
        <v>3839</v>
      </c>
      <c r="E31" s="73" t="s">
        <v>3828</v>
      </c>
      <c r="F31" s="73" t="s">
        <v>3808</v>
      </c>
      <c r="G31" s="72" t="s">
        <v>3840</v>
      </c>
      <c r="H31" s="59" t="s">
        <v>3782</v>
      </c>
      <c r="I31" s="59" t="s">
        <v>13</v>
      </c>
    </row>
    <row r="32">
      <c r="A32" s="38" t="s">
        <v>224</v>
      </c>
      <c r="B32" s="73" t="s">
        <v>3764</v>
      </c>
      <c r="C32" s="73" t="s">
        <v>3826</v>
      </c>
      <c r="D32" s="73" t="s">
        <v>3839</v>
      </c>
      <c r="E32" s="73" t="s">
        <v>3841</v>
      </c>
      <c r="F32" s="73" t="s">
        <v>3808</v>
      </c>
      <c r="G32" s="72" t="s">
        <v>3784</v>
      </c>
      <c r="H32" s="128" t="s">
        <v>3842</v>
      </c>
      <c r="I32" s="59" t="s">
        <v>13</v>
      </c>
    </row>
    <row r="33">
      <c r="A33" s="38" t="s">
        <v>228</v>
      </c>
      <c r="B33" s="73" t="s">
        <v>3764</v>
      </c>
      <c r="C33" s="73" t="s">
        <v>3826</v>
      </c>
      <c r="D33" s="73" t="s">
        <v>3839</v>
      </c>
      <c r="E33" s="73" t="s">
        <v>3843</v>
      </c>
      <c r="F33" s="73" t="s">
        <v>3808</v>
      </c>
      <c r="G33" s="72" t="s">
        <v>3784</v>
      </c>
      <c r="H33" s="128" t="s">
        <v>3844</v>
      </c>
      <c r="I33" s="59" t="s">
        <v>13</v>
      </c>
    </row>
    <row r="34">
      <c r="A34" s="38" t="s">
        <v>233</v>
      </c>
      <c r="B34" s="73" t="s">
        <v>3764</v>
      </c>
      <c r="C34" s="73" t="s">
        <v>3845</v>
      </c>
      <c r="D34" s="73" t="s">
        <v>3846</v>
      </c>
      <c r="E34" s="73" t="s">
        <v>3847</v>
      </c>
      <c r="F34" s="73" t="s">
        <v>3808</v>
      </c>
      <c r="G34" s="38" t="s">
        <v>3769</v>
      </c>
      <c r="H34" s="72" t="s">
        <v>3848</v>
      </c>
      <c r="I34" s="59" t="s">
        <v>13</v>
      </c>
    </row>
    <row r="35">
      <c r="A35" s="38" t="s">
        <v>237</v>
      </c>
      <c r="B35" s="73" t="s">
        <v>3764</v>
      </c>
      <c r="C35" s="73" t="s">
        <v>3845</v>
      </c>
      <c r="D35" s="73" t="s">
        <v>3846</v>
      </c>
      <c r="E35" s="73" t="s">
        <v>3849</v>
      </c>
      <c r="F35" s="73" t="s">
        <v>3808</v>
      </c>
      <c r="G35" s="38" t="s">
        <v>3772</v>
      </c>
      <c r="H35" s="59" t="s">
        <v>3850</v>
      </c>
      <c r="I35" s="59" t="s">
        <v>13</v>
      </c>
    </row>
    <row r="36">
      <c r="A36" s="38" t="s">
        <v>241</v>
      </c>
      <c r="B36" s="73" t="s">
        <v>3764</v>
      </c>
      <c r="C36" s="73" t="s">
        <v>3845</v>
      </c>
      <c r="D36" s="73" t="s">
        <v>3846</v>
      </c>
      <c r="E36" s="73" t="s">
        <v>3847</v>
      </c>
      <c r="F36" s="73" t="s">
        <v>3851</v>
      </c>
      <c r="G36" s="38" t="s">
        <v>3774</v>
      </c>
      <c r="H36" s="59" t="s">
        <v>3852</v>
      </c>
      <c r="I36" s="59" t="s">
        <v>13</v>
      </c>
    </row>
    <row r="37">
      <c r="A37" s="38" t="s">
        <v>245</v>
      </c>
      <c r="B37" s="73" t="s">
        <v>3764</v>
      </c>
      <c r="C37" s="73" t="s">
        <v>3845</v>
      </c>
      <c r="D37" s="73" t="s">
        <v>3846</v>
      </c>
      <c r="E37" s="73" t="s">
        <v>3847</v>
      </c>
      <c r="F37" s="73" t="s">
        <v>3808</v>
      </c>
      <c r="G37" s="38" t="s">
        <v>3776</v>
      </c>
      <c r="H37" s="59" t="s">
        <v>3853</v>
      </c>
      <c r="I37" s="59" t="s">
        <v>13</v>
      </c>
    </row>
    <row r="38">
      <c r="A38" s="38" t="s">
        <v>250</v>
      </c>
      <c r="B38" s="73" t="s">
        <v>3764</v>
      </c>
      <c r="C38" s="73" t="s">
        <v>3845</v>
      </c>
      <c r="D38" s="73" t="s">
        <v>3846</v>
      </c>
      <c r="E38" s="73" t="s">
        <v>3847</v>
      </c>
      <c r="F38" s="73" t="s">
        <v>3808</v>
      </c>
      <c r="G38" s="72" t="s">
        <v>3779</v>
      </c>
      <c r="H38" s="59" t="s">
        <v>3854</v>
      </c>
      <c r="I38" s="59" t="s">
        <v>13</v>
      </c>
    </row>
    <row r="39">
      <c r="A39" s="38" t="s">
        <v>254</v>
      </c>
      <c r="B39" s="73" t="s">
        <v>3764</v>
      </c>
      <c r="C39" s="73" t="s">
        <v>3845</v>
      </c>
      <c r="D39" s="73" t="s">
        <v>3846</v>
      </c>
      <c r="E39" s="73" t="s">
        <v>3847</v>
      </c>
      <c r="F39" s="73" t="s">
        <v>3808</v>
      </c>
      <c r="G39" s="72" t="s">
        <v>3855</v>
      </c>
      <c r="H39" s="59" t="s">
        <v>3782</v>
      </c>
      <c r="I39" s="59" t="s">
        <v>13</v>
      </c>
    </row>
    <row r="40">
      <c r="A40" s="38" t="s">
        <v>258</v>
      </c>
      <c r="B40" s="73" t="s">
        <v>3764</v>
      </c>
      <c r="C40" s="73" t="s">
        <v>3845</v>
      </c>
      <c r="D40" s="73" t="s">
        <v>3846</v>
      </c>
      <c r="E40" s="73" t="s">
        <v>3847</v>
      </c>
      <c r="F40" s="73" t="s">
        <v>3808</v>
      </c>
      <c r="G40" s="72" t="s">
        <v>3784</v>
      </c>
      <c r="H40" s="128" t="s">
        <v>3856</v>
      </c>
      <c r="I40" s="59" t="s">
        <v>13</v>
      </c>
    </row>
    <row r="41">
      <c r="A41" s="38" t="s">
        <v>263</v>
      </c>
      <c r="B41" s="73" t="s">
        <v>3764</v>
      </c>
      <c r="C41" s="73" t="s">
        <v>3845</v>
      </c>
      <c r="D41" s="73" t="s">
        <v>3846</v>
      </c>
      <c r="E41" s="73" t="s">
        <v>3847</v>
      </c>
      <c r="F41" s="73" t="s">
        <v>3808</v>
      </c>
      <c r="G41" s="72" t="s">
        <v>3784</v>
      </c>
      <c r="H41" s="128" t="s">
        <v>3857</v>
      </c>
      <c r="I41" s="59" t="s">
        <v>13</v>
      </c>
    </row>
    <row r="42">
      <c r="A42" s="38" t="s">
        <v>268</v>
      </c>
      <c r="B42" s="73" t="s">
        <v>3764</v>
      </c>
      <c r="C42" s="73" t="s">
        <v>3858</v>
      </c>
      <c r="D42" s="73" t="s">
        <v>3859</v>
      </c>
      <c r="E42" s="73" t="s">
        <v>3860</v>
      </c>
      <c r="F42" s="72" t="s">
        <v>46</v>
      </c>
      <c r="G42" s="38" t="s">
        <v>3769</v>
      </c>
      <c r="H42" s="72" t="s">
        <v>3861</v>
      </c>
      <c r="I42" s="59" t="s">
        <v>13</v>
      </c>
    </row>
    <row r="43">
      <c r="A43" s="38" t="s">
        <v>271</v>
      </c>
      <c r="B43" s="73" t="s">
        <v>3764</v>
      </c>
      <c r="C43" s="73" t="s">
        <v>3858</v>
      </c>
      <c r="D43" s="73" t="s">
        <v>3862</v>
      </c>
      <c r="E43" s="73" t="s">
        <v>3863</v>
      </c>
      <c r="F43" s="72" t="s">
        <v>46</v>
      </c>
      <c r="G43" s="38" t="s">
        <v>3772</v>
      </c>
      <c r="H43" s="59" t="s">
        <v>3864</v>
      </c>
      <c r="I43" s="59" t="s">
        <v>13</v>
      </c>
    </row>
    <row r="44">
      <c r="A44" s="38" t="s">
        <v>274</v>
      </c>
      <c r="B44" s="73" t="s">
        <v>3764</v>
      </c>
      <c r="C44" s="73" t="s">
        <v>3858</v>
      </c>
      <c r="D44" s="73" t="s">
        <v>3865</v>
      </c>
      <c r="E44" s="73" t="s">
        <v>3866</v>
      </c>
      <c r="F44" s="72" t="s">
        <v>46</v>
      </c>
      <c r="G44" s="38" t="s">
        <v>3774</v>
      </c>
      <c r="H44" s="59" t="s">
        <v>3867</v>
      </c>
      <c r="I44" s="59" t="s">
        <v>13</v>
      </c>
    </row>
    <row r="45">
      <c r="A45" s="38" t="s">
        <v>405</v>
      </c>
      <c r="B45" s="73" t="s">
        <v>3764</v>
      </c>
      <c r="C45" s="73" t="s">
        <v>3858</v>
      </c>
      <c r="D45" s="73" t="s">
        <v>3868</v>
      </c>
      <c r="E45" s="73" t="s">
        <v>3869</v>
      </c>
      <c r="F45" s="72" t="s">
        <v>46</v>
      </c>
      <c r="G45" s="38" t="s">
        <v>3776</v>
      </c>
      <c r="H45" s="59" t="s">
        <v>3870</v>
      </c>
      <c r="I45" s="59" t="s">
        <v>13</v>
      </c>
    </row>
    <row r="46">
      <c r="A46" s="38" t="s">
        <v>408</v>
      </c>
      <c r="B46" s="73" t="s">
        <v>3764</v>
      </c>
      <c r="C46" s="73" t="s">
        <v>3858</v>
      </c>
      <c r="D46" s="73" t="s">
        <v>3871</v>
      </c>
      <c r="E46" s="73" t="s">
        <v>3872</v>
      </c>
      <c r="F46" s="72" t="s">
        <v>46</v>
      </c>
      <c r="G46" s="72" t="s">
        <v>3779</v>
      </c>
      <c r="H46" s="59" t="s">
        <v>3873</v>
      </c>
      <c r="I46" s="59" t="s">
        <v>13</v>
      </c>
    </row>
    <row r="47">
      <c r="A47" s="38" t="s">
        <v>629</v>
      </c>
      <c r="B47" s="73" t="s">
        <v>3764</v>
      </c>
      <c r="C47" s="73" t="s">
        <v>3858</v>
      </c>
      <c r="D47" s="129" t="s">
        <v>3874</v>
      </c>
      <c r="E47" s="73" t="s">
        <v>3875</v>
      </c>
      <c r="F47" s="72" t="s">
        <v>46</v>
      </c>
      <c r="G47" s="72" t="s">
        <v>3876</v>
      </c>
      <c r="H47" s="59" t="s">
        <v>3782</v>
      </c>
      <c r="I47" s="59" t="s">
        <v>13</v>
      </c>
    </row>
    <row r="48">
      <c r="A48" s="38" t="s">
        <v>633</v>
      </c>
      <c r="B48" s="73" t="s">
        <v>3764</v>
      </c>
      <c r="C48" s="73" t="s">
        <v>3858</v>
      </c>
      <c r="D48" s="129" t="s">
        <v>3877</v>
      </c>
      <c r="E48" s="73" t="s">
        <v>3878</v>
      </c>
      <c r="F48" s="72" t="s">
        <v>46</v>
      </c>
      <c r="G48" s="72" t="s">
        <v>3784</v>
      </c>
      <c r="H48" s="59" t="s">
        <v>3879</v>
      </c>
      <c r="I48" s="59" t="s">
        <v>13</v>
      </c>
    </row>
    <row r="49">
      <c r="A49" s="38" t="s">
        <v>637</v>
      </c>
      <c r="B49" s="73" t="s">
        <v>3764</v>
      </c>
      <c r="C49" s="73" t="s">
        <v>3858</v>
      </c>
      <c r="D49" s="129" t="s">
        <v>3880</v>
      </c>
      <c r="E49" s="73" t="s">
        <v>3881</v>
      </c>
      <c r="F49" s="72" t="s">
        <v>46</v>
      </c>
      <c r="G49" s="72" t="s">
        <v>3784</v>
      </c>
      <c r="H49" s="128" t="s">
        <v>3882</v>
      </c>
      <c r="I49" s="59" t="s">
        <v>13</v>
      </c>
    </row>
    <row r="50">
      <c r="A50" s="38" t="s">
        <v>641</v>
      </c>
      <c r="B50" s="73" t="s">
        <v>3764</v>
      </c>
      <c r="C50" s="129" t="s">
        <v>3883</v>
      </c>
      <c r="D50" s="129" t="s">
        <v>3884</v>
      </c>
      <c r="E50" s="129" t="s">
        <v>3885</v>
      </c>
      <c r="F50" s="72" t="s">
        <v>3886</v>
      </c>
      <c r="G50" s="130" t="s">
        <v>3887</v>
      </c>
      <c r="H50" s="72" t="s">
        <v>3888</v>
      </c>
      <c r="I50" s="59" t="s">
        <v>13</v>
      </c>
    </row>
    <row r="51">
      <c r="A51" s="38" t="s">
        <v>644</v>
      </c>
      <c r="B51" s="73" t="s">
        <v>3764</v>
      </c>
      <c r="C51" s="129" t="s">
        <v>3883</v>
      </c>
      <c r="D51" s="129" t="s">
        <v>3889</v>
      </c>
      <c r="E51" s="129" t="s">
        <v>3885</v>
      </c>
      <c r="F51" s="72" t="s">
        <v>3886</v>
      </c>
      <c r="G51" s="130" t="s">
        <v>3887</v>
      </c>
      <c r="H51" s="72" t="s">
        <v>3888</v>
      </c>
      <c r="I51" s="59" t="s">
        <v>13</v>
      </c>
    </row>
    <row r="52">
      <c r="A52" s="38" t="s">
        <v>647</v>
      </c>
      <c r="B52" s="73" t="s">
        <v>3764</v>
      </c>
      <c r="C52" s="129" t="s">
        <v>3883</v>
      </c>
      <c r="D52" s="129" t="s">
        <v>3890</v>
      </c>
      <c r="E52" s="129" t="s">
        <v>3885</v>
      </c>
      <c r="F52" s="72" t="s">
        <v>3886</v>
      </c>
      <c r="G52" s="130" t="s">
        <v>3887</v>
      </c>
      <c r="H52" s="72" t="s">
        <v>3888</v>
      </c>
      <c r="I52" s="59" t="s">
        <v>13</v>
      </c>
    </row>
    <row r="53">
      <c r="A53" s="38" t="s">
        <v>650</v>
      </c>
      <c r="B53" s="73" t="s">
        <v>3764</v>
      </c>
      <c r="C53" s="129" t="s">
        <v>3883</v>
      </c>
      <c r="D53" s="129" t="s">
        <v>3891</v>
      </c>
      <c r="E53" s="129" t="s">
        <v>3885</v>
      </c>
      <c r="F53" s="72" t="s">
        <v>3886</v>
      </c>
      <c r="G53" s="130" t="s">
        <v>3887</v>
      </c>
      <c r="H53" s="72" t="s">
        <v>3888</v>
      </c>
      <c r="I53" s="59" t="s">
        <v>13</v>
      </c>
    </row>
    <row r="54">
      <c r="A54" s="38" t="s">
        <v>654</v>
      </c>
      <c r="B54" s="73" t="s">
        <v>3764</v>
      </c>
      <c r="C54" s="129" t="s">
        <v>3883</v>
      </c>
      <c r="D54" s="129" t="s">
        <v>3892</v>
      </c>
      <c r="E54" s="129" t="s">
        <v>3885</v>
      </c>
      <c r="F54" s="72" t="s">
        <v>3886</v>
      </c>
      <c r="G54" s="130" t="s">
        <v>3887</v>
      </c>
      <c r="H54" s="72" t="s">
        <v>3888</v>
      </c>
      <c r="I54" s="59" t="s">
        <v>14</v>
      </c>
    </row>
    <row r="55">
      <c r="A55" s="38" t="s">
        <v>657</v>
      </c>
      <c r="B55" s="73" t="s">
        <v>3764</v>
      </c>
      <c r="C55" s="129" t="s">
        <v>3883</v>
      </c>
      <c r="D55" s="129" t="s">
        <v>3893</v>
      </c>
      <c r="E55" s="129" t="s">
        <v>3885</v>
      </c>
      <c r="F55" s="72" t="s">
        <v>3886</v>
      </c>
      <c r="G55" s="130" t="s">
        <v>3887</v>
      </c>
      <c r="H55" s="72" t="s">
        <v>3888</v>
      </c>
      <c r="I55" s="59" t="s">
        <v>19</v>
      </c>
    </row>
    <row r="56">
      <c r="A56" s="38" t="s">
        <v>660</v>
      </c>
      <c r="B56" s="73" t="s">
        <v>3764</v>
      </c>
      <c r="C56" s="129" t="s">
        <v>3894</v>
      </c>
      <c r="D56" s="129" t="s">
        <v>3895</v>
      </c>
      <c r="E56" s="129" t="s">
        <v>3896</v>
      </c>
      <c r="F56" s="72" t="s">
        <v>46</v>
      </c>
      <c r="G56" s="130" t="s">
        <v>3897</v>
      </c>
      <c r="H56" s="72" t="s">
        <v>3898</v>
      </c>
      <c r="I56" s="59" t="s">
        <v>13</v>
      </c>
    </row>
    <row r="57">
      <c r="A57" s="38" t="s">
        <v>664</v>
      </c>
      <c r="B57" s="73" t="s">
        <v>3764</v>
      </c>
      <c r="C57" s="129" t="s">
        <v>3883</v>
      </c>
      <c r="D57" s="129" t="s">
        <v>3899</v>
      </c>
      <c r="E57" s="129" t="s">
        <v>3900</v>
      </c>
      <c r="F57" s="72" t="s">
        <v>46</v>
      </c>
      <c r="G57" s="130" t="s">
        <v>3897</v>
      </c>
      <c r="H57" s="72" t="s">
        <v>3898</v>
      </c>
      <c r="I57" s="59" t="s">
        <v>15</v>
      </c>
    </row>
    <row r="58">
      <c r="A58" s="38" t="s">
        <v>668</v>
      </c>
      <c r="B58" s="73" t="s">
        <v>3764</v>
      </c>
      <c r="C58" s="129" t="s">
        <v>3883</v>
      </c>
      <c r="D58" s="129" t="s">
        <v>3901</v>
      </c>
      <c r="E58" s="129" t="s">
        <v>3902</v>
      </c>
      <c r="F58" s="72" t="s">
        <v>46</v>
      </c>
      <c r="G58" s="130" t="s">
        <v>3897</v>
      </c>
      <c r="H58" s="72" t="s">
        <v>3898</v>
      </c>
      <c r="I58" s="59" t="s">
        <v>17</v>
      </c>
    </row>
    <row r="59">
      <c r="A59" s="38" t="s">
        <v>672</v>
      </c>
      <c r="B59" s="73" t="s">
        <v>3764</v>
      </c>
      <c r="C59" s="129" t="s">
        <v>3883</v>
      </c>
      <c r="D59" s="129" t="s">
        <v>3903</v>
      </c>
      <c r="E59" s="129" t="s">
        <v>3904</v>
      </c>
      <c r="F59" s="131" t="s">
        <v>46</v>
      </c>
      <c r="G59" s="130" t="s">
        <v>3897</v>
      </c>
      <c r="H59" s="72" t="s">
        <v>3898</v>
      </c>
      <c r="I59" s="59" t="s">
        <v>16</v>
      </c>
    </row>
    <row r="60">
      <c r="A60" s="38" t="s">
        <v>676</v>
      </c>
      <c r="B60" s="73" t="s">
        <v>3764</v>
      </c>
      <c r="C60" s="129" t="s">
        <v>3883</v>
      </c>
      <c r="D60" s="129" t="s">
        <v>3905</v>
      </c>
      <c r="E60" s="129" t="s">
        <v>3906</v>
      </c>
      <c r="F60" s="131"/>
      <c r="G60" s="131" t="s">
        <v>3907</v>
      </c>
      <c r="H60" s="72" t="s">
        <v>3908</v>
      </c>
      <c r="I60" s="59" t="s">
        <v>18</v>
      </c>
    </row>
    <row r="61">
      <c r="A61" s="38" t="s">
        <v>681</v>
      </c>
      <c r="B61" s="73" t="s">
        <v>3764</v>
      </c>
      <c r="C61" s="129" t="s">
        <v>3909</v>
      </c>
      <c r="D61" s="129" t="s">
        <v>3910</v>
      </c>
      <c r="E61" s="129" t="s">
        <v>3911</v>
      </c>
      <c r="F61" s="132"/>
      <c r="G61" s="131" t="s">
        <v>3907</v>
      </c>
      <c r="H61" s="72" t="s">
        <v>3912</v>
      </c>
      <c r="I61" s="59" t="s">
        <v>15</v>
      </c>
    </row>
    <row r="62">
      <c r="A62" s="38" t="s">
        <v>686</v>
      </c>
      <c r="B62" s="73" t="s">
        <v>3764</v>
      </c>
      <c r="C62" s="129" t="s">
        <v>3909</v>
      </c>
      <c r="D62" s="129" t="s">
        <v>3913</v>
      </c>
      <c r="E62" s="129" t="s">
        <v>3914</v>
      </c>
      <c r="F62" s="132"/>
      <c r="G62" s="131" t="s">
        <v>3907</v>
      </c>
      <c r="H62" s="72" t="s">
        <v>3915</v>
      </c>
      <c r="I62" s="59" t="s">
        <v>17</v>
      </c>
    </row>
    <row r="63">
      <c r="A63" s="38" t="s">
        <v>690</v>
      </c>
      <c r="B63" s="73" t="s">
        <v>3764</v>
      </c>
      <c r="C63" s="129" t="s">
        <v>3909</v>
      </c>
      <c r="D63" s="129" t="s">
        <v>3916</v>
      </c>
      <c r="E63" s="129" t="s">
        <v>3917</v>
      </c>
      <c r="F63" s="132"/>
      <c r="G63" s="131" t="s">
        <v>3907</v>
      </c>
      <c r="H63" s="72" t="s">
        <v>3918</v>
      </c>
      <c r="I63" s="59" t="s">
        <v>16</v>
      </c>
    </row>
    <row r="64">
      <c r="A64" s="38" t="s">
        <v>693</v>
      </c>
      <c r="B64" s="73" t="s">
        <v>3764</v>
      </c>
      <c r="C64" s="129" t="s">
        <v>3883</v>
      </c>
      <c r="D64" s="129" t="s">
        <v>3919</v>
      </c>
      <c r="E64" s="129" t="s">
        <v>3920</v>
      </c>
      <c r="F64" s="131"/>
      <c r="G64" s="131" t="s">
        <v>3907</v>
      </c>
      <c r="H64" s="72" t="s">
        <v>3921</v>
      </c>
      <c r="I64" s="59" t="s">
        <v>14</v>
      </c>
    </row>
    <row r="65">
      <c r="A65" s="38" t="s">
        <v>696</v>
      </c>
      <c r="B65" s="73" t="s">
        <v>3764</v>
      </c>
      <c r="C65" s="129" t="s">
        <v>3883</v>
      </c>
      <c r="D65" s="129" t="s">
        <v>3922</v>
      </c>
      <c r="E65" s="129" t="s">
        <v>3923</v>
      </c>
      <c r="F65" s="131"/>
      <c r="G65" s="131" t="s">
        <v>3907</v>
      </c>
      <c r="H65" s="72" t="s">
        <v>3924</v>
      </c>
      <c r="I65" s="59" t="s">
        <v>19</v>
      </c>
    </row>
    <row r="66">
      <c r="A66" s="38" t="s">
        <v>700</v>
      </c>
      <c r="B66" s="73" t="s">
        <v>3764</v>
      </c>
      <c r="C66" s="133" t="s">
        <v>3925</v>
      </c>
      <c r="D66" s="133" t="s">
        <v>3859</v>
      </c>
      <c r="E66" s="129" t="s">
        <v>3926</v>
      </c>
      <c r="F66" s="132" t="s">
        <v>46</v>
      </c>
      <c r="G66" s="130" t="s">
        <v>3927</v>
      </c>
      <c r="H66" s="72" t="s">
        <v>3861</v>
      </c>
      <c r="I66" s="59" t="s">
        <v>13</v>
      </c>
    </row>
    <row r="67">
      <c r="A67" s="38" t="s">
        <v>704</v>
      </c>
      <c r="B67" s="73" t="s">
        <v>3764</v>
      </c>
      <c r="C67" s="133" t="s">
        <v>3925</v>
      </c>
      <c r="D67" s="133" t="s">
        <v>3928</v>
      </c>
      <c r="E67" s="129" t="s">
        <v>3929</v>
      </c>
      <c r="F67" s="132" t="s">
        <v>46</v>
      </c>
      <c r="G67" s="130" t="s">
        <v>3930</v>
      </c>
      <c r="H67" s="59" t="s">
        <v>3931</v>
      </c>
      <c r="I67" s="59" t="s">
        <v>13</v>
      </c>
    </row>
    <row r="68">
      <c r="A68" s="38" t="s">
        <v>708</v>
      </c>
      <c r="B68" s="73" t="s">
        <v>3764</v>
      </c>
      <c r="C68" s="73" t="s">
        <v>3858</v>
      </c>
      <c r="D68" s="73" t="s">
        <v>3932</v>
      </c>
      <c r="E68" s="73" t="s">
        <v>3933</v>
      </c>
      <c r="F68" s="73" t="s">
        <v>3934</v>
      </c>
      <c r="G68" s="38" t="s">
        <v>3769</v>
      </c>
      <c r="H68" s="72" t="s">
        <v>3861</v>
      </c>
      <c r="I68" s="59" t="s">
        <v>13</v>
      </c>
    </row>
    <row r="69">
      <c r="A69" s="38" t="s">
        <v>712</v>
      </c>
      <c r="B69" s="73" t="s">
        <v>3764</v>
      </c>
      <c r="C69" s="73" t="s">
        <v>3858</v>
      </c>
      <c r="D69" s="73" t="s">
        <v>3935</v>
      </c>
      <c r="E69" s="73" t="s">
        <v>3936</v>
      </c>
      <c r="F69" s="73" t="s">
        <v>3934</v>
      </c>
      <c r="G69" s="38" t="s">
        <v>3772</v>
      </c>
      <c r="H69" s="59" t="s">
        <v>3937</v>
      </c>
      <c r="I69" s="59" t="s">
        <v>13</v>
      </c>
    </row>
    <row r="70">
      <c r="A70" s="38" t="s">
        <v>715</v>
      </c>
      <c r="B70" s="73" t="s">
        <v>3764</v>
      </c>
      <c r="C70" s="73" t="s">
        <v>3858</v>
      </c>
      <c r="D70" s="73" t="s">
        <v>3935</v>
      </c>
      <c r="E70" s="73" t="s">
        <v>3938</v>
      </c>
      <c r="F70" s="73" t="s">
        <v>3934</v>
      </c>
      <c r="G70" s="38" t="s">
        <v>3774</v>
      </c>
      <c r="H70" s="59" t="s">
        <v>3939</v>
      </c>
      <c r="I70" s="59" t="s">
        <v>13</v>
      </c>
    </row>
    <row r="71">
      <c r="A71" s="38" t="s">
        <v>718</v>
      </c>
      <c r="B71" s="73"/>
      <c r="C71" s="73" t="s">
        <v>3858</v>
      </c>
      <c r="D71" s="73" t="s">
        <v>3935</v>
      </c>
      <c r="E71" s="73" t="s">
        <v>3940</v>
      </c>
      <c r="F71" s="73" t="s">
        <v>3934</v>
      </c>
      <c r="G71" s="38" t="s">
        <v>3776</v>
      </c>
      <c r="H71" s="59" t="s">
        <v>3941</v>
      </c>
      <c r="I71" s="59" t="s">
        <v>13</v>
      </c>
    </row>
    <row r="72">
      <c r="A72" s="38" t="s">
        <v>722</v>
      </c>
      <c r="B72" s="73" t="s">
        <v>3764</v>
      </c>
      <c r="C72" s="73" t="s">
        <v>3858</v>
      </c>
      <c r="D72" s="73" t="s">
        <v>3935</v>
      </c>
      <c r="E72" s="73" t="s">
        <v>3942</v>
      </c>
      <c r="F72" s="73" t="s">
        <v>3934</v>
      </c>
      <c r="G72" s="72" t="s">
        <v>3779</v>
      </c>
      <c r="H72" s="59" t="s">
        <v>3943</v>
      </c>
      <c r="I72" s="59" t="s">
        <v>13</v>
      </c>
    </row>
    <row r="73">
      <c r="A73" s="38" t="s">
        <v>728</v>
      </c>
      <c r="B73" s="73" t="s">
        <v>3764</v>
      </c>
      <c r="C73" s="73" t="s">
        <v>3858</v>
      </c>
      <c r="D73" s="73" t="s">
        <v>3935</v>
      </c>
      <c r="E73" s="73" t="s">
        <v>3944</v>
      </c>
      <c r="F73" s="73" t="s">
        <v>3934</v>
      </c>
      <c r="G73" s="72" t="s">
        <v>3945</v>
      </c>
      <c r="H73" s="59" t="s">
        <v>3782</v>
      </c>
      <c r="I73" s="59" t="s">
        <v>13</v>
      </c>
    </row>
    <row r="74">
      <c r="A74" s="38" t="s">
        <v>733</v>
      </c>
      <c r="B74" s="73" t="s">
        <v>3764</v>
      </c>
      <c r="C74" s="73" t="s">
        <v>3925</v>
      </c>
      <c r="D74" s="73" t="s">
        <v>3935</v>
      </c>
      <c r="E74" s="73" t="s">
        <v>3944</v>
      </c>
      <c r="F74" s="73" t="s">
        <v>3934</v>
      </c>
      <c r="G74" s="72" t="s">
        <v>3784</v>
      </c>
      <c r="H74" s="128" t="s">
        <v>3946</v>
      </c>
      <c r="I74" s="59" t="s">
        <v>13</v>
      </c>
    </row>
    <row r="75">
      <c r="A75" s="38" t="s">
        <v>736</v>
      </c>
      <c r="B75" s="73" t="s">
        <v>3764</v>
      </c>
      <c r="C75" s="73" t="s">
        <v>3925</v>
      </c>
      <c r="D75" s="73" t="s">
        <v>3935</v>
      </c>
      <c r="E75" s="73" t="s">
        <v>3944</v>
      </c>
      <c r="F75" s="73" t="s">
        <v>3934</v>
      </c>
      <c r="G75" s="72" t="s">
        <v>3784</v>
      </c>
      <c r="H75" s="128" t="s">
        <v>3947</v>
      </c>
      <c r="I75" s="59" t="s">
        <v>13</v>
      </c>
    </row>
    <row r="76">
      <c r="A76" s="38" t="s">
        <v>741</v>
      </c>
      <c r="B76" s="73" t="s">
        <v>3764</v>
      </c>
      <c r="C76" s="73" t="s">
        <v>3948</v>
      </c>
      <c r="D76" s="73" t="s">
        <v>3949</v>
      </c>
      <c r="E76" s="73" t="s">
        <v>3950</v>
      </c>
      <c r="F76" s="73" t="s">
        <v>3768</v>
      </c>
      <c r="G76" s="38" t="s">
        <v>3769</v>
      </c>
      <c r="H76" s="72" t="s">
        <v>3770</v>
      </c>
      <c r="I76" s="59" t="s">
        <v>14</v>
      </c>
    </row>
    <row r="77">
      <c r="A77" s="38" t="s">
        <v>745</v>
      </c>
      <c r="B77" s="73" t="s">
        <v>3764</v>
      </c>
      <c r="C77" s="73" t="s">
        <v>3951</v>
      </c>
      <c r="D77" s="73" t="s">
        <v>3952</v>
      </c>
      <c r="E77" s="73" t="s">
        <v>3950</v>
      </c>
      <c r="F77" s="73" t="s">
        <v>3768</v>
      </c>
      <c r="G77" s="38" t="s">
        <v>3772</v>
      </c>
      <c r="H77" s="59" t="s">
        <v>3953</v>
      </c>
      <c r="I77" s="59" t="s">
        <v>14</v>
      </c>
    </row>
    <row r="78">
      <c r="A78" s="38" t="s">
        <v>750</v>
      </c>
      <c r="B78" s="73" t="s">
        <v>3764</v>
      </c>
      <c r="C78" s="73" t="s">
        <v>3954</v>
      </c>
      <c r="D78" s="73" t="s">
        <v>3952</v>
      </c>
      <c r="E78" s="73" t="s">
        <v>3950</v>
      </c>
      <c r="F78" s="73" t="s">
        <v>3768</v>
      </c>
      <c r="G78" s="38" t="s">
        <v>3955</v>
      </c>
      <c r="H78" s="59" t="s">
        <v>3956</v>
      </c>
      <c r="I78" s="59" t="s">
        <v>14</v>
      </c>
    </row>
    <row r="79">
      <c r="A79" s="38" t="s">
        <v>756</v>
      </c>
      <c r="B79" s="73" t="s">
        <v>3764</v>
      </c>
      <c r="C79" s="73" t="s">
        <v>3957</v>
      </c>
      <c r="D79" s="73" t="s">
        <v>3952</v>
      </c>
      <c r="E79" s="73" t="s">
        <v>3950</v>
      </c>
      <c r="F79" s="73" t="s">
        <v>3768</v>
      </c>
      <c r="G79" s="38" t="s">
        <v>3958</v>
      </c>
      <c r="H79" s="59" t="s">
        <v>3959</v>
      </c>
      <c r="I79" s="59" t="s">
        <v>14</v>
      </c>
    </row>
    <row r="80">
      <c r="A80" s="38" t="s">
        <v>761</v>
      </c>
      <c r="B80" s="73" t="s">
        <v>3764</v>
      </c>
      <c r="C80" s="73" t="s">
        <v>3960</v>
      </c>
      <c r="D80" s="73" t="s">
        <v>3952</v>
      </c>
      <c r="E80" s="73" t="s">
        <v>3950</v>
      </c>
      <c r="F80" s="73" t="s">
        <v>3768</v>
      </c>
      <c r="G80" s="72" t="s">
        <v>3779</v>
      </c>
      <c r="H80" s="59" t="s">
        <v>3961</v>
      </c>
      <c r="I80" s="59" t="s">
        <v>14</v>
      </c>
    </row>
    <row r="81">
      <c r="A81" s="38" t="s">
        <v>767</v>
      </c>
      <c r="B81" s="73" t="s">
        <v>3764</v>
      </c>
      <c r="C81" s="73" t="s">
        <v>3962</v>
      </c>
      <c r="D81" s="73" t="s">
        <v>3952</v>
      </c>
      <c r="E81" s="73" t="s">
        <v>3950</v>
      </c>
      <c r="F81" s="73" t="s">
        <v>3768</v>
      </c>
      <c r="G81" s="72" t="s">
        <v>3963</v>
      </c>
      <c r="H81" s="59" t="s">
        <v>3964</v>
      </c>
      <c r="I81" s="59" t="s">
        <v>14</v>
      </c>
    </row>
    <row r="82">
      <c r="A82" s="38" t="s">
        <v>772</v>
      </c>
      <c r="B82" s="73" t="s">
        <v>3764</v>
      </c>
      <c r="C82" s="73" t="s">
        <v>3965</v>
      </c>
      <c r="D82" s="73" t="s">
        <v>3952</v>
      </c>
      <c r="E82" s="73" t="s">
        <v>3950</v>
      </c>
      <c r="F82" s="73" t="s">
        <v>3768</v>
      </c>
      <c r="G82" s="72" t="s">
        <v>3784</v>
      </c>
      <c r="H82" s="128" t="s">
        <v>3966</v>
      </c>
      <c r="I82" s="59" t="s">
        <v>14</v>
      </c>
    </row>
    <row r="83">
      <c r="A83" s="38" t="s">
        <v>778</v>
      </c>
      <c r="B83" s="73" t="s">
        <v>3764</v>
      </c>
      <c r="C83" s="73" t="s">
        <v>3967</v>
      </c>
      <c r="D83" s="133" t="s">
        <v>3859</v>
      </c>
      <c r="E83" s="129" t="s">
        <v>3968</v>
      </c>
      <c r="F83" s="132" t="s">
        <v>46</v>
      </c>
      <c r="G83" s="38" t="s">
        <v>3769</v>
      </c>
      <c r="H83" s="72" t="s">
        <v>3770</v>
      </c>
      <c r="I83" s="59" t="s">
        <v>14</v>
      </c>
    </row>
    <row r="84">
      <c r="A84" s="38" t="s">
        <v>780</v>
      </c>
      <c r="B84" s="73" t="s">
        <v>3764</v>
      </c>
      <c r="C84" s="73" t="s">
        <v>3969</v>
      </c>
      <c r="D84" s="133" t="s">
        <v>3928</v>
      </c>
      <c r="E84" s="129" t="s">
        <v>3970</v>
      </c>
      <c r="F84" s="132" t="s">
        <v>46</v>
      </c>
      <c r="G84" s="38" t="s">
        <v>3971</v>
      </c>
      <c r="H84" s="59" t="s">
        <v>3972</v>
      </c>
      <c r="I84" s="59" t="s">
        <v>14</v>
      </c>
    </row>
    <row r="85">
      <c r="A85" s="38" t="s">
        <v>782</v>
      </c>
      <c r="B85" s="73" t="s">
        <v>3764</v>
      </c>
      <c r="C85" s="73" t="s">
        <v>3973</v>
      </c>
      <c r="D85" s="73" t="s">
        <v>3932</v>
      </c>
      <c r="E85" s="73" t="s">
        <v>3974</v>
      </c>
      <c r="F85" s="73" t="s">
        <v>3934</v>
      </c>
      <c r="G85" s="38" t="s">
        <v>3774</v>
      </c>
      <c r="H85" s="59" t="s">
        <v>3975</v>
      </c>
      <c r="I85" s="59" t="s">
        <v>14</v>
      </c>
    </row>
    <row r="86">
      <c r="A86" s="38" t="s">
        <v>784</v>
      </c>
      <c r="B86" s="73" t="s">
        <v>3764</v>
      </c>
      <c r="C86" s="73" t="s">
        <v>3976</v>
      </c>
      <c r="D86" s="73" t="s">
        <v>3935</v>
      </c>
      <c r="E86" s="73" t="s">
        <v>3977</v>
      </c>
      <c r="F86" s="73" t="s">
        <v>3934</v>
      </c>
      <c r="G86" s="38" t="s">
        <v>3776</v>
      </c>
      <c r="H86" s="59" t="s">
        <v>3978</v>
      </c>
      <c r="I86" s="59" t="s">
        <v>14</v>
      </c>
    </row>
    <row r="87">
      <c r="A87" s="38" t="s">
        <v>789</v>
      </c>
      <c r="B87" s="73" t="s">
        <v>3764</v>
      </c>
      <c r="C87" s="73" t="s">
        <v>3979</v>
      </c>
      <c r="D87" s="73" t="s">
        <v>3935</v>
      </c>
      <c r="E87" s="73" t="s">
        <v>3980</v>
      </c>
      <c r="F87" s="73" t="s">
        <v>3934</v>
      </c>
      <c r="G87" s="72" t="s">
        <v>3779</v>
      </c>
      <c r="H87" s="59" t="s">
        <v>3981</v>
      </c>
      <c r="I87" s="59" t="s">
        <v>14</v>
      </c>
    </row>
    <row r="88">
      <c r="A88" s="38" t="s">
        <v>793</v>
      </c>
      <c r="B88" s="73" t="s">
        <v>3764</v>
      </c>
      <c r="C88" s="73" t="s">
        <v>3982</v>
      </c>
      <c r="D88" s="73" t="s">
        <v>3935</v>
      </c>
      <c r="E88" s="73" t="s">
        <v>3983</v>
      </c>
      <c r="F88" s="73" t="s">
        <v>3934</v>
      </c>
      <c r="G88" s="72" t="s">
        <v>3984</v>
      </c>
      <c r="H88" s="59" t="s">
        <v>3782</v>
      </c>
      <c r="I88" s="59" t="s">
        <v>14</v>
      </c>
    </row>
    <row r="89">
      <c r="A89" s="38" t="s">
        <v>798</v>
      </c>
      <c r="B89" s="73" t="s">
        <v>3764</v>
      </c>
      <c r="C89" s="73" t="s">
        <v>3985</v>
      </c>
      <c r="D89" s="73" t="s">
        <v>3935</v>
      </c>
      <c r="E89" s="73" t="s">
        <v>3986</v>
      </c>
      <c r="F89" s="73" t="s">
        <v>3934</v>
      </c>
      <c r="G89" s="72" t="s">
        <v>3784</v>
      </c>
      <c r="H89" s="128" t="s">
        <v>3987</v>
      </c>
      <c r="I89" s="59" t="s">
        <v>14</v>
      </c>
    </row>
    <row r="90">
      <c r="A90" s="134"/>
    </row>
    <row r="91">
      <c r="A91" s="134"/>
    </row>
    <row r="92">
      <c r="A92" s="134"/>
    </row>
    <row r="93">
      <c r="A93" s="134"/>
    </row>
    <row r="94">
      <c r="A94" s="134"/>
    </row>
    <row r="95">
      <c r="A95" s="134"/>
    </row>
    <row r="96">
      <c r="A96" s="134"/>
    </row>
    <row r="97">
      <c r="A97" s="134"/>
    </row>
    <row r="98">
      <c r="A98" s="134"/>
    </row>
    <row r="99">
      <c r="A99" s="134"/>
    </row>
    <row r="100">
      <c r="A100" s="134"/>
    </row>
    <row r="101">
      <c r="A101" s="134"/>
    </row>
    <row r="102">
      <c r="A102" s="134"/>
    </row>
    <row r="103">
      <c r="A103" s="134"/>
    </row>
    <row r="104">
      <c r="A104" s="134"/>
    </row>
    <row r="105">
      <c r="A105" s="134"/>
    </row>
    <row r="106">
      <c r="A106" s="134"/>
    </row>
  </sheetData>
  <autoFilter ref="$A$1:$I$89"/>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3" max="3" width="16.0"/>
    <col customWidth="1" min="4" max="4" width="22.13"/>
    <col customWidth="1" min="5" max="5" width="26.75"/>
    <col customWidth="1" min="6" max="6" width="70.5"/>
    <col customWidth="1" min="7" max="7" width="24.13"/>
    <col customWidth="1" min="8" max="8" width="24.88"/>
  </cols>
  <sheetData>
    <row r="1">
      <c r="A1" s="31" t="s">
        <v>78</v>
      </c>
      <c r="B1" s="32" t="s">
        <v>79</v>
      </c>
      <c r="C1" s="31" t="s">
        <v>80</v>
      </c>
      <c r="D1" s="31" t="s">
        <v>81</v>
      </c>
      <c r="E1" s="31" t="s">
        <v>82</v>
      </c>
      <c r="F1" s="31" t="s">
        <v>413</v>
      </c>
      <c r="G1" s="31" t="s">
        <v>414</v>
      </c>
      <c r="H1" s="31" t="s">
        <v>83</v>
      </c>
      <c r="I1" s="31" t="s">
        <v>971</v>
      </c>
      <c r="J1" s="106"/>
      <c r="K1" s="106"/>
      <c r="L1" s="106"/>
      <c r="M1" s="106"/>
      <c r="N1" s="106"/>
      <c r="O1" s="106"/>
      <c r="P1" s="106"/>
      <c r="Q1" s="106"/>
      <c r="R1" s="106"/>
      <c r="S1" s="106"/>
      <c r="T1" s="106"/>
      <c r="U1" s="106"/>
      <c r="V1" s="106"/>
      <c r="W1" s="106"/>
      <c r="X1" s="106"/>
      <c r="Y1" s="106"/>
      <c r="Z1" s="106"/>
    </row>
    <row r="2">
      <c r="A2" s="85" t="s">
        <v>84</v>
      </c>
      <c r="B2" s="72" t="s">
        <v>3988</v>
      </c>
      <c r="C2" s="59" t="s">
        <v>3989</v>
      </c>
      <c r="D2" s="59" t="s">
        <v>3990</v>
      </c>
      <c r="E2" s="59" t="s">
        <v>3991</v>
      </c>
      <c r="F2" s="59" t="s">
        <v>3992</v>
      </c>
      <c r="G2" s="59" t="s">
        <v>3993</v>
      </c>
      <c r="H2" s="59" t="s">
        <v>3994</v>
      </c>
      <c r="I2" s="59" t="s">
        <v>13</v>
      </c>
      <c r="J2" s="135"/>
      <c r="K2" s="135"/>
      <c r="L2" s="94" t="s">
        <v>284</v>
      </c>
      <c r="M2" s="135">
        <f>COUNTA($I$2:$I$102)</f>
        <v>101</v>
      </c>
      <c r="N2" s="135"/>
      <c r="O2" s="135"/>
      <c r="P2" s="135"/>
      <c r="Q2" s="135"/>
      <c r="R2" s="135"/>
      <c r="S2" s="135"/>
      <c r="T2" s="135"/>
      <c r="U2" s="135"/>
      <c r="V2" s="135"/>
      <c r="W2" s="135"/>
      <c r="X2" s="135"/>
      <c r="Y2" s="135"/>
      <c r="Z2" s="135"/>
    </row>
    <row r="3">
      <c r="A3" s="85" t="s">
        <v>92</v>
      </c>
      <c r="B3" s="72" t="s">
        <v>3988</v>
      </c>
      <c r="C3" s="59" t="s">
        <v>3995</v>
      </c>
      <c r="D3" s="59" t="s">
        <v>3996</v>
      </c>
      <c r="E3" s="59" t="s">
        <v>3997</v>
      </c>
      <c r="F3" s="59" t="s">
        <v>3998</v>
      </c>
      <c r="G3" s="59" t="s">
        <v>3999</v>
      </c>
      <c r="H3" s="59" t="s">
        <v>4000</v>
      </c>
      <c r="I3" s="59" t="s">
        <v>13</v>
      </c>
      <c r="J3" s="135"/>
      <c r="K3" s="135"/>
      <c r="L3" s="135"/>
      <c r="M3" s="135"/>
      <c r="N3" s="135"/>
      <c r="O3" s="135"/>
      <c r="P3" s="135"/>
      <c r="Q3" s="135"/>
      <c r="R3" s="135"/>
      <c r="S3" s="135"/>
      <c r="T3" s="135"/>
      <c r="U3" s="135"/>
      <c r="V3" s="135"/>
      <c r="W3" s="135"/>
      <c r="X3" s="135"/>
      <c r="Y3" s="135"/>
      <c r="Z3" s="135"/>
    </row>
    <row r="4">
      <c r="A4" s="85" t="s">
        <v>96</v>
      </c>
      <c r="B4" s="72" t="s">
        <v>3988</v>
      </c>
      <c r="C4" s="59" t="s">
        <v>3995</v>
      </c>
      <c r="D4" s="59" t="s">
        <v>3996</v>
      </c>
      <c r="E4" s="59" t="s">
        <v>4001</v>
      </c>
      <c r="F4" s="59" t="s">
        <v>4002</v>
      </c>
      <c r="G4" s="65"/>
      <c r="H4" s="59" t="s">
        <v>4003</v>
      </c>
      <c r="I4" s="59" t="s">
        <v>13</v>
      </c>
      <c r="J4" s="135"/>
      <c r="K4" s="135"/>
      <c r="L4" s="135"/>
      <c r="M4" s="135"/>
      <c r="N4" s="135"/>
      <c r="O4" s="135"/>
      <c r="P4" s="135"/>
      <c r="Q4" s="135"/>
      <c r="R4" s="135"/>
      <c r="S4" s="135"/>
      <c r="T4" s="135"/>
      <c r="U4" s="135"/>
      <c r="V4" s="135"/>
      <c r="W4" s="135"/>
      <c r="X4" s="135"/>
      <c r="Y4" s="135"/>
      <c r="Z4" s="135"/>
    </row>
    <row r="5">
      <c r="A5" s="85" t="s">
        <v>101</v>
      </c>
      <c r="B5" s="72" t="s">
        <v>3988</v>
      </c>
      <c r="C5" s="59" t="s">
        <v>4004</v>
      </c>
      <c r="D5" s="59" t="s">
        <v>4005</v>
      </c>
      <c r="E5" s="59" t="s">
        <v>4006</v>
      </c>
      <c r="F5" s="59" t="s">
        <v>4007</v>
      </c>
      <c r="G5" s="65"/>
      <c r="H5" s="59" t="s">
        <v>4008</v>
      </c>
      <c r="I5" s="59" t="s">
        <v>13</v>
      </c>
      <c r="J5" s="135"/>
      <c r="K5" s="135"/>
      <c r="L5" s="135"/>
      <c r="M5" s="135"/>
      <c r="N5" s="135"/>
      <c r="O5" s="135"/>
      <c r="P5" s="135"/>
      <c r="Q5" s="135"/>
      <c r="R5" s="135"/>
      <c r="S5" s="135"/>
      <c r="T5" s="135"/>
      <c r="U5" s="135"/>
      <c r="V5" s="135"/>
      <c r="W5" s="135"/>
      <c r="X5" s="135"/>
      <c r="Y5" s="135"/>
      <c r="Z5" s="135"/>
    </row>
    <row r="6">
      <c r="A6" s="85" t="s">
        <v>106</v>
      </c>
      <c r="B6" s="72" t="s">
        <v>3988</v>
      </c>
      <c r="C6" s="59" t="s">
        <v>4004</v>
      </c>
      <c r="D6" s="59" t="s">
        <v>4009</v>
      </c>
      <c r="E6" s="59" t="s">
        <v>4010</v>
      </c>
      <c r="F6" s="59" t="s">
        <v>4007</v>
      </c>
      <c r="G6" s="65"/>
      <c r="H6" s="59" t="s">
        <v>4008</v>
      </c>
      <c r="I6" s="59" t="s">
        <v>13</v>
      </c>
      <c r="J6" s="135"/>
      <c r="K6" s="135"/>
      <c r="L6" s="135"/>
      <c r="M6" s="135"/>
      <c r="N6" s="135"/>
      <c r="O6" s="135"/>
      <c r="P6" s="135"/>
      <c r="Q6" s="135"/>
      <c r="R6" s="135"/>
      <c r="S6" s="135"/>
      <c r="T6" s="135"/>
      <c r="U6" s="135"/>
      <c r="V6" s="135"/>
      <c r="W6" s="135"/>
      <c r="X6" s="135"/>
      <c r="Y6" s="135"/>
      <c r="Z6" s="135"/>
    </row>
    <row r="7">
      <c r="A7" s="85" t="s">
        <v>110</v>
      </c>
      <c r="B7" s="72" t="s">
        <v>3988</v>
      </c>
      <c r="C7" s="59" t="s">
        <v>4004</v>
      </c>
      <c r="D7" s="59" t="s">
        <v>4011</v>
      </c>
      <c r="E7" s="59" t="s">
        <v>4012</v>
      </c>
      <c r="F7" s="59" t="s">
        <v>4007</v>
      </c>
      <c r="G7" s="65"/>
      <c r="H7" s="59" t="s">
        <v>4008</v>
      </c>
      <c r="I7" s="59" t="s">
        <v>13</v>
      </c>
      <c r="J7" s="135"/>
      <c r="K7" s="135"/>
      <c r="L7" s="135"/>
      <c r="M7" s="135"/>
      <c r="N7" s="135"/>
      <c r="O7" s="135"/>
      <c r="P7" s="135"/>
      <c r="Q7" s="135"/>
      <c r="R7" s="135"/>
      <c r="S7" s="135"/>
      <c r="T7" s="135"/>
      <c r="U7" s="135"/>
      <c r="V7" s="135"/>
      <c r="W7" s="135"/>
      <c r="X7" s="135"/>
      <c r="Y7" s="135"/>
      <c r="Z7" s="135"/>
    </row>
    <row r="8">
      <c r="A8" s="85" t="s">
        <v>115</v>
      </c>
      <c r="B8" s="72" t="s">
        <v>3988</v>
      </c>
      <c r="C8" s="59" t="s">
        <v>4004</v>
      </c>
      <c r="D8" s="59" t="s">
        <v>4013</v>
      </c>
      <c r="E8" s="59" t="s">
        <v>4014</v>
      </c>
      <c r="F8" s="59" t="s">
        <v>4015</v>
      </c>
      <c r="G8" s="59" t="s">
        <v>4016</v>
      </c>
      <c r="H8" s="59" t="s">
        <v>4008</v>
      </c>
      <c r="I8" s="59" t="s">
        <v>13</v>
      </c>
      <c r="J8" s="135"/>
      <c r="K8" s="135"/>
      <c r="L8" s="135"/>
      <c r="M8" s="135"/>
      <c r="N8" s="135"/>
      <c r="O8" s="135"/>
      <c r="P8" s="135"/>
      <c r="Q8" s="135"/>
      <c r="R8" s="135"/>
      <c r="S8" s="135"/>
      <c r="T8" s="135"/>
      <c r="U8" s="135"/>
      <c r="V8" s="135"/>
      <c r="W8" s="135"/>
      <c r="X8" s="135"/>
      <c r="Y8" s="135"/>
      <c r="Z8" s="135"/>
    </row>
    <row r="9">
      <c r="A9" s="85" t="s">
        <v>120</v>
      </c>
      <c r="B9" s="72" t="s">
        <v>3988</v>
      </c>
      <c r="C9" s="59" t="s">
        <v>4004</v>
      </c>
      <c r="D9" s="59" t="s">
        <v>4017</v>
      </c>
      <c r="E9" s="59" t="s">
        <v>4018</v>
      </c>
      <c r="F9" s="59" t="s">
        <v>4019</v>
      </c>
      <c r="G9" s="59" t="s">
        <v>4020</v>
      </c>
      <c r="H9" s="59" t="s">
        <v>4021</v>
      </c>
      <c r="I9" s="59" t="s">
        <v>13</v>
      </c>
      <c r="J9" s="135"/>
      <c r="K9" s="135"/>
      <c r="L9" s="135"/>
      <c r="M9" s="135"/>
      <c r="N9" s="135"/>
      <c r="O9" s="135"/>
      <c r="P9" s="135"/>
      <c r="Q9" s="135"/>
      <c r="R9" s="135"/>
      <c r="S9" s="135"/>
      <c r="T9" s="135"/>
      <c r="U9" s="135"/>
      <c r="V9" s="135"/>
      <c r="W9" s="135"/>
      <c r="X9" s="135"/>
      <c r="Y9" s="135"/>
      <c r="Z9" s="135"/>
    </row>
    <row r="10">
      <c r="A10" s="85" t="s">
        <v>125</v>
      </c>
      <c r="B10" s="72" t="s">
        <v>3988</v>
      </c>
      <c r="C10" s="59" t="s">
        <v>4022</v>
      </c>
      <c r="D10" s="59" t="s">
        <v>3996</v>
      </c>
      <c r="E10" s="59" t="s">
        <v>4023</v>
      </c>
      <c r="F10" s="59" t="s">
        <v>4024</v>
      </c>
      <c r="G10" s="59"/>
      <c r="H10" s="59" t="s">
        <v>4025</v>
      </c>
      <c r="I10" s="59" t="s">
        <v>13</v>
      </c>
      <c r="J10" s="135"/>
      <c r="K10" s="135"/>
      <c r="L10" s="135"/>
      <c r="M10" s="135"/>
      <c r="N10" s="135"/>
      <c r="O10" s="135"/>
      <c r="P10" s="135"/>
      <c r="Q10" s="135"/>
      <c r="R10" s="135"/>
      <c r="S10" s="135"/>
      <c r="T10" s="135"/>
      <c r="U10" s="135"/>
      <c r="V10" s="135"/>
      <c r="W10" s="135"/>
      <c r="X10" s="135"/>
      <c r="Y10" s="135"/>
      <c r="Z10" s="135"/>
    </row>
    <row r="11">
      <c r="A11" s="85" t="s">
        <v>129</v>
      </c>
      <c r="B11" s="72" t="s">
        <v>3988</v>
      </c>
      <c r="C11" s="59" t="s">
        <v>4022</v>
      </c>
      <c r="D11" s="59" t="s">
        <v>3996</v>
      </c>
      <c r="E11" s="59" t="s">
        <v>4023</v>
      </c>
      <c r="F11" s="59" t="s">
        <v>4026</v>
      </c>
      <c r="G11" s="59" t="s">
        <v>4027</v>
      </c>
      <c r="H11" s="59" t="s">
        <v>4028</v>
      </c>
      <c r="I11" s="59" t="s">
        <v>13</v>
      </c>
      <c r="J11" s="135"/>
      <c r="K11" s="135"/>
      <c r="L11" s="135"/>
      <c r="M11" s="135"/>
      <c r="N11" s="135"/>
      <c r="O11" s="135"/>
      <c r="P11" s="135"/>
      <c r="Q11" s="135"/>
      <c r="R11" s="135"/>
      <c r="S11" s="135"/>
      <c r="T11" s="135"/>
      <c r="U11" s="135"/>
      <c r="V11" s="135"/>
      <c r="W11" s="135"/>
      <c r="X11" s="135"/>
      <c r="Y11" s="135"/>
      <c r="Z11" s="135"/>
    </row>
    <row r="12">
      <c r="A12" s="85" t="s">
        <v>134</v>
      </c>
      <c r="B12" s="72" t="s">
        <v>3988</v>
      </c>
      <c r="C12" s="59" t="s">
        <v>4022</v>
      </c>
      <c r="D12" s="59" t="s">
        <v>3996</v>
      </c>
      <c r="E12" s="59" t="s">
        <v>4023</v>
      </c>
      <c r="F12" s="59" t="s">
        <v>4029</v>
      </c>
      <c r="G12" s="59" t="s">
        <v>4027</v>
      </c>
      <c r="H12" s="59" t="s">
        <v>4028</v>
      </c>
      <c r="I12" s="59" t="s">
        <v>13</v>
      </c>
      <c r="J12" s="135"/>
      <c r="K12" s="135"/>
      <c r="L12" s="135"/>
      <c r="M12" s="135"/>
      <c r="N12" s="135"/>
      <c r="O12" s="135"/>
      <c r="P12" s="135"/>
      <c r="Q12" s="135"/>
      <c r="R12" s="135"/>
      <c r="S12" s="135"/>
      <c r="T12" s="135"/>
      <c r="U12" s="135"/>
      <c r="V12" s="135"/>
      <c r="W12" s="135"/>
      <c r="X12" s="135"/>
      <c r="Y12" s="135"/>
      <c r="Z12" s="135"/>
    </row>
    <row r="13">
      <c r="A13" s="85" t="s">
        <v>139</v>
      </c>
      <c r="B13" s="72" t="s">
        <v>3988</v>
      </c>
      <c r="C13" s="59" t="s">
        <v>4030</v>
      </c>
      <c r="D13" s="59" t="s">
        <v>3996</v>
      </c>
      <c r="E13" s="59" t="s">
        <v>4031</v>
      </c>
      <c r="F13" s="59" t="s">
        <v>4032</v>
      </c>
      <c r="G13" s="65"/>
      <c r="H13" s="59" t="s">
        <v>4033</v>
      </c>
      <c r="I13" s="59" t="s">
        <v>13</v>
      </c>
      <c r="J13" s="135"/>
      <c r="K13" s="135"/>
      <c r="L13" s="135"/>
      <c r="M13" s="135"/>
      <c r="N13" s="135"/>
      <c r="O13" s="135"/>
      <c r="P13" s="135"/>
      <c r="Q13" s="135"/>
      <c r="R13" s="135"/>
      <c r="S13" s="135"/>
      <c r="T13" s="135"/>
      <c r="U13" s="135"/>
      <c r="V13" s="135"/>
      <c r="W13" s="135"/>
      <c r="X13" s="135"/>
      <c r="Y13" s="135"/>
      <c r="Z13" s="135"/>
    </row>
    <row r="14">
      <c r="A14" s="85" t="s">
        <v>144</v>
      </c>
      <c r="B14" s="72" t="s">
        <v>3988</v>
      </c>
      <c r="C14" s="59" t="s">
        <v>4034</v>
      </c>
      <c r="D14" s="59" t="s">
        <v>3996</v>
      </c>
      <c r="E14" s="59" t="s">
        <v>4035</v>
      </c>
      <c r="F14" s="59" t="s">
        <v>4036</v>
      </c>
      <c r="G14" s="65"/>
      <c r="H14" s="59" t="s">
        <v>4037</v>
      </c>
      <c r="I14" s="59" t="s">
        <v>13</v>
      </c>
      <c r="J14" s="135"/>
      <c r="K14" s="135"/>
      <c r="L14" s="135"/>
      <c r="M14" s="135"/>
      <c r="N14" s="135"/>
      <c r="O14" s="135"/>
      <c r="P14" s="135"/>
      <c r="Q14" s="135"/>
      <c r="R14" s="135"/>
      <c r="S14" s="135"/>
      <c r="T14" s="135"/>
      <c r="U14" s="135"/>
      <c r="V14" s="135"/>
      <c r="W14" s="135"/>
      <c r="X14" s="135"/>
      <c r="Y14" s="135"/>
      <c r="Z14" s="135"/>
    </row>
    <row r="15">
      <c r="A15" s="85" t="s">
        <v>149</v>
      </c>
      <c r="B15" s="72" t="s">
        <v>3988</v>
      </c>
      <c r="C15" s="59" t="s">
        <v>4038</v>
      </c>
      <c r="D15" s="59" t="s">
        <v>3996</v>
      </c>
      <c r="E15" s="59" t="s">
        <v>4039</v>
      </c>
      <c r="F15" s="59" t="s">
        <v>4040</v>
      </c>
      <c r="G15" s="65"/>
      <c r="H15" s="59" t="s">
        <v>4041</v>
      </c>
      <c r="I15" s="59" t="s">
        <v>13</v>
      </c>
      <c r="J15" s="135"/>
      <c r="K15" s="135"/>
      <c r="L15" s="135"/>
      <c r="M15" s="135"/>
      <c r="N15" s="135"/>
      <c r="O15" s="135"/>
      <c r="P15" s="135"/>
      <c r="Q15" s="135"/>
      <c r="R15" s="135"/>
      <c r="S15" s="135"/>
      <c r="T15" s="135"/>
      <c r="U15" s="135"/>
      <c r="V15" s="135"/>
      <c r="W15" s="135"/>
      <c r="X15" s="135"/>
      <c r="Y15" s="135"/>
      <c r="Z15" s="135"/>
    </row>
    <row r="16">
      <c r="A16" s="85" t="s">
        <v>153</v>
      </c>
      <c r="B16" s="72" t="s">
        <v>3988</v>
      </c>
      <c r="C16" s="59" t="s">
        <v>4038</v>
      </c>
      <c r="D16" s="59" t="s">
        <v>3996</v>
      </c>
      <c r="E16" s="59" t="s">
        <v>4039</v>
      </c>
      <c r="F16" s="59" t="s">
        <v>4042</v>
      </c>
      <c r="G16" s="65"/>
      <c r="H16" s="59" t="s">
        <v>4043</v>
      </c>
      <c r="I16" s="59" t="s">
        <v>13</v>
      </c>
      <c r="J16" s="135"/>
      <c r="K16" s="135"/>
      <c r="L16" s="135"/>
      <c r="M16" s="135"/>
      <c r="N16" s="135"/>
      <c r="O16" s="135"/>
      <c r="P16" s="135"/>
      <c r="Q16" s="135"/>
      <c r="R16" s="135"/>
      <c r="S16" s="135"/>
      <c r="T16" s="135"/>
      <c r="U16" s="135"/>
      <c r="V16" s="135"/>
      <c r="W16" s="135"/>
      <c r="X16" s="135"/>
      <c r="Y16" s="135"/>
      <c r="Z16" s="135"/>
    </row>
    <row r="17">
      <c r="A17" s="85" t="s">
        <v>158</v>
      </c>
      <c r="B17" s="72" t="s">
        <v>3988</v>
      </c>
      <c r="C17" s="59" t="s">
        <v>4038</v>
      </c>
      <c r="D17" s="59" t="s">
        <v>3996</v>
      </c>
      <c r="E17" s="59" t="s">
        <v>4039</v>
      </c>
      <c r="F17" s="59" t="s">
        <v>4044</v>
      </c>
      <c r="G17" s="65"/>
      <c r="H17" s="59" t="s">
        <v>4045</v>
      </c>
      <c r="I17" s="59" t="s">
        <v>13</v>
      </c>
      <c r="J17" s="135"/>
      <c r="K17" s="135"/>
      <c r="L17" s="135"/>
      <c r="M17" s="135"/>
      <c r="N17" s="135"/>
      <c r="O17" s="135"/>
      <c r="P17" s="135"/>
      <c r="Q17" s="135"/>
      <c r="R17" s="135"/>
      <c r="S17" s="135"/>
      <c r="T17" s="135"/>
      <c r="U17" s="135"/>
      <c r="V17" s="135"/>
      <c r="W17" s="135"/>
      <c r="X17" s="135"/>
      <c r="Y17" s="135"/>
      <c r="Z17" s="135"/>
    </row>
    <row r="18">
      <c r="A18" s="85" t="s">
        <v>162</v>
      </c>
      <c r="B18" s="72" t="s">
        <v>3988</v>
      </c>
      <c r="C18" s="59" t="s">
        <v>4038</v>
      </c>
      <c r="D18" s="59" t="s">
        <v>3996</v>
      </c>
      <c r="E18" s="59" t="s">
        <v>4046</v>
      </c>
      <c r="F18" s="59" t="s">
        <v>4047</v>
      </c>
      <c r="G18" s="65"/>
      <c r="H18" s="59" t="s">
        <v>4048</v>
      </c>
      <c r="I18" s="59" t="s">
        <v>13</v>
      </c>
      <c r="J18" s="135"/>
      <c r="K18" s="135"/>
      <c r="L18" s="135"/>
      <c r="M18" s="135"/>
      <c r="N18" s="135"/>
      <c r="O18" s="135"/>
      <c r="P18" s="135"/>
      <c r="Q18" s="135"/>
      <c r="R18" s="135"/>
      <c r="S18" s="135"/>
      <c r="T18" s="135"/>
      <c r="U18" s="135"/>
      <c r="V18" s="135"/>
      <c r="W18" s="135"/>
      <c r="X18" s="135"/>
      <c r="Y18" s="135"/>
      <c r="Z18" s="135"/>
    </row>
    <row r="19">
      <c r="A19" s="85" t="s">
        <v>165</v>
      </c>
      <c r="B19" s="72" t="s">
        <v>3988</v>
      </c>
      <c r="C19" s="59" t="s">
        <v>4049</v>
      </c>
      <c r="D19" s="59" t="s">
        <v>3996</v>
      </c>
      <c r="E19" s="59" t="s">
        <v>4050</v>
      </c>
      <c r="F19" s="59" t="s">
        <v>4051</v>
      </c>
      <c r="G19" s="65"/>
      <c r="H19" s="59" t="s">
        <v>4052</v>
      </c>
      <c r="I19" s="59" t="s">
        <v>13</v>
      </c>
      <c r="J19" s="135"/>
      <c r="K19" s="135"/>
      <c r="L19" s="135"/>
      <c r="M19" s="135"/>
      <c r="N19" s="135"/>
      <c r="O19" s="135"/>
      <c r="P19" s="135"/>
      <c r="Q19" s="135"/>
      <c r="R19" s="135"/>
      <c r="S19" s="135"/>
      <c r="T19" s="135"/>
      <c r="U19" s="135"/>
      <c r="V19" s="135"/>
      <c r="W19" s="135"/>
      <c r="X19" s="135"/>
      <c r="Y19" s="135"/>
      <c r="Z19" s="135"/>
    </row>
    <row r="20">
      <c r="A20" s="85" t="s">
        <v>167</v>
      </c>
      <c r="B20" s="72" t="s">
        <v>3988</v>
      </c>
      <c r="C20" s="59" t="s">
        <v>4053</v>
      </c>
      <c r="D20" s="59" t="s">
        <v>4054</v>
      </c>
      <c r="E20" s="59" t="s">
        <v>4055</v>
      </c>
      <c r="F20" s="59" t="s">
        <v>4056</v>
      </c>
      <c r="G20" s="59" t="s">
        <v>4057</v>
      </c>
      <c r="H20" s="59" t="s">
        <v>4058</v>
      </c>
      <c r="I20" s="59" t="s">
        <v>13</v>
      </c>
      <c r="J20" s="135"/>
      <c r="K20" s="135"/>
      <c r="L20" s="135"/>
      <c r="M20" s="135"/>
      <c r="N20" s="135"/>
      <c r="O20" s="135"/>
      <c r="P20" s="135"/>
      <c r="Q20" s="135"/>
      <c r="R20" s="135"/>
      <c r="S20" s="135"/>
      <c r="T20" s="135"/>
      <c r="U20" s="135"/>
      <c r="V20" s="135"/>
      <c r="W20" s="135"/>
      <c r="X20" s="135"/>
      <c r="Y20" s="135"/>
      <c r="Z20" s="135"/>
    </row>
    <row r="21">
      <c r="A21" s="85" t="s">
        <v>170</v>
      </c>
      <c r="B21" s="72" t="s">
        <v>3988</v>
      </c>
      <c r="C21" s="59" t="s">
        <v>4059</v>
      </c>
      <c r="D21" s="59" t="s">
        <v>3996</v>
      </c>
      <c r="E21" s="59" t="s">
        <v>4060</v>
      </c>
      <c r="F21" s="59" t="s">
        <v>4061</v>
      </c>
      <c r="G21" s="65"/>
      <c r="H21" s="59" t="s">
        <v>4062</v>
      </c>
      <c r="I21" s="59" t="s">
        <v>13</v>
      </c>
      <c r="J21" s="135"/>
      <c r="K21" s="135"/>
      <c r="L21" s="135"/>
      <c r="M21" s="135"/>
      <c r="N21" s="135"/>
      <c r="O21" s="135"/>
      <c r="P21" s="135"/>
      <c r="Q21" s="135"/>
      <c r="R21" s="135"/>
      <c r="S21" s="135"/>
      <c r="T21" s="135"/>
      <c r="U21" s="135"/>
      <c r="V21" s="135"/>
      <c r="W21" s="135"/>
      <c r="X21" s="135"/>
      <c r="Y21" s="135"/>
      <c r="Z21" s="135"/>
    </row>
    <row r="22">
      <c r="A22" s="85" t="s">
        <v>175</v>
      </c>
      <c r="B22" s="72" t="s">
        <v>3988</v>
      </c>
      <c r="C22" s="59" t="s">
        <v>4063</v>
      </c>
      <c r="D22" s="59" t="s">
        <v>3996</v>
      </c>
      <c r="E22" s="59" t="s">
        <v>4064</v>
      </c>
      <c r="F22" s="59" t="s">
        <v>4065</v>
      </c>
      <c r="G22" s="65"/>
      <c r="H22" s="59" t="s">
        <v>4066</v>
      </c>
      <c r="I22" s="59" t="s">
        <v>13</v>
      </c>
      <c r="J22" s="135"/>
      <c r="K22" s="135"/>
      <c r="L22" s="135"/>
      <c r="M22" s="135"/>
      <c r="N22" s="135"/>
      <c r="O22" s="135"/>
      <c r="P22" s="135"/>
      <c r="Q22" s="135"/>
      <c r="R22" s="135"/>
      <c r="S22" s="135"/>
      <c r="T22" s="135"/>
      <c r="U22" s="135"/>
      <c r="V22" s="135"/>
      <c r="W22" s="135"/>
      <c r="X22" s="135"/>
      <c r="Y22" s="135"/>
      <c r="Z22" s="135"/>
    </row>
    <row r="23">
      <c r="A23" s="85" t="s">
        <v>180</v>
      </c>
      <c r="B23" s="72" t="s">
        <v>3988</v>
      </c>
      <c r="C23" s="59" t="s">
        <v>4067</v>
      </c>
      <c r="D23" s="59" t="s">
        <v>3996</v>
      </c>
      <c r="E23" s="59" t="s">
        <v>4068</v>
      </c>
      <c r="F23" s="59" t="s">
        <v>4069</v>
      </c>
      <c r="G23" s="65"/>
      <c r="H23" s="59" t="s">
        <v>4070</v>
      </c>
      <c r="I23" s="59" t="s">
        <v>13</v>
      </c>
      <c r="J23" s="135"/>
      <c r="K23" s="135"/>
      <c r="L23" s="135"/>
      <c r="M23" s="135"/>
      <c r="N23" s="135"/>
      <c r="O23" s="135"/>
      <c r="P23" s="135"/>
      <c r="Q23" s="135"/>
      <c r="R23" s="135"/>
      <c r="S23" s="135"/>
      <c r="T23" s="135"/>
      <c r="U23" s="135"/>
      <c r="V23" s="135"/>
      <c r="W23" s="135"/>
      <c r="X23" s="135"/>
      <c r="Y23" s="135"/>
      <c r="Z23" s="135"/>
    </row>
    <row r="24">
      <c r="A24" s="85" t="s">
        <v>185</v>
      </c>
      <c r="B24" s="72" t="s">
        <v>3988</v>
      </c>
      <c r="C24" s="59" t="s">
        <v>4067</v>
      </c>
      <c r="D24" s="59" t="s">
        <v>3996</v>
      </c>
      <c r="E24" s="59" t="s">
        <v>4071</v>
      </c>
      <c r="F24" s="59" t="s">
        <v>4072</v>
      </c>
      <c r="G24" s="59" t="s">
        <v>4073</v>
      </c>
      <c r="H24" s="59" t="s">
        <v>4074</v>
      </c>
      <c r="I24" s="59" t="s">
        <v>13</v>
      </c>
      <c r="J24" s="135"/>
      <c r="K24" s="135"/>
      <c r="L24" s="135"/>
      <c r="M24" s="135"/>
      <c r="N24" s="135"/>
      <c r="O24" s="135"/>
      <c r="P24" s="135"/>
      <c r="Q24" s="135"/>
      <c r="R24" s="135"/>
      <c r="S24" s="135"/>
      <c r="T24" s="135"/>
      <c r="U24" s="135"/>
      <c r="V24" s="135"/>
      <c r="W24" s="135"/>
      <c r="X24" s="135"/>
      <c r="Y24" s="135"/>
      <c r="Z24" s="135"/>
    </row>
    <row r="25">
      <c r="A25" s="85" t="s">
        <v>190</v>
      </c>
      <c r="B25" s="72" t="s">
        <v>3988</v>
      </c>
      <c r="C25" s="59" t="s">
        <v>4067</v>
      </c>
      <c r="D25" s="59" t="s">
        <v>3996</v>
      </c>
      <c r="E25" s="59" t="s">
        <v>4075</v>
      </c>
      <c r="F25" s="59" t="s">
        <v>4076</v>
      </c>
      <c r="G25" s="59" t="s">
        <v>4073</v>
      </c>
      <c r="H25" s="59" t="s">
        <v>4074</v>
      </c>
      <c r="I25" s="59" t="s">
        <v>13</v>
      </c>
      <c r="J25" s="135"/>
      <c r="K25" s="135"/>
      <c r="L25" s="135"/>
      <c r="M25" s="135"/>
      <c r="N25" s="135"/>
      <c r="O25" s="135"/>
      <c r="P25" s="135"/>
      <c r="Q25" s="135"/>
      <c r="R25" s="135"/>
      <c r="S25" s="135"/>
      <c r="T25" s="135"/>
      <c r="U25" s="135"/>
      <c r="V25" s="135"/>
      <c r="W25" s="135"/>
      <c r="X25" s="135"/>
      <c r="Y25" s="135"/>
      <c r="Z25" s="135"/>
    </row>
    <row r="26">
      <c r="A26" s="85" t="s">
        <v>195</v>
      </c>
      <c r="B26" s="72" t="s">
        <v>3988</v>
      </c>
      <c r="C26" s="59" t="s">
        <v>4067</v>
      </c>
      <c r="D26" s="59" t="s">
        <v>3996</v>
      </c>
      <c r="E26" s="59" t="s">
        <v>4077</v>
      </c>
      <c r="F26" s="59" t="s">
        <v>4078</v>
      </c>
      <c r="G26" s="59" t="s">
        <v>4073</v>
      </c>
      <c r="H26" s="59" t="s">
        <v>4074</v>
      </c>
      <c r="I26" s="59" t="s">
        <v>13</v>
      </c>
      <c r="J26" s="135"/>
      <c r="K26" s="135"/>
      <c r="L26" s="135"/>
      <c r="M26" s="135"/>
      <c r="N26" s="135"/>
      <c r="O26" s="135"/>
      <c r="P26" s="135"/>
      <c r="Q26" s="135"/>
      <c r="R26" s="135"/>
      <c r="S26" s="135"/>
      <c r="T26" s="135"/>
      <c r="U26" s="135"/>
      <c r="V26" s="135"/>
      <c r="W26" s="135"/>
      <c r="X26" s="135"/>
      <c r="Y26" s="135"/>
      <c r="Z26" s="135"/>
    </row>
    <row r="27">
      <c r="A27" s="85" t="s">
        <v>200</v>
      </c>
      <c r="B27" s="72" t="s">
        <v>3988</v>
      </c>
      <c r="C27" s="59" t="s">
        <v>4067</v>
      </c>
      <c r="D27" s="59" t="s">
        <v>3996</v>
      </c>
      <c r="E27" s="59" t="s">
        <v>4079</v>
      </c>
      <c r="F27" s="59" t="s">
        <v>4080</v>
      </c>
      <c r="G27" s="59" t="s">
        <v>4073</v>
      </c>
      <c r="H27" s="59" t="s">
        <v>4074</v>
      </c>
      <c r="I27" s="59" t="s">
        <v>13</v>
      </c>
      <c r="J27" s="135"/>
      <c r="K27" s="135"/>
      <c r="L27" s="135"/>
      <c r="M27" s="135"/>
      <c r="N27" s="135"/>
      <c r="O27" s="135"/>
      <c r="P27" s="135"/>
      <c r="Q27" s="135"/>
      <c r="R27" s="135"/>
      <c r="S27" s="135"/>
      <c r="T27" s="135"/>
      <c r="U27" s="135"/>
      <c r="V27" s="135"/>
      <c r="W27" s="135"/>
      <c r="X27" s="135"/>
      <c r="Y27" s="135"/>
      <c r="Z27" s="135"/>
    </row>
    <row r="28">
      <c r="A28" s="85" t="s">
        <v>205</v>
      </c>
      <c r="B28" s="72" t="s">
        <v>3988</v>
      </c>
      <c r="C28" s="59" t="s">
        <v>4067</v>
      </c>
      <c r="D28" s="59" t="s">
        <v>3996</v>
      </c>
      <c r="E28" s="59" t="s">
        <v>4081</v>
      </c>
      <c r="F28" s="59" t="s">
        <v>4082</v>
      </c>
      <c r="G28" s="65"/>
      <c r="H28" s="59" t="s">
        <v>4083</v>
      </c>
      <c r="I28" s="59" t="s">
        <v>13</v>
      </c>
      <c r="J28" s="135"/>
      <c r="K28" s="135"/>
      <c r="L28" s="135"/>
      <c r="M28" s="135"/>
      <c r="N28" s="135"/>
      <c r="O28" s="135"/>
      <c r="P28" s="135"/>
      <c r="Q28" s="135"/>
      <c r="R28" s="135"/>
      <c r="S28" s="135"/>
      <c r="T28" s="135"/>
      <c r="U28" s="135"/>
      <c r="V28" s="135"/>
      <c r="W28" s="135"/>
      <c r="X28" s="135"/>
      <c r="Y28" s="135"/>
      <c r="Z28" s="135"/>
    </row>
    <row r="29">
      <c r="A29" s="85" t="s">
        <v>210</v>
      </c>
      <c r="B29" s="72" t="s">
        <v>3988</v>
      </c>
      <c r="C29" s="59" t="s">
        <v>4084</v>
      </c>
      <c r="D29" s="59" t="s">
        <v>3996</v>
      </c>
      <c r="E29" s="59" t="s">
        <v>4085</v>
      </c>
      <c r="F29" s="59" t="s">
        <v>4086</v>
      </c>
      <c r="G29" s="59" t="s">
        <v>4073</v>
      </c>
      <c r="H29" s="59" t="s">
        <v>4087</v>
      </c>
      <c r="I29" s="59" t="s">
        <v>13</v>
      </c>
      <c r="J29" s="135"/>
      <c r="K29" s="135"/>
      <c r="L29" s="135"/>
      <c r="M29" s="135"/>
      <c r="N29" s="135"/>
      <c r="O29" s="135"/>
      <c r="P29" s="135"/>
      <c r="Q29" s="135"/>
      <c r="R29" s="135"/>
      <c r="S29" s="135"/>
      <c r="T29" s="135"/>
      <c r="U29" s="135"/>
      <c r="V29" s="135"/>
      <c r="W29" s="135"/>
      <c r="X29" s="135"/>
      <c r="Y29" s="135"/>
      <c r="Z29" s="135"/>
    </row>
    <row r="30">
      <c r="A30" s="85" t="s">
        <v>215</v>
      </c>
      <c r="B30" s="72" t="s">
        <v>3988</v>
      </c>
      <c r="C30" s="59" t="s">
        <v>4084</v>
      </c>
      <c r="D30" s="59" t="s">
        <v>3996</v>
      </c>
      <c r="E30" s="59" t="s">
        <v>4085</v>
      </c>
      <c r="F30" s="59" t="s">
        <v>4088</v>
      </c>
      <c r="G30" s="59" t="s">
        <v>4073</v>
      </c>
      <c r="H30" s="59" t="s">
        <v>4087</v>
      </c>
      <c r="I30" s="59" t="s">
        <v>13</v>
      </c>
      <c r="J30" s="135"/>
      <c r="K30" s="135"/>
      <c r="L30" s="135"/>
      <c r="M30" s="135"/>
      <c r="N30" s="135"/>
      <c r="O30" s="135"/>
      <c r="P30" s="135"/>
      <c r="Q30" s="135"/>
      <c r="R30" s="135"/>
      <c r="S30" s="135"/>
      <c r="T30" s="135"/>
      <c r="U30" s="135"/>
      <c r="V30" s="135"/>
      <c r="W30" s="135"/>
      <c r="X30" s="135"/>
      <c r="Y30" s="135"/>
      <c r="Z30" s="135"/>
    </row>
    <row r="31">
      <c r="A31" s="85" t="s">
        <v>220</v>
      </c>
      <c r="B31" s="72" t="s">
        <v>3988</v>
      </c>
      <c r="C31" s="59" t="s">
        <v>4084</v>
      </c>
      <c r="D31" s="59" t="s">
        <v>3996</v>
      </c>
      <c r="E31" s="59" t="s">
        <v>4085</v>
      </c>
      <c r="F31" s="59" t="s">
        <v>4089</v>
      </c>
      <c r="G31" s="59" t="s">
        <v>4073</v>
      </c>
      <c r="H31" s="59" t="s">
        <v>4087</v>
      </c>
      <c r="I31" s="59" t="s">
        <v>13</v>
      </c>
      <c r="J31" s="135"/>
      <c r="K31" s="135"/>
      <c r="L31" s="135"/>
      <c r="M31" s="135"/>
      <c r="N31" s="135"/>
      <c r="O31" s="135"/>
      <c r="P31" s="135"/>
      <c r="Q31" s="135"/>
      <c r="R31" s="135"/>
      <c r="S31" s="135"/>
      <c r="T31" s="135"/>
      <c r="U31" s="135"/>
      <c r="V31" s="135"/>
      <c r="W31" s="135"/>
      <c r="X31" s="135"/>
      <c r="Y31" s="135"/>
      <c r="Z31" s="135"/>
    </row>
    <row r="32">
      <c r="A32" s="85" t="s">
        <v>224</v>
      </c>
      <c r="B32" s="72" t="s">
        <v>3988</v>
      </c>
      <c r="C32" s="59" t="s">
        <v>4084</v>
      </c>
      <c r="D32" s="59" t="s">
        <v>3996</v>
      </c>
      <c r="E32" s="59" t="s">
        <v>4085</v>
      </c>
      <c r="F32" s="59" t="s">
        <v>4090</v>
      </c>
      <c r="G32" s="59" t="s">
        <v>4073</v>
      </c>
      <c r="H32" s="59" t="s">
        <v>4087</v>
      </c>
      <c r="I32" s="59" t="s">
        <v>13</v>
      </c>
      <c r="J32" s="135"/>
      <c r="K32" s="135"/>
      <c r="L32" s="135"/>
      <c r="M32" s="135"/>
      <c r="N32" s="135"/>
      <c r="O32" s="135"/>
      <c r="P32" s="135"/>
      <c r="Q32" s="135"/>
      <c r="R32" s="135"/>
      <c r="S32" s="135"/>
      <c r="T32" s="135"/>
      <c r="U32" s="135"/>
      <c r="V32" s="135"/>
      <c r="W32" s="135"/>
      <c r="X32" s="135"/>
      <c r="Y32" s="135"/>
      <c r="Z32" s="135"/>
    </row>
    <row r="33">
      <c r="A33" s="85" t="s">
        <v>228</v>
      </c>
      <c r="B33" s="72" t="s">
        <v>3988</v>
      </c>
      <c r="C33" s="59" t="s">
        <v>4084</v>
      </c>
      <c r="D33" s="59" t="s">
        <v>3996</v>
      </c>
      <c r="E33" s="59" t="s">
        <v>4085</v>
      </c>
      <c r="F33" s="59" t="s">
        <v>4082</v>
      </c>
      <c r="G33" s="65"/>
      <c r="H33" s="59" t="s">
        <v>4083</v>
      </c>
      <c r="I33" s="59" t="s">
        <v>13</v>
      </c>
      <c r="J33" s="135"/>
      <c r="K33" s="135"/>
      <c r="L33" s="135"/>
      <c r="M33" s="135"/>
      <c r="N33" s="135"/>
      <c r="O33" s="135"/>
      <c r="P33" s="135"/>
      <c r="Q33" s="135"/>
      <c r="R33" s="135"/>
      <c r="S33" s="135"/>
      <c r="T33" s="135"/>
      <c r="U33" s="135"/>
      <c r="V33" s="135"/>
      <c r="W33" s="135"/>
      <c r="X33" s="135"/>
      <c r="Y33" s="135"/>
      <c r="Z33" s="135"/>
    </row>
    <row r="34">
      <c r="A34" s="85" t="s">
        <v>233</v>
      </c>
      <c r="B34" s="72" t="s">
        <v>3988</v>
      </c>
      <c r="C34" s="59" t="s">
        <v>4091</v>
      </c>
      <c r="D34" s="59" t="s">
        <v>3996</v>
      </c>
      <c r="E34" s="59" t="s">
        <v>4092</v>
      </c>
      <c r="F34" s="59" t="s">
        <v>4093</v>
      </c>
      <c r="G34" s="65"/>
      <c r="H34" s="59" t="s">
        <v>4094</v>
      </c>
      <c r="I34" s="59" t="s">
        <v>13</v>
      </c>
      <c r="J34" s="135"/>
      <c r="K34" s="135"/>
      <c r="L34" s="135"/>
      <c r="M34" s="135"/>
      <c r="N34" s="135"/>
      <c r="O34" s="135"/>
      <c r="P34" s="135"/>
      <c r="Q34" s="135"/>
      <c r="R34" s="135"/>
      <c r="S34" s="135"/>
      <c r="T34" s="135"/>
      <c r="U34" s="135"/>
      <c r="V34" s="135"/>
      <c r="W34" s="135"/>
      <c r="X34" s="135"/>
      <c r="Y34" s="135"/>
      <c r="Z34" s="135"/>
    </row>
    <row r="35">
      <c r="A35" s="85" t="s">
        <v>237</v>
      </c>
      <c r="B35" s="72" t="s">
        <v>3988</v>
      </c>
      <c r="C35" s="59" t="s">
        <v>4095</v>
      </c>
      <c r="D35" s="59" t="s">
        <v>3996</v>
      </c>
      <c r="E35" s="59" t="s">
        <v>4096</v>
      </c>
      <c r="F35" s="59" t="s">
        <v>4097</v>
      </c>
      <c r="G35" s="59" t="s">
        <v>4098</v>
      </c>
      <c r="H35" s="59" t="s">
        <v>4099</v>
      </c>
      <c r="I35" s="59" t="s">
        <v>13</v>
      </c>
      <c r="J35" s="135"/>
      <c r="K35" s="135"/>
      <c r="L35" s="135"/>
      <c r="M35" s="135"/>
      <c r="N35" s="135"/>
      <c r="O35" s="135"/>
      <c r="P35" s="135"/>
      <c r="Q35" s="135"/>
      <c r="R35" s="135"/>
      <c r="S35" s="135"/>
      <c r="T35" s="135"/>
      <c r="U35" s="135"/>
      <c r="V35" s="135"/>
      <c r="W35" s="135"/>
      <c r="X35" s="135"/>
      <c r="Y35" s="135"/>
      <c r="Z35" s="135"/>
    </row>
    <row r="36">
      <c r="A36" s="85" t="s">
        <v>241</v>
      </c>
      <c r="B36" s="72" t="s">
        <v>3988</v>
      </c>
      <c r="C36" s="59" t="s">
        <v>4095</v>
      </c>
      <c r="D36" s="59" t="s">
        <v>3996</v>
      </c>
      <c r="E36" s="59" t="s">
        <v>4100</v>
      </c>
      <c r="F36" s="59" t="s">
        <v>4097</v>
      </c>
      <c r="G36" s="59" t="s">
        <v>4101</v>
      </c>
      <c r="H36" s="59" t="s">
        <v>4102</v>
      </c>
      <c r="I36" s="59" t="s">
        <v>13</v>
      </c>
      <c r="J36" s="135"/>
      <c r="K36" s="135"/>
      <c r="L36" s="135"/>
      <c r="M36" s="135"/>
      <c r="N36" s="135"/>
      <c r="O36" s="135"/>
      <c r="P36" s="135"/>
      <c r="Q36" s="135"/>
      <c r="R36" s="135"/>
      <c r="S36" s="135"/>
      <c r="T36" s="135"/>
      <c r="U36" s="135"/>
      <c r="V36" s="135"/>
      <c r="W36" s="135"/>
      <c r="X36" s="135"/>
      <c r="Y36" s="135"/>
      <c r="Z36" s="135"/>
    </row>
    <row r="37">
      <c r="A37" s="85" t="s">
        <v>245</v>
      </c>
      <c r="B37" s="72" t="s">
        <v>3988</v>
      </c>
      <c r="C37" s="59" t="s">
        <v>4095</v>
      </c>
      <c r="D37" s="59" t="s">
        <v>3996</v>
      </c>
      <c r="E37" s="59" t="s">
        <v>4103</v>
      </c>
      <c r="F37" s="59" t="s">
        <v>4104</v>
      </c>
      <c r="G37" s="59" t="s">
        <v>4105</v>
      </c>
      <c r="H37" s="59" t="s">
        <v>4099</v>
      </c>
      <c r="I37" s="59" t="s">
        <v>13</v>
      </c>
      <c r="J37" s="135"/>
      <c r="K37" s="135"/>
      <c r="L37" s="135"/>
      <c r="M37" s="135"/>
      <c r="N37" s="135"/>
      <c r="O37" s="135"/>
      <c r="P37" s="135"/>
      <c r="Q37" s="135"/>
      <c r="R37" s="135"/>
      <c r="S37" s="135"/>
      <c r="T37" s="135"/>
      <c r="U37" s="135"/>
      <c r="V37" s="135"/>
      <c r="W37" s="135"/>
      <c r="X37" s="135"/>
      <c r="Y37" s="135"/>
      <c r="Z37" s="135"/>
    </row>
    <row r="38">
      <c r="A38" s="85" t="s">
        <v>250</v>
      </c>
      <c r="B38" s="72" t="s">
        <v>3988</v>
      </c>
      <c r="C38" s="59" t="s">
        <v>4095</v>
      </c>
      <c r="D38" s="59" t="s">
        <v>3996</v>
      </c>
      <c r="E38" s="59" t="s">
        <v>4106</v>
      </c>
      <c r="F38" s="59" t="s">
        <v>4107</v>
      </c>
      <c r="G38" s="59" t="s">
        <v>4108</v>
      </c>
      <c r="H38" s="59" t="s">
        <v>4109</v>
      </c>
      <c r="I38" s="59" t="s">
        <v>13</v>
      </c>
      <c r="J38" s="135"/>
      <c r="K38" s="135"/>
      <c r="L38" s="135"/>
      <c r="M38" s="135"/>
      <c r="N38" s="135"/>
      <c r="O38" s="135"/>
      <c r="P38" s="135"/>
      <c r="Q38" s="135"/>
      <c r="R38" s="135"/>
      <c r="S38" s="135"/>
      <c r="T38" s="135"/>
      <c r="U38" s="135"/>
      <c r="V38" s="135"/>
      <c r="W38" s="135"/>
      <c r="X38" s="135"/>
      <c r="Y38" s="135"/>
      <c r="Z38" s="135"/>
    </row>
    <row r="39">
      <c r="A39" s="85" t="s">
        <v>254</v>
      </c>
      <c r="B39" s="72" t="s">
        <v>3988</v>
      </c>
      <c r="C39" s="59" t="s">
        <v>4110</v>
      </c>
      <c r="D39" s="59" t="s">
        <v>3996</v>
      </c>
      <c r="E39" s="59" t="s">
        <v>4111</v>
      </c>
      <c r="F39" s="59" t="s">
        <v>4112</v>
      </c>
      <c r="G39" s="59" t="s">
        <v>4113</v>
      </c>
      <c r="H39" s="59" t="s">
        <v>4114</v>
      </c>
      <c r="I39" s="59" t="s">
        <v>13</v>
      </c>
      <c r="J39" s="135"/>
      <c r="K39" s="135"/>
      <c r="L39" s="135"/>
      <c r="M39" s="135"/>
      <c r="N39" s="135"/>
      <c r="O39" s="135"/>
      <c r="P39" s="135"/>
      <c r="Q39" s="135"/>
      <c r="R39" s="135"/>
      <c r="S39" s="135"/>
      <c r="T39" s="135"/>
      <c r="U39" s="135"/>
      <c r="V39" s="135"/>
      <c r="W39" s="135"/>
      <c r="X39" s="135"/>
      <c r="Y39" s="135"/>
      <c r="Z39" s="135"/>
    </row>
    <row r="40">
      <c r="A40" s="85" t="s">
        <v>258</v>
      </c>
      <c r="B40" s="72" t="s">
        <v>3988</v>
      </c>
      <c r="C40" s="59" t="s">
        <v>4095</v>
      </c>
      <c r="D40" s="59" t="s">
        <v>3996</v>
      </c>
      <c r="E40" s="59" t="s">
        <v>4115</v>
      </c>
      <c r="F40" s="59" t="s">
        <v>4116</v>
      </c>
      <c r="G40" s="59" t="s">
        <v>4113</v>
      </c>
      <c r="H40" s="59" t="s">
        <v>4117</v>
      </c>
      <c r="I40" s="59" t="s">
        <v>13</v>
      </c>
      <c r="J40" s="135"/>
      <c r="K40" s="135"/>
      <c r="L40" s="135"/>
      <c r="M40" s="135"/>
      <c r="N40" s="135"/>
      <c r="O40" s="135"/>
      <c r="P40" s="135"/>
      <c r="Q40" s="135"/>
      <c r="R40" s="135"/>
      <c r="S40" s="135"/>
      <c r="T40" s="135"/>
      <c r="U40" s="135"/>
      <c r="V40" s="135"/>
      <c r="W40" s="135"/>
      <c r="X40" s="135"/>
      <c r="Y40" s="135"/>
      <c r="Z40" s="135"/>
    </row>
    <row r="41">
      <c r="A41" s="85" t="s">
        <v>263</v>
      </c>
      <c r="B41" s="72" t="s">
        <v>3988</v>
      </c>
      <c r="C41" s="59" t="s">
        <v>4095</v>
      </c>
      <c r="D41" s="59" t="s">
        <v>3996</v>
      </c>
      <c r="E41" s="59" t="s">
        <v>4118</v>
      </c>
      <c r="F41" s="59" t="s">
        <v>4119</v>
      </c>
      <c r="G41" s="59" t="s">
        <v>4120</v>
      </c>
      <c r="H41" s="59" t="s">
        <v>4121</v>
      </c>
      <c r="I41" s="59" t="s">
        <v>13</v>
      </c>
      <c r="J41" s="135"/>
      <c r="K41" s="135"/>
      <c r="L41" s="135"/>
      <c r="M41" s="135"/>
      <c r="N41" s="135"/>
      <c r="O41" s="135"/>
      <c r="P41" s="135"/>
      <c r="Q41" s="135"/>
      <c r="R41" s="135"/>
      <c r="S41" s="135"/>
      <c r="T41" s="135"/>
      <c r="U41" s="135"/>
      <c r="V41" s="135"/>
      <c r="W41" s="135"/>
      <c r="X41" s="135"/>
      <c r="Y41" s="135"/>
      <c r="Z41" s="135"/>
    </row>
    <row r="42">
      <c r="A42" s="85" t="s">
        <v>268</v>
      </c>
      <c r="B42" s="72" t="s">
        <v>3988</v>
      </c>
      <c r="C42" s="59" t="s">
        <v>4122</v>
      </c>
      <c r="D42" s="59" t="s">
        <v>3996</v>
      </c>
      <c r="E42" s="59" t="s">
        <v>4123</v>
      </c>
      <c r="F42" s="59" t="s">
        <v>4124</v>
      </c>
      <c r="G42" s="59" t="s">
        <v>4125</v>
      </c>
      <c r="H42" s="59" t="s">
        <v>4121</v>
      </c>
      <c r="I42" s="59" t="s">
        <v>13</v>
      </c>
      <c r="J42" s="135"/>
      <c r="K42" s="135"/>
      <c r="L42" s="135"/>
      <c r="M42" s="135"/>
      <c r="N42" s="135"/>
      <c r="O42" s="135"/>
      <c r="P42" s="135"/>
      <c r="Q42" s="135"/>
      <c r="R42" s="135"/>
      <c r="S42" s="135"/>
      <c r="T42" s="135"/>
      <c r="U42" s="135"/>
      <c r="V42" s="135"/>
      <c r="W42" s="135"/>
      <c r="X42" s="135"/>
      <c r="Y42" s="135"/>
      <c r="Z42" s="135"/>
    </row>
    <row r="43">
      <c r="A43" s="85" t="s">
        <v>271</v>
      </c>
      <c r="B43" s="72" t="s">
        <v>3988</v>
      </c>
      <c r="C43" s="59" t="s">
        <v>4122</v>
      </c>
      <c r="D43" s="59" t="s">
        <v>3996</v>
      </c>
      <c r="E43" s="59" t="s">
        <v>4126</v>
      </c>
      <c r="F43" s="59" t="s">
        <v>4127</v>
      </c>
      <c r="G43" s="59" t="s">
        <v>4113</v>
      </c>
      <c r="H43" s="59" t="s">
        <v>4128</v>
      </c>
      <c r="I43" s="59" t="s">
        <v>13</v>
      </c>
      <c r="J43" s="135"/>
      <c r="K43" s="135"/>
      <c r="L43" s="135"/>
      <c r="M43" s="135"/>
      <c r="N43" s="135"/>
      <c r="O43" s="135"/>
      <c r="P43" s="135"/>
      <c r="Q43" s="135"/>
      <c r="R43" s="135"/>
      <c r="S43" s="135"/>
      <c r="T43" s="135"/>
      <c r="U43" s="135"/>
      <c r="V43" s="135"/>
      <c r="W43" s="135"/>
      <c r="X43" s="135"/>
      <c r="Y43" s="135"/>
      <c r="Z43" s="135"/>
    </row>
    <row r="44">
      <c r="A44" s="85" t="s">
        <v>274</v>
      </c>
      <c r="B44" s="72" t="s">
        <v>3988</v>
      </c>
      <c r="C44" s="59" t="s">
        <v>4122</v>
      </c>
      <c r="D44" s="59" t="s">
        <v>3996</v>
      </c>
      <c r="E44" s="59" t="s">
        <v>4129</v>
      </c>
      <c r="F44" s="59" t="s">
        <v>4130</v>
      </c>
      <c r="G44" s="59" t="s">
        <v>4113</v>
      </c>
      <c r="H44" s="59" t="s">
        <v>4131</v>
      </c>
      <c r="I44" s="59" t="s">
        <v>13</v>
      </c>
      <c r="J44" s="135"/>
      <c r="K44" s="135"/>
      <c r="L44" s="135"/>
      <c r="M44" s="135"/>
      <c r="N44" s="135"/>
      <c r="O44" s="135"/>
      <c r="P44" s="135"/>
      <c r="Q44" s="135"/>
      <c r="R44" s="135"/>
      <c r="S44" s="135"/>
      <c r="T44" s="135"/>
      <c r="U44" s="135"/>
      <c r="V44" s="135"/>
      <c r="W44" s="135"/>
      <c r="X44" s="135"/>
      <c r="Y44" s="135"/>
      <c r="Z44" s="135"/>
    </row>
    <row r="45">
      <c r="A45" s="85" t="s">
        <v>405</v>
      </c>
      <c r="B45" s="72" t="s">
        <v>3988</v>
      </c>
      <c r="C45" s="59" t="s">
        <v>4122</v>
      </c>
      <c r="D45" s="59" t="s">
        <v>3996</v>
      </c>
      <c r="E45" s="59" t="s">
        <v>4132</v>
      </c>
      <c r="F45" s="59" t="s">
        <v>4133</v>
      </c>
      <c r="G45" s="59" t="s">
        <v>4134</v>
      </c>
      <c r="H45" s="59" t="s">
        <v>4135</v>
      </c>
      <c r="I45" s="59" t="s">
        <v>13</v>
      </c>
      <c r="J45" s="135"/>
      <c r="K45" s="135"/>
      <c r="L45" s="135"/>
      <c r="M45" s="135"/>
      <c r="N45" s="135"/>
      <c r="O45" s="135"/>
      <c r="P45" s="135"/>
      <c r="Q45" s="135"/>
      <c r="R45" s="135"/>
      <c r="S45" s="135"/>
      <c r="T45" s="135"/>
      <c r="U45" s="135"/>
      <c r="V45" s="135"/>
      <c r="W45" s="135"/>
      <c r="X45" s="135"/>
      <c r="Y45" s="135"/>
      <c r="Z45" s="135"/>
    </row>
    <row r="46">
      <c r="A46" s="85" t="s">
        <v>408</v>
      </c>
      <c r="B46" s="72" t="s">
        <v>3988</v>
      </c>
      <c r="C46" s="59" t="s">
        <v>4122</v>
      </c>
      <c r="D46" s="59" t="s">
        <v>3996</v>
      </c>
      <c r="E46" s="59" t="s">
        <v>4132</v>
      </c>
      <c r="F46" s="59" t="s">
        <v>4136</v>
      </c>
      <c r="G46" s="59" t="s">
        <v>4137</v>
      </c>
      <c r="H46" s="59" t="s">
        <v>4138</v>
      </c>
      <c r="I46" s="59" t="s">
        <v>13</v>
      </c>
      <c r="J46" s="135"/>
      <c r="K46" s="135"/>
      <c r="L46" s="135"/>
      <c r="M46" s="135"/>
      <c r="N46" s="135"/>
      <c r="O46" s="135"/>
      <c r="P46" s="135"/>
      <c r="Q46" s="135"/>
      <c r="R46" s="135"/>
      <c r="S46" s="135"/>
      <c r="T46" s="135"/>
      <c r="U46" s="135"/>
      <c r="V46" s="135"/>
      <c r="W46" s="135"/>
      <c r="X46" s="135"/>
      <c r="Y46" s="135"/>
      <c r="Z46" s="135"/>
    </row>
    <row r="47">
      <c r="A47" s="85" t="s">
        <v>629</v>
      </c>
      <c r="B47" s="72" t="s">
        <v>3988</v>
      </c>
      <c r="C47" s="59" t="s">
        <v>4122</v>
      </c>
      <c r="D47" s="59" t="s">
        <v>3996</v>
      </c>
      <c r="E47" s="59" t="s">
        <v>4139</v>
      </c>
      <c r="F47" s="59" t="s">
        <v>4140</v>
      </c>
      <c r="G47" s="65"/>
      <c r="H47" s="59" t="s">
        <v>4141</v>
      </c>
      <c r="I47" s="59" t="s">
        <v>13</v>
      </c>
      <c r="J47" s="135"/>
      <c r="K47" s="135"/>
      <c r="L47" s="135"/>
      <c r="M47" s="135"/>
      <c r="N47" s="135"/>
      <c r="O47" s="135"/>
      <c r="P47" s="135"/>
      <c r="Q47" s="135"/>
      <c r="R47" s="135"/>
      <c r="S47" s="135"/>
      <c r="T47" s="135"/>
      <c r="U47" s="135"/>
      <c r="V47" s="135"/>
      <c r="W47" s="135"/>
      <c r="X47" s="135"/>
      <c r="Y47" s="135"/>
      <c r="Z47" s="135"/>
    </row>
    <row r="48">
      <c r="A48" s="85" t="s">
        <v>633</v>
      </c>
      <c r="B48" s="72" t="s">
        <v>3988</v>
      </c>
      <c r="C48" s="59" t="s">
        <v>4122</v>
      </c>
      <c r="D48" s="59" t="s">
        <v>3996</v>
      </c>
      <c r="E48" s="59" t="s">
        <v>4139</v>
      </c>
      <c r="F48" s="59" t="s">
        <v>4142</v>
      </c>
      <c r="G48" s="65"/>
      <c r="H48" s="59" t="s">
        <v>4143</v>
      </c>
      <c r="I48" s="59" t="s">
        <v>13</v>
      </c>
      <c r="J48" s="135"/>
      <c r="K48" s="135"/>
      <c r="L48" s="135"/>
      <c r="M48" s="135"/>
      <c r="N48" s="135"/>
      <c r="O48" s="135"/>
      <c r="P48" s="135"/>
      <c r="Q48" s="135"/>
      <c r="R48" s="135"/>
      <c r="S48" s="135"/>
      <c r="T48" s="135"/>
      <c r="U48" s="135"/>
      <c r="V48" s="135"/>
      <c r="W48" s="135"/>
      <c r="X48" s="135"/>
      <c r="Y48" s="135"/>
      <c r="Z48" s="135"/>
    </row>
    <row r="49">
      <c r="A49" s="85" t="s">
        <v>637</v>
      </c>
      <c r="B49" s="72" t="s">
        <v>3988</v>
      </c>
      <c r="C49" s="59" t="s">
        <v>4122</v>
      </c>
      <c r="D49" s="59" t="s">
        <v>3996</v>
      </c>
      <c r="E49" s="59" t="s">
        <v>4139</v>
      </c>
      <c r="F49" s="59" t="s">
        <v>4144</v>
      </c>
      <c r="G49" s="65"/>
      <c r="H49" s="59" t="s">
        <v>4145</v>
      </c>
      <c r="I49" s="59" t="s">
        <v>13</v>
      </c>
      <c r="J49" s="135"/>
      <c r="K49" s="135"/>
      <c r="L49" s="135"/>
      <c r="M49" s="135"/>
      <c r="N49" s="135"/>
      <c r="O49" s="135"/>
      <c r="P49" s="135"/>
      <c r="Q49" s="135"/>
      <c r="R49" s="135"/>
      <c r="S49" s="135"/>
      <c r="T49" s="135"/>
      <c r="U49" s="135"/>
      <c r="V49" s="135"/>
      <c r="W49" s="135"/>
      <c r="X49" s="135"/>
      <c r="Y49" s="135"/>
      <c r="Z49" s="135"/>
    </row>
    <row r="50">
      <c r="A50" s="85" t="s">
        <v>641</v>
      </c>
      <c r="B50" s="72" t="s">
        <v>3988</v>
      </c>
      <c r="C50" s="59" t="s">
        <v>4122</v>
      </c>
      <c r="D50" s="59" t="s">
        <v>3996</v>
      </c>
      <c r="E50" s="59" t="s">
        <v>4139</v>
      </c>
      <c r="F50" s="59" t="s">
        <v>4146</v>
      </c>
      <c r="G50" s="59" t="s">
        <v>1881</v>
      </c>
      <c r="H50" s="59" t="s">
        <v>4147</v>
      </c>
      <c r="I50" s="59" t="s">
        <v>13</v>
      </c>
      <c r="J50" s="135"/>
      <c r="K50" s="135"/>
      <c r="L50" s="135"/>
      <c r="M50" s="135"/>
      <c r="N50" s="135"/>
      <c r="O50" s="135"/>
      <c r="P50" s="135"/>
      <c r="Q50" s="135"/>
      <c r="R50" s="135"/>
      <c r="S50" s="135"/>
      <c r="T50" s="135"/>
      <c r="U50" s="135"/>
      <c r="V50" s="135"/>
      <c r="W50" s="135"/>
      <c r="X50" s="135"/>
      <c r="Y50" s="135"/>
      <c r="Z50" s="135"/>
    </row>
    <row r="51">
      <c r="A51" s="85" t="s">
        <v>644</v>
      </c>
      <c r="B51" s="72" t="s">
        <v>3988</v>
      </c>
      <c r="C51" s="59" t="s">
        <v>4122</v>
      </c>
      <c r="D51" s="59" t="s">
        <v>3996</v>
      </c>
      <c r="E51" s="59" t="s">
        <v>4139</v>
      </c>
      <c r="F51" s="59" t="s">
        <v>4148</v>
      </c>
      <c r="G51" s="59" t="s">
        <v>1881</v>
      </c>
      <c r="H51" s="59" t="s">
        <v>4149</v>
      </c>
      <c r="I51" s="59" t="s">
        <v>13</v>
      </c>
      <c r="J51" s="135"/>
      <c r="K51" s="135"/>
      <c r="L51" s="135"/>
      <c r="M51" s="135"/>
      <c r="N51" s="135"/>
      <c r="O51" s="135"/>
      <c r="P51" s="135"/>
      <c r="Q51" s="135"/>
      <c r="R51" s="135"/>
      <c r="S51" s="135"/>
      <c r="T51" s="135"/>
      <c r="U51" s="135"/>
      <c r="V51" s="135"/>
      <c r="W51" s="135"/>
      <c r="X51" s="135"/>
      <c r="Y51" s="135"/>
      <c r="Z51" s="135"/>
    </row>
    <row r="52">
      <c r="A52" s="85" t="s">
        <v>647</v>
      </c>
      <c r="B52" s="72" t="s">
        <v>3988</v>
      </c>
      <c r="C52" s="59" t="s">
        <v>4122</v>
      </c>
      <c r="D52" s="59" t="s">
        <v>3996</v>
      </c>
      <c r="E52" s="59" t="s">
        <v>4139</v>
      </c>
      <c r="F52" s="59" t="s">
        <v>4150</v>
      </c>
      <c r="G52" s="65"/>
      <c r="H52" s="59" t="s">
        <v>4151</v>
      </c>
      <c r="I52" s="59" t="s">
        <v>13</v>
      </c>
      <c r="J52" s="135"/>
      <c r="K52" s="135"/>
      <c r="L52" s="135"/>
      <c r="M52" s="135"/>
      <c r="N52" s="135"/>
      <c r="O52" s="135"/>
      <c r="P52" s="135"/>
      <c r="Q52" s="135"/>
      <c r="R52" s="135"/>
      <c r="S52" s="135"/>
      <c r="T52" s="135"/>
      <c r="U52" s="135"/>
      <c r="V52" s="135"/>
      <c r="W52" s="135"/>
      <c r="X52" s="135"/>
      <c r="Y52" s="135"/>
      <c r="Z52" s="135"/>
    </row>
    <row r="53">
      <c r="A53" s="85" t="s">
        <v>650</v>
      </c>
      <c r="B53" s="72" t="s">
        <v>3988</v>
      </c>
      <c r="C53" s="59" t="s">
        <v>4122</v>
      </c>
      <c r="D53" s="59" t="s">
        <v>3996</v>
      </c>
      <c r="E53" s="59" t="s">
        <v>4152</v>
      </c>
      <c r="F53" s="59" t="s">
        <v>4153</v>
      </c>
      <c r="G53" s="65"/>
      <c r="H53" s="59" t="s">
        <v>4154</v>
      </c>
      <c r="I53" s="59" t="s">
        <v>13</v>
      </c>
      <c r="J53" s="135"/>
      <c r="K53" s="135"/>
      <c r="L53" s="135"/>
      <c r="M53" s="135"/>
      <c r="N53" s="135"/>
      <c r="O53" s="135"/>
      <c r="P53" s="135"/>
      <c r="Q53" s="135"/>
      <c r="R53" s="135"/>
      <c r="S53" s="135"/>
      <c r="T53" s="135"/>
      <c r="U53" s="135"/>
      <c r="V53" s="135"/>
      <c r="W53" s="135"/>
      <c r="X53" s="135"/>
      <c r="Y53" s="135"/>
      <c r="Z53" s="135"/>
    </row>
    <row r="54">
      <c r="A54" s="85" t="s">
        <v>654</v>
      </c>
      <c r="B54" s="72" t="s">
        <v>3988</v>
      </c>
      <c r="C54" s="59" t="s">
        <v>4122</v>
      </c>
      <c r="D54" s="59" t="s">
        <v>4155</v>
      </c>
      <c r="E54" s="59" t="s">
        <v>4156</v>
      </c>
      <c r="F54" s="59" t="s">
        <v>4157</v>
      </c>
      <c r="G54" s="65"/>
      <c r="H54" s="59" t="s">
        <v>4158</v>
      </c>
      <c r="I54" s="59" t="s">
        <v>13</v>
      </c>
      <c r="J54" s="135"/>
      <c r="K54" s="135"/>
      <c r="L54" s="135"/>
      <c r="M54" s="135"/>
      <c r="N54" s="135"/>
      <c r="O54" s="135"/>
      <c r="P54" s="135"/>
      <c r="Q54" s="135"/>
      <c r="R54" s="135"/>
      <c r="S54" s="135"/>
      <c r="T54" s="135"/>
      <c r="U54" s="135"/>
      <c r="V54" s="135"/>
      <c r="W54" s="135"/>
      <c r="X54" s="135"/>
      <c r="Y54" s="135"/>
      <c r="Z54" s="135"/>
    </row>
    <row r="55">
      <c r="A55" s="85" t="s">
        <v>657</v>
      </c>
      <c r="B55" s="72" t="s">
        <v>3988</v>
      </c>
      <c r="C55" s="59" t="s">
        <v>4122</v>
      </c>
      <c r="D55" s="59" t="s">
        <v>4155</v>
      </c>
      <c r="E55" s="59" t="s">
        <v>4156</v>
      </c>
      <c r="F55" s="59" t="s">
        <v>4159</v>
      </c>
      <c r="G55" s="65"/>
      <c r="H55" s="59" t="s">
        <v>4160</v>
      </c>
      <c r="I55" s="59" t="s">
        <v>13</v>
      </c>
      <c r="J55" s="135"/>
      <c r="K55" s="135"/>
      <c r="L55" s="135"/>
      <c r="M55" s="135"/>
      <c r="N55" s="135"/>
      <c r="O55" s="135"/>
      <c r="P55" s="135"/>
      <c r="Q55" s="135"/>
      <c r="R55" s="135"/>
      <c r="S55" s="135"/>
      <c r="T55" s="135"/>
      <c r="U55" s="135"/>
      <c r="V55" s="135"/>
      <c r="W55" s="135"/>
      <c r="X55" s="135"/>
      <c r="Y55" s="135"/>
      <c r="Z55" s="135"/>
    </row>
    <row r="56">
      <c r="A56" s="85" t="s">
        <v>660</v>
      </c>
      <c r="B56" s="72" t="s">
        <v>3988</v>
      </c>
      <c r="C56" s="59" t="s">
        <v>4161</v>
      </c>
      <c r="D56" s="59" t="s">
        <v>4155</v>
      </c>
      <c r="E56" s="59" t="s">
        <v>4156</v>
      </c>
      <c r="F56" s="59" t="s">
        <v>4162</v>
      </c>
      <c r="G56" s="59" t="s">
        <v>1881</v>
      </c>
      <c r="H56" s="59" t="s">
        <v>4163</v>
      </c>
      <c r="I56" s="59" t="s">
        <v>13</v>
      </c>
      <c r="J56" s="135"/>
      <c r="K56" s="135"/>
      <c r="L56" s="135"/>
      <c r="M56" s="135"/>
      <c r="N56" s="135"/>
      <c r="O56" s="135"/>
      <c r="P56" s="135"/>
      <c r="Q56" s="135"/>
      <c r="R56" s="135"/>
      <c r="S56" s="135"/>
      <c r="T56" s="135"/>
      <c r="U56" s="135"/>
      <c r="V56" s="135"/>
      <c r="W56" s="135"/>
      <c r="X56" s="135"/>
      <c r="Y56" s="135"/>
      <c r="Z56" s="135"/>
    </row>
    <row r="57">
      <c r="A57" s="85" t="s">
        <v>664</v>
      </c>
      <c r="B57" s="72" t="s">
        <v>3988</v>
      </c>
      <c r="C57" s="59" t="s">
        <v>4161</v>
      </c>
      <c r="D57" s="59" t="s">
        <v>4155</v>
      </c>
      <c r="E57" s="59" t="s">
        <v>4164</v>
      </c>
      <c r="F57" s="59" t="s">
        <v>4165</v>
      </c>
      <c r="G57" s="59" t="s">
        <v>1881</v>
      </c>
      <c r="H57" s="59" t="s">
        <v>4163</v>
      </c>
      <c r="I57" s="59" t="s">
        <v>13</v>
      </c>
      <c r="J57" s="135"/>
      <c r="K57" s="135"/>
      <c r="L57" s="135"/>
      <c r="M57" s="135"/>
      <c r="N57" s="135"/>
      <c r="O57" s="135"/>
      <c r="P57" s="135"/>
      <c r="Q57" s="135"/>
      <c r="R57" s="135"/>
      <c r="S57" s="135"/>
      <c r="T57" s="135"/>
      <c r="U57" s="135"/>
      <c r="V57" s="135"/>
      <c r="W57" s="135"/>
      <c r="X57" s="135"/>
      <c r="Y57" s="135"/>
      <c r="Z57" s="135"/>
    </row>
    <row r="58">
      <c r="A58" s="85" t="s">
        <v>668</v>
      </c>
      <c r="B58" s="72" t="s">
        <v>3988</v>
      </c>
      <c r="C58" s="59" t="s">
        <v>4161</v>
      </c>
      <c r="D58" s="59" t="s">
        <v>4155</v>
      </c>
      <c r="E58" s="59" t="s">
        <v>4164</v>
      </c>
      <c r="F58" s="59" t="s">
        <v>4166</v>
      </c>
      <c r="G58" s="59" t="s">
        <v>1881</v>
      </c>
      <c r="H58" s="59" t="s">
        <v>4163</v>
      </c>
      <c r="I58" s="59" t="s">
        <v>13</v>
      </c>
      <c r="J58" s="135"/>
      <c r="K58" s="135"/>
      <c r="L58" s="135"/>
      <c r="M58" s="135"/>
      <c r="N58" s="135"/>
      <c r="O58" s="135"/>
      <c r="P58" s="135"/>
      <c r="Q58" s="135"/>
      <c r="R58" s="135"/>
      <c r="S58" s="135"/>
      <c r="T58" s="135"/>
      <c r="U58" s="135"/>
      <c r="V58" s="135"/>
      <c r="W58" s="135"/>
      <c r="X58" s="135"/>
      <c r="Y58" s="135"/>
      <c r="Z58" s="135"/>
    </row>
    <row r="59">
      <c r="A59" s="85" t="s">
        <v>672</v>
      </c>
      <c r="B59" s="72" t="s">
        <v>3988</v>
      </c>
      <c r="C59" s="59" t="s">
        <v>4161</v>
      </c>
      <c r="D59" s="59" t="s">
        <v>4155</v>
      </c>
      <c r="E59" s="59" t="s">
        <v>4164</v>
      </c>
      <c r="F59" s="59" t="s">
        <v>4167</v>
      </c>
      <c r="G59" s="65"/>
      <c r="H59" s="59" t="s">
        <v>4168</v>
      </c>
      <c r="I59" s="59" t="s">
        <v>13</v>
      </c>
      <c r="J59" s="135"/>
      <c r="K59" s="135"/>
      <c r="L59" s="135"/>
      <c r="M59" s="135"/>
      <c r="N59" s="135"/>
      <c r="O59" s="135"/>
      <c r="P59" s="135"/>
      <c r="Q59" s="135"/>
      <c r="R59" s="135"/>
      <c r="S59" s="135"/>
      <c r="T59" s="135"/>
      <c r="U59" s="135"/>
      <c r="V59" s="135"/>
      <c r="W59" s="135"/>
      <c r="X59" s="135"/>
      <c r="Y59" s="135"/>
      <c r="Z59" s="135"/>
    </row>
    <row r="60">
      <c r="A60" s="85" t="s">
        <v>676</v>
      </c>
      <c r="B60" s="72" t="s">
        <v>3988</v>
      </c>
      <c r="C60" s="59" t="s">
        <v>4161</v>
      </c>
      <c r="D60" s="59" t="s">
        <v>4155</v>
      </c>
      <c r="E60" s="59" t="s">
        <v>4169</v>
      </c>
      <c r="F60" s="59" t="s">
        <v>4047</v>
      </c>
      <c r="G60" s="65"/>
      <c r="H60" s="59" t="s">
        <v>4048</v>
      </c>
      <c r="I60" s="59" t="s">
        <v>13</v>
      </c>
      <c r="J60" s="135"/>
      <c r="K60" s="135"/>
      <c r="L60" s="135"/>
      <c r="M60" s="135"/>
      <c r="N60" s="135"/>
      <c r="O60" s="135"/>
      <c r="P60" s="135"/>
      <c r="Q60" s="135"/>
      <c r="R60" s="135"/>
      <c r="S60" s="135"/>
      <c r="T60" s="135"/>
      <c r="U60" s="135"/>
      <c r="V60" s="135"/>
      <c r="W60" s="135"/>
      <c r="X60" s="135"/>
      <c r="Y60" s="135"/>
      <c r="Z60" s="135"/>
    </row>
    <row r="61">
      <c r="A61" s="85" t="s">
        <v>681</v>
      </c>
      <c r="B61" s="72" t="s">
        <v>3988</v>
      </c>
      <c r="C61" s="59" t="s">
        <v>4161</v>
      </c>
      <c r="D61" s="59" t="s">
        <v>4155</v>
      </c>
      <c r="E61" s="59" t="s">
        <v>4169</v>
      </c>
      <c r="F61" s="59" t="s">
        <v>4051</v>
      </c>
      <c r="G61" s="65"/>
      <c r="H61" s="59" t="s">
        <v>4052</v>
      </c>
      <c r="I61" s="59" t="s">
        <v>13</v>
      </c>
      <c r="J61" s="135"/>
      <c r="K61" s="135"/>
      <c r="L61" s="135"/>
      <c r="M61" s="135"/>
      <c r="N61" s="135"/>
      <c r="O61" s="135"/>
      <c r="P61" s="135"/>
      <c r="Q61" s="135"/>
      <c r="R61" s="135"/>
      <c r="S61" s="135"/>
      <c r="T61" s="135"/>
      <c r="U61" s="135"/>
      <c r="V61" s="135"/>
      <c r="W61" s="135"/>
      <c r="X61" s="135"/>
      <c r="Y61" s="135"/>
      <c r="Z61" s="135"/>
    </row>
    <row r="62">
      <c r="A62" s="85" t="s">
        <v>686</v>
      </c>
      <c r="B62" s="72" t="s">
        <v>3988</v>
      </c>
      <c r="C62" s="59" t="s">
        <v>4161</v>
      </c>
      <c r="D62" s="59" t="s">
        <v>4155</v>
      </c>
      <c r="E62" s="59" t="s">
        <v>4170</v>
      </c>
      <c r="F62" s="59" t="s">
        <v>4056</v>
      </c>
      <c r="G62" s="59" t="s">
        <v>4057</v>
      </c>
      <c r="H62" s="59" t="s">
        <v>4058</v>
      </c>
      <c r="I62" s="59" t="s">
        <v>13</v>
      </c>
      <c r="J62" s="135"/>
      <c r="K62" s="135"/>
      <c r="L62" s="135"/>
      <c r="M62" s="135"/>
      <c r="N62" s="135"/>
      <c r="O62" s="135"/>
      <c r="P62" s="135"/>
      <c r="Q62" s="135"/>
      <c r="R62" s="135"/>
      <c r="S62" s="135"/>
      <c r="T62" s="135"/>
      <c r="U62" s="135"/>
      <c r="V62" s="135"/>
      <c r="W62" s="135"/>
      <c r="X62" s="135"/>
      <c r="Y62" s="135"/>
      <c r="Z62" s="135"/>
    </row>
    <row r="63">
      <c r="A63" s="85" t="s">
        <v>690</v>
      </c>
      <c r="B63" s="72" t="s">
        <v>3988</v>
      </c>
      <c r="C63" s="59" t="s">
        <v>4161</v>
      </c>
      <c r="D63" s="59" t="s">
        <v>4155</v>
      </c>
      <c r="E63" s="59" t="s">
        <v>4171</v>
      </c>
      <c r="F63" s="59" t="s">
        <v>4061</v>
      </c>
      <c r="G63" s="65"/>
      <c r="H63" s="59" t="s">
        <v>4062</v>
      </c>
      <c r="I63" s="59" t="s">
        <v>13</v>
      </c>
      <c r="J63" s="135"/>
      <c r="K63" s="135"/>
      <c r="L63" s="135"/>
      <c r="M63" s="135"/>
      <c r="N63" s="135"/>
      <c r="O63" s="135"/>
      <c r="P63" s="135"/>
      <c r="Q63" s="135"/>
      <c r="R63" s="135"/>
      <c r="S63" s="135"/>
      <c r="T63" s="135"/>
      <c r="U63" s="135"/>
      <c r="V63" s="135"/>
      <c r="W63" s="135"/>
      <c r="X63" s="135"/>
      <c r="Y63" s="135"/>
      <c r="Z63" s="135"/>
    </row>
    <row r="64">
      <c r="A64" s="85" t="s">
        <v>693</v>
      </c>
      <c r="B64" s="72" t="s">
        <v>3988</v>
      </c>
      <c r="C64" s="59" t="s">
        <v>4161</v>
      </c>
      <c r="D64" s="59" t="s">
        <v>4155</v>
      </c>
      <c r="E64" s="59" t="s">
        <v>4172</v>
      </c>
      <c r="F64" s="59" t="s">
        <v>4065</v>
      </c>
      <c r="G64" s="65"/>
      <c r="H64" s="59" t="s">
        <v>4066</v>
      </c>
      <c r="I64" s="59" t="s">
        <v>13</v>
      </c>
      <c r="J64" s="135"/>
      <c r="K64" s="135"/>
      <c r="L64" s="135"/>
      <c r="M64" s="135"/>
      <c r="N64" s="135"/>
      <c r="O64" s="135"/>
      <c r="P64" s="135"/>
      <c r="Q64" s="135"/>
      <c r="R64" s="135"/>
      <c r="S64" s="135"/>
      <c r="T64" s="135"/>
      <c r="U64" s="135"/>
      <c r="V64" s="135"/>
      <c r="W64" s="135"/>
      <c r="X64" s="135"/>
      <c r="Y64" s="135"/>
      <c r="Z64" s="135"/>
    </row>
    <row r="65">
      <c r="A65" s="85" t="s">
        <v>696</v>
      </c>
      <c r="B65" s="72" t="s">
        <v>3988</v>
      </c>
      <c r="C65" s="59" t="s">
        <v>4161</v>
      </c>
      <c r="D65" s="59" t="s">
        <v>4155</v>
      </c>
      <c r="E65" s="59" t="s">
        <v>4173</v>
      </c>
      <c r="F65" s="59" t="s">
        <v>4069</v>
      </c>
      <c r="G65" s="65"/>
      <c r="H65" s="59" t="s">
        <v>4070</v>
      </c>
      <c r="I65" s="59" t="s">
        <v>13</v>
      </c>
      <c r="J65" s="135"/>
      <c r="K65" s="135"/>
      <c r="L65" s="135"/>
      <c r="M65" s="135"/>
      <c r="N65" s="135"/>
      <c r="O65" s="135"/>
      <c r="P65" s="135"/>
      <c r="Q65" s="135"/>
      <c r="R65" s="135"/>
      <c r="S65" s="135"/>
      <c r="T65" s="135"/>
      <c r="U65" s="135"/>
      <c r="V65" s="135"/>
      <c r="W65" s="135"/>
      <c r="X65" s="135"/>
      <c r="Y65" s="135"/>
      <c r="Z65" s="135"/>
    </row>
    <row r="66">
      <c r="A66" s="85" t="s">
        <v>700</v>
      </c>
      <c r="B66" s="72" t="s">
        <v>3988</v>
      </c>
      <c r="C66" s="59" t="s">
        <v>4161</v>
      </c>
      <c r="D66" s="59" t="s">
        <v>4155</v>
      </c>
      <c r="E66" s="59" t="s">
        <v>4173</v>
      </c>
      <c r="F66" s="59" t="s">
        <v>4069</v>
      </c>
      <c r="G66" s="65"/>
      <c r="H66" s="59" t="s">
        <v>4070</v>
      </c>
      <c r="I66" s="59" t="s">
        <v>13</v>
      </c>
      <c r="J66" s="135"/>
      <c r="K66" s="135"/>
      <c r="L66" s="135"/>
      <c r="M66" s="135"/>
      <c r="N66" s="135"/>
      <c r="O66" s="135"/>
      <c r="P66" s="135"/>
      <c r="Q66" s="135"/>
      <c r="R66" s="135"/>
      <c r="S66" s="135"/>
      <c r="T66" s="135"/>
      <c r="U66" s="135"/>
      <c r="V66" s="135"/>
      <c r="W66" s="135"/>
      <c r="X66" s="135"/>
      <c r="Y66" s="135"/>
      <c r="Z66" s="135"/>
    </row>
    <row r="67">
      <c r="A67" s="85" t="s">
        <v>704</v>
      </c>
      <c r="B67" s="72" t="s">
        <v>3988</v>
      </c>
      <c r="C67" s="59" t="s">
        <v>4174</v>
      </c>
      <c r="D67" s="59" t="s">
        <v>4155</v>
      </c>
      <c r="E67" s="59" t="s">
        <v>4175</v>
      </c>
      <c r="F67" s="59" t="s">
        <v>4176</v>
      </c>
      <c r="G67" s="59" t="s">
        <v>4177</v>
      </c>
      <c r="H67" s="59" t="s">
        <v>4178</v>
      </c>
      <c r="I67" s="59" t="s">
        <v>13</v>
      </c>
      <c r="J67" s="135"/>
      <c r="K67" s="135"/>
      <c r="L67" s="135"/>
      <c r="M67" s="135"/>
      <c r="N67" s="135"/>
      <c r="O67" s="135"/>
      <c r="P67" s="135"/>
      <c r="Q67" s="135"/>
      <c r="R67" s="135"/>
      <c r="S67" s="135"/>
      <c r="T67" s="135"/>
      <c r="U67" s="135"/>
      <c r="V67" s="135"/>
      <c r="W67" s="135"/>
      <c r="X67" s="135"/>
      <c r="Y67" s="135"/>
      <c r="Z67" s="135"/>
    </row>
    <row r="68">
      <c r="A68" s="85" t="s">
        <v>708</v>
      </c>
      <c r="B68" s="72" t="s">
        <v>3988</v>
      </c>
      <c r="C68" s="59" t="s">
        <v>4179</v>
      </c>
      <c r="D68" s="59" t="s">
        <v>4155</v>
      </c>
      <c r="E68" s="59" t="s">
        <v>4179</v>
      </c>
      <c r="F68" s="59" t="s">
        <v>4180</v>
      </c>
      <c r="G68" s="65"/>
      <c r="H68" s="59" t="s">
        <v>4181</v>
      </c>
      <c r="I68" s="59" t="s">
        <v>13</v>
      </c>
      <c r="J68" s="135"/>
      <c r="K68" s="135"/>
      <c r="L68" s="135"/>
      <c r="M68" s="135"/>
      <c r="N68" s="135"/>
      <c r="O68" s="135"/>
      <c r="P68" s="135"/>
      <c r="Q68" s="135"/>
      <c r="R68" s="135"/>
      <c r="S68" s="135"/>
      <c r="T68" s="135"/>
      <c r="U68" s="135"/>
      <c r="V68" s="135"/>
      <c r="W68" s="135"/>
      <c r="X68" s="135"/>
      <c r="Y68" s="135"/>
      <c r="Z68" s="135"/>
    </row>
    <row r="69">
      <c r="A69" s="85" t="s">
        <v>712</v>
      </c>
      <c r="B69" s="72" t="s">
        <v>3988</v>
      </c>
      <c r="C69" s="59" t="s">
        <v>4174</v>
      </c>
      <c r="D69" s="59" t="s">
        <v>4155</v>
      </c>
      <c r="E69" s="59" t="s">
        <v>4179</v>
      </c>
      <c r="F69" s="59" t="s">
        <v>4182</v>
      </c>
      <c r="G69" s="59" t="s">
        <v>4183</v>
      </c>
      <c r="H69" s="59" t="s">
        <v>4184</v>
      </c>
      <c r="I69" s="59" t="s">
        <v>13</v>
      </c>
      <c r="J69" s="135"/>
      <c r="K69" s="135"/>
      <c r="L69" s="135"/>
      <c r="M69" s="135"/>
      <c r="N69" s="135"/>
      <c r="O69" s="135"/>
      <c r="P69" s="135"/>
      <c r="Q69" s="135"/>
      <c r="R69" s="135"/>
      <c r="S69" s="135"/>
      <c r="T69" s="135"/>
      <c r="U69" s="135"/>
      <c r="V69" s="135"/>
      <c r="W69" s="135"/>
      <c r="X69" s="135"/>
      <c r="Y69" s="135"/>
      <c r="Z69" s="135"/>
    </row>
    <row r="70">
      <c r="A70" s="85" t="s">
        <v>715</v>
      </c>
      <c r="B70" s="72" t="s">
        <v>3988</v>
      </c>
      <c r="C70" s="59" t="s">
        <v>4174</v>
      </c>
      <c r="D70" s="59" t="s">
        <v>4155</v>
      </c>
      <c r="E70" s="59" t="s">
        <v>4179</v>
      </c>
      <c r="F70" s="59" t="s">
        <v>4185</v>
      </c>
      <c r="G70" s="59" t="s">
        <v>4183</v>
      </c>
      <c r="H70" s="59" t="s">
        <v>4184</v>
      </c>
      <c r="I70" s="59" t="s">
        <v>13</v>
      </c>
      <c r="J70" s="135"/>
      <c r="K70" s="135"/>
      <c r="L70" s="135"/>
      <c r="M70" s="135"/>
      <c r="N70" s="135"/>
      <c r="O70" s="135"/>
      <c r="P70" s="135"/>
      <c r="Q70" s="135"/>
      <c r="R70" s="135"/>
      <c r="S70" s="135"/>
      <c r="T70" s="135"/>
      <c r="U70" s="135"/>
      <c r="V70" s="135"/>
      <c r="W70" s="135"/>
      <c r="X70" s="135"/>
      <c r="Y70" s="135"/>
      <c r="Z70" s="135"/>
    </row>
    <row r="71">
      <c r="A71" s="85" t="s">
        <v>718</v>
      </c>
      <c r="B71" s="72" t="s">
        <v>3988</v>
      </c>
      <c r="C71" s="59" t="s">
        <v>4174</v>
      </c>
      <c r="D71" s="59" t="s">
        <v>4155</v>
      </c>
      <c r="E71" s="59" t="s">
        <v>4186</v>
      </c>
      <c r="F71" s="59" t="s">
        <v>4187</v>
      </c>
      <c r="G71" s="59" t="s">
        <v>4183</v>
      </c>
      <c r="H71" s="59" t="s">
        <v>4188</v>
      </c>
      <c r="I71" s="59" t="s">
        <v>13</v>
      </c>
      <c r="J71" s="135"/>
      <c r="K71" s="135"/>
      <c r="L71" s="135"/>
      <c r="M71" s="135"/>
      <c r="N71" s="135"/>
      <c r="O71" s="135"/>
      <c r="P71" s="135"/>
      <c r="Q71" s="135"/>
      <c r="R71" s="135"/>
      <c r="S71" s="135"/>
      <c r="T71" s="135"/>
      <c r="U71" s="135"/>
      <c r="V71" s="135"/>
      <c r="W71" s="135"/>
      <c r="X71" s="135"/>
      <c r="Y71" s="135"/>
      <c r="Z71" s="135"/>
    </row>
    <row r="72">
      <c r="A72" s="85" t="s">
        <v>722</v>
      </c>
      <c r="B72" s="72" t="s">
        <v>3988</v>
      </c>
      <c r="C72" s="59" t="s">
        <v>4174</v>
      </c>
      <c r="D72" s="59" t="s">
        <v>4155</v>
      </c>
      <c r="E72" s="59" t="s">
        <v>4186</v>
      </c>
      <c r="F72" s="59" t="s">
        <v>4189</v>
      </c>
      <c r="G72" s="59" t="s">
        <v>4183</v>
      </c>
      <c r="H72" s="59" t="s">
        <v>4188</v>
      </c>
      <c r="I72" s="59" t="s">
        <v>13</v>
      </c>
      <c r="J72" s="135"/>
      <c r="K72" s="135"/>
      <c r="L72" s="135"/>
      <c r="M72" s="135"/>
      <c r="N72" s="135"/>
      <c r="O72" s="135"/>
      <c r="P72" s="135"/>
      <c r="Q72" s="135"/>
      <c r="R72" s="135"/>
      <c r="S72" s="135"/>
      <c r="T72" s="135"/>
      <c r="U72" s="135"/>
      <c r="V72" s="135"/>
      <c r="W72" s="135"/>
      <c r="X72" s="135"/>
      <c r="Y72" s="135"/>
      <c r="Z72" s="135"/>
    </row>
    <row r="73">
      <c r="A73" s="85" t="s">
        <v>728</v>
      </c>
      <c r="B73" s="72" t="s">
        <v>3988</v>
      </c>
      <c r="C73" s="59" t="s">
        <v>4174</v>
      </c>
      <c r="D73" s="59" t="s">
        <v>4155</v>
      </c>
      <c r="E73" s="59" t="s">
        <v>4190</v>
      </c>
      <c r="F73" s="59" t="s">
        <v>4191</v>
      </c>
      <c r="G73" s="59" t="s">
        <v>4183</v>
      </c>
      <c r="H73" s="59" t="s">
        <v>4192</v>
      </c>
      <c r="I73" s="59" t="s">
        <v>13</v>
      </c>
      <c r="J73" s="135"/>
      <c r="K73" s="135"/>
      <c r="L73" s="135"/>
      <c r="M73" s="135"/>
      <c r="N73" s="135"/>
      <c r="O73" s="135"/>
      <c r="P73" s="135"/>
      <c r="Q73" s="135"/>
      <c r="R73" s="135"/>
      <c r="S73" s="135"/>
      <c r="T73" s="135"/>
      <c r="U73" s="135"/>
      <c r="V73" s="135"/>
      <c r="W73" s="135"/>
      <c r="X73" s="135"/>
      <c r="Y73" s="135"/>
      <c r="Z73" s="135"/>
    </row>
    <row r="74">
      <c r="A74" s="85" t="s">
        <v>733</v>
      </c>
      <c r="B74" s="72" t="s">
        <v>3988</v>
      </c>
      <c r="C74" s="59" t="s">
        <v>4174</v>
      </c>
      <c r="D74" s="59" t="s">
        <v>4155</v>
      </c>
      <c r="E74" s="59" t="s">
        <v>4193</v>
      </c>
      <c r="F74" s="59" t="s">
        <v>4194</v>
      </c>
      <c r="G74" s="59" t="s">
        <v>4183</v>
      </c>
      <c r="H74" s="59" t="s">
        <v>4195</v>
      </c>
      <c r="I74" s="59" t="s">
        <v>13</v>
      </c>
      <c r="J74" s="135"/>
      <c r="K74" s="135"/>
      <c r="L74" s="135"/>
      <c r="M74" s="135"/>
      <c r="N74" s="135"/>
      <c r="O74" s="135"/>
      <c r="P74" s="135"/>
      <c r="Q74" s="135"/>
      <c r="R74" s="135"/>
      <c r="S74" s="135"/>
      <c r="T74" s="135"/>
      <c r="U74" s="135"/>
      <c r="V74" s="135"/>
      <c r="W74" s="135"/>
      <c r="X74" s="135"/>
      <c r="Y74" s="135"/>
      <c r="Z74" s="135"/>
    </row>
    <row r="75">
      <c r="A75" s="85" t="s">
        <v>736</v>
      </c>
      <c r="B75" s="72" t="s">
        <v>3988</v>
      </c>
      <c r="C75" s="59" t="s">
        <v>4174</v>
      </c>
      <c r="D75" s="59" t="s">
        <v>4155</v>
      </c>
      <c r="E75" s="59" t="s">
        <v>4196</v>
      </c>
      <c r="F75" s="59" t="s">
        <v>4197</v>
      </c>
      <c r="G75" s="59" t="s">
        <v>4198</v>
      </c>
      <c r="H75" s="59" t="s">
        <v>4199</v>
      </c>
      <c r="I75" s="59" t="s">
        <v>13</v>
      </c>
      <c r="J75" s="135"/>
      <c r="K75" s="135"/>
      <c r="L75" s="135"/>
      <c r="M75" s="135"/>
      <c r="N75" s="135"/>
      <c r="O75" s="135"/>
      <c r="P75" s="135"/>
      <c r="Q75" s="135"/>
      <c r="R75" s="135"/>
      <c r="S75" s="135"/>
      <c r="T75" s="135"/>
      <c r="U75" s="135"/>
      <c r="V75" s="135"/>
      <c r="W75" s="135"/>
      <c r="X75" s="135"/>
      <c r="Y75" s="135"/>
      <c r="Z75" s="135"/>
    </row>
    <row r="76">
      <c r="A76" s="85" t="s">
        <v>741</v>
      </c>
      <c r="B76" s="72" t="s">
        <v>3988</v>
      </c>
      <c r="C76" s="59" t="s">
        <v>4200</v>
      </c>
      <c r="D76" s="59" t="s">
        <v>4155</v>
      </c>
      <c r="E76" s="59" t="s">
        <v>4201</v>
      </c>
      <c r="F76" s="59" t="s">
        <v>4202</v>
      </c>
      <c r="G76" s="59" t="s">
        <v>4203</v>
      </c>
      <c r="H76" s="59" t="s">
        <v>4203</v>
      </c>
      <c r="I76" s="59" t="s">
        <v>13</v>
      </c>
      <c r="J76" s="135"/>
      <c r="K76" s="135"/>
      <c r="L76" s="135"/>
      <c r="M76" s="135"/>
      <c r="N76" s="135"/>
      <c r="O76" s="135"/>
      <c r="P76" s="135"/>
      <c r="Q76" s="135"/>
      <c r="R76" s="135"/>
      <c r="S76" s="135"/>
      <c r="T76" s="135"/>
      <c r="U76" s="135"/>
      <c r="V76" s="135"/>
      <c r="W76" s="135"/>
      <c r="X76" s="135"/>
      <c r="Y76" s="135"/>
      <c r="Z76" s="135"/>
    </row>
    <row r="77">
      <c r="A77" s="85" t="s">
        <v>745</v>
      </c>
      <c r="B77" s="72" t="s">
        <v>3988</v>
      </c>
      <c r="C77" s="59" t="s">
        <v>4200</v>
      </c>
      <c r="D77" s="59" t="s">
        <v>4155</v>
      </c>
      <c r="E77" s="59" t="s">
        <v>4204</v>
      </c>
      <c r="F77" s="59" t="s">
        <v>4205</v>
      </c>
      <c r="G77" s="59" t="s">
        <v>4206</v>
      </c>
      <c r="H77" s="59" t="s">
        <v>4207</v>
      </c>
      <c r="I77" s="59" t="s">
        <v>13</v>
      </c>
      <c r="J77" s="135"/>
      <c r="K77" s="135"/>
      <c r="L77" s="135"/>
      <c r="M77" s="135"/>
      <c r="N77" s="135"/>
      <c r="O77" s="135"/>
      <c r="P77" s="135"/>
      <c r="Q77" s="135"/>
      <c r="R77" s="135"/>
      <c r="S77" s="135"/>
      <c r="T77" s="135"/>
      <c r="U77" s="135"/>
      <c r="V77" s="135"/>
      <c r="W77" s="135"/>
      <c r="X77" s="135"/>
      <c r="Y77" s="135"/>
      <c r="Z77" s="135"/>
    </row>
    <row r="78">
      <c r="A78" s="85" t="s">
        <v>750</v>
      </c>
      <c r="B78" s="72" t="s">
        <v>3988</v>
      </c>
      <c r="C78" s="59" t="s">
        <v>4200</v>
      </c>
      <c r="D78" s="59" t="s">
        <v>4155</v>
      </c>
      <c r="E78" s="59" t="s">
        <v>4204</v>
      </c>
      <c r="F78" s="59" t="s">
        <v>4205</v>
      </c>
      <c r="G78" s="59" t="s">
        <v>4208</v>
      </c>
      <c r="H78" s="59" t="s">
        <v>4209</v>
      </c>
      <c r="I78" s="59" t="s">
        <v>13</v>
      </c>
      <c r="J78" s="135"/>
      <c r="K78" s="135"/>
      <c r="L78" s="135"/>
      <c r="M78" s="135"/>
      <c r="N78" s="135"/>
      <c r="O78" s="135"/>
      <c r="P78" s="135"/>
      <c r="Q78" s="135"/>
      <c r="R78" s="135"/>
      <c r="S78" s="135"/>
      <c r="T78" s="135"/>
      <c r="U78" s="135"/>
      <c r="V78" s="135"/>
      <c r="W78" s="135"/>
      <c r="X78" s="135"/>
      <c r="Y78" s="135"/>
      <c r="Z78" s="135"/>
    </row>
    <row r="79">
      <c r="A79" s="85" t="s">
        <v>756</v>
      </c>
      <c r="B79" s="72" t="s">
        <v>3988</v>
      </c>
      <c r="C79" s="59" t="s">
        <v>4200</v>
      </c>
      <c r="D79" s="59" t="s">
        <v>4155</v>
      </c>
      <c r="E79" s="59" t="s">
        <v>4210</v>
      </c>
      <c r="F79" s="59" t="s">
        <v>4211</v>
      </c>
      <c r="G79" s="59" t="s">
        <v>4206</v>
      </c>
      <c r="H79" s="59" t="s">
        <v>4207</v>
      </c>
      <c r="I79" s="59" t="s">
        <v>13</v>
      </c>
      <c r="J79" s="135"/>
      <c r="K79" s="135"/>
      <c r="L79" s="135"/>
      <c r="M79" s="135"/>
      <c r="N79" s="135"/>
      <c r="O79" s="135"/>
      <c r="P79" s="135"/>
      <c r="Q79" s="135"/>
      <c r="R79" s="135"/>
      <c r="S79" s="135"/>
      <c r="T79" s="135"/>
      <c r="U79" s="135"/>
      <c r="V79" s="135"/>
      <c r="W79" s="135"/>
      <c r="X79" s="135"/>
      <c r="Y79" s="135"/>
      <c r="Z79" s="135"/>
    </row>
    <row r="80">
      <c r="A80" s="85" t="s">
        <v>761</v>
      </c>
      <c r="B80" s="72" t="s">
        <v>3988</v>
      </c>
      <c r="C80" s="59" t="s">
        <v>4200</v>
      </c>
      <c r="D80" s="59" t="s">
        <v>4155</v>
      </c>
      <c r="E80" s="59" t="s">
        <v>4210</v>
      </c>
      <c r="F80" s="59" t="s">
        <v>4211</v>
      </c>
      <c r="G80" s="59" t="s">
        <v>4208</v>
      </c>
      <c r="H80" s="59" t="s">
        <v>4209</v>
      </c>
      <c r="I80" s="59" t="s">
        <v>13</v>
      </c>
      <c r="J80" s="135"/>
      <c r="K80" s="135"/>
      <c r="L80" s="135"/>
      <c r="M80" s="135"/>
      <c r="N80" s="135"/>
      <c r="O80" s="135"/>
      <c r="P80" s="135"/>
      <c r="Q80" s="135"/>
      <c r="R80" s="135"/>
      <c r="S80" s="135"/>
      <c r="T80" s="135"/>
      <c r="U80" s="135"/>
      <c r="V80" s="135"/>
      <c r="W80" s="135"/>
      <c r="X80" s="135"/>
      <c r="Y80" s="135"/>
      <c r="Z80" s="135"/>
    </row>
    <row r="81">
      <c r="A81" s="85" t="s">
        <v>767</v>
      </c>
      <c r="B81" s="72" t="s">
        <v>3988</v>
      </c>
      <c r="C81" s="59" t="s">
        <v>4200</v>
      </c>
      <c r="D81" s="59" t="s">
        <v>4155</v>
      </c>
      <c r="E81" s="59" t="s">
        <v>4212</v>
      </c>
      <c r="F81" s="59" t="s">
        <v>4213</v>
      </c>
      <c r="G81" s="59" t="s">
        <v>4206</v>
      </c>
      <c r="H81" s="59" t="s">
        <v>4207</v>
      </c>
      <c r="I81" s="59" t="s">
        <v>13</v>
      </c>
      <c r="J81" s="135"/>
      <c r="K81" s="135"/>
      <c r="L81" s="135"/>
      <c r="M81" s="135"/>
      <c r="N81" s="135"/>
      <c r="O81" s="135"/>
      <c r="P81" s="135"/>
      <c r="Q81" s="135"/>
      <c r="R81" s="135"/>
      <c r="S81" s="135"/>
      <c r="T81" s="135"/>
      <c r="U81" s="135"/>
      <c r="V81" s="135"/>
      <c r="W81" s="135"/>
      <c r="X81" s="135"/>
      <c r="Y81" s="135"/>
      <c r="Z81" s="135"/>
    </row>
    <row r="82">
      <c r="A82" s="85" t="s">
        <v>772</v>
      </c>
      <c r="B82" s="72" t="s">
        <v>3988</v>
      </c>
      <c r="C82" s="59" t="s">
        <v>4200</v>
      </c>
      <c r="D82" s="59" t="s">
        <v>4155</v>
      </c>
      <c r="E82" s="59" t="s">
        <v>4212</v>
      </c>
      <c r="F82" s="59" t="s">
        <v>4213</v>
      </c>
      <c r="G82" s="59" t="s">
        <v>4208</v>
      </c>
      <c r="H82" s="59" t="s">
        <v>4209</v>
      </c>
      <c r="I82" s="59" t="s">
        <v>13</v>
      </c>
      <c r="J82" s="135"/>
      <c r="K82" s="135"/>
      <c r="L82" s="135"/>
      <c r="M82" s="135"/>
      <c r="N82" s="135"/>
      <c r="O82" s="135"/>
      <c r="P82" s="135"/>
      <c r="Q82" s="135"/>
      <c r="R82" s="135"/>
      <c r="S82" s="135"/>
      <c r="T82" s="135"/>
      <c r="U82" s="135"/>
      <c r="V82" s="135"/>
      <c r="W82" s="135"/>
      <c r="X82" s="135"/>
      <c r="Y82" s="135"/>
      <c r="Z82" s="135"/>
    </row>
    <row r="83">
      <c r="A83" s="85" t="s">
        <v>778</v>
      </c>
      <c r="B83" s="72" t="s">
        <v>3988</v>
      </c>
      <c r="C83" s="59" t="s">
        <v>4214</v>
      </c>
      <c r="D83" s="59" t="s">
        <v>4155</v>
      </c>
      <c r="E83" s="59" t="s">
        <v>4215</v>
      </c>
      <c r="F83" s="59" t="s">
        <v>4216</v>
      </c>
      <c r="G83" s="59" t="s">
        <v>4183</v>
      </c>
      <c r="H83" s="59" t="s">
        <v>4217</v>
      </c>
      <c r="I83" s="59" t="s">
        <v>13</v>
      </c>
      <c r="J83" s="135"/>
      <c r="K83" s="135"/>
      <c r="L83" s="135"/>
      <c r="M83" s="135"/>
      <c r="N83" s="135"/>
      <c r="O83" s="135"/>
      <c r="P83" s="135"/>
      <c r="Q83" s="135"/>
      <c r="R83" s="135"/>
      <c r="S83" s="135"/>
      <c r="T83" s="135"/>
      <c r="U83" s="135"/>
      <c r="V83" s="135"/>
      <c r="W83" s="135"/>
      <c r="X83" s="135"/>
      <c r="Y83" s="135"/>
      <c r="Z83" s="135"/>
    </row>
    <row r="84">
      <c r="A84" s="85" t="s">
        <v>780</v>
      </c>
      <c r="B84" s="72" t="s">
        <v>3988</v>
      </c>
      <c r="C84" s="59" t="s">
        <v>4214</v>
      </c>
      <c r="D84" s="59" t="s">
        <v>4155</v>
      </c>
      <c r="E84" s="59" t="s">
        <v>4215</v>
      </c>
      <c r="F84" s="59" t="s">
        <v>4218</v>
      </c>
      <c r="G84" s="59" t="s">
        <v>4183</v>
      </c>
      <c r="H84" s="59" t="s">
        <v>4217</v>
      </c>
      <c r="I84" s="59" t="s">
        <v>13</v>
      </c>
      <c r="J84" s="135"/>
      <c r="K84" s="135"/>
      <c r="L84" s="135"/>
      <c r="M84" s="135"/>
      <c r="N84" s="135"/>
      <c r="O84" s="135"/>
      <c r="P84" s="135"/>
      <c r="Q84" s="135"/>
      <c r="R84" s="135"/>
      <c r="S84" s="135"/>
      <c r="T84" s="135"/>
      <c r="U84" s="135"/>
      <c r="V84" s="135"/>
      <c r="W84" s="135"/>
      <c r="X84" s="135"/>
      <c r="Y84" s="135"/>
      <c r="Z84" s="135"/>
    </row>
    <row r="85">
      <c r="A85" s="85" t="s">
        <v>782</v>
      </c>
      <c r="B85" s="72" t="s">
        <v>3988</v>
      </c>
      <c r="C85" s="59" t="s">
        <v>4214</v>
      </c>
      <c r="D85" s="59" t="s">
        <v>4155</v>
      </c>
      <c r="E85" s="59" t="s">
        <v>4219</v>
      </c>
      <c r="F85" s="59" t="s">
        <v>4220</v>
      </c>
      <c r="G85" s="59" t="s">
        <v>4221</v>
      </c>
      <c r="H85" s="59" t="s">
        <v>4222</v>
      </c>
      <c r="I85" s="59" t="s">
        <v>13</v>
      </c>
      <c r="J85" s="135"/>
      <c r="K85" s="135"/>
      <c r="L85" s="135"/>
      <c r="M85" s="135"/>
      <c r="N85" s="135"/>
      <c r="O85" s="135"/>
      <c r="P85" s="135"/>
      <c r="Q85" s="135"/>
      <c r="R85" s="135"/>
      <c r="S85" s="135"/>
      <c r="T85" s="135"/>
      <c r="U85" s="135"/>
      <c r="V85" s="135"/>
      <c r="W85" s="135"/>
      <c r="X85" s="135"/>
      <c r="Y85" s="135"/>
      <c r="Z85" s="135"/>
    </row>
    <row r="86">
      <c r="A86" s="85" t="s">
        <v>784</v>
      </c>
      <c r="B86" s="72" t="s">
        <v>3988</v>
      </c>
      <c r="C86" s="59" t="s">
        <v>4122</v>
      </c>
      <c r="D86" s="59" t="s">
        <v>3996</v>
      </c>
      <c r="E86" s="59" t="s">
        <v>4132</v>
      </c>
      <c r="F86" s="59" t="s">
        <v>4133</v>
      </c>
      <c r="G86" s="59" t="s">
        <v>4134</v>
      </c>
      <c r="H86" s="59" t="s">
        <v>4223</v>
      </c>
      <c r="I86" s="59" t="s">
        <v>13</v>
      </c>
      <c r="J86" s="135"/>
      <c r="K86" s="135"/>
      <c r="L86" s="135"/>
      <c r="M86" s="135"/>
      <c r="N86" s="135"/>
      <c r="O86" s="135"/>
      <c r="P86" s="135"/>
      <c r="Q86" s="135"/>
      <c r="R86" s="135"/>
      <c r="S86" s="135"/>
      <c r="T86" s="135"/>
      <c r="U86" s="135"/>
      <c r="V86" s="135"/>
      <c r="W86" s="135"/>
      <c r="X86" s="135"/>
      <c r="Y86" s="135"/>
      <c r="Z86" s="135"/>
    </row>
    <row r="87">
      <c r="A87" s="85" t="s">
        <v>789</v>
      </c>
      <c r="B87" s="72" t="s">
        <v>3988</v>
      </c>
      <c r="C87" s="59" t="s">
        <v>4122</v>
      </c>
      <c r="D87" s="59" t="s">
        <v>3996</v>
      </c>
      <c r="E87" s="59" t="s">
        <v>4132</v>
      </c>
      <c r="F87" s="59" t="s">
        <v>4136</v>
      </c>
      <c r="G87" s="59" t="s">
        <v>4224</v>
      </c>
      <c r="H87" s="59" t="s">
        <v>4225</v>
      </c>
      <c r="I87" s="59" t="s">
        <v>13</v>
      </c>
      <c r="J87" s="135"/>
      <c r="K87" s="135"/>
      <c r="L87" s="135"/>
      <c r="M87" s="135"/>
      <c r="N87" s="135"/>
      <c r="O87" s="135"/>
      <c r="P87" s="135"/>
      <c r="Q87" s="135"/>
      <c r="R87" s="135"/>
      <c r="S87" s="135"/>
      <c r="T87" s="135"/>
      <c r="U87" s="135"/>
      <c r="V87" s="135"/>
      <c r="W87" s="135"/>
      <c r="X87" s="135"/>
      <c r="Y87" s="135"/>
      <c r="Z87" s="135"/>
    </row>
    <row r="88">
      <c r="A88" s="85" t="s">
        <v>793</v>
      </c>
      <c r="B88" s="72" t="s">
        <v>3988</v>
      </c>
      <c r="C88" s="59" t="s">
        <v>4122</v>
      </c>
      <c r="D88" s="59" t="s">
        <v>3996</v>
      </c>
      <c r="E88" s="59" t="s">
        <v>4139</v>
      </c>
      <c r="F88" s="59" t="s">
        <v>4140</v>
      </c>
      <c r="G88" s="65"/>
      <c r="H88" s="59" t="s">
        <v>4141</v>
      </c>
      <c r="I88" s="59" t="s">
        <v>13</v>
      </c>
      <c r="J88" s="135"/>
      <c r="K88" s="135"/>
      <c r="L88" s="135"/>
      <c r="M88" s="135"/>
      <c r="N88" s="135"/>
      <c r="O88" s="135"/>
      <c r="P88" s="135"/>
      <c r="Q88" s="135"/>
      <c r="R88" s="135"/>
      <c r="S88" s="135"/>
      <c r="T88" s="135"/>
      <c r="U88" s="135"/>
      <c r="V88" s="135"/>
      <c r="W88" s="135"/>
      <c r="X88" s="135"/>
      <c r="Y88" s="135"/>
      <c r="Z88" s="135"/>
    </row>
    <row r="89">
      <c r="A89" s="85" t="s">
        <v>798</v>
      </c>
      <c r="B89" s="72" t="s">
        <v>3988</v>
      </c>
      <c r="C89" s="59" t="s">
        <v>4122</v>
      </c>
      <c r="D89" s="59" t="s">
        <v>3996</v>
      </c>
      <c r="E89" s="59" t="s">
        <v>4139</v>
      </c>
      <c r="F89" s="59" t="s">
        <v>4226</v>
      </c>
      <c r="G89" s="65"/>
      <c r="H89" s="59" t="s">
        <v>4143</v>
      </c>
      <c r="I89" s="59" t="s">
        <v>13</v>
      </c>
      <c r="J89" s="135"/>
      <c r="K89" s="135"/>
      <c r="L89" s="135"/>
      <c r="M89" s="135"/>
      <c r="N89" s="135"/>
      <c r="O89" s="135"/>
      <c r="P89" s="135"/>
      <c r="Q89" s="135"/>
      <c r="R89" s="135"/>
      <c r="S89" s="135"/>
      <c r="T89" s="135"/>
      <c r="U89" s="135"/>
      <c r="V89" s="135"/>
      <c r="W89" s="135"/>
      <c r="X89" s="135"/>
      <c r="Y89" s="135"/>
      <c r="Z89" s="135"/>
    </row>
    <row r="90">
      <c r="A90" s="85" t="s">
        <v>804</v>
      </c>
      <c r="B90" s="72" t="s">
        <v>3988</v>
      </c>
      <c r="C90" s="59" t="s">
        <v>4122</v>
      </c>
      <c r="D90" s="59" t="s">
        <v>3996</v>
      </c>
      <c r="E90" s="59" t="s">
        <v>4139</v>
      </c>
      <c r="F90" s="59" t="s">
        <v>4227</v>
      </c>
      <c r="G90" s="65"/>
      <c r="H90" s="59" t="s">
        <v>4228</v>
      </c>
      <c r="I90" s="59" t="s">
        <v>13</v>
      </c>
      <c r="J90" s="135"/>
      <c r="K90" s="135"/>
      <c r="L90" s="135"/>
      <c r="M90" s="135"/>
      <c r="N90" s="135"/>
      <c r="O90" s="135"/>
      <c r="P90" s="135"/>
      <c r="Q90" s="135"/>
      <c r="R90" s="135"/>
      <c r="S90" s="135"/>
      <c r="T90" s="135"/>
      <c r="U90" s="135"/>
      <c r="V90" s="135"/>
      <c r="W90" s="135"/>
      <c r="X90" s="135"/>
      <c r="Y90" s="135"/>
      <c r="Z90" s="135"/>
    </row>
    <row r="91">
      <c r="A91" s="85" t="s">
        <v>807</v>
      </c>
      <c r="B91" s="72" t="s">
        <v>3988</v>
      </c>
      <c r="C91" s="59" t="s">
        <v>4122</v>
      </c>
      <c r="D91" s="59" t="s">
        <v>3996</v>
      </c>
      <c r="E91" s="59" t="s">
        <v>4139</v>
      </c>
      <c r="F91" s="59" t="s">
        <v>4229</v>
      </c>
      <c r="G91" s="59" t="s">
        <v>4230</v>
      </c>
      <c r="H91" s="59" t="s">
        <v>4231</v>
      </c>
      <c r="I91" s="59" t="s">
        <v>13</v>
      </c>
      <c r="J91" s="135"/>
      <c r="K91" s="135"/>
      <c r="L91" s="135"/>
      <c r="M91" s="135"/>
      <c r="N91" s="135"/>
      <c r="O91" s="135"/>
      <c r="P91" s="135"/>
      <c r="Q91" s="135"/>
      <c r="R91" s="135"/>
      <c r="S91" s="135"/>
      <c r="T91" s="135"/>
      <c r="U91" s="135"/>
      <c r="V91" s="135"/>
      <c r="W91" s="135"/>
      <c r="X91" s="135"/>
      <c r="Y91" s="135"/>
      <c r="Z91" s="135"/>
    </row>
    <row r="92">
      <c r="A92" s="85" t="s">
        <v>812</v>
      </c>
      <c r="B92" s="72" t="s">
        <v>3988</v>
      </c>
      <c r="C92" s="59" t="s">
        <v>4122</v>
      </c>
      <c r="D92" s="59" t="s">
        <v>3996</v>
      </c>
      <c r="E92" s="59" t="s">
        <v>4139</v>
      </c>
      <c r="F92" s="59" t="s">
        <v>4232</v>
      </c>
      <c r="G92" s="59" t="s">
        <v>4230</v>
      </c>
      <c r="H92" s="59" t="s">
        <v>4231</v>
      </c>
      <c r="I92" s="59" t="s">
        <v>13</v>
      </c>
      <c r="J92" s="135"/>
      <c r="K92" s="135"/>
      <c r="L92" s="135"/>
      <c r="M92" s="135"/>
      <c r="N92" s="135"/>
      <c r="O92" s="135"/>
      <c r="P92" s="135"/>
      <c r="Q92" s="135"/>
      <c r="R92" s="135"/>
      <c r="S92" s="135"/>
      <c r="T92" s="135"/>
      <c r="U92" s="135"/>
      <c r="V92" s="135"/>
      <c r="W92" s="135"/>
      <c r="X92" s="135"/>
      <c r="Y92" s="135"/>
      <c r="Z92" s="135"/>
    </row>
    <row r="93">
      <c r="A93" s="85" t="s">
        <v>816</v>
      </c>
      <c r="B93" s="72" t="s">
        <v>3988</v>
      </c>
      <c r="C93" s="59" t="s">
        <v>4122</v>
      </c>
      <c r="D93" s="59" t="s">
        <v>3996</v>
      </c>
      <c r="E93" s="59" t="s">
        <v>4139</v>
      </c>
      <c r="F93" s="59" t="s">
        <v>4233</v>
      </c>
      <c r="G93" s="59" t="s">
        <v>4230</v>
      </c>
      <c r="H93" s="59" t="s">
        <v>4231</v>
      </c>
      <c r="I93" s="59" t="s">
        <v>13</v>
      </c>
      <c r="J93" s="135"/>
      <c r="K93" s="135"/>
      <c r="L93" s="135"/>
      <c r="M93" s="135"/>
      <c r="N93" s="135"/>
      <c r="O93" s="135"/>
      <c r="P93" s="135"/>
      <c r="Q93" s="135"/>
      <c r="R93" s="135"/>
      <c r="S93" s="135"/>
      <c r="T93" s="135"/>
      <c r="U93" s="135"/>
      <c r="V93" s="135"/>
      <c r="W93" s="135"/>
      <c r="X93" s="135"/>
      <c r="Y93" s="135"/>
      <c r="Z93" s="135"/>
    </row>
    <row r="94">
      <c r="A94" s="85" t="s">
        <v>820</v>
      </c>
      <c r="B94" s="72" t="s">
        <v>3988</v>
      </c>
      <c r="C94" s="59" t="s">
        <v>4234</v>
      </c>
      <c r="D94" s="59" t="s">
        <v>3996</v>
      </c>
      <c r="E94" s="59" t="s">
        <v>4235</v>
      </c>
      <c r="F94" s="59" t="s">
        <v>4236</v>
      </c>
      <c r="G94" s="59" t="s">
        <v>4237</v>
      </c>
      <c r="H94" s="59" t="s">
        <v>4238</v>
      </c>
      <c r="I94" s="59" t="s">
        <v>13</v>
      </c>
      <c r="J94" s="135"/>
      <c r="K94" s="135"/>
      <c r="L94" s="135"/>
      <c r="M94" s="135"/>
      <c r="N94" s="135"/>
      <c r="O94" s="135"/>
      <c r="P94" s="135"/>
      <c r="Q94" s="135"/>
      <c r="R94" s="135"/>
      <c r="S94" s="135"/>
      <c r="T94" s="135"/>
      <c r="U94" s="135"/>
      <c r="V94" s="135"/>
      <c r="W94" s="135"/>
      <c r="X94" s="135"/>
      <c r="Y94" s="135"/>
      <c r="Z94" s="135"/>
    </row>
    <row r="95">
      <c r="A95" s="85" t="s">
        <v>824</v>
      </c>
      <c r="B95" s="72" t="s">
        <v>3988</v>
      </c>
      <c r="C95" s="59" t="s">
        <v>4234</v>
      </c>
      <c r="D95" s="59" t="s">
        <v>3996</v>
      </c>
      <c r="E95" s="59" t="s">
        <v>4239</v>
      </c>
      <c r="F95" s="59" t="s">
        <v>4240</v>
      </c>
      <c r="G95" s="59" t="s">
        <v>4237</v>
      </c>
      <c r="H95" s="59" t="s">
        <v>4238</v>
      </c>
      <c r="I95" s="59" t="s">
        <v>13</v>
      </c>
      <c r="J95" s="135"/>
      <c r="K95" s="135"/>
      <c r="L95" s="135"/>
      <c r="M95" s="135"/>
      <c r="N95" s="135"/>
      <c r="O95" s="135"/>
      <c r="P95" s="135"/>
      <c r="Q95" s="135"/>
      <c r="R95" s="135"/>
      <c r="S95" s="135"/>
      <c r="T95" s="135"/>
      <c r="U95" s="135"/>
      <c r="V95" s="135"/>
      <c r="W95" s="135"/>
      <c r="X95" s="135"/>
      <c r="Y95" s="135"/>
      <c r="Z95" s="135"/>
    </row>
    <row r="96">
      <c r="A96" s="85" t="s">
        <v>827</v>
      </c>
      <c r="B96" s="72" t="s">
        <v>3988</v>
      </c>
      <c r="C96" s="59" t="s">
        <v>4234</v>
      </c>
      <c r="D96" s="59" t="s">
        <v>3996</v>
      </c>
      <c r="E96" s="59" t="s">
        <v>4241</v>
      </c>
      <c r="F96" s="59" t="s">
        <v>4242</v>
      </c>
      <c r="G96" s="59"/>
      <c r="H96" s="59" t="s">
        <v>4238</v>
      </c>
      <c r="I96" s="59" t="s">
        <v>13</v>
      </c>
      <c r="J96" s="135"/>
      <c r="K96" s="135"/>
      <c r="L96" s="135"/>
      <c r="M96" s="135"/>
      <c r="N96" s="135"/>
      <c r="O96" s="135"/>
      <c r="P96" s="135"/>
      <c r="Q96" s="135"/>
      <c r="R96" s="135"/>
      <c r="S96" s="135"/>
      <c r="T96" s="135"/>
      <c r="U96" s="135"/>
      <c r="V96" s="135"/>
      <c r="W96" s="135"/>
      <c r="X96" s="135"/>
      <c r="Y96" s="135"/>
      <c r="Z96" s="135"/>
    </row>
    <row r="97">
      <c r="A97" s="85" t="s">
        <v>831</v>
      </c>
      <c r="B97" s="72" t="s">
        <v>3988</v>
      </c>
      <c r="C97" s="59" t="s">
        <v>4234</v>
      </c>
      <c r="D97" s="59" t="s">
        <v>3996</v>
      </c>
      <c r="E97" s="59" t="s">
        <v>4241</v>
      </c>
      <c r="F97" s="59" t="s">
        <v>4243</v>
      </c>
      <c r="G97" s="65"/>
      <c r="H97" s="59" t="s">
        <v>4244</v>
      </c>
      <c r="I97" s="59" t="s">
        <v>13</v>
      </c>
      <c r="J97" s="135"/>
      <c r="K97" s="135"/>
      <c r="L97" s="135"/>
      <c r="M97" s="135"/>
      <c r="N97" s="135"/>
      <c r="O97" s="135"/>
      <c r="P97" s="135"/>
      <c r="Q97" s="135"/>
      <c r="R97" s="135"/>
      <c r="S97" s="135"/>
      <c r="T97" s="135"/>
      <c r="U97" s="135"/>
      <c r="V97" s="135"/>
      <c r="W97" s="135"/>
      <c r="X97" s="135"/>
      <c r="Y97" s="135"/>
      <c r="Z97" s="135"/>
    </row>
    <row r="98">
      <c r="A98" s="85" t="s">
        <v>835</v>
      </c>
      <c r="B98" s="72" t="s">
        <v>3988</v>
      </c>
      <c r="C98" s="59" t="s">
        <v>4234</v>
      </c>
      <c r="D98" s="59" t="s">
        <v>3996</v>
      </c>
      <c r="E98" s="59" t="s">
        <v>4245</v>
      </c>
      <c r="F98" s="59" t="s">
        <v>4246</v>
      </c>
      <c r="G98" s="59" t="s">
        <v>4247</v>
      </c>
      <c r="H98" s="59" t="s">
        <v>4248</v>
      </c>
      <c r="I98" s="59" t="s">
        <v>13</v>
      </c>
      <c r="J98" s="135"/>
      <c r="K98" s="135"/>
      <c r="L98" s="135"/>
      <c r="M98" s="135"/>
      <c r="N98" s="135"/>
      <c r="O98" s="135"/>
      <c r="P98" s="135"/>
      <c r="Q98" s="135"/>
      <c r="R98" s="135"/>
      <c r="S98" s="135"/>
      <c r="T98" s="135"/>
      <c r="U98" s="135"/>
      <c r="V98" s="135"/>
      <c r="W98" s="135"/>
      <c r="X98" s="135"/>
      <c r="Y98" s="135"/>
      <c r="Z98" s="135"/>
    </row>
    <row r="99">
      <c r="A99" s="85" t="s">
        <v>840</v>
      </c>
      <c r="B99" s="72" t="s">
        <v>3988</v>
      </c>
      <c r="C99" s="59" t="s">
        <v>4234</v>
      </c>
      <c r="D99" s="59" t="s">
        <v>3996</v>
      </c>
      <c r="E99" s="59" t="s">
        <v>4245</v>
      </c>
      <c r="F99" s="59" t="s">
        <v>4246</v>
      </c>
      <c r="G99" s="59" t="s">
        <v>4249</v>
      </c>
      <c r="H99" s="59" t="s">
        <v>4250</v>
      </c>
      <c r="I99" s="59" t="s">
        <v>13</v>
      </c>
      <c r="J99" s="135"/>
      <c r="K99" s="135"/>
      <c r="L99" s="135"/>
      <c r="M99" s="135"/>
      <c r="N99" s="135"/>
      <c r="O99" s="135"/>
      <c r="P99" s="135"/>
      <c r="Q99" s="135"/>
      <c r="R99" s="135"/>
      <c r="S99" s="135"/>
      <c r="T99" s="135"/>
      <c r="U99" s="135"/>
      <c r="V99" s="135"/>
      <c r="W99" s="135"/>
      <c r="X99" s="135"/>
      <c r="Y99" s="135"/>
      <c r="Z99" s="135"/>
    </row>
    <row r="100">
      <c r="A100" s="85" t="s">
        <v>844</v>
      </c>
      <c r="B100" s="72" t="s">
        <v>3988</v>
      </c>
      <c r="C100" s="59" t="s">
        <v>4251</v>
      </c>
      <c r="D100" s="59" t="s">
        <v>4252</v>
      </c>
      <c r="E100" s="59" t="s">
        <v>4253</v>
      </c>
      <c r="F100" s="59" t="s">
        <v>4254</v>
      </c>
      <c r="G100" s="65"/>
      <c r="H100" s="59" t="s">
        <v>4255</v>
      </c>
      <c r="I100" s="59" t="s">
        <v>13</v>
      </c>
      <c r="J100" s="135"/>
      <c r="K100" s="135"/>
      <c r="L100" s="135"/>
      <c r="M100" s="135"/>
      <c r="N100" s="135"/>
      <c r="O100" s="135"/>
      <c r="P100" s="135"/>
      <c r="Q100" s="135"/>
      <c r="R100" s="135"/>
      <c r="S100" s="135"/>
      <c r="T100" s="135"/>
      <c r="U100" s="135"/>
      <c r="V100" s="135"/>
      <c r="W100" s="135"/>
      <c r="X100" s="135"/>
      <c r="Y100" s="135"/>
      <c r="Z100" s="135"/>
    </row>
    <row r="101">
      <c r="A101" s="85" t="s">
        <v>848</v>
      </c>
      <c r="B101" s="72" t="s">
        <v>3988</v>
      </c>
      <c r="C101" s="59" t="s">
        <v>4256</v>
      </c>
      <c r="D101" s="59" t="s">
        <v>3996</v>
      </c>
      <c r="E101" s="59" t="s">
        <v>4257</v>
      </c>
      <c r="F101" s="59" t="s">
        <v>4258</v>
      </c>
      <c r="G101" s="65"/>
      <c r="H101" s="59" t="s">
        <v>4259</v>
      </c>
      <c r="I101" s="59" t="s">
        <v>13</v>
      </c>
      <c r="J101" s="135"/>
      <c r="K101" s="135"/>
      <c r="L101" s="135"/>
      <c r="M101" s="135"/>
      <c r="N101" s="135"/>
      <c r="O101" s="135"/>
      <c r="P101" s="135"/>
      <c r="Q101" s="135"/>
      <c r="R101" s="135"/>
      <c r="S101" s="135"/>
      <c r="T101" s="135"/>
      <c r="U101" s="135"/>
      <c r="V101" s="135"/>
      <c r="W101" s="135"/>
      <c r="X101" s="135"/>
      <c r="Y101" s="135"/>
      <c r="Z101" s="135"/>
    </row>
    <row r="102">
      <c r="A102" s="85" t="s">
        <v>851</v>
      </c>
      <c r="B102" s="72" t="s">
        <v>3988</v>
      </c>
      <c r="C102" s="59" t="s">
        <v>4260</v>
      </c>
      <c r="D102" s="59" t="s">
        <v>4261</v>
      </c>
      <c r="E102" s="59" t="s">
        <v>4262</v>
      </c>
      <c r="F102" s="59" t="s">
        <v>4263</v>
      </c>
      <c r="G102" s="65"/>
      <c r="H102" s="59" t="s">
        <v>4264</v>
      </c>
      <c r="I102" s="59" t="s">
        <v>13</v>
      </c>
      <c r="J102" s="135"/>
      <c r="K102" s="135"/>
      <c r="L102" s="135"/>
      <c r="M102" s="135"/>
      <c r="N102" s="135"/>
      <c r="O102" s="135"/>
      <c r="P102" s="135"/>
      <c r="Q102" s="135"/>
      <c r="R102" s="135"/>
      <c r="S102" s="135"/>
      <c r="T102" s="135"/>
      <c r="U102" s="135"/>
      <c r="V102" s="135"/>
      <c r="W102" s="135"/>
      <c r="X102" s="135"/>
      <c r="Y102" s="135"/>
      <c r="Z102" s="135"/>
    </row>
    <row r="103">
      <c r="A103" s="135"/>
      <c r="B103" s="135"/>
      <c r="C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row>
    <row r="104">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row>
    <row r="105">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row>
    <row r="106">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row>
    <row r="107">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row>
    <row r="108">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row>
    <row r="109">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row>
    <row r="110">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row>
    <row r="11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row>
    <row r="112">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row>
    <row r="113">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row>
    <row r="114">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row>
    <row r="115">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row>
    <row r="116">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row>
    <row r="117">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row>
    <row r="118">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row>
    <row r="119">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row>
    <row r="120">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row>
    <row r="12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row>
    <row r="122">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row>
    <row r="123">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row>
    <row r="124">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row>
    <row r="125">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row>
    <row r="126">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row>
    <row r="127">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row>
    <row r="128">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row>
    <row r="129">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row>
    <row r="130">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row>
    <row r="13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row>
    <row r="132">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row>
    <row r="133">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row>
    <row r="134">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row>
    <row r="135">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row>
    <row r="136">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row>
    <row r="137">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row>
    <row r="138">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row>
    <row r="139">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row>
    <row r="140">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row>
    <row r="14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row>
    <row r="142">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row>
    <row r="143">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row>
    <row r="144">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row>
    <row r="145">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row>
    <row r="146">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row>
    <row r="147">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row>
    <row r="148">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row>
    <row r="149">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row>
    <row r="150">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row>
    <row r="15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row>
    <row r="152">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row>
    <row r="153">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row>
    <row r="154">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row>
    <row r="155">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row>
    <row r="156">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row>
    <row r="157">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row>
    <row r="158">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row>
    <row r="159">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row>
    <row r="160">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row>
    <row r="16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row>
    <row r="162">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row>
    <row r="163">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row>
    <row r="164">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row>
    <row r="165">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row>
    <row r="166">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row>
    <row r="167">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row>
    <row r="168">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row>
    <row r="169">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row>
    <row r="170">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row>
    <row r="17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row>
    <row r="172">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row>
    <row r="173">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row>
    <row r="174">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row>
    <row r="175">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row>
    <row r="176">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row>
    <row r="177">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row>
    <row r="178">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row>
    <row r="179">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row>
    <row r="180">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row>
    <row r="18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row>
    <row r="182">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row>
    <row r="183">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row>
    <row r="184">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row>
    <row r="185">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row>
    <row r="186">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row>
    <row r="187">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row>
    <row r="188">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row>
    <row r="189">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row>
    <row r="190">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row>
    <row r="19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row>
    <row r="192">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row>
    <row r="193">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row>
    <row r="194">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row>
    <row r="195">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row>
    <row r="196">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row>
    <row r="197">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row>
    <row r="198">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row>
    <row r="199">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row>
    <row r="200">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row>
    <row r="20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row>
    <row r="202">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row>
    <row r="203">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row>
    <row r="204">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row>
    <row r="205">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row>
    <row r="206">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row>
    <row r="207">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row>
    <row r="208">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row>
    <row r="209">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row>
    <row r="210">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row>
    <row r="21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row>
    <row r="212">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row>
    <row r="213">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row>
    <row r="214">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row>
    <row r="215">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row>
    <row r="216">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row>
    <row r="217">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row>
    <row r="218">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row>
    <row r="219">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row>
    <row r="220">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row>
    <row r="221">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row>
    <row r="222">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row>
    <row r="223">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row>
    <row r="224">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row>
    <row r="225">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row>
    <row r="226">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row>
    <row r="227">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row>
    <row r="228">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row>
    <row r="229">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row>
    <row r="230">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row>
    <row r="231">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row>
    <row r="232">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row>
    <row r="233">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row>
    <row r="234">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row>
    <row r="235">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row>
    <row r="236">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row>
    <row r="237">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row>
    <row r="238">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row>
    <row r="239">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row>
    <row r="240">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row>
    <row r="241">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row>
    <row r="242">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row>
    <row r="243">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row>
    <row r="244">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row>
    <row r="245">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row>
    <row r="246">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row>
    <row r="247">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row>
    <row r="248">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row>
    <row r="249">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row>
    <row r="250">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row>
    <row r="251">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row>
    <row r="252">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row>
    <row r="253">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row>
    <row r="254">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row>
    <row r="255">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row>
    <row r="256">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row>
    <row r="257">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row>
    <row r="258">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row>
    <row r="259">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row>
    <row r="260">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row>
    <row r="261">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row>
    <row r="262">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row>
    <row r="263">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row>
    <row r="264">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row>
    <row r="265">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row>
    <row r="266">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row>
    <row r="267">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row>
    <row r="268">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row>
    <row r="269">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row>
    <row r="270">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row>
    <row r="271">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row>
    <row r="272">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row>
    <row r="273">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row>
    <row r="274">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row>
    <row r="275">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row>
    <row r="276">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row>
    <row r="277">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row>
    <row r="278">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row>
    <row r="279">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row>
    <row r="280">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row>
    <row r="281">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row>
    <row r="282">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row>
    <row r="283">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row>
    <row r="284">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row>
    <row r="285">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row>
    <row r="286">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row>
    <row r="287">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row>
    <row r="288">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row>
    <row r="289">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row>
    <row r="290">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row>
    <row r="291">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row>
    <row r="292">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row>
    <row r="293">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row>
    <row r="294">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row>
    <row r="295">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row>
    <row r="296">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row>
    <row r="297">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row>
    <row r="298">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row>
    <row r="299">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row>
    <row r="300">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row>
    <row r="301">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row>
    <row r="302">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row>
    <row r="303">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row>
    <row r="304">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row>
    <row r="305">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row>
    <row r="306">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row>
    <row r="307">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row>
    <row r="308">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row>
    <row r="309">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row>
    <row r="310">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row>
    <row r="311">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row>
    <row r="312">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row>
    <row r="313">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row>
    <row r="314">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row>
    <row r="315">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row>
    <row r="316">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row>
    <row r="317">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row>
    <row r="318">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row>
    <row r="319">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row>
    <row r="320">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row>
    <row r="321">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row>
    <row r="322">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row>
    <row r="323">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row>
    <row r="324">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row>
    <row r="325">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row>
    <row r="326">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row>
    <row r="327">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row>
    <row r="328">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row>
    <row r="329">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row>
    <row r="330">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row>
    <row r="331">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row>
    <row r="332">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row>
    <row r="333">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row>
    <row r="334">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row>
    <row r="335">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row>
    <row r="336">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row>
    <row r="337">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row>
    <row r="338">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row>
    <row r="339">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row>
    <row r="340">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row>
    <row r="341">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row>
    <row r="342">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row>
    <row r="343">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row>
    <row r="344">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row>
    <row r="345">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row>
    <row r="346">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row>
    <row r="347">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row>
    <row r="348">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row>
    <row r="349">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row>
    <row r="350">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row>
    <row r="351">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row>
    <row r="352">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row>
    <row r="353">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row>
    <row r="354">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row>
    <row r="355">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row>
    <row r="356">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row>
    <row r="357">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row>
    <row r="358">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row>
    <row r="359">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row>
    <row r="360">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row>
    <row r="361">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row>
    <row r="362">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row>
    <row r="363">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row>
    <row r="364">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row>
    <row r="365">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row>
    <row r="366">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row>
    <row r="367">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row>
    <row r="368">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row>
    <row r="369">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row>
    <row r="370">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row>
    <row r="371">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row>
    <row r="372">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row>
    <row r="373">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row>
    <row r="374">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row>
    <row r="375">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row>
    <row r="376">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row>
    <row r="377">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row>
    <row r="378">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row>
    <row r="379">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row>
    <row r="380">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row>
    <row r="381">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row>
    <row r="382">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row>
    <row r="383">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row>
    <row r="384">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row>
    <row r="385">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row>
    <row r="386">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row>
    <row r="387">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row>
    <row r="388">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row>
    <row r="389">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row>
    <row r="390">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row>
    <row r="391">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row>
    <row r="392">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row>
    <row r="393">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row>
    <row r="394">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row>
    <row r="395">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row>
    <row r="396">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row>
    <row r="397">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row>
    <row r="398">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row>
    <row r="399">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row>
    <row r="400">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row>
    <row r="401">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row>
    <row r="402">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row>
    <row r="403">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row>
    <row r="404">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row>
    <row r="405">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row>
    <row r="406">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row>
    <row r="407">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row>
    <row r="408">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row>
    <row r="409">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row>
    <row r="410">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row>
    <row r="411">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row>
    <row r="412">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row>
    <row r="413">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row>
    <row r="414">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row>
    <row r="415">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row>
    <row r="416">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row>
    <row r="417">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row>
    <row r="418">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row>
    <row r="419">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row>
    <row r="420">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row>
    <row r="421">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row>
    <row r="422">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row>
    <row r="423">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row>
    <row r="424">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row>
    <row r="425">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row>
    <row r="426">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row>
    <row r="427">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row>
    <row r="428">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row>
    <row r="429">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row>
    <row r="430">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row>
    <row r="431">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row>
    <row r="432">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row>
    <row r="433">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row>
    <row r="434">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row>
    <row r="435">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row>
    <row r="436">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row>
    <row r="437">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row>
    <row r="438">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row>
    <row r="439">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row>
    <row r="440">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row>
    <row r="441">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row>
    <row r="442">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row>
    <row r="443">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row>
    <row r="444">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row>
    <row r="445">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row>
    <row r="446">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row>
    <row r="447">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row>
    <row r="448">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row>
    <row r="449">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row>
    <row r="450">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row>
    <row r="451">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row>
    <row r="452">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row>
    <row r="453">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row>
    <row r="454">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row>
    <row r="455">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row>
    <row r="456">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row>
    <row r="457">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row>
    <row r="458">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row>
    <row r="459">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row>
    <row r="460">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row>
    <row r="461">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row>
    <row r="462">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row>
    <row r="463">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row>
    <row r="464">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row>
    <row r="465">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row>
    <row r="466">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row>
    <row r="467">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row>
    <row r="468">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row>
    <row r="469">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row>
    <row r="470">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row>
    <row r="471">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row>
    <row r="472">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row>
    <row r="473">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row>
    <row r="474">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row>
    <row r="475">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row>
    <row r="476">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row>
    <row r="477">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row>
    <row r="478">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row>
    <row r="479">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row>
    <row r="480">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row>
    <row r="481">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row>
    <row r="482">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row>
    <row r="483">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row>
    <row r="484">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row>
    <row r="485">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row>
    <row r="486">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row>
    <row r="487">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row>
    <row r="488">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row>
    <row r="489">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row>
    <row r="490">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row>
    <row r="491">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row>
    <row r="492">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row>
    <row r="493">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row>
    <row r="494">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row>
    <row r="495">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row>
    <row r="496">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row>
    <row r="497">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row>
    <row r="498">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row>
    <row r="499">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row>
    <row r="500">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row>
    <row r="501">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row>
    <row r="502">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row>
    <row r="503">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row>
    <row r="504">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row>
    <row r="505">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row>
    <row r="506">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row>
    <row r="507">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row>
    <row r="508">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row>
    <row r="509">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row>
    <row r="510">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row>
    <row r="511">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row>
    <row r="512">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row>
    <row r="513">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row>
    <row r="514">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row>
    <row r="515">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row>
    <row r="516">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row>
    <row r="517">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row>
    <row r="518">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row>
    <row r="519">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row>
    <row r="520">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row>
    <row r="521">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row>
    <row r="522">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row>
    <row r="523">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row>
    <row r="524">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row>
    <row r="525">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row>
    <row r="526">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row>
    <row r="527">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row>
    <row r="528">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row>
    <row r="529">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row>
    <row r="530">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row>
    <row r="531">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row>
    <row r="532">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row>
    <row r="533">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row>
    <row r="534">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row>
    <row r="535">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row>
    <row r="536">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row>
    <row r="537">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row>
    <row r="538">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row>
    <row r="539">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row>
    <row r="540">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row>
    <row r="541">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row>
    <row r="542">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row>
    <row r="543">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row>
    <row r="544">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row>
    <row r="545">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row>
    <row r="546">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row>
    <row r="547">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row>
    <row r="548">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row>
    <row r="549">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row>
    <row r="550">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row>
    <row r="551">
      <c r="A551" s="135"/>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row>
    <row r="552">
      <c r="A552" s="135"/>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row>
    <row r="553">
      <c r="A553" s="13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row>
    <row r="554">
      <c r="A554" s="13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row>
    <row r="555">
      <c r="A555" s="13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row>
    <row r="556">
      <c r="A556" s="13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row>
    <row r="557">
      <c r="A557" s="13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row>
    <row r="558">
      <c r="A558" s="135"/>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row>
    <row r="559">
      <c r="A559" s="135"/>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row>
    <row r="560">
      <c r="A560" s="135"/>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row>
    <row r="561">
      <c r="A561" s="135"/>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row>
    <row r="562">
      <c r="A562" s="135"/>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row>
    <row r="563">
      <c r="A563" s="135"/>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row>
    <row r="564">
      <c r="A564" s="13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row>
    <row r="565">
      <c r="A565" s="135"/>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row>
    <row r="566">
      <c r="A566" s="135"/>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row>
    <row r="567">
      <c r="A567" s="135"/>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row>
    <row r="568">
      <c r="A568" s="13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row>
    <row r="569">
      <c r="A569" s="13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row>
    <row r="570">
      <c r="A570" s="13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row>
    <row r="571">
      <c r="A571" s="13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row>
    <row r="572">
      <c r="A572" s="13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row>
    <row r="573">
      <c r="A573" s="135"/>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row>
    <row r="574">
      <c r="A574" s="135"/>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row>
    <row r="575">
      <c r="A575" s="135"/>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row>
    <row r="576">
      <c r="A576" s="135"/>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row>
    <row r="577">
      <c r="A577" s="135"/>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row>
    <row r="578">
      <c r="A578" s="13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row>
    <row r="579">
      <c r="A579" s="135"/>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row>
    <row r="580">
      <c r="A580" s="135"/>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row>
    <row r="581">
      <c r="A581" s="135"/>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row>
    <row r="582">
      <c r="A582" s="13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row>
    <row r="583">
      <c r="A583" s="13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row>
    <row r="584">
      <c r="A584" s="13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row>
    <row r="585">
      <c r="A585" s="135"/>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row>
    <row r="586">
      <c r="A586" s="135"/>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row>
    <row r="587">
      <c r="A587" s="135"/>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row>
    <row r="588">
      <c r="A588" s="135"/>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row>
    <row r="589">
      <c r="A589" s="135"/>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row>
    <row r="590">
      <c r="A590" s="135"/>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row>
    <row r="591">
      <c r="A591" s="13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row>
    <row r="592">
      <c r="A592" s="135"/>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row>
    <row r="593">
      <c r="A593" s="135"/>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row>
    <row r="594">
      <c r="A594" s="135"/>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row>
    <row r="595">
      <c r="A595" s="13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row>
    <row r="596">
      <c r="A596" s="13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row>
    <row r="597">
      <c r="A597" s="13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row>
    <row r="598">
      <c r="A598" s="135"/>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row>
    <row r="599">
      <c r="A599" s="135"/>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row>
    <row r="600">
      <c r="A600" s="135"/>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row>
    <row r="601">
      <c r="A601" s="13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row>
    <row r="602">
      <c r="A602" s="13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row>
    <row r="603">
      <c r="A603" s="13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row>
    <row r="604">
      <c r="A604" s="13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row>
    <row r="605">
      <c r="A605" s="13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row>
    <row r="606">
      <c r="A606" s="13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row>
    <row r="607">
      <c r="A607" s="13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row>
    <row r="608">
      <c r="A608" s="13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row>
    <row r="609">
      <c r="A609" s="13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row>
    <row r="610">
      <c r="A610" s="13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row>
    <row r="611">
      <c r="A611" s="13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row>
    <row r="612">
      <c r="A612" s="13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row>
    <row r="613">
      <c r="A613" s="13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row>
    <row r="614">
      <c r="A614" s="135"/>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row>
    <row r="615">
      <c r="A615" s="135"/>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row>
    <row r="616">
      <c r="A616" s="135"/>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row>
    <row r="617">
      <c r="A617" s="135"/>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row>
    <row r="618">
      <c r="A618" s="13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row>
    <row r="619">
      <c r="A619" s="135"/>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row>
    <row r="620">
      <c r="A620" s="135"/>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row>
    <row r="621">
      <c r="A621" s="135"/>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row>
    <row r="622">
      <c r="A622" s="13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row>
    <row r="623">
      <c r="A623" s="13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row>
    <row r="624">
      <c r="A624" s="13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row>
    <row r="625">
      <c r="A625" s="135"/>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row>
    <row r="626">
      <c r="A626" s="135"/>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row>
    <row r="627">
      <c r="A627" s="135"/>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row>
    <row r="628">
      <c r="A628" s="135"/>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row>
    <row r="629">
      <c r="A629" s="135"/>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row>
    <row r="630">
      <c r="A630" s="135"/>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row>
    <row r="631">
      <c r="A631" s="13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row>
    <row r="632">
      <c r="A632" s="135"/>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row>
    <row r="633">
      <c r="A633" s="135"/>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row>
    <row r="634">
      <c r="A634" s="135"/>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row>
    <row r="635">
      <c r="A635" s="13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row>
    <row r="636">
      <c r="A636" s="13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row>
    <row r="637">
      <c r="A637" s="13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row>
    <row r="638">
      <c r="A638" s="13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row>
    <row r="639">
      <c r="A639" s="135"/>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row>
    <row r="640">
      <c r="A640" s="135"/>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row>
    <row r="641">
      <c r="A641" s="135"/>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row>
    <row r="642">
      <c r="A642" s="13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row>
    <row r="643">
      <c r="A643" s="13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row>
    <row r="644">
      <c r="A644" s="135"/>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row>
    <row r="645">
      <c r="A645" s="135"/>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row>
    <row r="646">
      <c r="A646" s="135"/>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row>
    <row r="647">
      <c r="A647" s="135"/>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row>
    <row r="648">
      <c r="A648" s="13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row>
    <row r="649">
      <c r="A649" s="135"/>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row>
    <row r="650">
      <c r="A650" s="135"/>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row>
    <row r="651">
      <c r="A651" s="135"/>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row>
    <row r="652">
      <c r="A652" s="13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row>
    <row r="653">
      <c r="A653" s="13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row>
    <row r="654">
      <c r="A654" s="13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row>
    <row r="655">
      <c r="A655" s="13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row>
    <row r="656">
      <c r="A656" s="135"/>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row>
    <row r="657">
      <c r="A657" s="135"/>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row>
    <row r="658">
      <c r="A658" s="135"/>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row>
    <row r="659">
      <c r="A659" s="135"/>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row>
    <row r="660">
      <c r="A660" s="135"/>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row>
    <row r="661">
      <c r="A661" s="135"/>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row>
    <row r="662">
      <c r="A662" s="13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row>
    <row r="663">
      <c r="A663" s="135"/>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row>
    <row r="664">
      <c r="A664" s="135"/>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row>
    <row r="665">
      <c r="A665" s="135"/>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row>
    <row r="666">
      <c r="A666" s="13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row>
    <row r="667">
      <c r="A667" s="13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row>
    <row r="668">
      <c r="A668" s="13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row>
    <row r="669">
      <c r="A669" s="135"/>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row>
    <row r="670">
      <c r="A670" s="135"/>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row>
    <row r="671">
      <c r="A671" s="135"/>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row>
    <row r="672">
      <c r="A672" s="135"/>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row>
    <row r="673">
      <c r="A673" s="135"/>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row>
    <row r="674">
      <c r="A674" s="13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row>
    <row r="675">
      <c r="A675" s="135"/>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row>
    <row r="676">
      <c r="A676" s="135"/>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row>
    <row r="677">
      <c r="A677" s="135"/>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row>
    <row r="678">
      <c r="A678" s="13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row>
    <row r="679">
      <c r="A679" s="13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row>
    <row r="680">
      <c r="A680" s="13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row>
    <row r="681">
      <c r="A681" s="135"/>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row>
    <row r="682">
      <c r="A682" s="135"/>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row>
    <row r="683">
      <c r="A683" s="135"/>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row>
    <row r="684">
      <c r="A684" s="135"/>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row>
    <row r="685">
      <c r="A685" s="135"/>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row>
    <row r="686">
      <c r="A686" s="13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row>
    <row r="687">
      <c r="A687" s="135"/>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row>
    <row r="688">
      <c r="A688" s="135"/>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row>
    <row r="689">
      <c r="A689" s="135"/>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row>
    <row r="690">
      <c r="A690" s="13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row>
    <row r="691">
      <c r="A691" s="13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row>
    <row r="692">
      <c r="A692" s="13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row>
    <row r="693">
      <c r="A693" s="13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row>
    <row r="694">
      <c r="A694" s="135"/>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row>
    <row r="695">
      <c r="A695" s="135"/>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row>
    <row r="696">
      <c r="A696" s="135"/>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row>
    <row r="697">
      <c r="A697" s="135"/>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row>
    <row r="698">
      <c r="A698" s="135"/>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row>
    <row r="699">
      <c r="A699" s="135"/>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row>
    <row r="700">
      <c r="A700" s="13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row>
    <row r="701">
      <c r="A701" s="135"/>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row>
    <row r="702">
      <c r="A702" s="135"/>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row>
    <row r="703">
      <c r="A703" s="135"/>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row>
    <row r="704">
      <c r="A704" s="13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row>
    <row r="705">
      <c r="A705" s="13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row>
    <row r="706">
      <c r="A706" s="13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row>
    <row r="707">
      <c r="A707" s="135"/>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row>
    <row r="708">
      <c r="A708" s="135"/>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row>
    <row r="709">
      <c r="A709" s="135"/>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row>
    <row r="710">
      <c r="A710" s="135"/>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row>
    <row r="711">
      <c r="A711" s="135"/>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row>
    <row r="712">
      <c r="A712" s="135"/>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row>
    <row r="713">
      <c r="A713" s="13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row>
    <row r="714">
      <c r="A714" s="135"/>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row>
    <row r="715">
      <c r="A715" s="135"/>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row>
    <row r="716">
      <c r="A716" s="135"/>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row>
    <row r="717">
      <c r="A717" s="13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row>
    <row r="718">
      <c r="A718" s="13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row>
    <row r="719">
      <c r="A719" s="13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row>
    <row r="720">
      <c r="A720" s="13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row>
    <row r="721">
      <c r="A721" s="135"/>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row>
    <row r="722">
      <c r="A722" s="135"/>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row>
    <row r="723">
      <c r="A723" s="135"/>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row>
    <row r="724">
      <c r="A724" s="13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row>
    <row r="725">
      <c r="A725" s="13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row>
    <row r="726">
      <c r="A726" s="13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row>
    <row r="727">
      <c r="A727" s="135"/>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row>
    <row r="728">
      <c r="A728" s="135"/>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row>
    <row r="729">
      <c r="A729" s="135"/>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row>
    <row r="730">
      <c r="A730" s="135"/>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row>
    <row r="731">
      <c r="A731" s="135"/>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row>
    <row r="732">
      <c r="A732" s="135"/>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row>
    <row r="733">
      <c r="A733" s="135"/>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row>
    <row r="734">
      <c r="A734" s="135"/>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row>
    <row r="735">
      <c r="A735" s="1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row>
    <row r="736">
      <c r="A736" s="135"/>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row>
    <row r="737">
      <c r="A737" s="135"/>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row>
    <row r="738">
      <c r="A738" s="135"/>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row>
    <row r="739">
      <c r="A739" s="135"/>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row>
    <row r="740">
      <c r="A740" s="135"/>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row>
    <row r="741">
      <c r="A741" s="135"/>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row>
    <row r="742">
      <c r="A742" s="135"/>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row>
    <row r="743">
      <c r="A743" s="135"/>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row>
    <row r="744">
      <c r="A744" s="135"/>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row>
    <row r="745">
      <c r="A745" s="13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row>
    <row r="746">
      <c r="A746" s="135"/>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row>
    <row r="747">
      <c r="A747" s="135"/>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row>
    <row r="748">
      <c r="A748" s="135"/>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row>
    <row r="749">
      <c r="A749" s="135"/>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row>
    <row r="750">
      <c r="A750" s="135"/>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row>
    <row r="751">
      <c r="A751" s="135"/>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row>
    <row r="752">
      <c r="A752" s="135"/>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row>
    <row r="753">
      <c r="A753" s="135"/>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row>
    <row r="754">
      <c r="A754" s="135"/>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row>
    <row r="755">
      <c r="A755" s="13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row>
    <row r="756">
      <c r="A756" s="135"/>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row>
    <row r="757">
      <c r="A757" s="135"/>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row>
    <row r="758">
      <c r="A758" s="135"/>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row>
    <row r="759">
      <c r="A759" s="135"/>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row>
    <row r="760">
      <c r="A760" s="135"/>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row>
    <row r="761">
      <c r="A761" s="135"/>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row>
    <row r="762">
      <c r="A762" s="135"/>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row>
    <row r="763">
      <c r="A763" s="135"/>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row>
    <row r="764">
      <c r="A764" s="135"/>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row>
    <row r="765">
      <c r="A765" s="13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row>
    <row r="766">
      <c r="A766" s="135"/>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row>
    <row r="767">
      <c r="A767" s="135"/>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row>
    <row r="768">
      <c r="A768" s="135"/>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row>
    <row r="769">
      <c r="A769" s="135"/>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row>
    <row r="770">
      <c r="A770" s="135"/>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row>
    <row r="771">
      <c r="A771" s="135"/>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row>
    <row r="772">
      <c r="A772" s="135"/>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row>
    <row r="773">
      <c r="A773" s="135"/>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row>
    <row r="774">
      <c r="A774" s="135"/>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row>
    <row r="775">
      <c r="A775" s="13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row>
    <row r="776">
      <c r="A776" s="135"/>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row>
    <row r="777">
      <c r="A777" s="135"/>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row>
    <row r="778">
      <c r="A778" s="135"/>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row>
    <row r="779">
      <c r="A779" s="135"/>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row>
    <row r="780">
      <c r="A780" s="135"/>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row>
    <row r="781">
      <c r="A781" s="135"/>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row>
    <row r="782">
      <c r="A782" s="135"/>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row>
    <row r="783">
      <c r="A783" s="135"/>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row>
    <row r="784">
      <c r="A784" s="135"/>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row>
    <row r="785">
      <c r="A785" s="13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row>
    <row r="786">
      <c r="A786" s="135"/>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row>
    <row r="787">
      <c r="A787" s="135"/>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row>
    <row r="788">
      <c r="A788" s="135"/>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row>
    <row r="789">
      <c r="A789" s="135"/>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row>
    <row r="790">
      <c r="A790" s="135"/>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row>
    <row r="791">
      <c r="A791" s="135"/>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row>
    <row r="792">
      <c r="A792" s="135"/>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row>
    <row r="793">
      <c r="A793" s="135"/>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row>
    <row r="794">
      <c r="A794" s="135"/>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row>
    <row r="795">
      <c r="A795" s="13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row>
    <row r="796">
      <c r="A796" s="135"/>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row>
    <row r="797">
      <c r="A797" s="135"/>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row>
    <row r="798">
      <c r="A798" s="135"/>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row>
    <row r="799">
      <c r="A799" s="135"/>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row>
    <row r="800">
      <c r="A800" s="135"/>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row>
    <row r="801">
      <c r="A801" s="135"/>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row>
    <row r="802">
      <c r="A802" s="135"/>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row>
    <row r="803">
      <c r="A803" s="135"/>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row>
    <row r="804">
      <c r="A804" s="135"/>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row>
    <row r="805">
      <c r="A805" s="13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row>
    <row r="806">
      <c r="A806" s="135"/>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row>
    <row r="807">
      <c r="A807" s="135"/>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row>
    <row r="808">
      <c r="A808" s="135"/>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row>
    <row r="809">
      <c r="A809" s="135"/>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row>
    <row r="810">
      <c r="A810" s="135"/>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row>
    <row r="811">
      <c r="A811" s="135"/>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row>
    <row r="812">
      <c r="A812" s="135"/>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row>
    <row r="813">
      <c r="A813" s="135"/>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row>
    <row r="814">
      <c r="A814" s="135"/>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row>
    <row r="815">
      <c r="A815" s="13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row>
    <row r="816">
      <c r="A816" s="135"/>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row>
    <row r="817">
      <c r="A817" s="135"/>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row>
    <row r="818">
      <c r="A818" s="135"/>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row>
    <row r="819">
      <c r="A819" s="135"/>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row>
    <row r="820">
      <c r="A820" s="135"/>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row>
    <row r="821">
      <c r="A821" s="135"/>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row>
    <row r="822">
      <c r="A822" s="135"/>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row>
    <row r="823">
      <c r="A823" s="135"/>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row>
    <row r="824">
      <c r="A824" s="135"/>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row>
    <row r="825">
      <c r="A825" s="13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row>
    <row r="826">
      <c r="A826" s="135"/>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row>
    <row r="827">
      <c r="A827" s="135"/>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row>
    <row r="828">
      <c r="A828" s="135"/>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row>
    <row r="829">
      <c r="A829" s="135"/>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row>
    <row r="830">
      <c r="A830" s="135"/>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row>
    <row r="831">
      <c r="A831" s="135"/>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row>
    <row r="832">
      <c r="A832" s="135"/>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row>
    <row r="833">
      <c r="A833" s="135"/>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row>
    <row r="834">
      <c r="A834" s="135"/>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row>
    <row r="835">
      <c r="A835" s="1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row>
    <row r="836">
      <c r="A836" s="135"/>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row>
    <row r="837">
      <c r="A837" s="135"/>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row>
    <row r="838">
      <c r="A838" s="135"/>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row>
    <row r="839">
      <c r="A839" s="135"/>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row>
    <row r="840">
      <c r="A840" s="135"/>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row>
    <row r="841">
      <c r="A841" s="135"/>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row>
    <row r="842">
      <c r="A842" s="135"/>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row>
    <row r="843">
      <c r="A843" s="135"/>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row>
    <row r="844">
      <c r="A844" s="135"/>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row>
    <row r="845">
      <c r="A845" s="13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row>
    <row r="846">
      <c r="A846" s="135"/>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row>
    <row r="847">
      <c r="A847" s="135"/>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row>
    <row r="848">
      <c r="A848" s="135"/>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row>
    <row r="849">
      <c r="A849" s="135"/>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row>
    <row r="850">
      <c r="A850" s="135"/>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row>
    <row r="851">
      <c r="A851" s="135"/>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row>
    <row r="852">
      <c r="A852" s="135"/>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row>
    <row r="853">
      <c r="A853" s="135"/>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row>
    <row r="854">
      <c r="A854" s="135"/>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row>
    <row r="855">
      <c r="A855" s="13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row>
    <row r="856">
      <c r="A856" s="135"/>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row>
    <row r="857">
      <c r="A857" s="135"/>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row>
    <row r="858">
      <c r="A858" s="135"/>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row>
    <row r="859">
      <c r="A859" s="135"/>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row>
    <row r="860">
      <c r="A860" s="135"/>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row>
    <row r="861">
      <c r="A861" s="135"/>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row>
    <row r="862">
      <c r="A862" s="135"/>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row>
    <row r="863">
      <c r="A863" s="135"/>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row>
    <row r="864">
      <c r="A864" s="135"/>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row>
    <row r="865">
      <c r="A865" s="13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row>
    <row r="866">
      <c r="A866" s="135"/>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row>
    <row r="867">
      <c r="A867" s="135"/>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row>
    <row r="868">
      <c r="A868" s="135"/>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row>
    <row r="869">
      <c r="A869" s="135"/>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row>
    <row r="870">
      <c r="A870" s="135"/>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row>
    <row r="871">
      <c r="A871" s="135"/>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row>
    <row r="872">
      <c r="A872" s="135"/>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row>
    <row r="873">
      <c r="A873" s="135"/>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row>
    <row r="874">
      <c r="A874" s="135"/>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row>
    <row r="875">
      <c r="A875" s="13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row>
    <row r="876">
      <c r="A876" s="135"/>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row>
    <row r="877">
      <c r="A877" s="135"/>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row>
    <row r="878">
      <c r="A878" s="135"/>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row>
    <row r="879">
      <c r="A879" s="135"/>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row>
    <row r="880">
      <c r="A880" s="135"/>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row>
    <row r="881">
      <c r="A881" s="135"/>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row>
    <row r="882">
      <c r="A882" s="135"/>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row>
    <row r="883">
      <c r="A883" s="135"/>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row>
    <row r="884">
      <c r="A884" s="135"/>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row>
    <row r="885">
      <c r="A885" s="13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row>
    <row r="886">
      <c r="A886" s="135"/>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row>
    <row r="887">
      <c r="A887" s="135"/>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row>
    <row r="888">
      <c r="A888" s="135"/>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row>
    <row r="889">
      <c r="A889" s="135"/>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row>
    <row r="890">
      <c r="A890" s="135"/>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row>
    <row r="891">
      <c r="A891" s="135"/>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row>
    <row r="892">
      <c r="A892" s="135"/>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row>
    <row r="893">
      <c r="A893" s="135"/>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row>
    <row r="894">
      <c r="A894" s="135"/>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row>
    <row r="895">
      <c r="A895" s="13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row>
    <row r="896">
      <c r="A896" s="135"/>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row>
    <row r="897">
      <c r="A897" s="135"/>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row>
    <row r="898">
      <c r="A898" s="135"/>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row>
    <row r="899">
      <c r="A899" s="135"/>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row>
    <row r="900">
      <c r="A900" s="135"/>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row>
    <row r="901">
      <c r="A901" s="135"/>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row>
    <row r="902">
      <c r="A902" s="135"/>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row>
    <row r="903">
      <c r="A903" s="135"/>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row>
    <row r="904">
      <c r="A904" s="135"/>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row>
    <row r="905">
      <c r="A905" s="13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row>
    <row r="906">
      <c r="A906" s="135"/>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row>
    <row r="907">
      <c r="A907" s="135"/>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row>
    <row r="908">
      <c r="A908" s="135"/>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row>
    <row r="909">
      <c r="A909" s="135"/>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row>
    <row r="910">
      <c r="A910" s="135"/>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row>
    <row r="911">
      <c r="A911" s="135"/>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row>
    <row r="912">
      <c r="A912" s="135"/>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row>
    <row r="913">
      <c r="A913" s="135"/>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row>
    <row r="914">
      <c r="A914" s="135"/>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row>
    <row r="915">
      <c r="A915" s="13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row>
    <row r="916">
      <c r="A916" s="135"/>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row>
    <row r="917">
      <c r="A917" s="135"/>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row>
    <row r="918">
      <c r="A918" s="135"/>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row>
    <row r="919">
      <c r="A919" s="135"/>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row>
    <row r="920">
      <c r="A920" s="135"/>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row>
    <row r="921">
      <c r="A921" s="135"/>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row>
    <row r="922">
      <c r="A922" s="135"/>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row>
    <row r="923">
      <c r="A923" s="135"/>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row>
    <row r="924">
      <c r="A924" s="135"/>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row>
    <row r="925">
      <c r="A925" s="13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row>
    <row r="926">
      <c r="A926" s="135"/>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row>
    <row r="927">
      <c r="A927" s="135"/>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row>
    <row r="928">
      <c r="A928" s="135"/>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row>
    <row r="929">
      <c r="A929" s="135"/>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row>
    <row r="930">
      <c r="A930" s="135"/>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row>
    <row r="931">
      <c r="A931" s="135"/>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row>
    <row r="932">
      <c r="A932" s="135"/>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row>
    <row r="933">
      <c r="A933" s="135"/>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row>
    <row r="934">
      <c r="A934" s="135"/>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row>
    <row r="935">
      <c r="A935" s="1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row>
    <row r="936">
      <c r="A936" s="135"/>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row>
    <row r="937">
      <c r="A937" s="135"/>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row>
    <row r="938">
      <c r="A938" s="135"/>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row>
    <row r="939">
      <c r="A939" s="135"/>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row>
    <row r="940">
      <c r="A940" s="135"/>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row>
    <row r="941">
      <c r="A941" s="135"/>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row>
    <row r="942">
      <c r="A942" s="135"/>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row>
    <row r="943">
      <c r="A943" s="135"/>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row>
    <row r="944">
      <c r="A944" s="135"/>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row>
    <row r="945">
      <c r="A945" s="135"/>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row>
    <row r="946">
      <c r="A946" s="135"/>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row>
    <row r="947">
      <c r="A947" s="135"/>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row>
    <row r="948">
      <c r="A948" s="135"/>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row>
    <row r="949">
      <c r="A949" s="135"/>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row>
    <row r="950">
      <c r="A950" s="135"/>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row>
    <row r="951">
      <c r="A951" s="135"/>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row>
    <row r="952">
      <c r="A952" s="135"/>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row>
    <row r="953">
      <c r="A953" s="135"/>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row>
    <row r="954">
      <c r="A954" s="135"/>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row>
    <row r="955">
      <c r="A955" s="135"/>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row>
    <row r="956">
      <c r="A956" s="135"/>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row>
    <row r="957">
      <c r="A957" s="135"/>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row>
    <row r="958">
      <c r="A958" s="135"/>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row>
    <row r="959">
      <c r="A959" s="135"/>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row>
    <row r="960">
      <c r="A960" s="135"/>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row>
    <row r="961">
      <c r="A961" s="135"/>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row>
    <row r="962">
      <c r="A962" s="135"/>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row>
    <row r="963">
      <c r="A963" s="135"/>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row>
    <row r="964">
      <c r="A964" s="135"/>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row>
    <row r="965">
      <c r="A965" s="135"/>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row>
    <row r="966">
      <c r="A966" s="135"/>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row>
    <row r="967">
      <c r="A967" s="135"/>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row>
    <row r="968">
      <c r="A968" s="135"/>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row>
    <row r="969">
      <c r="A969" s="135"/>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row>
    <row r="970">
      <c r="A970" s="135"/>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row>
    <row r="971">
      <c r="A971" s="135"/>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row>
    <row r="972">
      <c r="A972" s="135"/>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row>
    <row r="973">
      <c r="A973" s="135"/>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row>
    <row r="974">
      <c r="A974" s="135"/>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row>
    <row r="975">
      <c r="A975" s="135"/>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row>
    <row r="976">
      <c r="A976" s="135"/>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row>
    <row r="977">
      <c r="A977" s="135"/>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row>
    <row r="978">
      <c r="A978" s="135"/>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row>
    <row r="979">
      <c r="A979" s="135"/>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row>
    <row r="980">
      <c r="A980" s="135"/>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row>
    <row r="981">
      <c r="A981" s="135"/>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row>
    <row r="982">
      <c r="A982" s="135"/>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row>
    <row r="983">
      <c r="A983" s="135"/>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row>
    <row r="984">
      <c r="A984" s="135"/>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row>
    <row r="985">
      <c r="A985" s="135"/>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row>
    <row r="986">
      <c r="A986" s="135"/>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row>
    <row r="987">
      <c r="A987" s="135"/>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row>
    <row r="988">
      <c r="A988" s="135"/>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row>
    <row r="989">
      <c r="A989" s="135"/>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row>
    <row r="990">
      <c r="A990" s="135"/>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row>
    <row r="991">
      <c r="A991" s="135"/>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row>
    <row r="992">
      <c r="A992" s="135"/>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row>
    <row r="993">
      <c r="A993" s="135"/>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row>
    <row r="994">
      <c r="A994" s="135"/>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row>
    <row r="995">
      <c r="A995" s="135"/>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row>
    <row r="996">
      <c r="A996" s="135"/>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row>
    <row r="997">
      <c r="A997" s="135"/>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row>
    <row r="998">
      <c r="A998" s="135"/>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row>
    <row r="999">
      <c r="A999" s="135"/>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row>
    <row r="1000">
      <c r="A1000" s="135"/>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row>
    <row r="1001">
      <c r="A1001" s="135"/>
      <c r="B1001" s="135"/>
      <c r="C1001" s="135"/>
      <c r="D1001" s="135"/>
      <c r="E1001" s="135"/>
      <c r="F1001" s="135"/>
      <c r="G1001" s="135"/>
      <c r="H1001" s="135"/>
      <c r="I1001" s="135"/>
      <c r="J1001" s="135"/>
      <c r="K1001" s="135"/>
      <c r="L1001" s="135"/>
      <c r="M1001" s="135"/>
      <c r="N1001" s="135"/>
      <c r="O1001" s="135"/>
      <c r="P1001" s="135"/>
      <c r="Q1001" s="135"/>
      <c r="R1001" s="135"/>
      <c r="S1001" s="135"/>
      <c r="T1001" s="135"/>
      <c r="U1001" s="135"/>
      <c r="V1001" s="135"/>
      <c r="W1001" s="135"/>
      <c r="X1001" s="135"/>
      <c r="Y1001" s="135"/>
      <c r="Z1001" s="135"/>
    </row>
    <row r="1002">
      <c r="A1002" s="135"/>
      <c r="B1002" s="135"/>
      <c r="C1002" s="135"/>
      <c r="D1002" s="135"/>
      <c r="E1002" s="135"/>
      <c r="F1002" s="135"/>
      <c r="G1002" s="135"/>
      <c r="H1002" s="135"/>
      <c r="I1002" s="135"/>
      <c r="J1002" s="135"/>
      <c r="K1002" s="135"/>
      <c r="L1002" s="135"/>
      <c r="M1002" s="135"/>
      <c r="N1002" s="135"/>
      <c r="O1002" s="135"/>
      <c r="P1002" s="135"/>
      <c r="Q1002" s="135"/>
      <c r="R1002" s="135"/>
      <c r="S1002" s="135"/>
      <c r="T1002" s="135"/>
      <c r="U1002" s="135"/>
      <c r="V1002" s="135"/>
      <c r="W1002" s="135"/>
      <c r="X1002" s="135"/>
      <c r="Y1002" s="135"/>
      <c r="Z1002" s="135"/>
    </row>
    <row r="1003">
      <c r="A1003" s="135"/>
      <c r="B1003" s="135"/>
      <c r="C1003" s="135"/>
      <c r="D1003" s="135"/>
      <c r="E1003" s="135"/>
      <c r="F1003" s="135"/>
      <c r="G1003" s="135"/>
      <c r="H1003" s="135"/>
      <c r="I1003" s="135"/>
      <c r="J1003" s="135"/>
      <c r="K1003" s="135"/>
      <c r="L1003" s="135"/>
      <c r="M1003" s="135"/>
      <c r="N1003" s="135"/>
      <c r="O1003" s="135"/>
      <c r="P1003" s="135"/>
      <c r="Q1003" s="135"/>
      <c r="R1003" s="135"/>
      <c r="S1003" s="135"/>
      <c r="T1003" s="135"/>
      <c r="U1003" s="135"/>
      <c r="V1003" s="135"/>
      <c r="W1003" s="135"/>
      <c r="X1003" s="135"/>
      <c r="Y1003" s="135"/>
      <c r="Z1003" s="135"/>
    </row>
    <row r="1004">
      <c r="A1004" s="135"/>
      <c r="B1004" s="135"/>
      <c r="C1004" s="135"/>
      <c r="D1004" s="135"/>
      <c r="E1004" s="135"/>
      <c r="F1004" s="135"/>
      <c r="G1004" s="135"/>
      <c r="H1004" s="135"/>
      <c r="I1004" s="135"/>
      <c r="J1004" s="135"/>
      <c r="K1004" s="135"/>
      <c r="L1004" s="135"/>
      <c r="M1004" s="135"/>
      <c r="N1004" s="135"/>
      <c r="O1004" s="135"/>
      <c r="P1004" s="135"/>
      <c r="Q1004" s="135"/>
      <c r="R1004" s="135"/>
      <c r="S1004" s="135"/>
      <c r="T1004" s="135"/>
      <c r="U1004" s="135"/>
      <c r="V1004" s="135"/>
      <c r="W1004" s="135"/>
      <c r="X1004" s="135"/>
      <c r="Y1004" s="135"/>
      <c r="Z1004" s="135"/>
    </row>
    <row r="1005">
      <c r="A1005" s="135"/>
      <c r="B1005" s="135"/>
      <c r="C1005" s="135"/>
      <c r="D1005" s="135"/>
      <c r="E1005" s="135"/>
      <c r="F1005" s="135"/>
      <c r="G1005" s="135"/>
      <c r="H1005" s="135"/>
      <c r="I1005" s="135"/>
      <c r="J1005" s="135"/>
      <c r="K1005" s="135"/>
      <c r="L1005" s="135"/>
      <c r="M1005" s="135"/>
      <c r="N1005" s="135"/>
      <c r="O1005" s="135"/>
      <c r="P1005" s="135"/>
      <c r="Q1005" s="135"/>
      <c r="R1005" s="135"/>
      <c r="S1005" s="135"/>
      <c r="T1005" s="135"/>
      <c r="U1005" s="135"/>
      <c r="V1005" s="135"/>
      <c r="W1005" s="135"/>
      <c r="X1005" s="135"/>
      <c r="Y1005" s="135"/>
      <c r="Z1005" s="135"/>
    </row>
    <row r="1006">
      <c r="A1006" s="135"/>
      <c r="B1006" s="135"/>
      <c r="C1006" s="135"/>
      <c r="D1006" s="135"/>
      <c r="E1006" s="135"/>
      <c r="F1006" s="135"/>
      <c r="G1006" s="135"/>
      <c r="H1006" s="135"/>
      <c r="I1006" s="135"/>
      <c r="J1006" s="135"/>
      <c r="K1006" s="135"/>
      <c r="L1006" s="135"/>
      <c r="M1006" s="135"/>
      <c r="N1006" s="135"/>
      <c r="O1006" s="135"/>
      <c r="P1006" s="135"/>
      <c r="Q1006" s="135"/>
      <c r="R1006" s="135"/>
      <c r="S1006" s="135"/>
      <c r="T1006" s="135"/>
      <c r="U1006" s="135"/>
      <c r="V1006" s="135"/>
      <c r="W1006" s="135"/>
      <c r="X1006" s="135"/>
      <c r="Y1006" s="135"/>
      <c r="Z1006" s="135"/>
    </row>
    <row r="1007">
      <c r="A1007" s="135"/>
      <c r="B1007" s="135"/>
      <c r="C1007" s="135"/>
      <c r="D1007" s="135"/>
      <c r="E1007" s="135"/>
      <c r="F1007" s="135"/>
      <c r="G1007" s="135"/>
      <c r="H1007" s="135"/>
      <c r="I1007" s="135"/>
      <c r="J1007" s="135"/>
      <c r="K1007" s="135"/>
      <c r="L1007" s="135"/>
      <c r="M1007" s="135"/>
      <c r="N1007" s="135"/>
      <c r="O1007" s="135"/>
      <c r="P1007" s="135"/>
      <c r="Q1007" s="135"/>
      <c r="R1007" s="135"/>
      <c r="S1007" s="135"/>
      <c r="T1007" s="135"/>
      <c r="U1007" s="135"/>
      <c r="V1007" s="135"/>
      <c r="W1007" s="135"/>
      <c r="X1007" s="135"/>
      <c r="Y1007" s="135"/>
      <c r="Z1007" s="135"/>
    </row>
  </sheetData>
  <autoFilter ref="$A$1:$I$102"/>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25"/>
    <col customWidth="1" min="3" max="3" width="18.88"/>
    <col customWidth="1" min="4" max="4" width="29.13"/>
    <col customWidth="1" min="5" max="5" width="38.75"/>
    <col customWidth="1" min="6" max="6" width="39.63"/>
    <col customWidth="1" min="7" max="8" width="22.38"/>
  </cols>
  <sheetData>
    <row r="1">
      <c r="A1" s="31" t="s">
        <v>78</v>
      </c>
      <c r="B1" s="32" t="s">
        <v>79</v>
      </c>
      <c r="C1" s="66" t="s">
        <v>80</v>
      </c>
      <c r="D1" s="66" t="s">
        <v>81</v>
      </c>
      <c r="E1" s="67" t="s">
        <v>82</v>
      </c>
      <c r="F1" s="68" t="s">
        <v>413</v>
      </c>
      <c r="G1" s="68" t="s">
        <v>414</v>
      </c>
      <c r="H1" s="31" t="s">
        <v>83</v>
      </c>
      <c r="I1" s="31" t="s">
        <v>278</v>
      </c>
    </row>
    <row r="2">
      <c r="A2" s="38" t="s">
        <v>84</v>
      </c>
      <c r="B2" s="59" t="s">
        <v>4265</v>
      </c>
      <c r="C2" s="59" t="s">
        <v>4266</v>
      </c>
      <c r="D2" s="59" t="s">
        <v>4267</v>
      </c>
      <c r="E2" s="59" t="s">
        <v>4268</v>
      </c>
      <c r="F2" s="59" t="s">
        <v>4269</v>
      </c>
      <c r="G2" s="59" t="s">
        <v>4270</v>
      </c>
      <c r="H2" s="59" t="s">
        <v>4271</v>
      </c>
      <c r="I2" s="59" t="s">
        <v>13</v>
      </c>
      <c r="L2" s="1" t="s">
        <v>284</v>
      </c>
      <c r="M2" s="21">
        <f>SUM(M3:M4)</f>
        <v>27</v>
      </c>
    </row>
    <row r="3">
      <c r="A3" s="38" t="s">
        <v>92</v>
      </c>
      <c r="B3" s="59" t="s">
        <v>4265</v>
      </c>
      <c r="C3" s="59" t="s">
        <v>4266</v>
      </c>
      <c r="D3" s="59" t="s">
        <v>4267</v>
      </c>
      <c r="E3" s="59" t="s">
        <v>4272</v>
      </c>
      <c r="F3" s="59" t="s">
        <v>4273</v>
      </c>
      <c r="G3" s="59" t="s">
        <v>46</v>
      </c>
      <c r="H3" s="59" t="s">
        <v>4274</v>
      </c>
      <c r="I3" s="59" t="s">
        <v>13</v>
      </c>
      <c r="L3" s="1" t="s">
        <v>13</v>
      </c>
      <c r="M3" s="21">
        <f>COUNTIF($I$2:$I$28,"Todos")</f>
        <v>26</v>
      </c>
    </row>
    <row r="4">
      <c r="A4" s="38" t="s">
        <v>96</v>
      </c>
      <c r="B4" s="59" t="s">
        <v>4265</v>
      </c>
      <c r="C4" s="59" t="s">
        <v>4266</v>
      </c>
      <c r="D4" s="59" t="s">
        <v>4275</v>
      </c>
      <c r="E4" s="59" t="s">
        <v>4276</v>
      </c>
      <c r="F4" s="59" t="s">
        <v>4277</v>
      </c>
      <c r="G4" s="59" t="s">
        <v>46</v>
      </c>
      <c r="H4" s="59" t="s">
        <v>4278</v>
      </c>
      <c r="I4" s="59" t="s">
        <v>13</v>
      </c>
      <c r="L4" s="1" t="s">
        <v>18</v>
      </c>
      <c r="M4" s="21">
        <f>COUNTIF($I$2:$I$28,"El Salvador")</f>
        <v>1</v>
      </c>
    </row>
    <row r="5">
      <c r="A5" s="38" t="s">
        <v>101</v>
      </c>
      <c r="B5" s="59" t="s">
        <v>4265</v>
      </c>
      <c r="C5" s="59" t="s">
        <v>4266</v>
      </c>
      <c r="D5" s="59" t="s">
        <v>4279</v>
      </c>
      <c r="E5" s="59" t="s">
        <v>4280</v>
      </c>
      <c r="F5" s="59" t="s">
        <v>4281</v>
      </c>
      <c r="G5" s="59" t="s">
        <v>46</v>
      </c>
      <c r="H5" s="59" t="s">
        <v>4282</v>
      </c>
      <c r="I5" s="59" t="s">
        <v>13</v>
      </c>
    </row>
    <row r="6">
      <c r="A6" s="38" t="s">
        <v>106</v>
      </c>
      <c r="B6" s="59" t="s">
        <v>4265</v>
      </c>
      <c r="C6" s="59" t="s">
        <v>4266</v>
      </c>
      <c r="D6" s="59" t="s">
        <v>4275</v>
      </c>
      <c r="E6" s="59" t="s">
        <v>4283</v>
      </c>
      <c r="F6" s="59" t="s">
        <v>4284</v>
      </c>
      <c r="G6" s="59" t="s">
        <v>46</v>
      </c>
      <c r="H6" s="59" t="s">
        <v>4285</v>
      </c>
      <c r="I6" s="59" t="s">
        <v>13</v>
      </c>
    </row>
    <row r="7">
      <c r="A7" s="38" t="s">
        <v>110</v>
      </c>
      <c r="B7" s="59" t="s">
        <v>4265</v>
      </c>
      <c r="C7" s="59" t="s">
        <v>4266</v>
      </c>
      <c r="D7" s="59" t="s">
        <v>4286</v>
      </c>
      <c r="E7" s="59" t="s">
        <v>4287</v>
      </c>
      <c r="F7" s="59" t="s">
        <v>4288</v>
      </c>
      <c r="G7" s="59" t="s">
        <v>46</v>
      </c>
      <c r="H7" s="59" t="s">
        <v>4289</v>
      </c>
      <c r="I7" s="59" t="s">
        <v>13</v>
      </c>
    </row>
    <row r="8">
      <c r="A8" s="38" t="s">
        <v>115</v>
      </c>
      <c r="B8" s="59" t="s">
        <v>4265</v>
      </c>
      <c r="C8" s="59" t="s">
        <v>4266</v>
      </c>
      <c r="D8" s="59" t="s">
        <v>4290</v>
      </c>
      <c r="E8" s="59" t="s">
        <v>4291</v>
      </c>
      <c r="F8" s="59" t="s">
        <v>4292</v>
      </c>
      <c r="G8" s="59" t="s">
        <v>4293</v>
      </c>
      <c r="H8" s="59" t="s">
        <v>4294</v>
      </c>
      <c r="I8" s="59" t="s">
        <v>18</v>
      </c>
    </row>
    <row r="9">
      <c r="A9" s="38" t="s">
        <v>120</v>
      </c>
      <c r="B9" s="59" t="s">
        <v>4265</v>
      </c>
      <c r="C9" s="59" t="s">
        <v>4295</v>
      </c>
      <c r="D9" s="59" t="s">
        <v>4296</v>
      </c>
      <c r="E9" s="59" t="s">
        <v>4297</v>
      </c>
      <c r="F9" s="59" t="s">
        <v>4298</v>
      </c>
      <c r="G9" s="59" t="s">
        <v>46</v>
      </c>
      <c r="H9" s="59" t="s">
        <v>4299</v>
      </c>
      <c r="I9" s="59" t="s">
        <v>13</v>
      </c>
    </row>
    <row r="10">
      <c r="A10" s="38" t="s">
        <v>125</v>
      </c>
      <c r="B10" s="59" t="s">
        <v>4265</v>
      </c>
      <c r="C10" s="59" t="s">
        <v>4300</v>
      </c>
      <c r="D10" s="59" t="s">
        <v>4301</v>
      </c>
      <c r="E10" s="59" t="s">
        <v>4302</v>
      </c>
      <c r="F10" s="59" t="s">
        <v>4298</v>
      </c>
      <c r="G10" s="59" t="s">
        <v>46</v>
      </c>
      <c r="H10" s="59" t="s">
        <v>4299</v>
      </c>
      <c r="I10" s="59" t="s">
        <v>13</v>
      </c>
    </row>
    <row r="11">
      <c r="A11" s="38" t="s">
        <v>129</v>
      </c>
      <c r="B11" s="59" t="s">
        <v>4265</v>
      </c>
      <c r="C11" s="59" t="s">
        <v>4303</v>
      </c>
      <c r="D11" s="59" t="s">
        <v>4304</v>
      </c>
      <c r="E11" s="59" t="s">
        <v>4305</v>
      </c>
      <c r="F11" s="59" t="s">
        <v>4298</v>
      </c>
      <c r="G11" s="59" t="s">
        <v>46</v>
      </c>
      <c r="H11" s="59" t="s">
        <v>4299</v>
      </c>
      <c r="I11" s="59" t="s">
        <v>13</v>
      </c>
    </row>
    <row r="12">
      <c r="A12" s="38" t="s">
        <v>134</v>
      </c>
      <c r="B12" s="59" t="s">
        <v>4265</v>
      </c>
      <c r="C12" s="59" t="s">
        <v>4266</v>
      </c>
      <c r="D12" s="59" t="s">
        <v>4306</v>
      </c>
      <c r="E12" s="59" t="s">
        <v>4307</v>
      </c>
      <c r="F12" s="59" t="s">
        <v>4308</v>
      </c>
      <c r="G12" s="59" t="s">
        <v>46</v>
      </c>
      <c r="H12" s="59" t="s">
        <v>4309</v>
      </c>
      <c r="I12" s="59" t="s">
        <v>13</v>
      </c>
    </row>
    <row r="13">
      <c r="A13" s="38" t="s">
        <v>139</v>
      </c>
      <c r="B13" s="59" t="s">
        <v>4265</v>
      </c>
      <c r="C13" s="59" t="s">
        <v>4266</v>
      </c>
      <c r="D13" s="59" t="s">
        <v>4306</v>
      </c>
      <c r="E13" s="59" t="s">
        <v>4310</v>
      </c>
      <c r="F13" s="59" t="s">
        <v>4311</v>
      </c>
      <c r="G13" s="59" t="s">
        <v>46</v>
      </c>
      <c r="H13" s="59" t="s">
        <v>4312</v>
      </c>
      <c r="I13" s="59" t="s">
        <v>13</v>
      </c>
    </row>
    <row r="14">
      <c r="A14" s="38" t="s">
        <v>144</v>
      </c>
      <c r="B14" s="59" t="s">
        <v>4265</v>
      </c>
      <c r="C14" s="59" t="s">
        <v>4313</v>
      </c>
      <c r="D14" s="59" t="s">
        <v>4286</v>
      </c>
      <c r="E14" s="59" t="s">
        <v>4314</v>
      </c>
      <c r="F14" s="59" t="s">
        <v>4315</v>
      </c>
      <c r="G14" s="59" t="s">
        <v>4316</v>
      </c>
      <c r="H14" s="59" t="s">
        <v>4317</v>
      </c>
      <c r="I14" s="59" t="s">
        <v>13</v>
      </c>
    </row>
    <row r="15">
      <c r="A15" s="38" t="s">
        <v>149</v>
      </c>
      <c r="B15" s="59" t="s">
        <v>4265</v>
      </c>
      <c r="C15" s="59" t="s">
        <v>4318</v>
      </c>
      <c r="D15" s="59" t="s">
        <v>4319</v>
      </c>
      <c r="E15" s="59" t="s">
        <v>4320</v>
      </c>
      <c r="F15" s="59" t="s">
        <v>4321</v>
      </c>
      <c r="G15" s="59" t="s">
        <v>46</v>
      </c>
      <c r="H15" s="59" t="s">
        <v>4322</v>
      </c>
      <c r="I15" s="59" t="s">
        <v>13</v>
      </c>
    </row>
    <row r="16">
      <c r="A16" s="38" t="s">
        <v>153</v>
      </c>
      <c r="B16" s="59" t="s">
        <v>4265</v>
      </c>
      <c r="C16" s="59" t="s">
        <v>4323</v>
      </c>
      <c r="D16" s="59" t="s">
        <v>4324</v>
      </c>
      <c r="E16" s="59" t="s">
        <v>4325</v>
      </c>
      <c r="F16" s="59" t="s">
        <v>4326</v>
      </c>
      <c r="G16" s="59" t="s">
        <v>46</v>
      </c>
      <c r="H16" s="59" t="s">
        <v>4327</v>
      </c>
      <c r="I16" s="59" t="s">
        <v>13</v>
      </c>
    </row>
    <row r="17">
      <c r="A17" s="38" t="s">
        <v>158</v>
      </c>
      <c r="B17" s="59" t="s">
        <v>4265</v>
      </c>
      <c r="C17" s="59" t="s">
        <v>4328</v>
      </c>
      <c r="D17" s="59" t="s">
        <v>4329</v>
      </c>
      <c r="E17" s="59" t="s">
        <v>4330</v>
      </c>
      <c r="F17" s="59" t="s">
        <v>4331</v>
      </c>
      <c r="G17" s="59" t="s">
        <v>46</v>
      </c>
      <c r="H17" s="65"/>
      <c r="I17" s="59" t="s">
        <v>13</v>
      </c>
    </row>
    <row r="18">
      <c r="A18" s="38" t="s">
        <v>162</v>
      </c>
      <c r="B18" s="59" t="s">
        <v>4265</v>
      </c>
      <c r="C18" s="59" t="s">
        <v>4332</v>
      </c>
      <c r="D18" s="59" t="s">
        <v>4333</v>
      </c>
      <c r="E18" s="59" t="s">
        <v>4334</v>
      </c>
      <c r="F18" s="59" t="s">
        <v>4335</v>
      </c>
      <c r="G18" s="59" t="s">
        <v>46</v>
      </c>
      <c r="H18" s="59" t="s">
        <v>4336</v>
      </c>
      <c r="I18" s="59" t="s">
        <v>13</v>
      </c>
    </row>
    <row r="19">
      <c r="A19" s="38" t="s">
        <v>165</v>
      </c>
      <c r="B19" s="59" t="s">
        <v>4265</v>
      </c>
      <c r="C19" s="59" t="s">
        <v>4337</v>
      </c>
      <c r="D19" s="59" t="s">
        <v>4333</v>
      </c>
      <c r="E19" s="59" t="s">
        <v>4338</v>
      </c>
      <c r="F19" s="59" t="s">
        <v>4339</v>
      </c>
      <c r="G19" s="59" t="s">
        <v>46</v>
      </c>
      <c r="H19" s="59" t="s">
        <v>4340</v>
      </c>
      <c r="I19" s="59" t="s">
        <v>13</v>
      </c>
    </row>
    <row r="20">
      <c r="A20" s="38" t="s">
        <v>167</v>
      </c>
      <c r="B20" s="59" t="s">
        <v>4265</v>
      </c>
      <c r="C20" s="59" t="s">
        <v>4341</v>
      </c>
      <c r="D20" s="59" t="s">
        <v>4333</v>
      </c>
      <c r="E20" s="59" t="s">
        <v>4342</v>
      </c>
      <c r="F20" s="59" t="s">
        <v>4343</v>
      </c>
      <c r="G20" s="59" t="s">
        <v>46</v>
      </c>
      <c r="H20" s="59" t="s">
        <v>4344</v>
      </c>
      <c r="I20" s="59" t="s">
        <v>13</v>
      </c>
    </row>
    <row r="21">
      <c r="A21" s="38" t="s">
        <v>170</v>
      </c>
      <c r="B21" s="59" t="s">
        <v>4265</v>
      </c>
      <c r="C21" s="59" t="s">
        <v>4341</v>
      </c>
      <c r="D21" s="59" t="s">
        <v>4333</v>
      </c>
      <c r="E21" s="59" t="s">
        <v>4345</v>
      </c>
      <c r="F21" s="59" t="s">
        <v>4346</v>
      </c>
      <c r="G21" s="59" t="s">
        <v>46</v>
      </c>
      <c r="H21" s="59" t="s">
        <v>4347</v>
      </c>
      <c r="I21" s="59" t="s">
        <v>13</v>
      </c>
    </row>
    <row r="22">
      <c r="A22" s="38" t="s">
        <v>175</v>
      </c>
      <c r="B22" s="59" t="s">
        <v>4265</v>
      </c>
      <c r="C22" s="59" t="s">
        <v>4341</v>
      </c>
      <c r="D22" s="59" t="s">
        <v>4333</v>
      </c>
      <c r="E22" s="59" t="s">
        <v>4348</v>
      </c>
      <c r="F22" s="59" t="s">
        <v>4349</v>
      </c>
      <c r="G22" s="59" t="s">
        <v>46</v>
      </c>
      <c r="H22" s="59" t="s">
        <v>4350</v>
      </c>
      <c r="I22" s="59" t="s">
        <v>13</v>
      </c>
    </row>
    <row r="23">
      <c r="A23" s="38" t="s">
        <v>180</v>
      </c>
      <c r="B23" s="59" t="s">
        <v>4265</v>
      </c>
      <c r="C23" s="59" t="s">
        <v>4341</v>
      </c>
      <c r="D23" s="59" t="s">
        <v>4351</v>
      </c>
      <c r="E23" s="59" t="s">
        <v>4352</v>
      </c>
      <c r="F23" s="59" t="s">
        <v>4353</v>
      </c>
      <c r="G23" s="59" t="s">
        <v>46</v>
      </c>
      <c r="H23" s="59" t="s">
        <v>4354</v>
      </c>
      <c r="I23" s="59" t="s">
        <v>13</v>
      </c>
    </row>
    <row r="24">
      <c r="A24" s="38" t="s">
        <v>185</v>
      </c>
      <c r="B24" s="59" t="s">
        <v>4265</v>
      </c>
      <c r="C24" s="59" t="s">
        <v>4341</v>
      </c>
      <c r="D24" s="59" t="s">
        <v>4355</v>
      </c>
      <c r="E24" s="59" t="s">
        <v>4356</v>
      </c>
      <c r="F24" s="59" t="s">
        <v>4357</v>
      </c>
      <c r="G24" s="59" t="s">
        <v>46</v>
      </c>
      <c r="H24" s="59" t="s">
        <v>4358</v>
      </c>
      <c r="I24" s="59" t="s">
        <v>13</v>
      </c>
    </row>
    <row r="25">
      <c r="A25" s="38" t="s">
        <v>190</v>
      </c>
      <c r="B25" s="59" t="s">
        <v>4265</v>
      </c>
      <c r="C25" s="59" t="s">
        <v>4359</v>
      </c>
      <c r="D25" s="59" t="s">
        <v>4360</v>
      </c>
      <c r="E25" s="59" t="s">
        <v>4361</v>
      </c>
      <c r="F25" s="59" t="s">
        <v>4362</v>
      </c>
      <c r="G25" s="59" t="s">
        <v>46</v>
      </c>
      <c r="H25" s="59" t="s">
        <v>4363</v>
      </c>
      <c r="I25" s="59" t="s">
        <v>13</v>
      </c>
    </row>
    <row r="26">
      <c r="A26" s="38" t="s">
        <v>195</v>
      </c>
      <c r="B26" s="59" t="s">
        <v>4265</v>
      </c>
      <c r="C26" s="59" t="s">
        <v>4359</v>
      </c>
      <c r="D26" s="59" t="s">
        <v>4360</v>
      </c>
      <c r="E26" s="59" t="s">
        <v>4364</v>
      </c>
      <c r="F26" s="59" t="s">
        <v>4365</v>
      </c>
      <c r="G26" s="59" t="s">
        <v>46</v>
      </c>
      <c r="H26" s="59" t="s">
        <v>4366</v>
      </c>
      <c r="I26" s="59" t="s">
        <v>13</v>
      </c>
    </row>
    <row r="27">
      <c r="A27" s="38" t="s">
        <v>200</v>
      </c>
      <c r="B27" s="59" t="s">
        <v>4265</v>
      </c>
      <c r="C27" s="59" t="s">
        <v>401</v>
      </c>
      <c r="D27" s="59" t="s">
        <v>402</v>
      </c>
      <c r="E27" s="59" t="s">
        <v>403</v>
      </c>
      <c r="F27" s="59" t="s">
        <v>4367</v>
      </c>
      <c r="G27" s="59" t="s">
        <v>3215</v>
      </c>
      <c r="H27" s="59" t="s">
        <v>479</v>
      </c>
      <c r="I27" s="59" t="s">
        <v>13</v>
      </c>
    </row>
    <row r="28">
      <c r="A28" s="38" t="s">
        <v>205</v>
      </c>
      <c r="B28" s="59" t="s">
        <v>4265</v>
      </c>
      <c r="C28" s="59" t="s">
        <v>401</v>
      </c>
      <c r="D28" s="59" t="s">
        <v>406</v>
      </c>
      <c r="E28" s="59" t="s">
        <v>407</v>
      </c>
      <c r="F28" s="59" t="s">
        <v>4368</v>
      </c>
      <c r="G28" s="59" t="s">
        <v>3215</v>
      </c>
      <c r="H28" s="59" t="s">
        <v>479</v>
      </c>
      <c r="I28" s="59" t="s">
        <v>13</v>
      </c>
    </row>
  </sheetData>
  <autoFilter ref="$A$1:$I$28"/>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12.25"/>
    <col customWidth="1" min="3" max="3" width="17.25"/>
    <col customWidth="1" min="4" max="4" width="27.0"/>
    <col customWidth="1" min="5" max="5" width="54.75"/>
    <col customWidth="1" min="6" max="6" width="24.13"/>
    <col customWidth="1" min="7" max="7" width="19.13"/>
    <col customWidth="1" min="8" max="8" width="16.25"/>
  </cols>
  <sheetData>
    <row r="1">
      <c r="A1" s="31" t="s">
        <v>78</v>
      </c>
      <c r="B1" s="32" t="s">
        <v>79</v>
      </c>
      <c r="C1" s="66" t="s">
        <v>80</v>
      </c>
      <c r="D1" s="66" t="s">
        <v>81</v>
      </c>
      <c r="E1" s="67" t="s">
        <v>82</v>
      </c>
      <c r="F1" s="68" t="s">
        <v>413</v>
      </c>
      <c r="G1" s="68" t="s">
        <v>414</v>
      </c>
      <c r="H1" s="31" t="s">
        <v>83</v>
      </c>
      <c r="I1" s="31" t="s">
        <v>278</v>
      </c>
    </row>
    <row r="2">
      <c r="A2" s="38" t="s">
        <v>84</v>
      </c>
      <c r="B2" s="59" t="s">
        <v>4369</v>
      </c>
      <c r="C2" s="59" t="s">
        <v>4370</v>
      </c>
      <c r="D2" s="59" t="s">
        <v>4371</v>
      </c>
      <c r="E2" s="59" t="s">
        <v>4372</v>
      </c>
      <c r="F2" s="59" t="s">
        <v>4373</v>
      </c>
      <c r="G2" s="59" t="s">
        <v>46</v>
      </c>
      <c r="H2" s="59" t="s">
        <v>4374</v>
      </c>
      <c r="I2" s="59" t="s">
        <v>13</v>
      </c>
      <c r="L2" s="1" t="s">
        <v>284</v>
      </c>
      <c r="M2" s="21">
        <f>SUM(M3:M4)</f>
        <v>47</v>
      </c>
    </row>
    <row r="3">
      <c r="A3" s="38" t="s">
        <v>92</v>
      </c>
      <c r="B3" s="59" t="s">
        <v>4369</v>
      </c>
      <c r="C3" s="59" t="s">
        <v>4375</v>
      </c>
      <c r="D3" s="59" t="s">
        <v>4376</v>
      </c>
      <c r="E3" s="59" t="s">
        <v>4377</v>
      </c>
      <c r="F3" s="59" t="s">
        <v>4378</v>
      </c>
      <c r="G3" s="59" t="s">
        <v>46</v>
      </c>
      <c r="H3" s="59" t="s">
        <v>4379</v>
      </c>
      <c r="I3" s="59" t="s">
        <v>13</v>
      </c>
      <c r="L3" s="1" t="s">
        <v>13</v>
      </c>
      <c r="M3" s="21">
        <f>COUNTA(I2:I48)</f>
        <v>47</v>
      </c>
    </row>
    <row r="4">
      <c r="A4" s="38" t="s">
        <v>96</v>
      </c>
      <c r="B4" s="59" t="s">
        <v>4369</v>
      </c>
      <c r="C4" s="59" t="s">
        <v>4375</v>
      </c>
      <c r="D4" s="59" t="s">
        <v>4376</v>
      </c>
      <c r="E4" s="59" t="s">
        <v>4380</v>
      </c>
      <c r="F4" s="59" t="s">
        <v>4381</v>
      </c>
      <c r="G4" s="59" t="s">
        <v>46</v>
      </c>
      <c r="H4" s="59" t="s">
        <v>4382</v>
      </c>
      <c r="I4" s="59" t="s">
        <v>13</v>
      </c>
    </row>
    <row r="5">
      <c r="A5" s="38" t="s">
        <v>101</v>
      </c>
      <c r="B5" s="59" t="s">
        <v>4369</v>
      </c>
      <c r="C5" s="59" t="s">
        <v>4375</v>
      </c>
      <c r="D5" s="59" t="s">
        <v>4376</v>
      </c>
      <c r="E5" s="59" t="s">
        <v>4383</v>
      </c>
      <c r="F5" s="59" t="s">
        <v>4384</v>
      </c>
      <c r="G5" s="59" t="s">
        <v>46</v>
      </c>
      <c r="H5" s="59" t="s">
        <v>4385</v>
      </c>
      <c r="I5" s="59" t="s">
        <v>13</v>
      </c>
    </row>
    <row r="6">
      <c r="A6" s="38" t="s">
        <v>106</v>
      </c>
      <c r="B6" s="59" t="s">
        <v>4369</v>
      </c>
      <c r="C6" s="59" t="s">
        <v>4375</v>
      </c>
      <c r="D6" s="59" t="s">
        <v>4376</v>
      </c>
      <c r="E6" s="59" t="s">
        <v>4386</v>
      </c>
      <c r="F6" s="59" t="s">
        <v>4387</v>
      </c>
      <c r="G6" s="59" t="s">
        <v>46</v>
      </c>
      <c r="H6" s="59" t="s">
        <v>4388</v>
      </c>
      <c r="I6" s="59" t="s">
        <v>13</v>
      </c>
    </row>
    <row r="7">
      <c r="A7" s="38" t="s">
        <v>110</v>
      </c>
      <c r="B7" s="59" t="s">
        <v>4369</v>
      </c>
      <c r="C7" s="59" t="s">
        <v>4375</v>
      </c>
      <c r="D7" s="59" t="s">
        <v>4376</v>
      </c>
      <c r="E7" s="59" t="s">
        <v>4389</v>
      </c>
      <c r="F7" s="59" t="s">
        <v>4390</v>
      </c>
      <c r="G7" s="59" t="s">
        <v>46</v>
      </c>
      <c r="H7" s="59" t="s">
        <v>4391</v>
      </c>
      <c r="I7" s="59" t="s">
        <v>13</v>
      </c>
    </row>
    <row r="8">
      <c r="A8" s="38" t="s">
        <v>115</v>
      </c>
      <c r="B8" s="59" t="s">
        <v>4369</v>
      </c>
      <c r="C8" s="59" t="s">
        <v>4375</v>
      </c>
      <c r="D8" s="59" t="s">
        <v>4376</v>
      </c>
      <c r="E8" s="59" t="s">
        <v>4392</v>
      </c>
      <c r="F8" s="59" t="s">
        <v>4390</v>
      </c>
      <c r="G8" s="59" t="s">
        <v>4393</v>
      </c>
      <c r="H8" s="59" t="s">
        <v>4391</v>
      </c>
      <c r="I8" s="59" t="s">
        <v>13</v>
      </c>
    </row>
    <row r="9">
      <c r="A9" s="38" t="s">
        <v>120</v>
      </c>
      <c r="B9" s="59" t="s">
        <v>4369</v>
      </c>
      <c r="C9" s="59" t="s">
        <v>4375</v>
      </c>
      <c r="D9" s="59" t="s">
        <v>4376</v>
      </c>
      <c r="E9" s="59" t="s">
        <v>4394</v>
      </c>
      <c r="F9" s="59" t="s">
        <v>4395</v>
      </c>
      <c r="G9" s="59" t="s">
        <v>46</v>
      </c>
      <c r="H9" s="59" t="s">
        <v>4396</v>
      </c>
      <c r="I9" s="59" t="s">
        <v>13</v>
      </c>
    </row>
    <row r="10">
      <c r="A10" s="38" t="s">
        <v>125</v>
      </c>
      <c r="B10" s="59" t="s">
        <v>4369</v>
      </c>
      <c r="C10" s="59" t="s">
        <v>4375</v>
      </c>
      <c r="D10" s="59" t="s">
        <v>4376</v>
      </c>
      <c r="E10" s="59" t="s">
        <v>4397</v>
      </c>
      <c r="F10" s="59" t="s">
        <v>4398</v>
      </c>
      <c r="G10" s="59" t="s">
        <v>46</v>
      </c>
      <c r="H10" s="59" t="s">
        <v>4399</v>
      </c>
      <c r="I10" s="59" t="s">
        <v>13</v>
      </c>
    </row>
    <row r="11">
      <c r="A11" s="38" t="s">
        <v>129</v>
      </c>
      <c r="B11" s="59" t="s">
        <v>4369</v>
      </c>
      <c r="C11" s="59" t="s">
        <v>4400</v>
      </c>
      <c r="D11" s="59" t="s">
        <v>4376</v>
      </c>
      <c r="E11" s="59" t="s">
        <v>4401</v>
      </c>
      <c r="F11" s="59" t="s">
        <v>4402</v>
      </c>
      <c r="G11" s="59" t="s">
        <v>46</v>
      </c>
      <c r="H11" s="59" t="s">
        <v>4403</v>
      </c>
      <c r="I11" s="59" t="s">
        <v>13</v>
      </c>
    </row>
    <row r="12">
      <c r="A12" s="38" t="s">
        <v>134</v>
      </c>
      <c r="B12" s="59" t="s">
        <v>4369</v>
      </c>
      <c r="C12" s="136" t="s">
        <v>4400</v>
      </c>
      <c r="D12" s="136" t="s">
        <v>4376</v>
      </c>
      <c r="E12" s="136" t="s">
        <v>4404</v>
      </c>
      <c r="F12" s="136" t="s">
        <v>4405</v>
      </c>
      <c r="G12" s="136" t="s">
        <v>46</v>
      </c>
      <c r="H12" s="136" t="s">
        <v>4406</v>
      </c>
      <c r="I12" s="59" t="s">
        <v>13</v>
      </c>
    </row>
    <row r="13">
      <c r="A13" s="38" t="s">
        <v>139</v>
      </c>
      <c r="B13" s="59" t="s">
        <v>4369</v>
      </c>
      <c r="C13" s="136" t="s">
        <v>4400</v>
      </c>
      <c r="D13" s="136" t="s">
        <v>4376</v>
      </c>
      <c r="E13" s="137" t="s">
        <v>4407</v>
      </c>
      <c r="F13" s="137" t="s">
        <v>4408</v>
      </c>
      <c r="G13" s="136" t="s">
        <v>46</v>
      </c>
      <c r="H13" s="136"/>
      <c r="I13" s="59" t="s">
        <v>13</v>
      </c>
    </row>
    <row r="14">
      <c r="A14" s="38" t="s">
        <v>144</v>
      </c>
      <c r="B14" s="59" t="s">
        <v>4369</v>
      </c>
      <c r="C14" s="136" t="s">
        <v>4400</v>
      </c>
      <c r="D14" s="136" t="s">
        <v>4376</v>
      </c>
      <c r="E14" s="138" t="s">
        <v>4409</v>
      </c>
      <c r="F14" s="138" t="s">
        <v>4410</v>
      </c>
      <c r="G14" s="136" t="s">
        <v>4411</v>
      </c>
      <c r="H14" s="136" t="s">
        <v>4412</v>
      </c>
      <c r="I14" s="59" t="s">
        <v>13</v>
      </c>
    </row>
    <row r="15">
      <c r="A15" s="38" t="s">
        <v>149</v>
      </c>
      <c r="B15" s="59" t="s">
        <v>4369</v>
      </c>
      <c r="C15" s="59" t="s">
        <v>4413</v>
      </c>
      <c r="D15" s="136" t="s">
        <v>4376</v>
      </c>
      <c r="E15" s="59" t="s">
        <v>4414</v>
      </c>
      <c r="F15" s="59" t="s">
        <v>4415</v>
      </c>
      <c r="G15" s="136" t="s">
        <v>46</v>
      </c>
      <c r="H15" s="59" t="s">
        <v>4416</v>
      </c>
      <c r="I15" s="59" t="s">
        <v>13</v>
      </c>
    </row>
    <row r="16">
      <c r="A16" s="38" t="s">
        <v>153</v>
      </c>
      <c r="B16" s="59" t="s">
        <v>4369</v>
      </c>
      <c r="C16" s="59" t="s">
        <v>4413</v>
      </c>
      <c r="D16" s="136" t="s">
        <v>4376</v>
      </c>
      <c r="E16" s="59" t="s">
        <v>4417</v>
      </c>
      <c r="F16" s="59" t="s">
        <v>4418</v>
      </c>
      <c r="G16" s="59" t="s">
        <v>4419</v>
      </c>
      <c r="H16" s="59" t="s">
        <v>4420</v>
      </c>
      <c r="I16" s="59" t="s">
        <v>13</v>
      </c>
    </row>
    <row r="17">
      <c r="A17" s="38" t="s">
        <v>158</v>
      </c>
      <c r="B17" s="59" t="s">
        <v>4369</v>
      </c>
      <c r="C17" s="59" t="s">
        <v>4413</v>
      </c>
      <c r="D17" s="136" t="s">
        <v>4376</v>
      </c>
      <c r="E17" s="59" t="s">
        <v>4421</v>
      </c>
      <c r="F17" s="59" t="s">
        <v>4422</v>
      </c>
      <c r="G17" s="59" t="s">
        <v>4419</v>
      </c>
      <c r="H17" s="59" t="s">
        <v>4423</v>
      </c>
      <c r="I17" s="59" t="s">
        <v>13</v>
      </c>
    </row>
    <row r="18">
      <c r="A18" s="38" t="s">
        <v>162</v>
      </c>
      <c r="B18" s="59" t="s">
        <v>4369</v>
      </c>
      <c r="C18" s="59" t="s">
        <v>4413</v>
      </c>
      <c r="D18" s="136" t="s">
        <v>4376</v>
      </c>
      <c r="E18" s="59" t="s">
        <v>4424</v>
      </c>
      <c r="F18" s="59" t="s">
        <v>4425</v>
      </c>
      <c r="G18" s="59" t="s">
        <v>4419</v>
      </c>
      <c r="H18" s="59" t="s">
        <v>4426</v>
      </c>
      <c r="I18" s="59" t="s">
        <v>13</v>
      </c>
    </row>
    <row r="19">
      <c r="A19" s="38" t="s">
        <v>165</v>
      </c>
      <c r="B19" s="59" t="s">
        <v>4369</v>
      </c>
      <c r="C19" s="59" t="s">
        <v>4413</v>
      </c>
      <c r="D19" s="136" t="s">
        <v>4376</v>
      </c>
      <c r="E19" s="59" t="s">
        <v>4427</v>
      </c>
      <c r="F19" s="59" t="s">
        <v>4428</v>
      </c>
      <c r="G19" s="59" t="s">
        <v>46</v>
      </c>
      <c r="H19" s="59" t="s">
        <v>4429</v>
      </c>
      <c r="I19" s="59" t="s">
        <v>13</v>
      </c>
    </row>
    <row r="20">
      <c r="A20" s="38" t="s">
        <v>167</v>
      </c>
      <c r="B20" s="59" t="s">
        <v>4369</v>
      </c>
      <c r="C20" s="59" t="s">
        <v>4430</v>
      </c>
      <c r="D20" s="59" t="s">
        <v>4431</v>
      </c>
      <c r="E20" s="59" t="s">
        <v>4432</v>
      </c>
      <c r="F20" s="59" t="s">
        <v>4433</v>
      </c>
      <c r="G20" s="59" t="s">
        <v>46</v>
      </c>
      <c r="H20" s="59" t="s">
        <v>4434</v>
      </c>
      <c r="I20" s="59" t="s">
        <v>13</v>
      </c>
    </row>
    <row r="21">
      <c r="A21" s="38" t="s">
        <v>170</v>
      </c>
      <c r="B21" s="59" t="s">
        <v>4369</v>
      </c>
      <c r="C21" s="59" t="s">
        <v>4435</v>
      </c>
      <c r="D21" s="136" t="s">
        <v>4376</v>
      </c>
      <c r="E21" s="59" t="s">
        <v>4436</v>
      </c>
      <c r="F21" s="59" t="s">
        <v>4437</v>
      </c>
      <c r="G21" s="59" t="s">
        <v>46</v>
      </c>
      <c r="H21" s="59" t="s">
        <v>4438</v>
      </c>
      <c r="I21" s="59" t="s">
        <v>13</v>
      </c>
    </row>
    <row r="22">
      <c r="A22" s="38" t="s">
        <v>175</v>
      </c>
      <c r="B22" s="59" t="s">
        <v>4369</v>
      </c>
      <c r="C22" s="59" t="s">
        <v>4435</v>
      </c>
      <c r="D22" s="136" t="s">
        <v>4376</v>
      </c>
      <c r="E22" s="59" t="s">
        <v>4436</v>
      </c>
      <c r="F22" s="59" t="s">
        <v>4439</v>
      </c>
      <c r="G22" s="59" t="s">
        <v>46</v>
      </c>
      <c r="H22" s="59" t="s">
        <v>4440</v>
      </c>
      <c r="I22" s="59" t="s">
        <v>13</v>
      </c>
    </row>
    <row r="23">
      <c r="A23" s="38" t="s">
        <v>180</v>
      </c>
      <c r="B23" s="59" t="s">
        <v>4369</v>
      </c>
      <c r="C23" s="59" t="s">
        <v>4441</v>
      </c>
      <c r="D23" s="136" t="s">
        <v>4376</v>
      </c>
      <c r="E23" s="59" t="s">
        <v>4442</v>
      </c>
      <c r="F23" s="133" t="s">
        <v>4443</v>
      </c>
      <c r="G23" s="59" t="s">
        <v>46</v>
      </c>
      <c r="H23" s="59"/>
      <c r="I23" s="59" t="s">
        <v>13</v>
      </c>
    </row>
    <row r="24">
      <c r="A24" s="38" t="s">
        <v>185</v>
      </c>
      <c r="B24" s="59" t="s">
        <v>4369</v>
      </c>
      <c r="C24" s="59" t="s">
        <v>4441</v>
      </c>
      <c r="D24" s="136" t="s">
        <v>4376</v>
      </c>
      <c r="E24" s="59" t="s">
        <v>4442</v>
      </c>
      <c r="F24" s="133" t="s">
        <v>4444</v>
      </c>
      <c r="G24" s="59" t="s">
        <v>46</v>
      </c>
      <c r="H24" s="59"/>
      <c r="I24" s="59" t="s">
        <v>13</v>
      </c>
    </row>
    <row r="25">
      <c r="A25" s="38" t="s">
        <v>190</v>
      </c>
      <c r="B25" s="59" t="s">
        <v>4369</v>
      </c>
      <c r="C25" s="59" t="s">
        <v>4441</v>
      </c>
      <c r="D25" s="136" t="s">
        <v>4376</v>
      </c>
      <c r="E25" s="59" t="s">
        <v>4442</v>
      </c>
      <c r="F25" s="133" t="s">
        <v>4445</v>
      </c>
      <c r="G25" s="59" t="s">
        <v>46</v>
      </c>
      <c r="H25" s="59"/>
      <c r="I25" s="59" t="s">
        <v>13</v>
      </c>
    </row>
    <row r="26">
      <c r="A26" s="38" t="s">
        <v>195</v>
      </c>
      <c r="B26" s="59" t="s">
        <v>4369</v>
      </c>
      <c r="C26" s="59" t="s">
        <v>4446</v>
      </c>
      <c r="D26" s="59" t="s">
        <v>4447</v>
      </c>
      <c r="E26" s="59" t="s">
        <v>4448</v>
      </c>
      <c r="F26" s="59" t="s">
        <v>4449</v>
      </c>
      <c r="G26" s="59" t="s">
        <v>4450</v>
      </c>
      <c r="H26" s="59" t="s">
        <v>4451</v>
      </c>
      <c r="I26" s="59" t="s">
        <v>13</v>
      </c>
    </row>
    <row r="27">
      <c r="A27" s="38" t="s">
        <v>200</v>
      </c>
      <c r="B27" s="59" t="s">
        <v>4369</v>
      </c>
      <c r="C27" s="59" t="s">
        <v>4446</v>
      </c>
      <c r="D27" s="59" t="s">
        <v>4447</v>
      </c>
      <c r="E27" s="59" t="s">
        <v>4452</v>
      </c>
      <c r="F27" s="59" t="s">
        <v>4453</v>
      </c>
      <c r="G27" s="59" t="s">
        <v>4450</v>
      </c>
      <c r="H27" s="59" t="s">
        <v>4454</v>
      </c>
      <c r="I27" s="59" t="s">
        <v>13</v>
      </c>
    </row>
    <row r="28">
      <c r="A28" s="38" t="s">
        <v>205</v>
      </c>
      <c r="B28" s="59" t="s">
        <v>4369</v>
      </c>
      <c r="C28" s="59" t="s">
        <v>4446</v>
      </c>
      <c r="D28" s="59" t="s">
        <v>4455</v>
      </c>
      <c r="E28" s="59" t="s">
        <v>4452</v>
      </c>
      <c r="F28" s="59" t="s">
        <v>4453</v>
      </c>
      <c r="G28" s="59" t="s">
        <v>4450</v>
      </c>
      <c r="H28" s="59" t="s">
        <v>4454</v>
      </c>
      <c r="I28" s="59" t="s">
        <v>13</v>
      </c>
    </row>
    <row r="29">
      <c r="A29" s="38" t="s">
        <v>210</v>
      </c>
      <c r="B29" s="59" t="s">
        <v>4369</v>
      </c>
      <c r="C29" s="59" t="s">
        <v>4446</v>
      </c>
      <c r="D29" s="59" t="s">
        <v>4456</v>
      </c>
      <c r="E29" s="59" t="s">
        <v>4452</v>
      </c>
      <c r="F29" s="59" t="s">
        <v>4453</v>
      </c>
      <c r="G29" s="59" t="s">
        <v>4450</v>
      </c>
      <c r="H29" s="59" t="s">
        <v>4454</v>
      </c>
      <c r="I29" s="59" t="s">
        <v>13</v>
      </c>
    </row>
    <row r="30">
      <c r="A30" s="38" t="s">
        <v>215</v>
      </c>
      <c r="B30" s="59" t="s">
        <v>4369</v>
      </c>
      <c r="C30" s="59" t="s">
        <v>4446</v>
      </c>
      <c r="D30" s="59" t="s">
        <v>4457</v>
      </c>
      <c r="E30" s="59" t="s">
        <v>4452</v>
      </c>
      <c r="F30" s="59" t="s">
        <v>4453</v>
      </c>
      <c r="G30" s="59" t="s">
        <v>4450</v>
      </c>
      <c r="H30" s="59" t="s">
        <v>4454</v>
      </c>
      <c r="I30" s="59" t="s">
        <v>13</v>
      </c>
    </row>
    <row r="31">
      <c r="A31" s="38" t="s">
        <v>220</v>
      </c>
      <c r="B31" s="59" t="s">
        <v>4369</v>
      </c>
      <c r="C31" s="59" t="s">
        <v>4446</v>
      </c>
      <c r="D31" s="59" t="s">
        <v>4296</v>
      </c>
      <c r="E31" s="59" t="s">
        <v>4458</v>
      </c>
      <c r="F31" s="133" t="s">
        <v>4459</v>
      </c>
      <c r="G31" s="59" t="s">
        <v>4450</v>
      </c>
      <c r="H31" s="59" t="s">
        <v>4460</v>
      </c>
      <c r="I31" s="59" t="s">
        <v>13</v>
      </c>
    </row>
    <row r="32">
      <c r="A32" s="38" t="s">
        <v>224</v>
      </c>
      <c r="B32" s="59" t="s">
        <v>4369</v>
      </c>
      <c r="C32" s="59" t="s">
        <v>4446</v>
      </c>
      <c r="D32" s="59" t="s">
        <v>4301</v>
      </c>
      <c r="E32" s="59" t="s">
        <v>4458</v>
      </c>
      <c r="F32" s="133" t="s">
        <v>4461</v>
      </c>
      <c r="G32" s="59" t="s">
        <v>4450</v>
      </c>
      <c r="H32" s="59" t="s">
        <v>4460</v>
      </c>
      <c r="I32" s="59" t="s">
        <v>13</v>
      </c>
    </row>
    <row r="33">
      <c r="A33" s="38" t="s">
        <v>228</v>
      </c>
      <c r="B33" s="59" t="s">
        <v>4369</v>
      </c>
      <c r="C33" s="59" t="s">
        <v>4446</v>
      </c>
      <c r="D33" s="59" t="s">
        <v>4304</v>
      </c>
      <c r="E33" s="59" t="s">
        <v>4458</v>
      </c>
      <c r="F33" s="133" t="s">
        <v>4462</v>
      </c>
      <c r="G33" s="59" t="s">
        <v>4450</v>
      </c>
      <c r="H33" s="59" t="s">
        <v>4460</v>
      </c>
      <c r="I33" s="59" t="s">
        <v>13</v>
      </c>
    </row>
    <row r="34">
      <c r="A34" s="38" t="s">
        <v>233</v>
      </c>
      <c r="B34" s="59" t="s">
        <v>4369</v>
      </c>
      <c r="C34" s="59" t="s">
        <v>4446</v>
      </c>
      <c r="D34" s="59" t="s">
        <v>4463</v>
      </c>
      <c r="E34" s="59" t="s">
        <v>4458</v>
      </c>
      <c r="F34" s="133" t="s">
        <v>4464</v>
      </c>
      <c r="G34" s="59" t="s">
        <v>4450</v>
      </c>
      <c r="H34" s="59" t="s">
        <v>4465</v>
      </c>
      <c r="I34" s="59" t="s">
        <v>13</v>
      </c>
    </row>
    <row r="35">
      <c r="A35" s="38" t="s">
        <v>237</v>
      </c>
      <c r="B35" s="59" t="s">
        <v>4369</v>
      </c>
      <c r="C35" s="59" t="s">
        <v>4446</v>
      </c>
      <c r="D35" s="59" t="s">
        <v>4466</v>
      </c>
      <c r="E35" s="59" t="s">
        <v>4458</v>
      </c>
      <c r="F35" s="133" t="s">
        <v>4467</v>
      </c>
      <c r="G35" s="59" t="s">
        <v>4450</v>
      </c>
      <c r="H35" s="59" t="s">
        <v>4465</v>
      </c>
      <c r="I35" s="59" t="s">
        <v>13</v>
      </c>
    </row>
    <row r="36">
      <c r="A36" s="38" t="s">
        <v>241</v>
      </c>
      <c r="B36" s="59" t="s">
        <v>4369</v>
      </c>
      <c r="C36" s="59" t="s">
        <v>4446</v>
      </c>
      <c r="D36" s="59" t="s">
        <v>4468</v>
      </c>
      <c r="E36" s="59" t="s">
        <v>4458</v>
      </c>
      <c r="F36" s="133" t="s">
        <v>4469</v>
      </c>
      <c r="G36" s="59" t="s">
        <v>4450</v>
      </c>
      <c r="H36" s="59" t="s">
        <v>4465</v>
      </c>
      <c r="I36" s="59" t="s">
        <v>13</v>
      </c>
    </row>
    <row r="37">
      <c r="A37" s="38" t="s">
        <v>245</v>
      </c>
      <c r="B37" s="59" t="s">
        <v>4369</v>
      </c>
      <c r="C37" s="59" t="s">
        <v>4446</v>
      </c>
      <c r="D37" s="59" t="s">
        <v>4470</v>
      </c>
      <c r="E37" s="59" t="s">
        <v>4458</v>
      </c>
      <c r="F37" s="133" t="s">
        <v>4471</v>
      </c>
      <c r="G37" s="59" t="s">
        <v>4450</v>
      </c>
      <c r="H37" s="59" t="s">
        <v>4472</v>
      </c>
      <c r="I37" s="59" t="s">
        <v>13</v>
      </c>
    </row>
    <row r="38">
      <c r="A38" s="38" t="s">
        <v>250</v>
      </c>
      <c r="B38" s="59" t="s">
        <v>4369</v>
      </c>
      <c r="C38" s="59" t="s">
        <v>4473</v>
      </c>
      <c r="D38" s="59" t="s">
        <v>4474</v>
      </c>
      <c r="E38" s="59" t="s">
        <v>4458</v>
      </c>
      <c r="F38" s="133" t="s">
        <v>4475</v>
      </c>
      <c r="G38" s="59" t="s">
        <v>4450</v>
      </c>
      <c r="H38" s="59" t="s">
        <v>4472</v>
      </c>
      <c r="I38" s="59" t="s">
        <v>13</v>
      </c>
    </row>
    <row r="39">
      <c r="A39" s="38" t="s">
        <v>254</v>
      </c>
      <c r="B39" s="59" t="s">
        <v>4369</v>
      </c>
      <c r="C39" s="59" t="s">
        <v>4446</v>
      </c>
      <c r="D39" s="59" t="s">
        <v>4476</v>
      </c>
      <c r="E39" s="59" t="s">
        <v>4458</v>
      </c>
      <c r="F39" s="133" t="s">
        <v>4477</v>
      </c>
      <c r="G39" s="59" t="s">
        <v>4450</v>
      </c>
      <c r="H39" s="59" t="s">
        <v>4472</v>
      </c>
      <c r="I39" s="59" t="s">
        <v>13</v>
      </c>
    </row>
    <row r="40">
      <c r="A40" s="38" t="s">
        <v>258</v>
      </c>
      <c r="B40" s="59" t="s">
        <v>4369</v>
      </c>
      <c r="C40" s="59" t="s">
        <v>4446</v>
      </c>
      <c r="D40" s="59" t="s">
        <v>4470</v>
      </c>
      <c r="E40" s="59" t="s">
        <v>4458</v>
      </c>
      <c r="F40" s="133" t="s">
        <v>4478</v>
      </c>
      <c r="G40" s="59" t="s">
        <v>4450</v>
      </c>
      <c r="H40" s="59" t="s">
        <v>4472</v>
      </c>
      <c r="I40" s="59" t="s">
        <v>13</v>
      </c>
    </row>
    <row r="41">
      <c r="A41" s="38" t="s">
        <v>263</v>
      </c>
      <c r="B41" s="59" t="s">
        <v>4369</v>
      </c>
      <c r="C41" s="59" t="s">
        <v>4446</v>
      </c>
      <c r="D41" s="59" t="s">
        <v>4479</v>
      </c>
      <c r="E41" s="59" t="s">
        <v>4458</v>
      </c>
      <c r="F41" s="133" t="s">
        <v>4480</v>
      </c>
      <c r="G41" s="59" t="s">
        <v>4450</v>
      </c>
      <c r="H41" s="59" t="s">
        <v>4481</v>
      </c>
      <c r="I41" s="59" t="s">
        <v>13</v>
      </c>
    </row>
    <row r="42">
      <c r="A42" s="38" t="s">
        <v>268</v>
      </c>
      <c r="B42" s="59" t="s">
        <v>4369</v>
      </c>
      <c r="C42" s="59" t="s">
        <v>4446</v>
      </c>
      <c r="D42" s="59" t="s">
        <v>4479</v>
      </c>
      <c r="E42" s="59" t="s">
        <v>4458</v>
      </c>
      <c r="F42" s="133" t="s">
        <v>4482</v>
      </c>
      <c r="G42" s="59" t="s">
        <v>4450</v>
      </c>
      <c r="H42" s="59" t="s">
        <v>4481</v>
      </c>
      <c r="I42" s="59" t="s">
        <v>13</v>
      </c>
    </row>
    <row r="43">
      <c r="A43" s="38" t="s">
        <v>271</v>
      </c>
      <c r="B43" s="59" t="s">
        <v>4369</v>
      </c>
      <c r="C43" s="59" t="s">
        <v>4446</v>
      </c>
      <c r="D43" s="59" t="s">
        <v>4483</v>
      </c>
      <c r="E43" s="59" t="s">
        <v>4458</v>
      </c>
      <c r="F43" s="133" t="s">
        <v>4484</v>
      </c>
      <c r="G43" s="59" t="s">
        <v>4450</v>
      </c>
      <c r="H43" s="59" t="s">
        <v>4481</v>
      </c>
      <c r="I43" s="59" t="s">
        <v>13</v>
      </c>
    </row>
    <row r="44">
      <c r="A44" s="38" t="s">
        <v>274</v>
      </c>
      <c r="B44" s="59" t="s">
        <v>4369</v>
      </c>
      <c r="C44" s="59" t="s">
        <v>4446</v>
      </c>
      <c r="D44" s="59" t="s">
        <v>4485</v>
      </c>
      <c r="E44" s="59" t="s">
        <v>4458</v>
      </c>
      <c r="F44" s="133" t="s">
        <v>4486</v>
      </c>
      <c r="G44" s="59" t="s">
        <v>4450</v>
      </c>
      <c r="H44" s="59" t="s">
        <v>4481</v>
      </c>
      <c r="I44" s="59" t="s">
        <v>13</v>
      </c>
    </row>
    <row r="45">
      <c r="A45" s="38" t="s">
        <v>405</v>
      </c>
      <c r="B45" s="59" t="s">
        <v>4369</v>
      </c>
      <c r="C45" s="59" t="s">
        <v>4487</v>
      </c>
      <c r="D45" s="59" t="s">
        <v>4488</v>
      </c>
      <c r="E45" s="59" t="s">
        <v>4489</v>
      </c>
      <c r="F45" s="59" t="s">
        <v>4490</v>
      </c>
      <c r="G45" s="59" t="s">
        <v>4450</v>
      </c>
      <c r="H45" s="59" t="s">
        <v>4491</v>
      </c>
      <c r="I45" s="59" t="s">
        <v>13</v>
      </c>
    </row>
    <row r="46">
      <c r="A46" s="38" t="s">
        <v>408</v>
      </c>
      <c r="B46" s="59" t="s">
        <v>4369</v>
      </c>
      <c r="C46" s="59" t="s">
        <v>4492</v>
      </c>
      <c r="D46" s="59" t="s">
        <v>4493</v>
      </c>
      <c r="E46" s="59" t="s">
        <v>4494</v>
      </c>
      <c r="F46" s="59" t="s">
        <v>4495</v>
      </c>
      <c r="G46" s="59" t="s">
        <v>4450</v>
      </c>
      <c r="H46" s="59" t="s">
        <v>4496</v>
      </c>
      <c r="I46" s="59" t="s">
        <v>13</v>
      </c>
    </row>
    <row r="47">
      <c r="A47" s="38" t="s">
        <v>629</v>
      </c>
      <c r="B47" s="59" t="s">
        <v>4369</v>
      </c>
      <c r="C47" s="59" t="s">
        <v>4497</v>
      </c>
      <c r="D47" s="59" t="s">
        <v>402</v>
      </c>
      <c r="E47" s="59" t="s">
        <v>4498</v>
      </c>
      <c r="F47" s="59" t="s">
        <v>478</v>
      </c>
      <c r="G47" s="59" t="s">
        <v>46</v>
      </c>
      <c r="H47" s="59" t="s">
        <v>479</v>
      </c>
      <c r="I47" s="59" t="s">
        <v>13</v>
      </c>
    </row>
    <row r="48">
      <c r="A48" s="38" t="s">
        <v>633</v>
      </c>
      <c r="B48" s="59" t="s">
        <v>4369</v>
      </c>
      <c r="C48" s="59" t="s">
        <v>4499</v>
      </c>
      <c r="D48" s="59" t="s">
        <v>406</v>
      </c>
      <c r="E48" s="59" t="s">
        <v>4498</v>
      </c>
      <c r="F48" s="59" t="s">
        <v>481</v>
      </c>
      <c r="G48" s="59" t="s">
        <v>46</v>
      </c>
      <c r="H48" s="59" t="s">
        <v>479</v>
      </c>
      <c r="I48" s="59" t="s">
        <v>13</v>
      </c>
    </row>
  </sheetData>
  <autoFilter ref="$A$1:$I$48"/>
  <hyperlinks>
    <hyperlink r:id="rId1" ref="E14"/>
    <hyperlink r:id="rId2" ref="F14"/>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13.88"/>
    <col customWidth="1" min="3" max="3" width="25.5"/>
    <col customWidth="1" min="4" max="4" width="34.5"/>
    <col customWidth="1" min="5" max="5" width="43.75"/>
    <col customWidth="1" min="6" max="6" width="28.25"/>
  </cols>
  <sheetData>
    <row r="1">
      <c r="A1" s="31" t="s">
        <v>78</v>
      </c>
      <c r="B1" s="32" t="s">
        <v>79</v>
      </c>
      <c r="C1" s="34" t="s">
        <v>80</v>
      </c>
      <c r="D1" s="34" t="s">
        <v>81</v>
      </c>
      <c r="E1" s="35" t="s">
        <v>82</v>
      </c>
      <c r="F1" s="36" t="s">
        <v>83</v>
      </c>
      <c r="G1" s="36" t="s">
        <v>278</v>
      </c>
    </row>
    <row r="2">
      <c r="A2" s="55" t="s">
        <v>84</v>
      </c>
      <c r="B2" s="59" t="s">
        <v>4500</v>
      </c>
      <c r="C2" s="59" t="s">
        <v>4501</v>
      </c>
      <c r="D2" s="59" t="s">
        <v>4502</v>
      </c>
      <c r="E2" s="59" t="s">
        <v>4503</v>
      </c>
      <c r="F2" s="59" t="s">
        <v>4504</v>
      </c>
      <c r="G2" s="124" t="s">
        <v>13</v>
      </c>
      <c r="J2" s="1" t="s">
        <v>284</v>
      </c>
    </row>
    <row r="3">
      <c r="A3" s="55" t="s">
        <v>92</v>
      </c>
      <c r="B3" s="59" t="s">
        <v>4500</v>
      </c>
      <c r="C3" s="59" t="s">
        <v>4505</v>
      </c>
      <c r="D3" s="59" t="s">
        <v>4506</v>
      </c>
      <c r="E3" s="59" t="s">
        <v>4507</v>
      </c>
      <c r="F3" s="59" t="s">
        <v>4508</v>
      </c>
      <c r="G3" s="124" t="s">
        <v>13</v>
      </c>
      <c r="I3" s="94"/>
      <c r="J3" s="94" t="s">
        <v>13</v>
      </c>
      <c r="K3" s="94">
        <f>COUNTA(G2:G37)</f>
        <v>36</v>
      </c>
      <c r="L3" s="94"/>
      <c r="M3" s="94"/>
      <c r="N3" s="139"/>
    </row>
    <row r="4">
      <c r="A4" s="55" t="s">
        <v>96</v>
      </c>
      <c r="B4" s="59" t="s">
        <v>4500</v>
      </c>
      <c r="C4" s="59" t="s">
        <v>4509</v>
      </c>
      <c r="D4" s="59" t="s">
        <v>4510</v>
      </c>
      <c r="E4" s="59" t="s">
        <v>4511</v>
      </c>
      <c r="F4" s="59" t="s">
        <v>4512</v>
      </c>
      <c r="G4" s="124" t="s">
        <v>13</v>
      </c>
      <c r="I4" s="94"/>
      <c r="J4" s="94"/>
      <c r="K4" s="94"/>
      <c r="L4" s="94"/>
      <c r="M4" s="94"/>
      <c r="N4" s="139"/>
    </row>
    <row r="5">
      <c r="A5" s="55" t="s">
        <v>101</v>
      </c>
      <c r="B5" s="59" t="s">
        <v>4500</v>
      </c>
      <c r="C5" s="59" t="s">
        <v>4513</v>
      </c>
      <c r="D5" s="59" t="s">
        <v>4514</v>
      </c>
      <c r="E5" s="59" t="s">
        <v>4515</v>
      </c>
      <c r="F5" s="59" t="s">
        <v>4516</v>
      </c>
      <c r="G5" s="124" t="s">
        <v>13</v>
      </c>
    </row>
    <row r="6">
      <c r="A6" s="55" t="s">
        <v>106</v>
      </c>
      <c r="B6" s="59" t="s">
        <v>4500</v>
      </c>
      <c r="C6" s="59" t="s">
        <v>4505</v>
      </c>
      <c r="D6" s="59" t="s">
        <v>4517</v>
      </c>
      <c r="E6" s="59" t="s">
        <v>4518</v>
      </c>
      <c r="F6" s="65"/>
      <c r="G6" s="124" t="s">
        <v>13</v>
      </c>
    </row>
    <row r="7">
      <c r="A7" s="55" t="s">
        <v>110</v>
      </c>
      <c r="B7" s="59" t="s">
        <v>4500</v>
      </c>
      <c r="C7" s="59" t="s">
        <v>4505</v>
      </c>
      <c r="D7" s="59" t="s">
        <v>4519</v>
      </c>
      <c r="E7" s="59" t="s">
        <v>4520</v>
      </c>
      <c r="F7" s="59" t="s">
        <v>4521</v>
      </c>
      <c r="G7" s="124" t="s">
        <v>13</v>
      </c>
    </row>
    <row r="8">
      <c r="A8" s="55" t="s">
        <v>115</v>
      </c>
      <c r="B8" s="59" t="s">
        <v>4500</v>
      </c>
      <c r="C8" s="59" t="s">
        <v>4505</v>
      </c>
      <c r="D8" s="59" t="s">
        <v>4519</v>
      </c>
      <c r="E8" s="59" t="s">
        <v>4522</v>
      </c>
      <c r="F8" s="59" t="s">
        <v>4521</v>
      </c>
      <c r="G8" s="124" t="s">
        <v>13</v>
      </c>
    </row>
    <row r="9">
      <c r="A9" s="55" t="s">
        <v>120</v>
      </c>
      <c r="B9" s="59" t="s">
        <v>4500</v>
      </c>
      <c r="C9" s="59" t="s">
        <v>4505</v>
      </c>
      <c r="D9" s="59" t="s">
        <v>4519</v>
      </c>
      <c r="E9" s="59" t="s">
        <v>4523</v>
      </c>
      <c r="F9" s="59" t="s">
        <v>4521</v>
      </c>
      <c r="G9" s="124" t="s">
        <v>13</v>
      </c>
    </row>
    <row r="10">
      <c r="A10" s="55" t="s">
        <v>125</v>
      </c>
      <c r="B10" s="59" t="s">
        <v>4500</v>
      </c>
      <c r="C10" s="59" t="s">
        <v>4505</v>
      </c>
      <c r="D10" s="59" t="s">
        <v>4524</v>
      </c>
      <c r="E10" s="59" t="s">
        <v>4525</v>
      </c>
      <c r="F10" s="59" t="s">
        <v>4526</v>
      </c>
      <c r="G10" s="124" t="s">
        <v>13</v>
      </c>
    </row>
    <row r="11">
      <c r="A11" s="55" t="s">
        <v>129</v>
      </c>
      <c r="B11" s="59" t="s">
        <v>4500</v>
      </c>
      <c r="C11" s="59" t="s">
        <v>4505</v>
      </c>
      <c r="D11" s="59" t="s">
        <v>4524</v>
      </c>
      <c r="E11" s="59" t="s">
        <v>4527</v>
      </c>
      <c r="F11" s="59" t="s">
        <v>4528</v>
      </c>
      <c r="G11" s="124" t="s">
        <v>13</v>
      </c>
    </row>
    <row r="12">
      <c r="A12" s="55" t="s">
        <v>134</v>
      </c>
      <c r="B12" s="59" t="s">
        <v>4500</v>
      </c>
      <c r="C12" s="59" t="s">
        <v>4505</v>
      </c>
      <c r="D12" s="59" t="s">
        <v>4517</v>
      </c>
      <c r="E12" s="59" t="s">
        <v>4529</v>
      </c>
      <c r="F12" s="59" t="s">
        <v>4530</v>
      </c>
      <c r="G12" s="124" t="s">
        <v>13</v>
      </c>
    </row>
    <row r="13">
      <c r="A13" s="55" t="s">
        <v>139</v>
      </c>
      <c r="B13" s="59" t="s">
        <v>4500</v>
      </c>
      <c r="C13" s="59" t="s">
        <v>4505</v>
      </c>
      <c r="D13" s="59" t="s">
        <v>4531</v>
      </c>
      <c r="E13" s="59" t="s">
        <v>4532</v>
      </c>
      <c r="F13" s="59" t="s">
        <v>4533</v>
      </c>
      <c r="G13" s="124" t="s">
        <v>13</v>
      </c>
    </row>
    <row r="14">
      <c r="A14" s="55" t="s">
        <v>144</v>
      </c>
      <c r="B14" s="59" t="s">
        <v>4500</v>
      </c>
      <c r="C14" s="59" t="s">
        <v>4534</v>
      </c>
      <c r="D14" s="59" t="s">
        <v>4535</v>
      </c>
      <c r="E14" s="59" t="s">
        <v>4536</v>
      </c>
      <c r="F14" s="59" t="s">
        <v>4537</v>
      </c>
      <c r="G14" s="124" t="s">
        <v>13</v>
      </c>
    </row>
    <row r="15">
      <c r="A15" s="55" t="s">
        <v>149</v>
      </c>
      <c r="B15" s="59" t="s">
        <v>4500</v>
      </c>
      <c r="C15" s="59" t="s">
        <v>4534</v>
      </c>
      <c r="D15" s="59" t="s">
        <v>4535</v>
      </c>
      <c r="E15" s="59" t="s">
        <v>4538</v>
      </c>
      <c r="F15" s="65"/>
      <c r="G15" s="124" t="s">
        <v>13</v>
      </c>
    </row>
    <row r="16">
      <c r="A16" s="55" t="s">
        <v>153</v>
      </c>
      <c r="B16" s="59" t="s">
        <v>4500</v>
      </c>
      <c r="C16" s="59" t="s">
        <v>4534</v>
      </c>
      <c r="D16" s="59" t="s">
        <v>4539</v>
      </c>
      <c r="E16" s="59" t="s">
        <v>4532</v>
      </c>
      <c r="F16" s="59" t="s">
        <v>4533</v>
      </c>
      <c r="G16" s="124" t="s">
        <v>13</v>
      </c>
    </row>
    <row r="17">
      <c r="A17" s="55" t="s">
        <v>158</v>
      </c>
      <c r="B17" s="59" t="s">
        <v>4500</v>
      </c>
      <c r="C17" s="59" t="s">
        <v>4540</v>
      </c>
      <c r="D17" s="59" t="s">
        <v>4541</v>
      </c>
      <c r="E17" s="59" t="s">
        <v>4542</v>
      </c>
      <c r="F17" s="59" t="s">
        <v>4543</v>
      </c>
      <c r="G17" s="124" t="s">
        <v>13</v>
      </c>
    </row>
    <row r="18">
      <c r="A18" s="55" t="s">
        <v>162</v>
      </c>
      <c r="B18" s="59" t="s">
        <v>4500</v>
      </c>
      <c r="C18" s="59" t="s">
        <v>4544</v>
      </c>
      <c r="D18" s="59" t="s">
        <v>4545</v>
      </c>
      <c r="E18" s="59" t="s">
        <v>4546</v>
      </c>
      <c r="F18" s="59" t="s">
        <v>4547</v>
      </c>
      <c r="G18" s="124" t="s">
        <v>13</v>
      </c>
    </row>
    <row r="19">
      <c r="A19" s="55" t="s">
        <v>165</v>
      </c>
      <c r="B19" s="59" t="s">
        <v>4500</v>
      </c>
      <c r="C19" s="59" t="s">
        <v>4548</v>
      </c>
      <c r="D19" s="59" t="s">
        <v>4549</v>
      </c>
      <c r="E19" s="59" t="s">
        <v>4550</v>
      </c>
      <c r="F19" s="59" t="s">
        <v>4551</v>
      </c>
      <c r="G19" s="124" t="s">
        <v>13</v>
      </c>
    </row>
    <row r="20">
      <c r="A20" s="55" t="s">
        <v>167</v>
      </c>
      <c r="B20" s="59" t="s">
        <v>4500</v>
      </c>
      <c r="C20" s="59" t="s">
        <v>4552</v>
      </c>
      <c r="D20" s="59" t="s">
        <v>4553</v>
      </c>
      <c r="E20" s="59" t="s">
        <v>4554</v>
      </c>
      <c r="F20" s="59" t="s">
        <v>4555</v>
      </c>
      <c r="G20" s="124" t="s">
        <v>13</v>
      </c>
    </row>
    <row r="21">
      <c r="A21" s="55" t="s">
        <v>170</v>
      </c>
      <c r="B21" s="59" t="s">
        <v>4500</v>
      </c>
      <c r="C21" s="59" t="s">
        <v>4552</v>
      </c>
      <c r="D21" s="59" t="s">
        <v>4553</v>
      </c>
      <c r="E21" s="59" t="s">
        <v>4556</v>
      </c>
      <c r="F21" s="59" t="s">
        <v>4555</v>
      </c>
      <c r="G21" s="124" t="s">
        <v>13</v>
      </c>
    </row>
    <row r="22">
      <c r="A22" s="55" t="s">
        <v>175</v>
      </c>
      <c r="B22" s="59" t="s">
        <v>4500</v>
      </c>
      <c r="C22" s="59" t="s">
        <v>4552</v>
      </c>
      <c r="D22" s="59" t="s">
        <v>4553</v>
      </c>
      <c r="E22" s="59" t="s">
        <v>4557</v>
      </c>
      <c r="F22" s="59" t="s">
        <v>4555</v>
      </c>
      <c r="G22" s="124" t="s">
        <v>13</v>
      </c>
    </row>
    <row r="23">
      <c r="A23" s="55" t="s">
        <v>180</v>
      </c>
      <c r="B23" s="59" t="s">
        <v>4500</v>
      </c>
      <c r="C23" s="59" t="s">
        <v>4552</v>
      </c>
      <c r="D23" s="59" t="s">
        <v>4553</v>
      </c>
      <c r="E23" s="59" t="s">
        <v>4558</v>
      </c>
      <c r="F23" s="59" t="s">
        <v>4555</v>
      </c>
      <c r="G23" s="124" t="s">
        <v>13</v>
      </c>
    </row>
    <row r="24">
      <c r="A24" s="55" t="s">
        <v>185</v>
      </c>
      <c r="B24" s="59" t="s">
        <v>4500</v>
      </c>
      <c r="C24" s="59" t="s">
        <v>4552</v>
      </c>
      <c r="D24" s="59" t="s">
        <v>4559</v>
      </c>
      <c r="E24" s="59" t="s">
        <v>4560</v>
      </c>
      <c r="F24" s="59" t="s">
        <v>4555</v>
      </c>
      <c r="G24" s="124" t="s">
        <v>13</v>
      </c>
    </row>
    <row r="25">
      <c r="A25" s="55" t="s">
        <v>190</v>
      </c>
      <c r="B25" s="59" t="s">
        <v>4500</v>
      </c>
      <c r="C25" s="59" t="s">
        <v>4552</v>
      </c>
      <c r="D25" s="59" t="s">
        <v>4561</v>
      </c>
      <c r="E25" s="59" t="s">
        <v>4562</v>
      </c>
      <c r="F25" s="59" t="s">
        <v>4555</v>
      </c>
      <c r="G25" s="124" t="s">
        <v>13</v>
      </c>
    </row>
    <row r="26">
      <c r="A26" s="55" t="s">
        <v>195</v>
      </c>
      <c r="B26" s="59" t="s">
        <v>4500</v>
      </c>
      <c r="C26" s="59" t="s">
        <v>4552</v>
      </c>
      <c r="D26" s="59" t="s">
        <v>4563</v>
      </c>
      <c r="E26" s="59" t="s">
        <v>4564</v>
      </c>
      <c r="F26" s="59" t="s">
        <v>4555</v>
      </c>
      <c r="G26" s="124" t="s">
        <v>13</v>
      </c>
    </row>
    <row r="27">
      <c r="A27" s="55" t="s">
        <v>200</v>
      </c>
      <c r="B27" s="59" t="s">
        <v>4500</v>
      </c>
      <c r="C27" s="59" t="s">
        <v>4552</v>
      </c>
      <c r="D27" s="59" t="s">
        <v>4565</v>
      </c>
      <c r="E27" s="59" t="s">
        <v>4566</v>
      </c>
      <c r="F27" s="59" t="s">
        <v>4555</v>
      </c>
      <c r="G27" s="124" t="s">
        <v>13</v>
      </c>
    </row>
    <row r="28">
      <c r="A28" s="55" t="s">
        <v>205</v>
      </c>
      <c r="B28" s="59" t="s">
        <v>4500</v>
      </c>
      <c r="C28" s="59" t="s">
        <v>4552</v>
      </c>
      <c r="D28" s="59" t="s">
        <v>4567</v>
      </c>
      <c r="E28" s="59" t="s">
        <v>4568</v>
      </c>
      <c r="F28" s="59" t="s">
        <v>4569</v>
      </c>
      <c r="G28" s="124" t="s">
        <v>13</v>
      </c>
    </row>
    <row r="29">
      <c r="A29" s="55" t="s">
        <v>210</v>
      </c>
      <c r="B29" s="59" t="s">
        <v>4500</v>
      </c>
      <c r="C29" s="59" t="s">
        <v>4552</v>
      </c>
      <c r="D29" s="59" t="s">
        <v>4570</v>
      </c>
      <c r="E29" s="59" t="s">
        <v>4571</v>
      </c>
      <c r="F29" s="59" t="s">
        <v>4569</v>
      </c>
      <c r="G29" s="124" t="s">
        <v>13</v>
      </c>
    </row>
    <row r="30">
      <c r="A30" s="55" t="s">
        <v>215</v>
      </c>
      <c r="B30" s="59" t="s">
        <v>4500</v>
      </c>
      <c r="C30" s="59" t="s">
        <v>4552</v>
      </c>
      <c r="D30" s="59" t="s">
        <v>4572</v>
      </c>
      <c r="E30" s="59" t="s">
        <v>4573</v>
      </c>
      <c r="F30" s="59" t="s">
        <v>4569</v>
      </c>
      <c r="G30" s="124" t="s">
        <v>13</v>
      </c>
    </row>
    <row r="31">
      <c r="A31" s="55" t="s">
        <v>220</v>
      </c>
      <c r="B31" s="59" t="s">
        <v>4500</v>
      </c>
      <c r="C31" s="59" t="s">
        <v>4552</v>
      </c>
      <c r="D31" s="59" t="s">
        <v>4574</v>
      </c>
      <c r="E31" s="59" t="s">
        <v>4575</v>
      </c>
      <c r="F31" s="59" t="s">
        <v>4569</v>
      </c>
      <c r="G31" s="124" t="s">
        <v>13</v>
      </c>
    </row>
    <row r="32">
      <c r="A32" s="55" t="s">
        <v>224</v>
      </c>
      <c r="B32" s="59" t="s">
        <v>4500</v>
      </c>
      <c r="C32" s="59" t="s">
        <v>4552</v>
      </c>
      <c r="D32" s="59" t="s">
        <v>4576</v>
      </c>
      <c r="E32" s="59" t="s">
        <v>4577</v>
      </c>
      <c r="F32" s="59" t="s">
        <v>4578</v>
      </c>
      <c r="G32" s="124" t="s">
        <v>13</v>
      </c>
    </row>
    <row r="33">
      <c r="A33" s="55" t="s">
        <v>228</v>
      </c>
      <c r="B33" s="59" t="s">
        <v>4500</v>
      </c>
      <c r="C33" s="59" t="s">
        <v>4552</v>
      </c>
      <c r="D33" s="59" t="s">
        <v>4579</v>
      </c>
      <c r="E33" s="59" t="s">
        <v>4577</v>
      </c>
      <c r="F33" s="59" t="s">
        <v>4578</v>
      </c>
      <c r="G33" s="124" t="s">
        <v>13</v>
      </c>
    </row>
    <row r="34">
      <c r="A34" s="55" t="s">
        <v>233</v>
      </c>
      <c r="B34" s="59" t="s">
        <v>4500</v>
      </c>
      <c r="C34" s="59" t="s">
        <v>4552</v>
      </c>
      <c r="D34" s="59" t="s">
        <v>4580</v>
      </c>
      <c r="E34" s="59" t="s">
        <v>4577</v>
      </c>
      <c r="F34" s="59" t="s">
        <v>4578</v>
      </c>
      <c r="G34" s="124" t="s">
        <v>13</v>
      </c>
    </row>
    <row r="35">
      <c r="A35" s="55" t="s">
        <v>237</v>
      </c>
      <c r="B35" s="59" t="s">
        <v>4581</v>
      </c>
      <c r="C35" s="121" t="s">
        <v>4582</v>
      </c>
      <c r="D35" s="59" t="s">
        <v>402</v>
      </c>
      <c r="E35" s="59" t="s">
        <v>403</v>
      </c>
      <c r="F35" s="59" t="s">
        <v>479</v>
      </c>
      <c r="G35" s="124" t="s">
        <v>13</v>
      </c>
    </row>
    <row r="36">
      <c r="A36" s="55" t="s">
        <v>241</v>
      </c>
      <c r="B36" s="59" t="s">
        <v>4500</v>
      </c>
      <c r="C36" s="121" t="s">
        <v>4583</v>
      </c>
      <c r="D36" s="59" t="s">
        <v>406</v>
      </c>
      <c r="E36" s="59" t="s">
        <v>407</v>
      </c>
      <c r="F36" s="59" t="s">
        <v>479</v>
      </c>
      <c r="G36" s="124" t="s">
        <v>13</v>
      </c>
    </row>
    <row r="37">
      <c r="A37" s="55" t="s">
        <v>245</v>
      </c>
      <c r="B37" s="59" t="s">
        <v>4500</v>
      </c>
      <c r="C37" s="59" t="s">
        <v>409</v>
      </c>
      <c r="D37" s="59" t="s">
        <v>410</v>
      </c>
      <c r="E37" s="59" t="s">
        <v>411</v>
      </c>
      <c r="F37" s="59" t="s">
        <v>412</v>
      </c>
      <c r="G37" s="124" t="s">
        <v>13</v>
      </c>
    </row>
  </sheetData>
  <autoFilter ref="$A$1:$G$37"/>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15.88"/>
    <col customWidth="1" min="3" max="3" width="13.38"/>
    <col customWidth="1" min="4" max="4" width="21.63"/>
    <col customWidth="1" min="5" max="5" width="58.25"/>
    <col customWidth="1" min="6" max="6" width="31.13"/>
    <col customWidth="1" min="7" max="7" width="20.25"/>
    <col customWidth="1" min="8" max="8" width="19.88"/>
  </cols>
  <sheetData>
    <row r="1">
      <c r="A1" s="31" t="s">
        <v>4584</v>
      </c>
      <c r="B1" s="32" t="s">
        <v>79</v>
      </c>
      <c r="C1" s="66" t="s">
        <v>80</v>
      </c>
      <c r="D1" s="66" t="s">
        <v>81</v>
      </c>
      <c r="E1" s="67" t="s">
        <v>82</v>
      </c>
      <c r="F1" s="68" t="s">
        <v>413</v>
      </c>
      <c r="G1" s="68" t="s">
        <v>414</v>
      </c>
      <c r="H1" s="31" t="s">
        <v>83</v>
      </c>
      <c r="I1" s="31" t="s">
        <v>4585</v>
      </c>
    </row>
    <row r="2">
      <c r="A2" s="38" t="s">
        <v>84</v>
      </c>
      <c r="B2" s="59" t="s">
        <v>4586</v>
      </c>
      <c r="C2" s="59" t="s">
        <v>3555</v>
      </c>
      <c r="D2" s="59" t="s">
        <v>4267</v>
      </c>
      <c r="E2" s="59" t="s">
        <v>4587</v>
      </c>
      <c r="F2" s="59" t="s">
        <v>4588</v>
      </c>
      <c r="G2" s="59" t="s">
        <v>3559</v>
      </c>
      <c r="H2" s="59" t="s">
        <v>4589</v>
      </c>
      <c r="I2" s="140" t="s">
        <v>13</v>
      </c>
      <c r="L2" s="1" t="s">
        <v>284</v>
      </c>
      <c r="M2" s="21">
        <f>SUM(M3:M9)</f>
        <v>63</v>
      </c>
    </row>
    <row r="3">
      <c r="A3" s="38" t="s">
        <v>92</v>
      </c>
      <c r="B3" s="59" t="s">
        <v>4586</v>
      </c>
      <c r="C3" s="59" t="s">
        <v>4590</v>
      </c>
      <c r="D3" s="59" t="s">
        <v>4267</v>
      </c>
      <c r="E3" s="59" t="s">
        <v>4591</v>
      </c>
      <c r="F3" s="59" t="s">
        <v>4592</v>
      </c>
      <c r="G3" s="59" t="s">
        <v>46</v>
      </c>
      <c r="H3" s="59" t="s">
        <v>4593</v>
      </c>
      <c r="I3" s="140" t="s">
        <v>13</v>
      </c>
      <c r="L3" s="1" t="s">
        <v>13</v>
      </c>
      <c r="M3" s="21">
        <f>COUNTIF($I$2:$I$64,"todos")</f>
        <v>45</v>
      </c>
    </row>
    <row r="4">
      <c r="A4" s="38" t="s">
        <v>96</v>
      </c>
      <c r="B4" s="59" t="s">
        <v>4586</v>
      </c>
      <c r="C4" s="59" t="s">
        <v>4594</v>
      </c>
      <c r="D4" s="59" t="s">
        <v>4595</v>
      </c>
      <c r="E4" s="59" t="s">
        <v>4596</v>
      </c>
      <c r="F4" s="59" t="s">
        <v>4597</v>
      </c>
      <c r="G4" s="59" t="s">
        <v>4598</v>
      </c>
      <c r="H4" s="59" t="s">
        <v>4599</v>
      </c>
      <c r="I4" s="140" t="s">
        <v>13</v>
      </c>
      <c r="L4" s="1" t="s">
        <v>14</v>
      </c>
      <c r="M4" s="21">
        <f>COUNTIF($I$2:$I$64,"Colombia")</f>
        <v>3</v>
      </c>
    </row>
    <row r="5">
      <c r="A5" s="38" t="s">
        <v>101</v>
      </c>
      <c r="B5" s="59" t="s">
        <v>4586</v>
      </c>
      <c r="C5" s="59" t="s">
        <v>4594</v>
      </c>
      <c r="D5" s="59" t="s">
        <v>4275</v>
      </c>
      <c r="E5" s="59" t="s">
        <v>4600</v>
      </c>
      <c r="F5" s="59" t="s">
        <v>4601</v>
      </c>
      <c r="G5" s="59" t="s">
        <v>46</v>
      </c>
      <c r="H5" s="59" t="s">
        <v>4602</v>
      </c>
      <c r="I5" s="140" t="s">
        <v>13</v>
      </c>
      <c r="L5" s="1" t="s">
        <v>15</v>
      </c>
      <c r="M5" s="21">
        <f>COUNTIF($I$2:$I$64,"Panama")</f>
        <v>3</v>
      </c>
    </row>
    <row r="6">
      <c r="A6" s="38" t="s">
        <v>106</v>
      </c>
      <c r="B6" s="59" t="s">
        <v>4586</v>
      </c>
      <c r="C6" s="59" t="s">
        <v>4594</v>
      </c>
      <c r="D6" s="59" t="s">
        <v>4595</v>
      </c>
      <c r="E6" s="59" t="s">
        <v>4603</v>
      </c>
      <c r="F6" s="59" t="s">
        <v>4597</v>
      </c>
      <c r="G6" s="65"/>
      <c r="H6" s="65"/>
      <c r="I6" s="140" t="s">
        <v>13</v>
      </c>
      <c r="L6" s="1" t="s">
        <v>16</v>
      </c>
      <c r="M6" s="21">
        <f>COUNTIF($I$2:$I$64,"Costa Rica")</f>
        <v>3</v>
      </c>
    </row>
    <row r="7">
      <c r="A7" s="38" t="s">
        <v>110</v>
      </c>
      <c r="B7" s="59" t="s">
        <v>4586</v>
      </c>
      <c r="C7" s="59" t="s">
        <v>4594</v>
      </c>
      <c r="D7" s="59" t="s">
        <v>4595</v>
      </c>
      <c r="E7" s="59" t="s">
        <v>4604</v>
      </c>
      <c r="F7" s="59" t="s">
        <v>4597</v>
      </c>
      <c r="G7" s="59" t="s">
        <v>4605</v>
      </c>
      <c r="H7" s="59" t="s">
        <v>4606</v>
      </c>
      <c r="I7" s="140" t="s">
        <v>13</v>
      </c>
      <c r="L7" s="1" t="s">
        <v>17</v>
      </c>
      <c r="M7" s="21">
        <f>COUNTIF($I$2:$I$64,"Honduras")</f>
        <v>3</v>
      </c>
    </row>
    <row r="8">
      <c r="A8" s="38" t="s">
        <v>115</v>
      </c>
      <c r="B8" s="59" t="s">
        <v>4586</v>
      </c>
      <c r="C8" s="59" t="s">
        <v>4607</v>
      </c>
      <c r="D8" s="59" t="s">
        <v>4608</v>
      </c>
      <c r="E8" s="59" t="s">
        <v>4609</v>
      </c>
      <c r="F8" s="59" t="s">
        <v>4610</v>
      </c>
      <c r="G8" s="59" t="s">
        <v>46</v>
      </c>
      <c r="H8" s="59" t="s">
        <v>4611</v>
      </c>
      <c r="I8" s="140" t="s">
        <v>13</v>
      </c>
      <c r="L8" s="1" t="s">
        <v>18</v>
      </c>
      <c r="M8" s="21">
        <f>COUNTIF($I$2:$I$64,"El Salvador")</f>
        <v>3</v>
      </c>
    </row>
    <row r="9">
      <c r="A9" s="38" t="s">
        <v>120</v>
      </c>
      <c r="B9" s="59" t="s">
        <v>4586</v>
      </c>
      <c r="C9" s="59" t="s">
        <v>4612</v>
      </c>
      <c r="D9" s="59" t="s">
        <v>4608</v>
      </c>
      <c r="E9" s="59" t="s">
        <v>4613</v>
      </c>
      <c r="F9" s="59" t="s">
        <v>4614</v>
      </c>
      <c r="G9" s="59" t="s">
        <v>4615</v>
      </c>
      <c r="H9" s="59" t="s">
        <v>4616</v>
      </c>
      <c r="I9" s="140" t="s">
        <v>13</v>
      </c>
      <c r="L9" s="1" t="s">
        <v>19</v>
      </c>
      <c r="M9" s="21">
        <f>COUNTIF($I$2:$I$64,"Miami")</f>
        <v>3</v>
      </c>
    </row>
    <row r="10">
      <c r="A10" s="38" t="s">
        <v>125</v>
      </c>
      <c r="B10" s="59" t="s">
        <v>4586</v>
      </c>
      <c r="C10" s="59" t="s">
        <v>4617</v>
      </c>
      <c r="D10" s="59" t="s">
        <v>4267</v>
      </c>
      <c r="E10" s="59" t="s">
        <v>4618</v>
      </c>
      <c r="F10" s="59" t="s">
        <v>4619</v>
      </c>
      <c r="G10" s="59" t="s">
        <v>4619</v>
      </c>
      <c r="H10" s="59" t="s">
        <v>4620</v>
      </c>
      <c r="I10" s="140" t="s">
        <v>13</v>
      </c>
    </row>
    <row r="11">
      <c r="A11" s="38" t="s">
        <v>129</v>
      </c>
      <c r="B11" s="59" t="s">
        <v>4586</v>
      </c>
      <c r="C11" s="59" t="s">
        <v>4621</v>
      </c>
      <c r="D11" s="59" t="s">
        <v>4622</v>
      </c>
      <c r="E11" s="59" t="s">
        <v>4623</v>
      </c>
      <c r="F11" s="59" t="s">
        <v>4624</v>
      </c>
      <c r="G11" s="59" t="s">
        <v>4625</v>
      </c>
      <c r="H11" s="59" t="s">
        <v>4626</v>
      </c>
      <c r="I11" s="140" t="s">
        <v>13</v>
      </c>
    </row>
    <row r="12">
      <c r="A12" s="38" t="s">
        <v>134</v>
      </c>
      <c r="B12" s="59" t="s">
        <v>4586</v>
      </c>
      <c r="C12" s="59" t="s">
        <v>4627</v>
      </c>
      <c r="D12" s="59" t="s">
        <v>4628</v>
      </c>
      <c r="E12" s="59" t="s">
        <v>4629</v>
      </c>
      <c r="F12" s="59" t="s">
        <v>4630</v>
      </c>
      <c r="G12" s="59" t="s">
        <v>46</v>
      </c>
      <c r="H12" s="59" t="s">
        <v>4631</v>
      </c>
      <c r="I12" s="140" t="s">
        <v>13</v>
      </c>
    </row>
    <row r="13">
      <c r="A13" s="38" t="s">
        <v>139</v>
      </c>
      <c r="B13" s="59" t="s">
        <v>4586</v>
      </c>
      <c r="C13" s="59" t="s">
        <v>4632</v>
      </c>
      <c r="D13" s="59" t="s">
        <v>4633</v>
      </c>
      <c r="E13" s="59" t="s">
        <v>4634</v>
      </c>
      <c r="F13" s="59" t="s">
        <v>4635</v>
      </c>
      <c r="G13" s="59" t="s">
        <v>46</v>
      </c>
      <c r="H13" s="59" t="s">
        <v>4636</v>
      </c>
      <c r="I13" s="140" t="s">
        <v>13</v>
      </c>
    </row>
    <row r="14">
      <c r="A14" s="38" t="s">
        <v>144</v>
      </c>
      <c r="B14" s="59" t="s">
        <v>4586</v>
      </c>
      <c r="C14" s="59" t="s">
        <v>4632</v>
      </c>
      <c r="D14" s="59" t="s">
        <v>4637</v>
      </c>
      <c r="E14" s="59" t="s">
        <v>4638</v>
      </c>
      <c r="F14" s="59" t="s">
        <v>4639</v>
      </c>
      <c r="G14" s="59" t="s">
        <v>46</v>
      </c>
      <c r="H14" s="59" t="s">
        <v>4640</v>
      </c>
      <c r="I14" s="140" t="s">
        <v>13</v>
      </c>
    </row>
    <row r="15">
      <c r="A15" s="38" t="s">
        <v>149</v>
      </c>
      <c r="B15" s="59" t="s">
        <v>4586</v>
      </c>
      <c r="C15" s="59" t="s">
        <v>4632</v>
      </c>
      <c r="D15" s="59" t="s">
        <v>4633</v>
      </c>
      <c r="E15" s="59" t="s">
        <v>4641</v>
      </c>
      <c r="F15" s="59" t="s">
        <v>4642</v>
      </c>
      <c r="G15" s="59"/>
      <c r="H15" s="59" t="s">
        <v>4643</v>
      </c>
      <c r="I15" s="140" t="s">
        <v>13</v>
      </c>
    </row>
    <row r="16">
      <c r="A16" s="38" t="s">
        <v>153</v>
      </c>
      <c r="B16" s="59" t="s">
        <v>4586</v>
      </c>
      <c r="C16" s="59" t="s">
        <v>4644</v>
      </c>
      <c r="D16" s="59" t="s">
        <v>4633</v>
      </c>
      <c r="E16" s="59" t="s">
        <v>4645</v>
      </c>
      <c r="F16" s="59" t="s">
        <v>4646</v>
      </c>
      <c r="G16" s="59" t="s">
        <v>4647</v>
      </c>
      <c r="H16" s="59" t="s">
        <v>4648</v>
      </c>
      <c r="I16" s="140" t="s">
        <v>13</v>
      </c>
    </row>
    <row r="17">
      <c r="A17" s="38" t="s">
        <v>158</v>
      </c>
      <c r="B17" s="59" t="s">
        <v>4586</v>
      </c>
      <c r="C17" s="59" t="s">
        <v>4649</v>
      </c>
      <c r="D17" s="59" t="s">
        <v>4650</v>
      </c>
      <c r="E17" s="59" t="s">
        <v>4651</v>
      </c>
      <c r="F17" s="59" t="s">
        <v>4646</v>
      </c>
      <c r="G17" s="59" t="s">
        <v>4647</v>
      </c>
      <c r="H17" s="59" t="s">
        <v>4648</v>
      </c>
      <c r="I17" s="140" t="s">
        <v>18</v>
      </c>
    </row>
    <row r="18">
      <c r="A18" s="38" t="s">
        <v>162</v>
      </c>
      <c r="B18" s="59" t="s">
        <v>4586</v>
      </c>
      <c r="C18" s="59" t="s">
        <v>4649</v>
      </c>
      <c r="D18" s="59" t="s">
        <v>4652</v>
      </c>
      <c r="E18" s="59" t="s">
        <v>4653</v>
      </c>
      <c r="F18" s="59" t="s">
        <v>4646</v>
      </c>
      <c r="G18" s="59" t="s">
        <v>4647</v>
      </c>
      <c r="H18" s="59" t="s">
        <v>4648</v>
      </c>
      <c r="I18" s="140" t="s">
        <v>17</v>
      </c>
    </row>
    <row r="19">
      <c r="A19" s="38" t="s">
        <v>165</v>
      </c>
      <c r="B19" s="59" t="s">
        <v>4586</v>
      </c>
      <c r="C19" s="59" t="s">
        <v>4649</v>
      </c>
      <c r="D19" s="59" t="s">
        <v>4654</v>
      </c>
      <c r="E19" s="59" t="s">
        <v>4655</v>
      </c>
      <c r="F19" s="59" t="s">
        <v>4646</v>
      </c>
      <c r="G19" s="59" t="s">
        <v>4647</v>
      </c>
      <c r="H19" s="59" t="s">
        <v>4648</v>
      </c>
      <c r="I19" s="140" t="s">
        <v>15</v>
      </c>
    </row>
    <row r="20">
      <c r="A20" s="38" t="s">
        <v>167</v>
      </c>
      <c r="B20" s="59" t="s">
        <v>4586</v>
      </c>
      <c r="C20" s="59" t="s">
        <v>4649</v>
      </c>
      <c r="D20" s="59" t="s">
        <v>4656</v>
      </c>
      <c r="E20" s="59" t="s">
        <v>4657</v>
      </c>
      <c r="F20" s="59" t="s">
        <v>4646</v>
      </c>
      <c r="G20" s="59" t="s">
        <v>4647</v>
      </c>
      <c r="H20" s="59" t="s">
        <v>4648</v>
      </c>
      <c r="I20" s="140" t="s">
        <v>16</v>
      </c>
    </row>
    <row r="21">
      <c r="A21" s="38" t="s">
        <v>170</v>
      </c>
      <c r="B21" s="59" t="s">
        <v>4586</v>
      </c>
      <c r="C21" s="59" t="s">
        <v>4649</v>
      </c>
      <c r="D21" s="59" t="s">
        <v>4658</v>
      </c>
      <c r="E21" s="59" t="s">
        <v>4659</v>
      </c>
      <c r="F21" s="59" t="s">
        <v>4646</v>
      </c>
      <c r="G21" s="59" t="s">
        <v>4647</v>
      </c>
      <c r="H21" s="59" t="s">
        <v>4648</v>
      </c>
      <c r="I21" s="140" t="s">
        <v>14</v>
      </c>
    </row>
    <row r="22">
      <c r="A22" s="38" t="s">
        <v>175</v>
      </c>
      <c r="B22" s="59" t="s">
        <v>4586</v>
      </c>
      <c r="C22" s="59" t="s">
        <v>4649</v>
      </c>
      <c r="D22" s="59" t="s">
        <v>4660</v>
      </c>
      <c r="E22" s="59" t="s">
        <v>4661</v>
      </c>
      <c r="F22" s="59" t="s">
        <v>4646</v>
      </c>
      <c r="G22" s="59" t="s">
        <v>4647</v>
      </c>
      <c r="H22" s="59" t="s">
        <v>4648</v>
      </c>
      <c r="I22" s="140" t="s">
        <v>19</v>
      </c>
    </row>
    <row r="23">
      <c r="A23" s="38" t="s">
        <v>180</v>
      </c>
      <c r="B23" s="59" t="s">
        <v>4586</v>
      </c>
      <c r="C23" s="59" t="s">
        <v>4662</v>
      </c>
      <c r="D23" s="59" t="s">
        <v>4663</v>
      </c>
      <c r="E23" s="59" t="s">
        <v>4664</v>
      </c>
      <c r="F23" s="59" t="s">
        <v>4665</v>
      </c>
      <c r="G23" s="59" t="s">
        <v>4647</v>
      </c>
      <c r="H23" s="59" t="s">
        <v>4666</v>
      </c>
      <c r="I23" s="140" t="s">
        <v>13</v>
      </c>
    </row>
    <row r="24">
      <c r="A24" s="38" t="s">
        <v>185</v>
      </c>
      <c r="B24" s="59" t="s">
        <v>4586</v>
      </c>
      <c r="C24" s="59" t="s">
        <v>4667</v>
      </c>
      <c r="D24" s="59" t="s">
        <v>4668</v>
      </c>
      <c r="E24" s="59" t="s">
        <v>4669</v>
      </c>
      <c r="F24" s="59" t="s">
        <v>4670</v>
      </c>
      <c r="G24" s="59" t="s">
        <v>4647</v>
      </c>
      <c r="H24" s="59" t="s">
        <v>4671</v>
      </c>
      <c r="I24" s="140" t="s">
        <v>13</v>
      </c>
    </row>
    <row r="25">
      <c r="A25" s="38" t="s">
        <v>190</v>
      </c>
      <c r="B25" s="59" t="s">
        <v>4586</v>
      </c>
      <c r="C25" s="59" t="s">
        <v>4672</v>
      </c>
      <c r="D25" s="59" t="s">
        <v>4673</v>
      </c>
      <c r="E25" s="59" t="s">
        <v>4674</v>
      </c>
      <c r="F25" s="59" t="s">
        <v>4670</v>
      </c>
      <c r="G25" s="59" t="s">
        <v>4647</v>
      </c>
      <c r="H25" s="59" t="s">
        <v>4675</v>
      </c>
      <c r="I25" s="140" t="s">
        <v>13</v>
      </c>
    </row>
    <row r="26">
      <c r="A26" s="38" t="s">
        <v>195</v>
      </c>
      <c r="B26" s="59" t="s">
        <v>4586</v>
      </c>
      <c r="C26" s="59" t="s">
        <v>4676</v>
      </c>
      <c r="D26" s="59" t="s">
        <v>4677</v>
      </c>
      <c r="E26" s="59" t="s">
        <v>4678</v>
      </c>
      <c r="F26" s="59" t="s">
        <v>4679</v>
      </c>
      <c r="G26" s="59" t="s">
        <v>46</v>
      </c>
      <c r="H26" s="59" t="s">
        <v>4680</v>
      </c>
      <c r="I26" s="140" t="s">
        <v>13</v>
      </c>
    </row>
    <row r="27">
      <c r="A27" s="38" t="s">
        <v>200</v>
      </c>
      <c r="B27" s="59" t="s">
        <v>4586</v>
      </c>
      <c r="C27" s="59" t="s">
        <v>4681</v>
      </c>
      <c r="D27" s="59" t="s">
        <v>4682</v>
      </c>
      <c r="E27" s="59" t="s">
        <v>4683</v>
      </c>
      <c r="F27" s="59" t="s">
        <v>4684</v>
      </c>
      <c r="G27" s="59" t="s">
        <v>46</v>
      </c>
      <c r="H27" s="59" t="s">
        <v>4685</v>
      </c>
      <c r="I27" s="140" t="s">
        <v>13</v>
      </c>
    </row>
    <row r="28">
      <c r="A28" s="38" t="s">
        <v>205</v>
      </c>
      <c r="B28" s="59" t="s">
        <v>4586</v>
      </c>
      <c r="C28" s="59" t="s">
        <v>4686</v>
      </c>
      <c r="D28" s="59" t="s">
        <v>4687</v>
      </c>
      <c r="E28" s="59" t="s">
        <v>4688</v>
      </c>
      <c r="F28" s="59" t="s">
        <v>4689</v>
      </c>
      <c r="G28" s="59" t="s">
        <v>4690</v>
      </c>
      <c r="H28" s="59" t="s">
        <v>4691</v>
      </c>
      <c r="I28" s="140" t="s">
        <v>13</v>
      </c>
    </row>
    <row r="29">
      <c r="A29" s="38" t="s">
        <v>210</v>
      </c>
      <c r="B29" s="59" t="s">
        <v>4586</v>
      </c>
      <c r="C29" s="59" t="s">
        <v>4686</v>
      </c>
      <c r="D29" s="59" t="s">
        <v>4692</v>
      </c>
      <c r="E29" s="59" t="s">
        <v>4693</v>
      </c>
      <c r="F29" s="59" t="s">
        <v>4694</v>
      </c>
      <c r="G29" s="59" t="s">
        <v>4695</v>
      </c>
      <c r="H29" s="59" t="s">
        <v>4696</v>
      </c>
      <c r="I29" s="140" t="s">
        <v>13</v>
      </c>
    </row>
    <row r="30">
      <c r="A30" s="38" t="s">
        <v>215</v>
      </c>
      <c r="B30" s="59" t="s">
        <v>4586</v>
      </c>
      <c r="C30" s="59" t="s">
        <v>4686</v>
      </c>
      <c r="D30" s="59" t="s">
        <v>4697</v>
      </c>
      <c r="E30" s="59" t="s">
        <v>4698</v>
      </c>
      <c r="F30" s="59" t="s">
        <v>4699</v>
      </c>
      <c r="G30" s="59" t="s">
        <v>4695</v>
      </c>
      <c r="H30" s="59" t="s">
        <v>4700</v>
      </c>
      <c r="I30" s="140" t="s">
        <v>13</v>
      </c>
    </row>
    <row r="31">
      <c r="A31" s="38" t="s">
        <v>220</v>
      </c>
      <c r="B31" s="59" t="s">
        <v>4586</v>
      </c>
      <c r="C31" s="59" t="s">
        <v>4701</v>
      </c>
      <c r="D31" s="59" t="s">
        <v>4702</v>
      </c>
      <c r="E31" s="59" t="s">
        <v>4703</v>
      </c>
      <c r="F31" s="59" t="s">
        <v>4704</v>
      </c>
      <c r="G31" s="59" t="s">
        <v>4705</v>
      </c>
      <c r="H31" s="65"/>
      <c r="I31" s="140" t="s">
        <v>13</v>
      </c>
    </row>
    <row r="32">
      <c r="A32" s="38" t="s">
        <v>224</v>
      </c>
      <c r="B32" s="59" t="s">
        <v>4586</v>
      </c>
      <c r="C32" s="59" t="s">
        <v>4701</v>
      </c>
      <c r="D32" s="59" t="s">
        <v>4706</v>
      </c>
      <c r="E32" s="59" t="s">
        <v>4707</v>
      </c>
      <c r="F32" s="59" t="s">
        <v>4708</v>
      </c>
      <c r="G32" s="59" t="s">
        <v>4709</v>
      </c>
      <c r="H32" s="59" t="s">
        <v>4710</v>
      </c>
      <c r="I32" s="140" t="s">
        <v>13</v>
      </c>
    </row>
    <row r="33">
      <c r="A33" s="38" t="s">
        <v>228</v>
      </c>
      <c r="B33" s="59" t="s">
        <v>4586</v>
      </c>
      <c r="C33" s="59" t="s">
        <v>4701</v>
      </c>
      <c r="D33" s="59" t="s">
        <v>4711</v>
      </c>
      <c r="E33" s="59" t="s">
        <v>4712</v>
      </c>
      <c r="F33" s="59" t="s">
        <v>4713</v>
      </c>
      <c r="G33" s="59" t="s">
        <v>4709</v>
      </c>
      <c r="H33" s="59" t="s">
        <v>4714</v>
      </c>
      <c r="I33" s="140" t="s">
        <v>18</v>
      </c>
    </row>
    <row r="34">
      <c r="A34" s="38" t="s">
        <v>233</v>
      </c>
      <c r="B34" s="59" t="s">
        <v>4586</v>
      </c>
      <c r="C34" s="59" t="s">
        <v>4701</v>
      </c>
      <c r="D34" s="59" t="s">
        <v>4715</v>
      </c>
      <c r="E34" s="59" t="s">
        <v>4712</v>
      </c>
      <c r="F34" s="59" t="s">
        <v>4713</v>
      </c>
      <c r="G34" s="59" t="s">
        <v>4709</v>
      </c>
      <c r="H34" s="59" t="s">
        <v>4714</v>
      </c>
      <c r="I34" s="140" t="s">
        <v>17</v>
      </c>
    </row>
    <row r="35">
      <c r="A35" s="38" t="s">
        <v>237</v>
      </c>
      <c r="B35" s="59"/>
      <c r="C35" s="59"/>
      <c r="D35" s="59" t="s">
        <v>4716</v>
      </c>
      <c r="E35" s="59" t="s">
        <v>4712</v>
      </c>
      <c r="F35" s="59" t="s">
        <v>4713</v>
      </c>
      <c r="G35" s="59" t="s">
        <v>4709</v>
      </c>
      <c r="H35" s="59" t="s">
        <v>4714</v>
      </c>
      <c r="I35" s="140" t="s">
        <v>15</v>
      </c>
    </row>
    <row r="36">
      <c r="A36" s="38" t="s">
        <v>241</v>
      </c>
      <c r="B36" s="59" t="s">
        <v>4586</v>
      </c>
      <c r="C36" s="59" t="s">
        <v>4701</v>
      </c>
      <c r="D36" s="59" t="s">
        <v>4717</v>
      </c>
      <c r="E36" s="59" t="s">
        <v>4712</v>
      </c>
      <c r="F36" s="59" t="s">
        <v>4713</v>
      </c>
      <c r="G36" s="59" t="s">
        <v>4709</v>
      </c>
      <c r="H36" s="59" t="s">
        <v>4714</v>
      </c>
      <c r="I36" s="140" t="s">
        <v>16</v>
      </c>
    </row>
    <row r="37">
      <c r="A37" s="38" t="s">
        <v>245</v>
      </c>
      <c r="B37" s="59" t="s">
        <v>4586</v>
      </c>
      <c r="C37" s="59" t="s">
        <v>4701</v>
      </c>
      <c r="D37" s="59" t="s">
        <v>4718</v>
      </c>
      <c r="E37" s="59" t="s">
        <v>4712</v>
      </c>
      <c r="F37" s="59" t="s">
        <v>4713</v>
      </c>
      <c r="G37" s="59" t="s">
        <v>4709</v>
      </c>
      <c r="H37" s="59" t="s">
        <v>4714</v>
      </c>
      <c r="I37" s="140" t="s">
        <v>14</v>
      </c>
    </row>
    <row r="38">
      <c r="A38" s="38" t="s">
        <v>250</v>
      </c>
      <c r="B38" s="59" t="s">
        <v>4586</v>
      </c>
      <c r="C38" s="59" t="s">
        <v>4701</v>
      </c>
      <c r="D38" s="59" t="s">
        <v>4719</v>
      </c>
      <c r="E38" s="59" t="s">
        <v>4712</v>
      </c>
      <c r="F38" s="59" t="s">
        <v>4713</v>
      </c>
      <c r="G38" s="59" t="s">
        <v>4709</v>
      </c>
      <c r="H38" s="59" t="s">
        <v>4714</v>
      </c>
      <c r="I38" s="140" t="s">
        <v>19</v>
      </c>
    </row>
    <row r="39">
      <c r="A39" s="38" t="s">
        <v>254</v>
      </c>
      <c r="B39" s="59" t="s">
        <v>4586</v>
      </c>
      <c r="C39" s="59" t="s">
        <v>4701</v>
      </c>
      <c r="D39" s="59" t="s">
        <v>4720</v>
      </c>
      <c r="E39" s="59" t="s">
        <v>4721</v>
      </c>
      <c r="F39" s="59" t="s">
        <v>4722</v>
      </c>
      <c r="G39" s="59" t="s">
        <v>4709</v>
      </c>
      <c r="H39" s="59" t="s">
        <v>4723</v>
      </c>
      <c r="I39" s="140" t="s">
        <v>13</v>
      </c>
    </row>
    <row r="40">
      <c r="A40" s="38" t="s">
        <v>258</v>
      </c>
      <c r="B40" s="59" t="s">
        <v>4586</v>
      </c>
      <c r="C40" s="59" t="s">
        <v>4701</v>
      </c>
      <c r="D40" s="59" t="s">
        <v>4724</v>
      </c>
      <c r="E40" s="59" t="s">
        <v>4721</v>
      </c>
      <c r="F40" s="59" t="s">
        <v>4725</v>
      </c>
      <c r="G40" s="59" t="s">
        <v>4709</v>
      </c>
      <c r="H40" s="59" t="s">
        <v>4723</v>
      </c>
      <c r="I40" s="140" t="s">
        <v>13</v>
      </c>
    </row>
    <row r="41">
      <c r="A41" s="38" t="s">
        <v>263</v>
      </c>
      <c r="B41" s="59" t="s">
        <v>4586</v>
      </c>
      <c r="C41" s="59" t="s">
        <v>4726</v>
      </c>
      <c r="D41" s="59" t="s">
        <v>4697</v>
      </c>
      <c r="E41" s="59" t="s">
        <v>4727</v>
      </c>
      <c r="F41" s="59" t="s">
        <v>4728</v>
      </c>
      <c r="G41" s="59" t="s">
        <v>4729</v>
      </c>
      <c r="H41" s="59" t="s">
        <v>4730</v>
      </c>
      <c r="I41" s="140" t="s">
        <v>13</v>
      </c>
    </row>
    <row r="42">
      <c r="A42" s="38" t="s">
        <v>268</v>
      </c>
      <c r="B42" s="59" t="s">
        <v>4586</v>
      </c>
      <c r="C42" s="59" t="s">
        <v>4731</v>
      </c>
      <c r="D42" s="59" t="s">
        <v>4732</v>
      </c>
      <c r="E42" s="59" t="s">
        <v>4733</v>
      </c>
      <c r="F42" s="59" t="s">
        <v>4734</v>
      </c>
      <c r="G42" s="59" t="s">
        <v>4735</v>
      </c>
      <c r="H42" s="59" t="s">
        <v>4736</v>
      </c>
      <c r="I42" s="140" t="s">
        <v>18</v>
      </c>
    </row>
    <row r="43">
      <c r="A43" s="38" t="s">
        <v>271</v>
      </c>
      <c r="B43" s="59" t="s">
        <v>4586</v>
      </c>
      <c r="C43" s="59" t="s">
        <v>4731</v>
      </c>
      <c r="D43" s="59" t="s">
        <v>4737</v>
      </c>
      <c r="E43" s="59" t="s">
        <v>4738</v>
      </c>
      <c r="F43" s="59" t="s">
        <v>4734</v>
      </c>
      <c r="G43" s="59" t="s">
        <v>4739</v>
      </c>
      <c r="H43" s="59" t="s">
        <v>4740</v>
      </c>
      <c r="I43" s="140" t="s">
        <v>17</v>
      </c>
    </row>
    <row r="44">
      <c r="A44" s="38" t="s">
        <v>274</v>
      </c>
      <c r="B44" s="59" t="s">
        <v>4586</v>
      </c>
      <c r="C44" s="59" t="s">
        <v>4731</v>
      </c>
      <c r="D44" s="59" t="s">
        <v>4741</v>
      </c>
      <c r="E44" s="59" t="s">
        <v>4733</v>
      </c>
      <c r="F44" s="59" t="s">
        <v>4734</v>
      </c>
      <c r="G44" s="59" t="s">
        <v>4735</v>
      </c>
      <c r="H44" s="59" t="s">
        <v>4736</v>
      </c>
      <c r="I44" s="140" t="s">
        <v>15</v>
      </c>
    </row>
    <row r="45">
      <c r="A45" s="38" t="s">
        <v>405</v>
      </c>
      <c r="B45" s="59" t="s">
        <v>4586</v>
      </c>
      <c r="C45" s="59" t="s">
        <v>4731</v>
      </c>
      <c r="D45" s="59" t="s">
        <v>4742</v>
      </c>
      <c r="E45" s="59" t="s">
        <v>4733</v>
      </c>
      <c r="F45" s="59" t="s">
        <v>4734</v>
      </c>
      <c r="G45" s="59" t="s">
        <v>4735</v>
      </c>
      <c r="H45" s="59" t="s">
        <v>4736</v>
      </c>
      <c r="I45" s="140" t="s">
        <v>16</v>
      </c>
    </row>
    <row r="46">
      <c r="A46" s="38" t="s">
        <v>408</v>
      </c>
      <c r="B46" s="59" t="s">
        <v>4586</v>
      </c>
      <c r="C46" s="59" t="s">
        <v>4731</v>
      </c>
      <c r="D46" s="59" t="s">
        <v>4743</v>
      </c>
      <c r="E46" s="59" t="s">
        <v>4733</v>
      </c>
      <c r="F46" s="59" t="s">
        <v>4734</v>
      </c>
      <c r="G46" s="59" t="s">
        <v>4735</v>
      </c>
      <c r="H46" s="59" t="s">
        <v>4736</v>
      </c>
      <c r="I46" s="140" t="s">
        <v>14</v>
      </c>
    </row>
    <row r="47">
      <c r="A47" s="38" t="s">
        <v>629</v>
      </c>
      <c r="B47" s="59" t="s">
        <v>4586</v>
      </c>
      <c r="C47" s="59" t="s">
        <v>4731</v>
      </c>
      <c r="D47" s="59" t="s">
        <v>4744</v>
      </c>
      <c r="E47" s="59" t="s">
        <v>4733</v>
      </c>
      <c r="F47" s="59" t="s">
        <v>4734</v>
      </c>
      <c r="G47" s="59" t="s">
        <v>4735</v>
      </c>
      <c r="H47" s="59" t="s">
        <v>4736</v>
      </c>
      <c r="I47" s="140" t="s">
        <v>19</v>
      </c>
    </row>
    <row r="48">
      <c r="A48" s="38" t="s">
        <v>633</v>
      </c>
      <c r="B48" s="59" t="s">
        <v>4586</v>
      </c>
      <c r="C48" s="59" t="s">
        <v>4745</v>
      </c>
      <c r="D48" s="59" t="s">
        <v>4296</v>
      </c>
      <c r="E48" s="59" t="s">
        <v>4746</v>
      </c>
      <c r="F48" s="59" t="s">
        <v>4747</v>
      </c>
      <c r="G48" s="59" t="s">
        <v>46</v>
      </c>
      <c r="H48" s="59" t="s">
        <v>4748</v>
      </c>
      <c r="I48" s="140" t="s">
        <v>13</v>
      </c>
    </row>
    <row r="49">
      <c r="A49" s="38" t="s">
        <v>637</v>
      </c>
      <c r="B49" s="59" t="s">
        <v>4586</v>
      </c>
      <c r="C49" s="59" t="s">
        <v>4745</v>
      </c>
      <c r="D49" s="59" t="s">
        <v>4301</v>
      </c>
      <c r="E49" s="59" t="s">
        <v>4746</v>
      </c>
      <c r="F49" s="59" t="s">
        <v>4749</v>
      </c>
      <c r="G49" s="59" t="s">
        <v>46</v>
      </c>
      <c r="H49" s="59" t="s">
        <v>4748</v>
      </c>
      <c r="I49" s="140" t="s">
        <v>13</v>
      </c>
    </row>
    <row r="50">
      <c r="A50" s="38" t="s">
        <v>641</v>
      </c>
      <c r="B50" s="59" t="s">
        <v>4586</v>
      </c>
      <c r="C50" s="59" t="s">
        <v>4745</v>
      </c>
      <c r="D50" s="59" t="s">
        <v>4304</v>
      </c>
      <c r="E50" s="59" t="s">
        <v>4746</v>
      </c>
      <c r="F50" s="59" t="s">
        <v>4750</v>
      </c>
      <c r="G50" s="59" t="s">
        <v>46</v>
      </c>
      <c r="H50" s="59" t="s">
        <v>4748</v>
      </c>
      <c r="I50" s="140" t="s">
        <v>13</v>
      </c>
    </row>
    <row r="51">
      <c r="A51" s="38" t="s">
        <v>644</v>
      </c>
      <c r="B51" s="59" t="s">
        <v>4586</v>
      </c>
      <c r="C51" s="59" t="s">
        <v>4745</v>
      </c>
      <c r="D51" s="59" t="s">
        <v>4463</v>
      </c>
      <c r="E51" s="59" t="s">
        <v>4751</v>
      </c>
      <c r="F51" s="59" t="s">
        <v>4752</v>
      </c>
      <c r="G51" s="59" t="s">
        <v>4753</v>
      </c>
      <c r="H51" s="59" t="s">
        <v>4754</v>
      </c>
      <c r="I51" s="140" t="s">
        <v>13</v>
      </c>
    </row>
    <row r="52">
      <c r="A52" s="38" t="s">
        <v>647</v>
      </c>
      <c r="B52" s="59" t="s">
        <v>4586</v>
      </c>
      <c r="C52" s="59" t="s">
        <v>4745</v>
      </c>
      <c r="D52" s="59" t="s">
        <v>4466</v>
      </c>
      <c r="E52" s="59" t="s">
        <v>4751</v>
      </c>
      <c r="F52" s="59" t="s">
        <v>4755</v>
      </c>
      <c r="G52" s="59" t="s">
        <v>4753</v>
      </c>
      <c r="H52" s="59" t="s">
        <v>4754</v>
      </c>
      <c r="I52" s="140" t="s">
        <v>13</v>
      </c>
    </row>
    <row r="53">
      <c r="A53" s="38" t="s">
        <v>650</v>
      </c>
      <c r="B53" s="59" t="s">
        <v>4586</v>
      </c>
      <c r="C53" s="59" t="s">
        <v>4745</v>
      </c>
      <c r="D53" s="59" t="s">
        <v>4468</v>
      </c>
      <c r="E53" s="59" t="s">
        <v>4751</v>
      </c>
      <c r="F53" s="59" t="s">
        <v>4756</v>
      </c>
      <c r="G53" s="59" t="s">
        <v>4753</v>
      </c>
      <c r="H53" s="59" t="s">
        <v>4754</v>
      </c>
      <c r="I53" s="140" t="s">
        <v>13</v>
      </c>
    </row>
    <row r="54">
      <c r="A54" s="38" t="s">
        <v>654</v>
      </c>
      <c r="B54" s="59" t="s">
        <v>4586</v>
      </c>
      <c r="C54" s="59" t="s">
        <v>4745</v>
      </c>
      <c r="D54" s="59" t="s">
        <v>4470</v>
      </c>
      <c r="E54" s="59" t="s">
        <v>4751</v>
      </c>
      <c r="F54" s="59" t="s">
        <v>4757</v>
      </c>
      <c r="G54" s="59" t="s">
        <v>4753</v>
      </c>
      <c r="H54" s="59" t="s">
        <v>4754</v>
      </c>
      <c r="I54" s="140" t="s">
        <v>13</v>
      </c>
    </row>
    <row r="55">
      <c r="A55" s="38" t="s">
        <v>657</v>
      </c>
      <c r="B55" s="59" t="s">
        <v>4586</v>
      </c>
      <c r="C55" s="59" t="s">
        <v>4745</v>
      </c>
      <c r="D55" s="59" t="s">
        <v>4474</v>
      </c>
      <c r="E55" s="59" t="s">
        <v>4751</v>
      </c>
      <c r="F55" s="59" t="s">
        <v>4758</v>
      </c>
      <c r="G55" s="59" t="s">
        <v>4753</v>
      </c>
      <c r="H55" s="59" t="s">
        <v>4754</v>
      </c>
      <c r="I55" s="140" t="s">
        <v>13</v>
      </c>
    </row>
    <row r="56">
      <c r="A56" s="38" t="s">
        <v>660</v>
      </c>
      <c r="B56" s="59" t="s">
        <v>4586</v>
      </c>
      <c r="C56" s="59" t="s">
        <v>4745</v>
      </c>
      <c r="D56" s="59" t="s">
        <v>4476</v>
      </c>
      <c r="E56" s="59" t="s">
        <v>4751</v>
      </c>
      <c r="F56" s="59" t="s">
        <v>4759</v>
      </c>
      <c r="G56" s="59" t="s">
        <v>4753</v>
      </c>
      <c r="H56" s="59" t="s">
        <v>4754</v>
      </c>
      <c r="I56" s="140" t="s">
        <v>13</v>
      </c>
    </row>
    <row r="57">
      <c r="A57" s="38" t="s">
        <v>664</v>
      </c>
      <c r="B57" s="59" t="s">
        <v>4586</v>
      </c>
      <c r="C57" s="59" t="s">
        <v>4745</v>
      </c>
      <c r="D57" s="59" t="s">
        <v>4470</v>
      </c>
      <c r="E57" s="59" t="s">
        <v>4751</v>
      </c>
      <c r="F57" s="59" t="s">
        <v>4760</v>
      </c>
      <c r="G57" s="59" t="s">
        <v>4753</v>
      </c>
      <c r="H57" s="59" t="s">
        <v>4754</v>
      </c>
      <c r="I57" s="140" t="s">
        <v>13</v>
      </c>
    </row>
    <row r="58">
      <c r="A58" s="38" t="s">
        <v>668</v>
      </c>
      <c r="B58" s="59" t="s">
        <v>4586</v>
      </c>
      <c r="C58" s="59" t="s">
        <v>4745</v>
      </c>
      <c r="D58" s="59" t="s">
        <v>4761</v>
      </c>
      <c r="E58" s="59" t="s">
        <v>4751</v>
      </c>
      <c r="F58" s="59" t="s">
        <v>4762</v>
      </c>
      <c r="G58" s="59" t="s">
        <v>4753</v>
      </c>
      <c r="H58" s="59" t="s">
        <v>4754</v>
      </c>
      <c r="I58" s="140" t="s">
        <v>13</v>
      </c>
    </row>
    <row r="59">
      <c r="A59" s="38" t="s">
        <v>672</v>
      </c>
      <c r="B59" s="59" t="s">
        <v>4586</v>
      </c>
      <c r="C59" s="59" t="s">
        <v>4745</v>
      </c>
      <c r="D59" s="59" t="s">
        <v>4479</v>
      </c>
      <c r="E59" s="59" t="s">
        <v>4751</v>
      </c>
      <c r="F59" s="59" t="s">
        <v>4763</v>
      </c>
      <c r="G59" s="59" t="s">
        <v>4753</v>
      </c>
      <c r="H59" s="59" t="s">
        <v>4754</v>
      </c>
      <c r="I59" s="140" t="s">
        <v>13</v>
      </c>
    </row>
    <row r="60">
      <c r="A60" s="38" t="s">
        <v>676</v>
      </c>
      <c r="B60" s="59" t="s">
        <v>4586</v>
      </c>
      <c r="C60" s="59" t="s">
        <v>4745</v>
      </c>
      <c r="D60" s="59" t="s">
        <v>4483</v>
      </c>
      <c r="E60" s="59" t="s">
        <v>4751</v>
      </c>
      <c r="F60" s="59" t="s">
        <v>4764</v>
      </c>
      <c r="G60" s="59" t="s">
        <v>4753</v>
      </c>
      <c r="H60" s="59" t="s">
        <v>4754</v>
      </c>
      <c r="I60" s="140" t="s">
        <v>13</v>
      </c>
    </row>
    <row r="61">
      <c r="A61" s="38" t="s">
        <v>681</v>
      </c>
      <c r="B61" s="59" t="s">
        <v>4586</v>
      </c>
      <c r="C61" s="59" t="s">
        <v>4745</v>
      </c>
      <c r="D61" s="59" t="s">
        <v>4485</v>
      </c>
      <c r="E61" s="59" t="s">
        <v>4751</v>
      </c>
      <c r="F61" s="59" t="s">
        <v>4765</v>
      </c>
      <c r="G61" s="59" t="s">
        <v>4753</v>
      </c>
      <c r="H61" s="59" t="s">
        <v>4754</v>
      </c>
      <c r="I61" s="140" t="s">
        <v>13</v>
      </c>
    </row>
    <row r="62">
      <c r="A62" s="38" t="s">
        <v>686</v>
      </c>
      <c r="B62" s="59" t="s">
        <v>4586</v>
      </c>
      <c r="C62" s="121" t="s">
        <v>4766</v>
      </c>
      <c r="D62" s="59" t="s">
        <v>402</v>
      </c>
      <c r="E62" s="59" t="s">
        <v>4767</v>
      </c>
      <c r="F62" s="59" t="s">
        <v>3759</v>
      </c>
      <c r="G62" s="59" t="s">
        <v>46</v>
      </c>
      <c r="H62" s="59" t="s">
        <v>479</v>
      </c>
      <c r="I62" s="140" t="s">
        <v>13</v>
      </c>
    </row>
    <row r="63">
      <c r="A63" s="38" t="s">
        <v>690</v>
      </c>
      <c r="B63" s="59" t="s">
        <v>4586</v>
      </c>
      <c r="C63" s="121" t="s">
        <v>4768</v>
      </c>
      <c r="D63" s="59" t="s">
        <v>406</v>
      </c>
      <c r="E63" s="59" t="s">
        <v>4769</v>
      </c>
      <c r="F63" s="59" t="s">
        <v>3761</v>
      </c>
      <c r="G63" s="59" t="s">
        <v>46</v>
      </c>
      <c r="H63" s="59" t="s">
        <v>479</v>
      </c>
      <c r="I63" s="140" t="s">
        <v>13</v>
      </c>
    </row>
    <row r="64">
      <c r="A64" s="38" t="s">
        <v>693</v>
      </c>
      <c r="B64" s="59" t="s">
        <v>4586</v>
      </c>
      <c r="C64" s="59" t="s">
        <v>409</v>
      </c>
      <c r="D64" s="59" t="s">
        <v>4770</v>
      </c>
      <c r="E64" s="59" t="s">
        <v>410</v>
      </c>
      <c r="F64" s="59" t="s">
        <v>411</v>
      </c>
      <c r="G64" s="59" t="s">
        <v>46</v>
      </c>
      <c r="H64" s="59" t="s">
        <v>412</v>
      </c>
      <c r="I64" s="140" t="s">
        <v>13</v>
      </c>
    </row>
    <row r="1012">
      <c r="F1012" s="1" t="s">
        <v>4771</v>
      </c>
    </row>
  </sheetData>
  <autoFilter ref="$A$1:$I$64"/>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2.38"/>
    <col customWidth="1" min="3" max="3" width="42.63"/>
    <col customWidth="1" min="4" max="4" width="42.13"/>
    <col customWidth="1" min="5" max="5" width="41.0"/>
    <col customWidth="1" min="6" max="6" width="35.5"/>
    <col customWidth="1" min="7" max="7" width="26.0"/>
    <col customWidth="1" min="8" max="8" width="36.75"/>
  </cols>
  <sheetData>
    <row r="1">
      <c r="A1" s="141" t="s">
        <v>78</v>
      </c>
      <c r="B1" s="142" t="s">
        <v>79</v>
      </c>
      <c r="C1" s="143" t="s">
        <v>80</v>
      </c>
      <c r="D1" s="143" t="s">
        <v>81</v>
      </c>
      <c r="E1" s="144" t="s">
        <v>82</v>
      </c>
      <c r="F1" s="145" t="s">
        <v>413</v>
      </c>
      <c r="G1" s="145" t="s">
        <v>414</v>
      </c>
      <c r="H1" s="141" t="s">
        <v>83</v>
      </c>
      <c r="I1" s="146" t="s">
        <v>4772</v>
      </c>
      <c r="J1" s="147"/>
      <c r="K1" s="147"/>
      <c r="L1" s="147"/>
      <c r="M1" s="147"/>
      <c r="N1" s="147"/>
      <c r="O1" s="147"/>
      <c r="P1" s="147"/>
      <c r="Q1" s="147"/>
      <c r="R1" s="147"/>
      <c r="S1" s="147"/>
      <c r="T1" s="147"/>
      <c r="U1" s="147"/>
      <c r="V1" s="147"/>
      <c r="W1" s="147"/>
      <c r="X1" s="147"/>
      <c r="Y1" s="147"/>
      <c r="Z1" s="147"/>
    </row>
    <row r="2">
      <c r="A2" s="38" t="s">
        <v>84</v>
      </c>
      <c r="B2" s="39" t="s">
        <v>4773</v>
      </c>
      <c r="C2" s="39" t="s">
        <v>4774</v>
      </c>
      <c r="D2" s="39" t="s">
        <v>4775</v>
      </c>
      <c r="E2" s="39" t="s">
        <v>4776</v>
      </c>
      <c r="F2" s="39" t="s">
        <v>4777</v>
      </c>
      <c r="G2" s="39" t="s">
        <v>4778</v>
      </c>
      <c r="H2" s="39" t="s">
        <v>4779</v>
      </c>
      <c r="I2" s="148" t="s">
        <v>13</v>
      </c>
      <c r="K2" s="149" t="s">
        <v>284</v>
      </c>
      <c r="L2" s="147">
        <f>SUM(L3:L7)</f>
        <v>245</v>
      </c>
      <c r="M2" s="147"/>
      <c r="N2" s="147"/>
      <c r="O2" s="147"/>
      <c r="P2" s="147"/>
      <c r="Q2" s="147"/>
      <c r="R2" s="147"/>
      <c r="S2" s="147"/>
      <c r="T2" s="147"/>
      <c r="U2" s="147"/>
      <c r="V2" s="147"/>
      <c r="W2" s="147"/>
      <c r="X2" s="147"/>
      <c r="Y2" s="147"/>
      <c r="Z2" s="147"/>
    </row>
    <row r="3">
      <c r="A3" s="38" t="s">
        <v>92</v>
      </c>
      <c r="B3" s="39" t="s">
        <v>4773</v>
      </c>
      <c r="C3" s="39" t="s">
        <v>4780</v>
      </c>
      <c r="D3" s="39" t="s">
        <v>4775</v>
      </c>
      <c r="E3" s="39" t="s">
        <v>4781</v>
      </c>
      <c r="F3" s="39" t="s">
        <v>4777</v>
      </c>
      <c r="G3" s="39" t="s">
        <v>4778</v>
      </c>
      <c r="H3" s="39" t="s">
        <v>4779</v>
      </c>
      <c r="I3" s="148" t="s">
        <v>13</v>
      </c>
      <c r="J3" s="147"/>
      <c r="K3" s="149" t="s">
        <v>15</v>
      </c>
      <c r="L3" s="147">
        <f>COUNTIF($I$2:$I$246,"Panamá")</f>
        <v>63</v>
      </c>
      <c r="M3" s="147"/>
      <c r="N3" s="147"/>
      <c r="O3" s="147"/>
      <c r="P3" s="147"/>
      <c r="Q3" s="147"/>
      <c r="R3" s="147"/>
      <c r="S3" s="147"/>
      <c r="T3" s="147"/>
      <c r="U3" s="147"/>
      <c r="V3" s="147"/>
      <c r="W3" s="147"/>
      <c r="X3" s="147"/>
      <c r="Y3" s="147"/>
      <c r="Z3" s="147"/>
    </row>
    <row r="4">
      <c r="A4" s="38" t="s">
        <v>96</v>
      </c>
      <c r="B4" s="39" t="s">
        <v>4773</v>
      </c>
      <c r="C4" s="39" t="s">
        <v>4782</v>
      </c>
      <c r="D4" s="39" t="s">
        <v>4775</v>
      </c>
      <c r="E4" s="39" t="s">
        <v>4783</v>
      </c>
      <c r="F4" s="39" t="s">
        <v>4784</v>
      </c>
      <c r="G4" s="149" t="s">
        <v>4785</v>
      </c>
      <c r="H4" s="150" t="s">
        <v>2964</v>
      </c>
      <c r="I4" s="148" t="s">
        <v>13</v>
      </c>
      <c r="J4" s="147"/>
      <c r="K4" s="149" t="s">
        <v>16</v>
      </c>
      <c r="L4" s="147">
        <f>COUNTIF($I$2:$I$246,"Costa Rica")</f>
        <v>65</v>
      </c>
      <c r="M4" s="147"/>
      <c r="N4" s="147"/>
      <c r="O4" s="147"/>
      <c r="P4" s="147"/>
      <c r="Q4" s="147"/>
      <c r="R4" s="147"/>
      <c r="S4" s="147"/>
      <c r="T4" s="147"/>
      <c r="U4" s="147"/>
      <c r="V4" s="147"/>
      <c r="W4" s="147"/>
      <c r="X4" s="147"/>
      <c r="Y4" s="147"/>
      <c r="Z4" s="147"/>
    </row>
    <row r="5">
      <c r="A5" s="38" t="s">
        <v>101</v>
      </c>
      <c r="B5" s="39" t="s">
        <v>4773</v>
      </c>
      <c r="C5" s="39" t="s">
        <v>4786</v>
      </c>
      <c r="D5" s="39" t="s">
        <v>4787</v>
      </c>
      <c r="E5" s="39" t="s">
        <v>4783</v>
      </c>
      <c r="F5" s="39" t="s">
        <v>4788</v>
      </c>
      <c r="G5" s="39" t="s">
        <v>4789</v>
      </c>
      <c r="H5" s="150" t="s">
        <v>4790</v>
      </c>
      <c r="I5" s="148" t="s">
        <v>13</v>
      </c>
      <c r="J5" s="147"/>
      <c r="K5" s="149" t="s">
        <v>17</v>
      </c>
      <c r="L5" s="147">
        <f>COUNTIF($I$2:$I$246,"Honduras")</f>
        <v>52</v>
      </c>
      <c r="M5" s="147"/>
      <c r="N5" s="147"/>
      <c r="O5" s="147"/>
      <c r="P5" s="147"/>
      <c r="Q5" s="147"/>
      <c r="R5" s="147"/>
      <c r="S5" s="147"/>
      <c r="T5" s="147"/>
      <c r="U5" s="147"/>
      <c r="V5" s="147"/>
      <c r="W5" s="147"/>
      <c r="X5" s="147"/>
      <c r="Y5" s="147"/>
      <c r="Z5" s="147"/>
    </row>
    <row r="6">
      <c r="A6" s="38" t="s">
        <v>106</v>
      </c>
      <c r="B6" s="39" t="s">
        <v>4773</v>
      </c>
      <c r="C6" s="39" t="s">
        <v>4786</v>
      </c>
      <c r="D6" s="39" t="s">
        <v>4791</v>
      </c>
      <c r="E6" s="39" t="s">
        <v>4783</v>
      </c>
      <c r="F6" s="39" t="s">
        <v>4788</v>
      </c>
      <c r="G6" s="39" t="s">
        <v>4789</v>
      </c>
      <c r="H6" s="150" t="s">
        <v>4792</v>
      </c>
      <c r="I6" s="148" t="s">
        <v>13</v>
      </c>
      <c r="J6" s="147"/>
      <c r="K6" s="149" t="s">
        <v>18</v>
      </c>
      <c r="L6" s="147">
        <f>COUNTIF($I$2:$I$246,"El Salvador")</f>
        <v>45</v>
      </c>
      <c r="M6" s="147"/>
      <c r="N6" s="147"/>
      <c r="O6" s="147"/>
      <c r="P6" s="147"/>
      <c r="Q6" s="147"/>
      <c r="R6" s="147"/>
      <c r="S6" s="147"/>
      <c r="T6" s="147"/>
      <c r="U6" s="147"/>
      <c r="V6" s="147"/>
      <c r="W6" s="147"/>
      <c r="X6" s="147"/>
      <c r="Y6" s="147"/>
      <c r="Z6" s="147"/>
    </row>
    <row r="7">
      <c r="A7" s="38" t="s">
        <v>110</v>
      </c>
      <c r="B7" s="39" t="s">
        <v>4773</v>
      </c>
      <c r="C7" s="39" t="s">
        <v>4793</v>
      </c>
      <c r="D7" s="39" t="s">
        <v>4794</v>
      </c>
      <c r="E7" s="39" t="s">
        <v>4795</v>
      </c>
      <c r="F7" s="39" t="s">
        <v>4796</v>
      </c>
      <c r="G7" s="39" t="s">
        <v>4797</v>
      </c>
      <c r="H7" s="39" t="s">
        <v>4798</v>
      </c>
      <c r="I7" s="148" t="s">
        <v>13</v>
      </c>
      <c r="J7" s="147"/>
      <c r="K7" s="149" t="s">
        <v>13</v>
      </c>
      <c r="L7" s="147">
        <f>COUNTIF($I$2:$I$246,"Todos")</f>
        <v>20</v>
      </c>
      <c r="M7" s="147"/>
      <c r="N7" s="147"/>
      <c r="O7" s="147"/>
      <c r="P7" s="147"/>
      <c r="Q7" s="147"/>
      <c r="R7" s="147"/>
      <c r="S7" s="147"/>
      <c r="T7" s="147"/>
      <c r="U7" s="147"/>
      <c r="V7" s="147"/>
      <c r="W7" s="147"/>
      <c r="X7" s="147"/>
      <c r="Y7" s="147"/>
      <c r="Z7" s="147"/>
    </row>
    <row r="8">
      <c r="A8" s="38" t="s">
        <v>115</v>
      </c>
      <c r="B8" s="39" t="s">
        <v>4773</v>
      </c>
      <c r="C8" s="39" t="s">
        <v>4799</v>
      </c>
      <c r="D8" s="39" t="s">
        <v>4800</v>
      </c>
      <c r="E8" s="39" t="s">
        <v>4801</v>
      </c>
      <c r="F8" s="39" t="s">
        <v>4802</v>
      </c>
      <c r="G8" s="39" t="s">
        <v>4803</v>
      </c>
      <c r="H8" s="39" t="s">
        <v>4804</v>
      </c>
      <c r="I8" s="148" t="s">
        <v>4805</v>
      </c>
      <c r="J8" s="147"/>
      <c r="K8" s="147"/>
      <c r="L8" s="147"/>
      <c r="M8" s="147"/>
      <c r="N8" s="147"/>
      <c r="O8" s="147"/>
      <c r="P8" s="147"/>
      <c r="Q8" s="147"/>
      <c r="R8" s="147"/>
      <c r="S8" s="147"/>
      <c r="T8" s="147"/>
      <c r="U8" s="147"/>
      <c r="V8" s="147"/>
      <c r="W8" s="147"/>
      <c r="X8" s="147"/>
      <c r="Y8" s="147"/>
      <c r="Z8" s="147"/>
    </row>
    <row r="9">
      <c r="A9" s="38" t="s">
        <v>120</v>
      </c>
      <c r="B9" s="39" t="s">
        <v>4773</v>
      </c>
      <c r="C9" s="39" t="s">
        <v>4806</v>
      </c>
      <c r="D9" s="39" t="s">
        <v>4807</v>
      </c>
      <c r="E9" s="39" t="s">
        <v>4808</v>
      </c>
      <c r="F9" s="41" t="s">
        <v>4809</v>
      </c>
      <c r="G9" s="41" t="s">
        <v>4810</v>
      </c>
      <c r="H9" s="151" t="s">
        <v>4811</v>
      </c>
      <c r="I9" s="148" t="s">
        <v>4805</v>
      </c>
      <c r="J9" s="147"/>
      <c r="K9" s="147"/>
      <c r="L9" s="147"/>
      <c r="M9" s="147"/>
      <c r="N9" s="147"/>
      <c r="O9" s="147"/>
      <c r="P9" s="147"/>
      <c r="Q9" s="147"/>
      <c r="R9" s="147"/>
      <c r="S9" s="147"/>
      <c r="T9" s="147"/>
      <c r="U9" s="147"/>
      <c r="V9" s="147"/>
      <c r="W9" s="147"/>
      <c r="X9" s="147"/>
      <c r="Y9" s="147"/>
      <c r="Z9" s="147"/>
    </row>
    <row r="10">
      <c r="A10" s="38" t="s">
        <v>125</v>
      </c>
      <c r="B10" s="39" t="s">
        <v>4773</v>
      </c>
      <c r="C10" s="39" t="s">
        <v>4812</v>
      </c>
      <c r="D10" s="39" t="s">
        <v>4813</v>
      </c>
      <c r="E10" s="39" t="s">
        <v>4814</v>
      </c>
      <c r="F10" s="39" t="s">
        <v>4815</v>
      </c>
      <c r="G10" s="39" t="s">
        <v>4816</v>
      </c>
      <c r="H10" s="39" t="s">
        <v>4817</v>
      </c>
      <c r="I10" s="148" t="s">
        <v>17</v>
      </c>
      <c r="J10" s="147"/>
      <c r="K10" s="147"/>
      <c r="L10" s="147"/>
      <c r="M10" s="147"/>
      <c r="N10" s="147"/>
      <c r="O10" s="147"/>
      <c r="P10" s="147"/>
      <c r="Q10" s="147"/>
      <c r="R10" s="147"/>
      <c r="S10" s="147"/>
      <c r="T10" s="147"/>
      <c r="U10" s="147"/>
      <c r="V10" s="147"/>
      <c r="W10" s="147"/>
      <c r="X10" s="147"/>
      <c r="Y10" s="147"/>
      <c r="Z10" s="147"/>
    </row>
    <row r="11">
      <c r="A11" s="38" t="s">
        <v>129</v>
      </c>
      <c r="B11" s="39" t="s">
        <v>4773</v>
      </c>
      <c r="C11" s="39" t="s">
        <v>4818</v>
      </c>
      <c r="D11" s="39" t="s">
        <v>4819</v>
      </c>
      <c r="E11" s="39" t="s">
        <v>4820</v>
      </c>
      <c r="F11" s="39" t="s">
        <v>4815</v>
      </c>
      <c r="G11" s="39" t="s">
        <v>4821</v>
      </c>
      <c r="H11" s="39" t="s">
        <v>4822</v>
      </c>
      <c r="I11" s="148" t="s">
        <v>18</v>
      </c>
      <c r="J11" s="147"/>
      <c r="K11" s="147"/>
      <c r="L11" s="147"/>
      <c r="M11" s="147"/>
      <c r="N11" s="147"/>
      <c r="O11" s="147"/>
      <c r="P11" s="147"/>
      <c r="Q11" s="147"/>
      <c r="R11" s="147"/>
      <c r="S11" s="147"/>
      <c r="T11" s="147"/>
      <c r="U11" s="147"/>
      <c r="V11" s="147"/>
      <c r="W11" s="147"/>
      <c r="X11" s="147"/>
      <c r="Y11" s="147"/>
      <c r="Z11" s="147"/>
    </row>
    <row r="12">
      <c r="A12" s="38" t="s">
        <v>134</v>
      </c>
      <c r="B12" s="39" t="s">
        <v>4773</v>
      </c>
      <c r="C12" s="39" t="s">
        <v>4823</v>
      </c>
      <c r="D12" s="39" t="s">
        <v>4824</v>
      </c>
      <c r="E12" s="39" t="s">
        <v>4825</v>
      </c>
      <c r="F12" s="39" t="s">
        <v>4815</v>
      </c>
      <c r="G12" s="39" t="s">
        <v>4826</v>
      </c>
      <c r="H12" s="152" t="s">
        <v>4827</v>
      </c>
      <c r="I12" s="148" t="s">
        <v>4805</v>
      </c>
      <c r="J12" s="147"/>
      <c r="K12" s="147"/>
      <c r="L12" s="147"/>
      <c r="M12" s="147"/>
      <c r="N12" s="147"/>
      <c r="O12" s="147"/>
      <c r="P12" s="147"/>
      <c r="Q12" s="147"/>
      <c r="R12" s="147"/>
      <c r="S12" s="147"/>
      <c r="T12" s="147"/>
      <c r="U12" s="147"/>
      <c r="V12" s="147"/>
      <c r="W12" s="147"/>
      <c r="X12" s="147"/>
      <c r="Y12" s="147"/>
      <c r="Z12" s="147"/>
    </row>
    <row r="13">
      <c r="A13" s="38" t="s">
        <v>139</v>
      </c>
      <c r="B13" s="39" t="s">
        <v>4773</v>
      </c>
      <c r="C13" s="39" t="s">
        <v>4828</v>
      </c>
      <c r="D13" s="39" t="s">
        <v>4829</v>
      </c>
      <c r="E13" s="39" t="s">
        <v>4830</v>
      </c>
      <c r="F13" s="39" t="s">
        <v>4831</v>
      </c>
      <c r="G13" s="39" t="s">
        <v>4832</v>
      </c>
      <c r="H13" s="39" t="s">
        <v>4833</v>
      </c>
      <c r="I13" s="148" t="s">
        <v>4805</v>
      </c>
      <c r="J13" s="147"/>
      <c r="K13" s="147"/>
      <c r="L13" s="147"/>
      <c r="M13" s="147"/>
      <c r="N13" s="147"/>
      <c r="O13" s="147"/>
      <c r="P13" s="147"/>
      <c r="Q13" s="147"/>
      <c r="R13" s="147"/>
      <c r="S13" s="147"/>
      <c r="T13" s="147"/>
      <c r="U13" s="147"/>
      <c r="V13" s="147"/>
      <c r="W13" s="147"/>
      <c r="X13" s="147"/>
      <c r="Y13" s="147"/>
      <c r="Z13" s="147"/>
    </row>
    <row r="14">
      <c r="A14" s="153" t="s">
        <v>144</v>
      </c>
      <c r="B14" s="154" t="s">
        <v>4773</v>
      </c>
      <c r="C14" s="154" t="s">
        <v>4834</v>
      </c>
      <c r="D14" s="154" t="s">
        <v>4835</v>
      </c>
      <c r="E14" s="154" t="s">
        <v>4836</v>
      </c>
      <c r="F14" s="154" t="s">
        <v>4831</v>
      </c>
      <c r="G14" s="154" t="s">
        <v>4832</v>
      </c>
      <c r="H14" s="154" t="s">
        <v>4837</v>
      </c>
      <c r="I14" s="155" t="s">
        <v>17</v>
      </c>
      <c r="J14" s="156"/>
      <c r="K14" s="156"/>
      <c r="L14" s="156"/>
      <c r="M14" s="156"/>
      <c r="N14" s="156"/>
      <c r="O14" s="156"/>
      <c r="P14" s="156"/>
      <c r="Q14" s="156"/>
      <c r="R14" s="156"/>
      <c r="S14" s="156"/>
      <c r="T14" s="156"/>
      <c r="U14" s="156"/>
      <c r="V14" s="156"/>
      <c r="W14" s="156"/>
      <c r="X14" s="156"/>
      <c r="Y14" s="156"/>
      <c r="Z14" s="156"/>
    </row>
    <row r="15">
      <c r="A15" s="38" t="s">
        <v>149</v>
      </c>
      <c r="B15" s="39" t="s">
        <v>4773</v>
      </c>
      <c r="C15" s="39" t="s">
        <v>4838</v>
      </c>
      <c r="D15" s="39" t="s">
        <v>4839</v>
      </c>
      <c r="E15" s="39" t="s">
        <v>4840</v>
      </c>
      <c r="F15" s="39" t="s">
        <v>4841</v>
      </c>
      <c r="G15" s="39" t="s">
        <v>4842</v>
      </c>
      <c r="H15" s="39" t="s">
        <v>4843</v>
      </c>
      <c r="I15" s="148" t="s">
        <v>17</v>
      </c>
      <c r="J15" s="147"/>
      <c r="K15" s="147"/>
      <c r="L15" s="147"/>
      <c r="M15" s="147"/>
      <c r="N15" s="147"/>
      <c r="O15" s="147"/>
      <c r="P15" s="147"/>
      <c r="Q15" s="147"/>
      <c r="R15" s="147"/>
      <c r="S15" s="147"/>
      <c r="T15" s="147"/>
      <c r="U15" s="147"/>
      <c r="V15" s="147"/>
      <c r="W15" s="147"/>
      <c r="X15" s="147"/>
      <c r="Y15" s="147"/>
      <c r="Z15" s="147"/>
    </row>
    <row r="16">
      <c r="A16" s="38" t="s">
        <v>153</v>
      </c>
      <c r="B16" s="39" t="s">
        <v>4773</v>
      </c>
      <c r="C16" s="39" t="s">
        <v>4844</v>
      </c>
      <c r="D16" s="39" t="s">
        <v>4845</v>
      </c>
      <c r="E16" s="39" t="s">
        <v>4846</v>
      </c>
      <c r="F16" s="39" t="s">
        <v>4831</v>
      </c>
      <c r="G16" s="39" t="s">
        <v>4847</v>
      </c>
      <c r="H16" s="39" t="s">
        <v>4848</v>
      </c>
      <c r="I16" s="148" t="s">
        <v>17</v>
      </c>
      <c r="J16" s="147"/>
      <c r="K16" s="147"/>
      <c r="L16" s="147"/>
      <c r="M16" s="147"/>
      <c r="N16" s="147"/>
      <c r="O16" s="147"/>
      <c r="P16" s="147"/>
      <c r="Q16" s="147"/>
      <c r="R16" s="147"/>
      <c r="S16" s="147"/>
      <c r="T16" s="147"/>
      <c r="U16" s="147"/>
      <c r="V16" s="147"/>
      <c r="W16" s="147"/>
      <c r="X16" s="147"/>
      <c r="Y16" s="147"/>
      <c r="Z16" s="147"/>
    </row>
    <row r="17">
      <c r="A17" s="38" t="s">
        <v>158</v>
      </c>
      <c r="B17" s="39" t="s">
        <v>4773</v>
      </c>
      <c r="C17" s="39" t="s">
        <v>4849</v>
      </c>
      <c r="D17" s="39" t="s">
        <v>4850</v>
      </c>
      <c r="E17" s="39" t="s">
        <v>4851</v>
      </c>
      <c r="F17" s="39" t="s">
        <v>4852</v>
      </c>
      <c r="G17" s="39" t="s">
        <v>4853</v>
      </c>
      <c r="H17" s="39" t="s">
        <v>4854</v>
      </c>
      <c r="I17" s="148" t="s">
        <v>17</v>
      </c>
      <c r="J17" s="147"/>
      <c r="K17" s="147"/>
      <c r="L17" s="147"/>
      <c r="M17" s="147"/>
      <c r="N17" s="147"/>
      <c r="O17" s="147"/>
      <c r="P17" s="147"/>
      <c r="Q17" s="147"/>
      <c r="R17" s="147"/>
      <c r="S17" s="147"/>
      <c r="T17" s="147"/>
      <c r="U17" s="147"/>
      <c r="V17" s="147"/>
      <c r="W17" s="147"/>
      <c r="X17" s="147"/>
      <c r="Y17" s="147"/>
      <c r="Z17" s="147"/>
    </row>
    <row r="18">
      <c r="A18" s="38" t="s">
        <v>162</v>
      </c>
      <c r="B18" s="46" t="s">
        <v>4773</v>
      </c>
      <c r="C18" s="46" t="s">
        <v>4855</v>
      </c>
      <c r="D18" s="46" t="s">
        <v>4856</v>
      </c>
      <c r="E18" s="46" t="s">
        <v>4857</v>
      </c>
      <c r="F18" s="46" t="s">
        <v>4831</v>
      </c>
      <c r="G18" s="46" t="s">
        <v>4832</v>
      </c>
      <c r="H18" s="46" t="s">
        <v>4858</v>
      </c>
      <c r="I18" s="148" t="s">
        <v>17</v>
      </c>
      <c r="J18" s="147"/>
      <c r="K18" s="147"/>
      <c r="L18" s="147"/>
      <c r="M18" s="147"/>
      <c r="N18" s="147"/>
      <c r="O18" s="147"/>
      <c r="P18" s="147"/>
      <c r="Q18" s="147"/>
      <c r="R18" s="147"/>
      <c r="S18" s="147"/>
      <c r="T18" s="147"/>
      <c r="U18" s="147"/>
      <c r="V18" s="147"/>
      <c r="W18" s="147"/>
      <c r="X18" s="147"/>
      <c r="Y18" s="147"/>
      <c r="Z18" s="147"/>
    </row>
    <row r="19">
      <c r="A19" s="38" t="s">
        <v>165</v>
      </c>
      <c r="B19" s="46" t="s">
        <v>4773</v>
      </c>
      <c r="C19" s="46" t="s">
        <v>4859</v>
      </c>
      <c r="D19" s="46" t="s">
        <v>4860</v>
      </c>
      <c r="E19" s="46" t="s">
        <v>4851</v>
      </c>
      <c r="F19" s="46" t="s">
        <v>4852</v>
      </c>
      <c r="G19" s="46" t="s">
        <v>4853</v>
      </c>
      <c r="H19" s="46" t="s">
        <v>4861</v>
      </c>
      <c r="I19" s="148" t="s">
        <v>17</v>
      </c>
      <c r="J19" s="147"/>
      <c r="K19" s="147"/>
      <c r="L19" s="147"/>
      <c r="M19" s="147"/>
      <c r="N19" s="147"/>
      <c r="O19" s="147"/>
      <c r="P19" s="147"/>
      <c r="Q19" s="147"/>
      <c r="R19" s="147"/>
      <c r="S19" s="147"/>
      <c r="T19" s="147"/>
      <c r="U19" s="147"/>
      <c r="V19" s="147"/>
      <c r="W19" s="147"/>
      <c r="X19" s="147"/>
      <c r="Y19" s="147"/>
      <c r="Z19" s="147"/>
    </row>
    <row r="20">
      <c r="A20" s="38" t="s">
        <v>167</v>
      </c>
      <c r="B20" s="46" t="s">
        <v>4773</v>
      </c>
      <c r="C20" s="46" t="s">
        <v>4862</v>
      </c>
      <c r="D20" s="46" t="s">
        <v>4863</v>
      </c>
      <c r="E20" s="46" t="s">
        <v>4864</v>
      </c>
      <c r="F20" s="46" t="s">
        <v>4865</v>
      </c>
      <c r="G20" s="46" t="s">
        <v>4866</v>
      </c>
      <c r="H20" s="46" t="s">
        <v>4867</v>
      </c>
      <c r="I20" s="148" t="s">
        <v>17</v>
      </c>
      <c r="J20" s="147"/>
      <c r="K20" s="147"/>
      <c r="L20" s="147"/>
      <c r="M20" s="147"/>
      <c r="N20" s="147"/>
      <c r="O20" s="147"/>
      <c r="P20" s="147"/>
      <c r="Q20" s="147"/>
      <c r="R20" s="147"/>
      <c r="S20" s="147"/>
      <c r="T20" s="147"/>
      <c r="U20" s="147"/>
      <c r="V20" s="147"/>
      <c r="W20" s="147"/>
      <c r="X20" s="147"/>
      <c r="Y20" s="147"/>
      <c r="Z20" s="147"/>
    </row>
    <row r="21">
      <c r="A21" s="38" t="s">
        <v>170</v>
      </c>
      <c r="B21" s="39" t="s">
        <v>4773</v>
      </c>
      <c r="C21" s="39" t="s">
        <v>4868</v>
      </c>
      <c r="D21" s="39" t="s">
        <v>4869</v>
      </c>
      <c r="E21" s="39" t="s">
        <v>4870</v>
      </c>
      <c r="F21" s="39" t="s">
        <v>4871</v>
      </c>
      <c r="G21" s="39" t="s">
        <v>4872</v>
      </c>
      <c r="H21" s="39" t="s">
        <v>4873</v>
      </c>
      <c r="I21" s="148" t="s">
        <v>17</v>
      </c>
      <c r="J21" s="147"/>
      <c r="K21" s="147"/>
      <c r="L21" s="147"/>
      <c r="M21" s="147"/>
      <c r="N21" s="147"/>
      <c r="O21" s="147"/>
      <c r="P21" s="147"/>
      <c r="Q21" s="147"/>
      <c r="R21" s="147"/>
      <c r="S21" s="147"/>
      <c r="T21" s="147"/>
      <c r="U21" s="147"/>
      <c r="V21" s="147"/>
      <c r="W21" s="147"/>
      <c r="X21" s="147"/>
      <c r="Y21" s="147"/>
      <c r="Z21" s="147"/>
    </row>
    <row r="22">
      <c r="A22" s="38" t="s">
        <v>175</v>
      </c>
      <c r="B22" s="39" t="s">
        <v>4773</v>
      </c>
      <c r="C22" s="39" t="s">
        <v>4874</v>
      </c>
      <c r="D22" s="39" t="s">
        <v>4875</v>
      </c>
      <c r="E22" s="39" t="s">
        <v>4876</v>
      </c>
      <c r="F22" s="39" t="s">
        <v>4831</v>
      </c>
      <c r="G22" s="39" t="s">
        <v>4832</v>
      </c>
      <c r="H22" s="39" t="s">
        <v>4858</v>
      </c>
      <c r="I22" s="148" t="s">
        <v>17</v>
      </c>
      <c r="J22" s="147"/>
      <c r="K22" s="147"/>
      <c r="L22" s="147"/>
      <c r="M22" s="147"/>
      <c r="N22" s="147"/>
      <c r="O22" s="147"/>
      <c r="P22" s="147"/>
      <c r="Q22" s="147"/>
      <c r="R22" s="147"/>
      <c r="S22" s="147"/>
      <c r="T22" s="147"/>
      <c r="U22" s="147"/>
      <c r="V22" s="147"/>
      <c r="W22" s="147"/>
      <c r="X22" s="147"/>
      <c r="Y22" s="147"/>
      <c r="Z22" s="147"/>
    </row>
    <row r="23">
      <c r="A23" s="38" t="s">
        <v>180</v>
      </c>
      <c r="B23" s="39" t="s">
        <v>4773</v>
      </c>
      <c r="C23" s="39" t="s">
        <v>4877</v>
      </c>
      <c r="D23" s="39" t="s">
        <v>4878</v>
      </c>
      <c r="E23" s="39" t="s">
        <v>4864</v>
      </c>
      <c r="F23" s="39" t="s">
        <v>4852</v>
      </c>
      <c r="G23" s="39" t="s">
        <v>4853</v>
      </c>
      <c r="H23" s="39" t="s">
        <v>4879</v>
      </c>
      <c r="I23" s="148" t="s">
        <v>17</v>
      </c>
      <c r="J23" s="147"/>
      <c r="K23" s="147"/>
      <c r="L23" s="147"/>
      <c r="M23" s="147"/>
      <c r="N23" s="147"/>
      <c r="O23" s="147"/>
      <c r="P23" s="147"/>
      <c r="Q23" s="147"/>
      <c r="R23" s="147"/>
      <c r="S23" s="147"/>
      <c r="T23" s="147"/>
      <c r="U23" s="147"/>
      <c r="V23" s="147"/>
      <c r="W23" s="147"/>
      <c r="X23" s="147"/>
      <c r="Y23" s="147"/>
      <c r="Z23" s="147"/>
    </row>
    <row r="24">
      <c r="A24" s="38" t="s">
        <v>185</v>
      </c>
      <c r="B24" s="39" t="s">
        <v>4773</v>
      </c>
      <c r="C24" s="39" t="s">
        <v>4880</v>
      </c>
      <c r="D24" s="39" t="s">
        <v>4881</v>
      </c>
      <c r="E24" s="39" t="s">
        <v>4882</v>
      </c>
      <c r="F24" s="39" t="s">
        <v>4831</v>
      </c>
      <c r="G24" s="39" t="s">
        <v>4832</v>
      </c>
      <c r="H24" s="39" t="s">
        <v>4858</v>
      </c>
      <c r="I24" s="148" t="s">
        <v>17</v>
      </c>
      <c r="J24" s="147"/>
      <c r="K24" s="147"/>
      <c r="L24" s="147"/>
      <c r="M24" s="147"/>
      <c r="N24" s="147"/>
      <c r="O24" s="147"/>
      <c r="P24" s="147"/>
      <c r="Q24" s="147"/>
      <c r="R24" s="147"/>
      <c r="S24" s="147"/>
      <c r="T24" s="147"/>
      <c r="U24" s="147"/>
      <c r="V24" s="147"/>
      <c r="W24" s="147"/>
      <c r="X24" s="147"/>
      <c r="Y24" s="147"/>
      <c r="Z24" s="147"/>
    </row>
    <row r="25">
      <c r="A25" s="38" t="s">
        <v>190</v>
      </c>
      <c r="B25" s="39" t="s">
        <v>4773</v>
      </c>
      <c r="C25" s="39" t="s">
        <v>4883</v>
      </c>
      <c r="D25" s="39" t="s">
        <v>4884</v>
      </c>
      <c r="E25" s="39" t="s">
        <v>4864</v>
      </c>
      <c r="F25" s="39" t="s">
        <v>4852</v>
      </c>
      <c r="G25" s="39" t="s">
        <v>4853</v>
      </c>
      <c r="H25" s="39" t="s">
        <v>4885</v>
      </c>
      <c r="I25" s="148" t="s">
        <v>17</v>
      </c>
      <c r="J25" s="147"/>
      <c r="K25" s="147"/>
      <c r="L25" s="147"/>
      <c r="M25" s="147"/>
      <c r="N25" s="147"/>
      <c r="O25" s="147"/>
      <c r="P25" s="147"/>
      <c r="Q25" s="147"/>
      <c r="R25" s="147"/>
      <c r="S25" s="147"/>
      <c r="T25" s="147"/>
      <c r="U25" s="147"/>
      <c r="V25" s="147"/>
      <c r="W25" s="147"/>
      <c r="X25" s="147"/>
      <c r="Y25" s="147"/>
      <c r="Z25" s="147"/>
    </row>
    <row r="26">
      <c r="A26" s="38" t="s">
        <v>195</v>
      </c>
      <c r="B26" s="39" t="s">
        <v>4773</v>
      </c>
      <c r="C26" s="39" t="s">
        <v>4886</v>
      </c>
      <c r="D26" s="39" t="s">
        <v>4887</v>
      </c>
      <c r="E26" s="39" t="s">
        <v>4888</v>
      </c>
      <c r="F26" s="39" t="s">
        <v>4831</v>
      </c>
      <c r="G26" s="39" t="s">
        <v>4832</v>
      </c>
      <c r="H26" s="39" t="s">
        <v>4889</v>
      </c>
      <c r="I26" s="148" t="s">
        <v>17</v>
      </c>
      <c r="J26" s="147"/>
      <c r="K26" s="147"/>
      <c r="L26" s="147"/>
      <c r="M26" s="147"/>
      <c r="N26" s="147"/>
      <c r="O26" s="147"/>
      <c r="P26" s="147"/>
      <c r="Q26" s="147"/>
      <c r="R26" s="147"/>
      <c r="S26" s="147"/>
      <c r="T26" s="147"/>
      <c r="U26" s="147"/>
      <c r="V26" s="147"/>
      <c r="W26" s="147"/>
      <c r="X26" s="147"/>
      <c r="Y26" s="147"/>
      <c r="Z26" s="147"/>
    </row>
    <row r="27">
      <c r="A27" s="38" t="s">
        <v>200</v>
      </c>
      <c r="B27" s="39" t="s">
        <v>4773</v>
      </c>
      <c r="C27" s="39" t="s">
        <v>4890</v>
      </c>
      <c r="D27" s="39" t="s">
        <v>4891</v>
      </c>
      <c r="E27" s="39" t="s">
        <v>4892</v>
      </c>
      <c r="F27" s="39" t="s">
        <v>4841</v>
      </c>
      <c r="G27" s="39" t="s">
        <v>4842</v>
      </c>
      <c r="H27" s="39" t="s">
        <v>4843</v>
      </c>
      <c r="I27" s="148" t="s">
        <v>17</v>
      </c>
      <c r="J27" s="147"/>
      <c r="K27" s="147"/>
      <c r="L27" s="147"/>
      <c r="M27" s="147"/>
      <c r="N27" s="147"/>
      <c r="O27" s="147"/>
      <c r="P27" s="147"/>
      <c r="Q27" s="147"/>
      <c r="R27" s="147"/>
      <c r="S27" s="147"/>
      <c r="T27" s="147"/>
      <c r="U27" s="147"/>
      <c r="V27" s="147"/>
      <c r="W27" s="147"/>
      <c r="X27" s="147"/>
      <c r="Y27" s="147"/>
      <c r="Z27" s="147"/>
    </row>
    <row r="28">
      <c r="A28" s="38" t="s">
        <v>205</v>
      </c>
      <c r="B28" s="39" t="s">
        <v>4773</v>
      </c>
      <c r="C28" s="39" t="s">
        <v>4893</v>
      </c>
      <c r="D28" s="39" t="s">
        <v>4894</v>
      </c>
      <c r="E28" s="39" t="s">
        <v>4895</v>
      </c>
      <c r="F28" s="39" t="s">
        <v>4831</v>
      </c>
      <c r="G28" s="39" t="s">
        <v>4847</v>
      </c>
      <c r="H28" s="39" t="s">
        <v>4896</v>
      </c>
      <c r="I28" s="148" t="s">
        <v>17</v>
      </c>
      <c r="J28" s="147"/>
      <c r="K28" s="147"/>
      <c r="L28" s="147"/>
      <c r="M28" s="147"/>
      <c r="N28" s="147"/>
      <c r="O28" s="147"/>
      <c r="P28" s="147"/>
      <c r="Q28" s="147"/>
      <c r="R28" s="147"/>
      <c r="S28" s="147"/>
      <c r="T28" s="147"/>
      <c r="U28" s="147"/>
      <c r="V28" s="147"/>
      <c r="W28" s="147"/>
      <c r="X28" s="147"/>
      <c r="Y28" s="147"/>
      <c r="Z28" s="147"/>
    </row>
    <row r="29">
      <c r="A29" s="38" t="s">
        <v>210</v>
      </c>
      <c r="B29" s="39" t="s">
        <v>4773</v>
      </c>
      <c r="C29" s="39" t="s">
        <v>4897</v>
      </c>
      <c r="D29" s="39" t="s">
        <v>4898</v>
      </c>
      <c r="E29" s="39" t="s">
        <v>4851</v>
      </c>
      <c r="F29" s="39" t="s">
        <v>4852</v>
      </c>
      <c r="G29" s="39" t="s">
        <v>4853</v>
      </c>
      <c r="H29" s="39" t="s">
        <v>4899</v>
      </c>
      <c r="I29" s="148" t="s">
        <v>17</v>
      </c>
      <c r="J29" s="147"/>
      <c r="K29" s="147"/>
      <c r="L29" s="147"/>
      <c r="M29" s="147"/>
      <c r="N29" s="147"/>
      <c r="O29" s="147"/>
      <c r="P29" s="147"/>
      <c r="Q29" s="147"/>
      <c r="R29" s="147"/>
      <c r="S29" s="147"/>
      <c r="T29" s="147"/>
      <c r="U29" s="147"/>
      <c r="V29" s="147"/>
      <c r="W29" s="147"/>
      <c r="X29" s="147"/>
      <c r="Y29" s="147"/>
      <c r="Z29" s="147"/>
    </row>
    <row r="30">
      <c r="A30" s="38" t="s">
        <v>215</v>
      </c>
      <c r="B30" s="39" t="s">
        <v>4773</v>
      </c>
      <c r="C30" s="39" t="s">
        <v>4900</v>
      </c>
      <c r="D30" s="39" t="s">
        <v>4901</v>
      </c>
      <c r="E30" s="39" t="s">
        <v>4902</v>
      </c>
      <c r="F30" s="39" t="s">
        <v>4831</v>
      </c>
      <c r="G30" s="39" t="s">
        <v>4832</v>
      </c>
      <c r="H30" s="39" t="s">
        <v>4858</v>
      </c>
      <c r="I30" s="148" t="s">
        <v>17</v>
      </c>
      <c r="J30" s="147"/>
      <c r="K30" s="147"/>
      <c r="L30" s="147"/>
      <c r="M30" s="147"/>
      <c r="N30" s="147"/>
      <c r="O30" s="147"/>
      <c r="P30" s="147"/>
      <c r="Q30" s="147"/>
      <c r="R30" s="147"/>
      <c r="S30" s="147"/>
      <c r="T30" s="147"/>
      <c r="U30" s="147"/>
      <c r="V30" s="147"/>
      <c r="W30" s="147"/>
      <c r="X30" s="147"/>
      <c r="Y30" s="147"/>
      <c r="Z30" s="147"/>
    </row>
    <row r="31">
      <c r="A31" s="38" t="s">
        <v>220</v>
      </c>
      <c r="B31" s="39" t="s">
        <v>4773</v>
      </c>
      <c r="C31" s="39" t="s">
        <v>4903</v>
      </c>
      <c r="D31" s="39" t="s">
        <v>4904</v>
      </c>
      <c r="E31" s="39" t="s">
        <v>4851</v>
      </c>
      <c r="F31" s="39" t="s">
        <v>4852</v>
      </c>
      <c r="G31" s="39" t="s">
        <v>4853</v>
      </c>
      <c r="H31" s="39" t="s">
        <v>4861</v>
      </c>
      <c r="I31" s="148" t="s">
        <v>17</v>
      </c>
      <c r="J31" s="147"/>
      <c r="K31" s="147"/>
      <c r="L31" s="147"/>
      <c r="M31" s="147"/>
      <c r="N31" s="147"/>
      <c r="O31" s="147"/>
      <c r="P31" s="147"/>
      <c r="Q31" s="147"/>
      <c r="R31" s="147"/>
      <c r="S31" s="147"/>
      <c r="T31" s="147"/>
      <c r="U31" s="147"/>
      <c r="V31" s="147"/>
      <c r="W31" s="147"/>
      <c r="X31" s="147"/>
      <c r="Y31" s="147"/>
      <c r="Z31" s="147"/>
    </row>
    <row r="32">
      <c r="A32" s="38" t="s">
        <v>224</v>
      </c>
      <c r="B32" s="39" t="s">
        <v>4773</v>
      </c>
      <c r="C32" s="39" t="s">
        <v>4905</v>
      </c>
      <c r="D32" s="39" t="s">
        <v>4906</v>
      </c>
      <c r="E32" s="39" t="s">
        <v>4864</v>
      </c>
      <c r="F32" s="39" t="s">
        <v>4907</v>
      </c>
      <c r="G32" s="39" t="s">
        <v>4866</v>
      </c>
      <c r="H32" s="39" t="s">
        <v>4908</v>
      </c>
      <c r="I32" s="148" t="s">
        <v>17</v>
      </c>
      <c r="J32" s="147"/>
      <c r="K32" s="147"/>
      <c r="L32" s="147"/>
      <c r="M32" s="147"/>
      <c r="N32" s="147"/>
      <c r="O32" s="147"/>
      <c r="P32" s="147"/>
      <c r="Q32" s="147"/>
      <c r="R32" s="147"/>
      <c r="S32" s="147"/>
      <c r="T32" s="147"/>
      <c r="U32" s="147"/>
      <c r="V32" s="147"/>
      <c r="W32" s="147"/>
      <c r="X32" s="147"/>
      <c r="Y32" s="147"/>
      <c r="Z32" s="147"/>
    </row>
    <row r="33">
      <c r="A33" s="38" t="s">
        <v>228</v>
      </c>
      <c r="B33" s="39" t="s">
        <v>4773</v>
      </c>
      <c r="C33" s="39" t="s">
        <v>4909</v>
      </c>
      <c r="D33" s="39" t="s">
        <v>4910</v>
      </c>
      <c r="E33" s="39" t="s">
        <v>4911</v>
      </c>
      <c r="F33" s="39" t="s">
        <v>4871</v>
      </c>
      <c r="G33" s="39" t="s">
        <v>4872</v>
      </c>
      <c r="H33" s="39" t="s">
        <v>4873</v>
      </c>
      <c r="I33" s="148" t="s">
        <v>17</v>
      </c>
      <c r="J33" s="147"/>
      <c r="K33" s="147"/>
      <c r="L33" s="147"/>
      <c r="M33" s="147"/>
      <c r="N33" s="147"/>
      <c r="O33" s="147"/>
      <c r="P33" s="147"/>
      <c r="Q33" s="147"/>
      <c r="R33" s="147"/>
      <c r="S33" s="147"/>
      <c r="T33" s="147"/>
      <c r="U33" s="147"/>
      <c r="V33" s="147"/>
      <c r="W33" s="147"/>
      <c r="X33" s="147"/>
      <c r="Y33" s="147"/>
      <c r="Z33" s="147"/>
    </row>
    <row r="34">
      <c r="A34" s="38" t="s">
        <v>233</v>
      </c>
      <c r="B34" s="39" t="s">
        <v>4773</v>
      </c>
      <c r="C34" s="39" t="s">
        <v>4912</v>
      </c>
      <c r="D34" s="39" t="s">
        <v>4913</v>
      </c>
      <c r="E34" s="39" t="s">
        <v>4914</v>
      </c>
      <c r="F34" s="39" t="s">
        <v>4831</v>
      </c>
      <c r="G34" s="39" t="s">
        <v>4832</v>
      </c>
      <c r="H34" s="39" t="s">
        <v>4858</v>
      </c>
      <c r="I34" s="148" t="s">
        <v>17</v>
      </c>
      <c r="J34" s="147"/>
      <c r="K34" s="147"/>
      <c r="L34" s="147"/>
      <c r="M34" s="147"/>
      <c r="N34" s="147"/>
      <c r="O34" s="147"/>
      <c r="P34" s="147"/>
      <c r="Q34" s="147"/>
      <c r="R34" s="147"/>
      <c r="S34" s="147"/>
      <c r="T34" s="147"/>
      <c r="U34" s="147"/>
      <c r="V34" s="147"/>
      <c r="W34" s="147"/>
      <c r="X34" s="147"/>
      <c r="Y34" s="147"/>
      <c r="Z34" s="147"/>
    </row>
    <row r="35">
      <c r="A35" s="38" t="s">
        <v>237</v>
      </c>
      <c r="B35" s="39" t="s">
        <v>4773</v>
      </c>
      <c r="C35" s="39" t="s">
        <v>4915</v>
      </c>
      <c r="D35" s="39" t="s">
        <v>4916</v>
      </c>
      <c r="E35" s="39" t="s">
        <v>4864</v>
      </c>
      <c r="F35" s="39" t="s">
        <v>4852</v>
      </c>
      <c r="G35" s="39" t="s">
        <v>4853</v>
      </c>
      <c r="H35" s="39" t="s">
        <v>4917</v>
      </c>
      <c r="I35" s="148" t="s">
        <v>17</v>
      </c>
      <c r="J35" s="147"/>
      <c r="K35" s="147"/>
      <c r="L35" s="147"/>
      <c r="M35" s="147"/>
      <c r="N35" s="147"/>
      <c r="O35" s="147"/>
      <c r="P35" s="147"/>
      <c r="Q35" s="147"/>
      <c r="R35" s="147"/>
      <c r="S35" s="147"/>
      <c r="T35" s="147"/>
      <c r="U35" s="147"/>
      <c r="V35" s="147"/>
      <c r="W35" s="147"/>
      <c r="X35" s="147"/>
      <c r="Y35" s="147"/>
      <c r="Z35" s="147"/>
    </row>
    <row r="36">
      <c r="A36" s="38" t="s">
        <v>241</v>
      </c>
      <c r="B36" s="39" t="s">
        <v>4773</v>
      </c>
      <c r="C36" s="39" t="s">
        <v>4918</v>
      </c>
      <c r="D36" s="39" t="s">
        <v>4919</v>
      </c>
      <c r="E36" s="39" t="s">
        <v>4920</v>
      </c>
      <c r="F36" s="39" t="s">
        <v>4831</v>
      </c>
      <c r="G36" s="39" t="s">
        <v>4832</v>
      </c>
      <c r="H36" s="39" t="s">
        <v>4858</v>
      </c>
      <c r="I36" s="148" t="s">
        <v>17</v>
      </c>
      <c r="J36" s="147"/>
      <c r="K36" s="147"/>
      <c r="L36" s="147"/>
      <c r="M36" s="147"/>
      <c r="N36" s="147"/>
      <c r="O36" s="147"/>
      <c r="P36" s="147"/>
      <c r="Q36" s="147"/>
      <c r="R36" s="147"/>
      <c r="S36" s="147"/>
      <c r="T36" s="147"/>
      <c r="U36" s="147"/>
      <c r="V36" s="147"/>
      <c r="W36" s="147"/>
      <c r="X36" s="147"/>
      <c r="Y36" s="147"/>
      <c r="Z36" s="147"/>
    </row>
    <row r="37">
      <c r="A37" s="157" t="s">
        <v>245</v>
      </c>
      <c r="B37" s="158" t="s">
        <v>4773</v>
      </c>
      <c r="C37" s="158" t="s">
        <v>4921</v>
      </c>
      <c r="D37" s="158" t="s">
        <v>4922</v>
      </c>
      <c r="E37" s="158" t="s">
        <v>4864</v>
      </c>
      <c r="F37" s="158" t="s">
        <v>4852</v>
      </c>
      <c r="G37" s="158" t="s">
        <v>4853</v>
      </c>
      <c r="H37" s="158" t="s">
        <v>4885</v>
      </c>
      <c r="I37" s="159" t="s">
        <v>17</v>
      </c>
      <c r="J37" s="160"/>
      <c r="K37" s="160"/>
      <c r="L37" s="160"/>
      <c r="M37" s="160"/>
      <c r="N37" s="160"/>
      <c r="O37" s="160"/>
      <c r="P37" s="160"/>
      <c r="Q37" s="160"/>
      <c r="R37" s="160"/>
      <c r="S37" s="160"/>
      <c r="T37" s="160"/>
      <c r="U37" s="160"/>
      <c r="V37" s="160"/>
      <c r="W37" s="160"/>
      <c r="X37" s="160"/>
      <c r="Y37" s="160"/>
      <c r="Z37" s="160"/>
    </row>
    <row r="38">
      <c r="A38" s="38" t="s">
        <v>250</v>
      </c>
      <c r="B38" s="39" t="s">
        <v>4773</v>
      </c>
      <c r="C38" s="39" t="s">
        <v>4923</v>
      </c>
      <c r="D38" s="39" t="s">
        <v>4924</v>
      </c>
      <c r="E38" s="39" t="s">
        <v>4925</v>
      </c>
      <c r="F38" s="39" t="s">
        <v>4815</v>
      </c>
      <c r="G38" s="39" t="s">
        <v>4816</v>
      </c>
      <c r="H38" s="39" t="s">
        <v>4817</v>
      </c>
      <c r="I38" s="148" t="s">
        <v>17</v>
      </c>
      <c r="J38" s="147"/>
      <c r="K38" s="147"/>
      <c r="L38" s="147"/>
      <c r="M38" s="147"/>
      <c r="N38" s="147"/>
      <c r="O38" s="147"/>
      <c r="P38" s="147"/>
      <c r="Q38" s="147"/>
      <c r="R38" s="147"/>
      <c r="S38" s="147"/>
      <c r="T38" s="147"/>
      <c r="U38" s="147"/>
      <c r="V38" s="147"/>
      <c r="W38" s="147"/>
      <c r="X38" s="147"/>
      <c r="Y38" s="147"/>
      <c r="Z38" s="147"/>
    </row>
    <row r="39">
      <c r="A39" s="38" t="s">
        <v>254</v>
      </c>
      <c r="B39" s="39" t="s">
        <v>4773</v>
      </c>
      <c r="C39" s="39" t="s">
        <v>4926</v>
      </c>
      <c r="D39" s="39" t="s">
        <v>4927</v>
      </c>
      <c r="E39" s="39" t="s">
        <v>4928</v>
      </c>
      <c r="F39" s="39" t="s">
        <v>4815</v>
      </c>
      <c r="G39" s="39" t="s">
        <v>4821</v>
      </c>
      <c r="H39" s="39" t="s">
        <v>4822</v>
      </c>
      <c r="I39" s="148" t="s">
        <v>4805</v>
      </c>
      <c r="J39" s="147"/>
      <c r="K39" s="147"/>
      <c r="L39" s="147"/>
      <c r="M39" s="147"/>
      <c r="N39" s="147"/>
      <c r="O39" s="147"/>
      <c r="P39" s="147"/>
      <c r="Q39" s="147"/>
      <c r="R39" s="147"/>
      <c r="S39" s="147"/>
      <c r="T39" s="147"/>
      <c r="U39" s="147"/>
      <c r="V39" s="147"/>
      <c r="W39" s="147"/>
      <c r="X39" s="147"/>
      <c r="Y39" s="147"/>
      <c r="Z39" s="147"/>
    </row>
    <row r="40">
      <c r="A40" s="38" t="s">
        <v>258</v>
      </c>
      <c r="B40" s="39" t="s">
        <v>4773</v>
      </c>
      <c r="C40" s="39" t="s">
        <v>4823</v>
      </c>
      <c r="D40" s="39" t="s">
        <v>4929</v>
      </c>
      <c r="E40" s="39" t="s">
        <v>4930</v>
      </c>
      <c r="F40" s="39" t="s">
        <v>4815</v>
      </c>
      <c r="G40" s="39" t="s">
        <v>4826</v>
      </c>
      <c r="H40" s="152" t="s">
        <v>4827</v>
      </c>
      <c r="I40" s="148" t="s">
        <v>4805</v>
      </c>
      <c r="J40" s="147"/>
      <c r="K40" s="147"/>
      <c r="L40" s="147"/>
      <c r="M40" s="147"/>
      <c r="N40" s="147"/>
      <c r="O40" s="147"/>
      <c r="P40" s="147"/>
      <c r="Q40" s="147"/>
      <c r="R40" s="147"/>
      <c r="S40" s="147"/>
      <c r="T40" s="147"/>
      <c r="U40" s="147"/>
      <c r="V40" s="147"/>
      <c r="W40" s="147"/>
      <c r="X40" s="147"/>
      <c r="Y40" s="147"/>
      <c r="Z40" s="147"/>
    </row>
    <row r="41">
      <c r="A41" s="38" t="s">
        <v>263</v>
      </c>
      <c r="B41" s="39" t="s">
        <v>4773</v>
      </c>
      <c r="C41" s="39" t="s">
        <v>4931</v>
      </c>
      <c r="D41" s="39" t="s">
        <v>4932</v>
      </c>
      <c r="E41" s="39" t="s">
        <v>4933</v>
      </c>
      <c r="F41" s="39" t="s">
        <v>4831</v>
      </c>
      <c r="G41" s="39" t="s">
        <v>4832</v>
      </c>
      <c r="H41" s="39" t="s">
        <v>4934</v>
      </c>
      <c r="I41" s="148" t="s">
        <v>4805</v>
      </c>
      <c r="J41" s="147"/>
      <c r="K41" s="147"/>
      <c r="L41" s="147"/>
      <c r="M41" s="147"/>
      <c r="N41" s="147"/>
      <c r="O41" s="147"/>
      <c r="P41" s="147"/>
      <c r="Q41" s="147"/>
      <c r="R41" s="147"/>
      <c r="S41" s="147"/>
      <c r="T41" s="147"/>
      <c r="U41" s="147"/>
      <c r="V41" s="147"/>
      <c r="W41" s="147"/>
      <c r="X41" s="147"/>
      <c r="Y41" s="147"/>
      <c r="Z41" s="147"/>
    </row>
    <row r="42">
      <c r="A42" s="38" t="s">
        <v>268</v>
      </c>
      <c r="B42" s="39" t="s">
        <v>4773</v>
      </c>
      <c r="C42" s="39" t="s">
        <v>4935</v>
      </c>
      <c r="D42" s="39" t="s">
        <v>4936</v>
      </c>
      <c r="E42" s="39" t="s">
        <v>4937</v>
      </c>
      <c r="F42" s="39" t="s">
        <v>4831</v>
      </c>
      <c r="G42" s="39" t="s">
        <v>4832</v>
      </c>
      <c r="H42" s="39" t="s">
        <v>4938</v>
      </c>
      <c r="I42" s="148" t="s">
        <v>4805</v>
      </c>
      <c r="J42" s="147"/>
      <c r="K42" s="147"/>
      <c r="L42" s="147"/>
      <c r="M42" s="147"/>
      <c r="N42" s="147"/>
      <c r="O42" s="147"/>
      <c r="P42" s="147"/>
      <c r="Q42" s="147"/>
      <c r="R42" s="147"/>
      <c r="S42" s="147"/>
      <c r="T42" s="147"/>
      <c r="U42" s="147"/>
      <c r="V42" s="147"/>
      <c r="W42" s="147"/>
      <c r="X42" s="147"/>
      <c r="Y42" s="147"/>
      <c r="Z42" s="147"/>
    </row>
    <row r="43">
      <c r="A43" s="38" t="s">
        <v>271</v>
      </c>
      <c r="B43" s="39" t="s">
        <v>4773</v>
      </c>
      <c r="C43" s="39" t="s">
        <v>4844</v>
      </c>
      <c r="D43" s="39" t="s">
        <v>4939</v>
      </c>
      <c r="E43" s="39" t="s">
        <v>4940</v>
      </c>
      <c r="F43" s="39" t="s">
        <v>4831</v>
      </c>
      <c r="G43" s="39" t="s">
        <v>4847</v>
      </c>
      <c r="H43" s="39" t="s">
        <v>4941</v>
      </c>
      <c r="I43" s="148" t="s">
        <v>4805</v>
      </c>
      <c r="J43" s="147"/>
      <c r="K43" s="147"/>
      <c r="L43" s="147"/>
      <c r="M43" s="147"/>
      <c r="N43" s="147"/>
      <c r="O43" s="147"/>
      <c r="P43" s="147"/>
      <c r="Q43" s="147"/>
      <c r="R43" s="147"/>
      <c r="S43" s="147"/>
      <c r="T43" s="147"/>
      <c r="U43" s="147"/>
      <c r="V43" s="147"/>
      <c r="W43" s="147"/>
      <c r="X43" s="147"/>
      <c r="Y43" s="147"/>
      <c r="Z43" s="147"/>
    </row>
    <row r="44">
      <c r="A44" s="38" t="s">
        <v>274</v>
      </c>
      <c r="B44" s="39" t="s">
        <v>4773</v>
      </c>
      <c r="C44" s="39" t="s">
        <v>4849</v>
      </c>
      <c r="D44" s="39" t="s">
        <v>4942</v>
      </c>
      <c r="E44" s="39" t="s">
        <v>4851</v>
      </c>
      <c r="F44" s="39" t="s">
        <v>4852</v>
      </c>
      <c r="G44" s="39" t="s">
        <v>4853</v>
      </c>
      <c r="H44" s="39" t="s">
        <v>4943</v>
      </c>
      <c r="I44" s="148" t="s">
        <v>4805</v>
      </c>
      <c r="J44" s="147"/>
      <c r="K44" s="147"/>
      <c r="L44" s="147"/>
      <c r="M44" s="147"/>
      <c r="N44" s="147"/>
      <c r="O44" s="147"/>
      <c r="P44" s="147"/>
      <c r="Q44" s="147"/>
      <c r="R44" s="147"/>
      <c r="S44" s="147"/>
      <c r="T44" s="147"/>
      <c r="U44" s="147"/>
      <c r="V44" s="147"/>
      <c r="W44" s="147"/>
      <c r="X44" s="147"/>
      <c r="Y44" s="147"/>
      <c r="Z44" s="147"/>
    </row>
    <row r="45">
      <c r="A45" s="38" t="s">
        <v>405</v>
      </c>
      <c r="B45" s="39" t="s">
        <v>4773</v>
      </c>
      <c r="C45" s="39" t="s">
        <v>4944</v>
      </c>
      <c r="D45" s="39" t="s">
        <v>4945</v>
      </c>
      <c r="E45" s="39" t="s">
        <v>4946</v>
      </c>
      <c r="F45" s="39" t="s">
        <v>4831</v>
      </c>
      <c r="G45" s="39" t="s">
        <v>4832</v>
      </c>
      <c r="H45" s="39" t="s">
        <v>4858</v>
      </c>
      <c r="I45" s="148" t="s">
        <v>4805</v>
      </c>
      <c r="J45" s="147"/>
      <c r="K45" s="147"/>
      <c r="L45" s="147"/>
      <c r="M45" s="147"/>
      <c r="N45" s="147"/>
      <c r="O45" s="147"/>
      <c r="P45" s="147"/>
      <c r="Q45" s="147"/>
      <c r="R45" s="147"/>
      <c r="S45" s="147"/>
      <c r="T45" s="147"/>
      <c r="U45" s="147"/>
      <c r="V45" s="147"/>
      <c r="W45" s="147"/>
      <c r="X45" s="147"/>
      <c r="Y45" s="147"/>
      <c r="Z45" s="147"/>
    </row>
    <row r="46">
      <c r="A46" s="38" t="s">
        <v>408</v>
      </c>
      <c r="B46" s="39" t="s">
        <v>4773</v>
      </c>
      <c r="C46" s="39" t="s">
        <v>4859</v>
      </c>
      <c r="D46" s="39" t="s">
        <v>4947</v>
      </c>
      <c r="E46" s="39" t="s">
        <v>4851</v>
      </c>
      <c r="F46" s="39" t="s">
        <v>4852</v>
      </c>
      <c r="G46" s="39" t="s">
        <v>4853</v>
      </c>
      <c r="H46" s="39" t="s">
        <v>4861</v>
      </c>
      <c r="I46" s="148" t="s">
        <v>4805</v>
      </c>
      <c r="J46" s="147"/>
      <c r="K46" s="147"/>
      <c r="L46" s="147"/>
      <c r="M46" s="147"/>
      <c r="N46" s="147"/>
      <c r="O46" s="147"/>
      <c r="P46" s="147"/>
      <c r="Q46" s="147"/>
      <c r="R46" s="147"/>
      <c r="S46" s="147"/>
      <c r="T46" s="147"/>
      <c r="U46" s="147"/>
      <c r="V46" s="147"/>
      <c r="W46" s="147"/>
      <c r="X46" s="147"/>
      <c r="Y46" s="147"/>
      <c r="Z46" s="147"/>
    </row>
    <row r="47">
      <c r="A47" s="38" t="s">
        <v>629</v>
      </c>
      <c r="B47" s="39" t="s">
        <v>4773</v>
      </c>
      <c r="C47" s="39" t="s">
        <v>4948</v>
      </c>
      <c r="D47" s="39" t="s">
        <v>4949</v>
      </c>
      <c r="E47" s="39" t="s">
        <v>4864</v>
      </c>
      <c r="F47" s="39" t="s">
        <v>4950</v>
      </c>
      <c r="G47" s="39" t="s">
        <v>4866</v>
      </c>
      <c r="H47" s="39" t="s">
        <v>4951</v>
      </c>
      <c r="I47" s="148" t="s">
        <v>4805</v>
      </c>
      <c r="J47" s="147"/>
      <c r="K47" s="147"/>
      <c r="L47" s="147"/>
      <c r="M47" s="147"/>
      <c r="N47" s="147"/>
      <c r="O47" s="147"/>
      <c r="P47" s="147"/>
      <c r="Q47" s="147"/>
      <c r="R47" s="147"/>
      <c r="S47" s="147"/>
      <c r="T47" s="147"/>
      <c r="U47" s="147"/>
      <c r="V47" s="147"/>
      <c r="W47" s="147"/>
      <c r="X47" s="147"/>
      <c r="Y47" s="147"/>
      <c r="Z47" s="147"/>
    </row>
    <row r="48">
      <c r="A48" s="38" t="s">
        <v>633</v>
      </c>
      <c r="B48" s="39" t="s">
        <v>4773</v>
      </c>
      <c r="C48" s="39" t="s">
        <v>4952</v>
      </c>
      <c r="D48" s="39" t="s">
        <v>4953</v>
      </c>
      <c r="E48" s="39" t="s">
        <v>4954</v>
      </c>
      <c r="F48" s="39" t="s">
        <v>4871</v>
      </c>
      <c r="G48" s="39" t="s">
        <v>4872</v>
      </c>
      <c r="H48" s="39" t="s">
        <v>4873</v>
      </c>
      <c r="I48" s="148" t="s">
        <v>4805</v>
      </c>
      <c r="J48" s="147"/>
      <c r="K48" s="147"/>
      <c r="L48" s="147"/>
      <c r="M48" s="147"/>
      <c r="N48" s="147"/>
      <c r="O48" s="147"/>
      <c r="P48" s="147"/>
      <c r="Q48" s="147"/>
      <c r="R48" s="147"/>
      <c r="S48" s="147"/>
      <c r="T48" s="147"/>
      <c r="U48" s="147"/>
      <c r="V48" s="147"/>
      <c r="W48" s="147"/>
      <c r="X48" s="147"/>
      <c r="Y48" s="147"/>
      <c r="Z48" s="147"/>
    </row>
    <row r="49">
      <c r="A49" s="38" t="s">
        <v>637</v>
      </c>
      <c r="B49" s="39" t="s">
        <v>4773</v>
      </c>
      <c r="C49" s="39" t="s">
        <v>4955</v>
      </c>
      <c r="D49" s="39" t="s">
        <v>4956</v>
      </c>
      <c r="E49" s="39" t="s">
        <v>4957</v>
      </c>
      <c r="F49" s="39" t="s">
        <v>4831</v>
      </c>
      <c r="G49" s="39" t="s">
        <v>4832</v>
      </c>
      <c r="H49" s="39" t="s">
        <v>4858</v>
      </c>
      <c r="I49" s="148" t="s">
        <v>4805</v>
      </c>
      <c r="J49" s="147"/>
      <c r="K49" s="147"/>
      <c r="L49" s="147"/>
      <c r="M49" s="147"/>
      <c r="N49" s="147"/>
      <c r="O49" s="147"/>
      <c r="P49" s="147"/>
      <c r="Q49" s="147"/>
      <c r="R49" s="147"/>
      <c r="S49" s="147"/>
      <c r="T49" s="147"/>
      <c r="U49" s="147"/>
      <c r="V49" s="147"/>
      <c r="W49" s="147"/>
      <c r="X49" s="147"/>
      <c r="Y49" s="147"/>
      <c r="Z49" s="147"/>
    </row>
    <row r="50">
      <c r="A50" s="38" t="s">
        <v>641</v>
      </c>
      <c r="B50" s="39" t="s">
        <v>4773</v>
      </c>
      <c r="C50" s="39" t="s">
        <v>4958</v>
      </c>
      <c r="D50" s="39" t="s">
        <v>4959</v>
      </c>
      <c r="E50" s="39" t="s">
        <v>4864</v>
      </c>
      <c r="F50" s="39" t="s">
        <v>4852</v>
      </c>
      <c r="G50" s="39" t="s">
        <v>4853</v>
      </c>
      <c r="H50" s="39" t="s">
        <v>4960</v>
      </c>
      <c r="I50" s="148" t="s">
        <v>4805</v>
      </c>
      <c r="J50" s="147"/>
      <c r="K50" s="147"/>
      <c r="L50" s="147"/>
      <c r="M50" s="147"/>
      <c r="N50" s="147"/>
      <c r="O50" s="147"/>
      <c r="P50" s="147"/>
      <c r="Q50" s="147"/>
      <c r="R50" s="147"/>
      <c r="S50" s="147"/>
      <c r="T50" s="147"/>
      <c r="U50" s="147"/>
      <c r="V50" s="147"/>
      <c r="W50" s="147"/>
      <c r="X50" s="147"/>
      <c r="Y50" s="147"/>
      <c r="Z50" s="147"/>
    </row>
    <row r="51">
      <c r="A51" s="38" t="s">
        <v>644</v>
      </c>
      <c r="B51" s="39" t="s">
        <v>4773</v>
      </c>
      <c r="C51" s="39" t="s">
        <v>4961</v>
      </c>
      <c r="D51" s="39" t="s">
        <v>4962</v>
      </c>
      <c r="E51" s="39" t="s">
        <v>4963</v>
      </c>
      <c r="F51" s="39" t="s">
        <v>4831</v>
      </c>
      <c r="G51" s="39" t="s">
        <v>4832</v>
      </c>
      <c r="H51" s="39" t="s">
        <v>4858</v>
      </c>
      <c r="I51" s="148" t="s">
        <v>4805</v>
      </c>
      <c r="J51" s="147"/>
      <c r="K51" s="147"/>
      <c r="L51" s="147"/>
      <c r="M51" s="147"/>
      <c r="N51" s="147"/>
      <c r="O51" s="147"/>
      <c r="P51" s="147"/>
      <c r="Q51" s="147"/>
      <c r="R51" s="147"/>
      <c r="S51" s="147"/>
      <c r="T51" s="147"/>
      <c r="U51" s="147"/>
      <c r="V51" s="147"/>
      <c r="W51" s="147"/>
      <c r="X51" s="147"/>
      <c r="Y51" s="147"/>
      <c r="Z51" s="147"/>
    </row>
    <row r="52">
      <c r="A52" s="38" t="s">
        <v>647</v>
      </c>
      <c r="B52" s="39" t="s">
        <v>4773</v>
      </c>
      <c r="C52" s="39" t="s">
        <v>4964</v>
      </c>
      <c r="D52" s="39" t="s">
        <v>4965</v>
      </c>
      <c r="E52" s="39" t="s">
        <v>4864</v>
      </c>
      <c r="F52" s="39" t="s">
        <v>4852</v>
      </c>
      <c r="G52" s="39" t="s">
        <v>4853</v>
      </c>
      <c r="H52" s="39" t="s">
        <v>4885</v>
      </c>
      <c r="I52" s="148" t="s">
        <v>4805</v>
      </c>
      <c r="J52" s="147"/>
      <c r="K52" s="147"/>
      <c r="L52" s="147"/>
      <c r="M52" s="147"/>
      <c r="N52" s="147"/>
      <c r="O52" s="147"/>
      <c r="P52" s="147"/>
      <c r="Q52" s="147"/>
      <c r="R52" s="147"/>
      <c r="S52" s="147"/>
      <c r="T52" s="147"/>
      <c r="U52" s="147"/>
      <c r="V52" s="147"/>
      <c r="W52" s="147"/>
      <c r="X52" s="147"/>
      <c r="Y52" s="147"/>
      <c r="Z52" s="147"/>
    </row>
    <row r="53">
      <c r="A53" s="38" t="s">
        <v>650</v>
      </c>
      <c r="B53" s="39" t="s">
        <v>4773</v>
      </c>
      <c r="C53" s="39" t="s">
        <v>4966</v>
      </c>
      <c r="D53" s="39" t="s">
        <v>4967</v>
      </c>
      <c r="E53" s="39" t="s">
        <v>4968</v>
      </c>
      <c r="F53" s="39" t="s">
        <v>4815</v>
      </c>
      <c r="G53" s="39" t="s">
        <v>4816</v>
      </c>
      <c r="H53" s="39" t="s">
        <v>4817</v>
      </c>
      <c r="I53" s="148" t="s">
        <v>4805</v>
      </c>
      <c r="J53" s="147"/>
      <c r="K53" s="147"/>
      <c r="L53" s="147"/>
      <c r="M53" s="147"/>
      <c r="N53" s="147"/>
      <c r="O53" s="147"/>
      <c r="P53" s="147"/>
      <c r="Q53" s="147"/>
      <c r="R53" s="147"/>
      <c r="S53" s="147"/>
      <c r="T53" s="147"/>
      <c r="U53" s="147"/>
      <c r="V53" s="147"/>
      <c r="W53" s="147"/>
      <c r="X53" s="147"/>
      <c r="Y53" s="147"/>
      <c r="Z53" s="147"/>
    </row>
    <row r="54">
      <c r="A54" s="38" t="s">
        <v>654</v>
      </c>
      <c r="B54" s="39" t="s">
        <v>4773</v>
      </c>
      <c r="C54" s="39" t="s">
        <v>4969</v>
      </c>
      <c r="D54" s="39" t="s">
        <v>4970</v>
      </c>
      <c r="E54" s="39" t="s">
        <v>4971</v>
      </c>
      <c r="F54" s="39" t="s">
        <v>4815</v>
      </c>
      <c r="G54" s="39" t="s">
        <v>4821</v>
      </c>
      <c r="H54" s="39" t="s">
        <v>4822</v>
      </c>
      <c r="I54" s="148" t="s">
        <v>4805</v>
      </c>
      <c r="J54" s="147"/>
      <c r="K54" s="147"/>
      <c r="L54" s="147"/>
      <c r="M54" s="147"/>
      <c r="N54" s="147"/>
      <c r="O54" s="147"/>
      <c r="P54" s="147"/>
      <c r="Q54" s="147"/>
      <c r="R54" s="147"/>
      <c r="S54" s="147"/>
      <c r="T54" s="147"/>
      <c r="U54" s="147"/>
      <c r="V54" s="147"/>
      <c r="W54" s="147"/>
      <c r="X54" s="147"/>
      <c r="Y54" s="147"/>
      <c r="Z54" s="147"/>
    </row>
    <row r="55">
      <c r="A55" s="38" t="s">
        <v>657</v>
      </c>
      <c r="B55" s="39" t="s">
        <v>4773</v>
      </c>
      <c r="C55" s="39" t="s">
        <v>4972</v>
      </c>
      <c r="D55" s="39" t="s">
        <v>4973</v>
      </c>
      <c r="E55" s="39" t="s">
        <v>4974</v>
      </c>
      <c r="F55" s="39" t="s">
        <v>4815</v>
      </c>
      <c r="G55" s="39" t="s">
        <v>4826</v>
      </c>
      <c r="H55" s="152" t="s">
        <v>4827</v>
      </c>
      <c r="I55" s="148" t="s">
        <v>4805</v>
      </c>
      <c r="J55" s="147"/>
      <c r="K55" s="147"/>
      <c r="L55" s="147"/>
      <c r="M55" s="147"/>
      <c r="N55" s="147"/>
      <c r="O55" s="147"/>
      <c r="P55" s="147"/>
      <c r="Q55" s="147"/>
      <c r="R55" s="147"/>
      <c r="S55" s="147"/>
      <c r="T55" s="147"/>
      <c r="U55" s="147"/>
      <c r="V55" s="147"/>
      <c r="W55" s="147"/>
      <c r="X55" s="147"/>
      <c r="Y55" s="147"/>
      <c r="Z55" s="147"/>
    </row>
    <row r="56">
      <c r="A56" s="38" t="s">
        <v>660</v>
      </c>
      <c r="B56" s="39" t="s">
        <v>4773</v>
      </c>
      <c r="C56" s="39" t="s">
        <v>4975</v>
      </c>
      <c r="D56" s="39" t="s">
        <v>4976</v>
      </c>
      <c r="E56" s="39" t="s">
        <v>4977</v>
      </c>
      <c r="F56" s="39" t="s">
        <v>4831</v>
      </c>
      <c r="G56" s="39" t="s">
        <v>4832</v>
      </c>
      <c r="H56" s="39" t="s">
        <v>4978</v>
      </c>
      <c r="I56" s="148" t="s">
        <v>4805</v>
      </c>
      <c r="J56" s="147"/>
      <c r="K56" s="147"/>
      <c r="L56" s="147"/>
      <c r="M56" s="147"/>
      <c r="N56" s="147"/>
      <c r="O56" s="147"/>
      <c r="P56" s="147"/>
      <c r="Q56" s="147"/>
      <c r="R56" s="147"/>
      <c r="S56" s="147"/>
      <c r="T56" s="147"/>
      <c r="U56" s="147"/>
      <c r="V56" s="147"/>
      <c r="W56" s="147"/>
      <c r="X56" s="147"/>
      <c r="Y56" s="147"/>
      <c r="Z56" s="147"/>
    </row>
    <row r="57">
      <c r="A57" s="38" t="s">
        <v>664</v>
      </c>
      <c r="B57" s="39" t="s">
        <v>4773</v>
      </c>
      <c r="C57" s="39" t="s">
        <v>4979</v>
      </c>
      <c r="D57" s="39" t="s">
        <v>4980</v>
      </c>
      <c r="E57" s="39" t="s">
        <v>4981</v>
      </c>
      <c r="F57" s="39" t="s">
        <v>4831</v>
      </c>
      <c r="G57" s="39" t="s">
        <v>4832</v>
      </c>
      <c r="H57" s="39" t="s">
        <v>4982</v>
      </c>
      <c r="I57" s="148" t="s">
        <v>4805</v>
      </c>
      <c r="J57" s="147"/>
      <c r="K57" s="147"/>
      <c r="L57" s="147"/>
      <c r="M57" s="147"/>
      <c r="N57" s="147"/>
      <c r="O57" s="147"/>
      <c r="P57" s="147"/>
      <c r="Q57" s="147"/>
      <c r="R57" s="147"/>
      <c r="S57" s="147"/>
      <c r="T57" s="147"/>
      <c r="U57" s="147"/>
      <c r="V57" s="147"/>
      <c r="W57" s="147"/>
      <c r="X57" s="147"/>
      <c r="Y57" s="147"/>
      <c r="Z57" s="147"/>
    </row>
    <row r="58">
      <c r="A58" s="38" t="s">
        <v>668</v>
      </c>
      <c r="B58" s="39" t="s">
        <v>4773</v>
      </c>
      <c r="C58" s="39" t="s">
        <v>4983</v>
      </c>
      <c r="D58" s="39" t="s">
        <v>4984</v>
      </c>
      <c r="E58" s="39" t="s">
        <v>4985</v>
      </c>
      <c r="F58" s="39" t="s">
        <v>4831</v>
      </c>
      <c r="G58" s="39" t="s">
        <v>4847</v>
      </c>
      <c r="H58" s="39" t="s">
        <v>4986</v>
      </c>
      <c r="I58" s="148" t="s">
        <v>4805</v>
      </c>
      <c r="J58" s="147"/>
      <c r="K58" s="147"/>
      <c r="L58" s="147"/>
      <c r="M58" s="147"/>
      <c r="N58" s="147"/>
      <c r="O58" s="147"/>
      <c r="P58" s="147"/>
      <c r="Q58" s="147"/>
      <c r="R58" s="147"/>
      <c r="S58" s="147"/>
      <c r="T58" s="147"/>
      <c r="U58" s="147"/>
      <c r="V58" s="147"/>
      <c r="W58" s="147"/>
      <c r="X58" s="147"/>
      <c r="Y58" s="147"/>
      <c r="Z58" s="147"/>
    </row>
    <row r="59">
      <c r="A59" s="38" t="s">
        <v>672</v>
      </c>
      <c r="B59" s="39" t="s">
        <v>4773</v>
      </c>
      <c r="C59" s="39" t="s">
        <v>4987</v>
      </c>
      <c r="D59" s="39" t="s">
        <v>4988</v>
      </c>
      <c r="E59" s="39" t="s">
        <v>4851</v>
      </c>
      <c r="F59" s="39" t="s">
        <v>4852</v>
      </c>
      <c r="G59" s="39" t="s">
        <v>4853</v>
      </c>
      <c r="H59" s="39" t="s">
        <v>4989</v>
      </c>
      <c r="I59" s="148" t="s">
        <v>4805</v>
      </c>
      <c r="J59" s="147"/>
      <c r="K59" s="147"/>
      <c r="L59" s="147"/>
      <c r="M59" s="147"/>
      <c r="N59" s="147"/>
      <c r="O59" s="147"/>
      <c r="P59" s="147"/>
      <c r="Q59" s="147"/>
      <c r="R59" s="147"/>
      <c r="S59" s="147"/>
      <c r="T59" s="147"/>
      <c r="U59" s="147"/>
      <c r="V59" s="147"/>
      <c r="W59" s="147"/>
      <c r="X59" s="147"/>
      <c r="Y59" s="147"/>
      <c r="Z59" s="147"/>
    </row>
    <row r="60">
      <c r="A60" s="38" t="s">
        <v>676</v>
      </c>
      <c r="B60" s="39" t="s">
        <v>4773</v>
      </c>
      <c r="C60" s="39" t="s">
        <v>4990</v>
      </c>
      <c r="D60" s="39" t="s">
        <v>4991</v>
      </c>
      <c r="E60" s="39" t="s">
        <v>4992</v>
      </c>
      <c r="F60" s="39" t="s">
        <v>4831</v>
      </c>
      <c r="G60" s="39" t="s">
        <v>4832</v>
      </c>
      <c r="H60" s="39" t="s">
        <v>4858</v>
      </c>
      <c r="I60" s="148" t="s">
        <v>4805</v>
      </c>
      <c r="J60" s="147"/>
      <c r="K60" s="147"/>
      <c r="L60" s="147"/>
      <c r="M60" s="147"/>
      <c r="N60" s="147"/>
      <c r="O60" s="147"/>
      <c r="P60" s="147"/>
      <c r="Q60" s="147"/>
      <c r="R60" s="147"/>
      <c r="S60" s="147"/>
      <c r="T60" s="147"/>
      <c r="U60" s="147"/>
      <c r="V60" s="147"/>
      <c r="W60" s="147"/>
      <c r="X60" s="147"/>
      <c r="Y60" s="147"/>
      <c r="Z60" s="147"/>
    </row>
    <row r="61">
      <c r="A61" s="38" t="s">
        <v>681</v>
      </c>
      <c r="B61" s="39" t="s">
        <v>4773</v>
      </c>
      <c r="C61" s="39" t="s">
        <v>4993</v>
      </c>
      <c r="D61" s="39" t="s">
        <v>4994</v>
      </c>
      <c r="E61" s="39" t="s">
        <v>4851</v>
      </c>
      <c r="F61" s="39" t="s">
        <v>4852</v>
      </c>
      <c r="G61" s="39" t="s">
        <v>4853</v>
      </c>
      <c r="H61" s="39" t="s">
        <v>4861</v>
      </c>
      <c r="I61" s="148" t="s">
        <v>4805</v>
      </c>
      <c r="J61" s="147"/>
      <c r="K61" s="147"/>
      <c r="L61" s="147"/>
      <c r="M61" s="147"/>
      <c r="N61" s="147"/>
      <c r="O61" s="147"/>
      <c r="P61" s="147"/>
      <c r="Q61" s="147"/>
      <c r="R61" s="147"/>
      <c r="S61" s="147"/>
      <c r="T61" s="147"/>
      <c r="U61" s="147"/>
      <c r="V61" s="147"/>
      <c r="W61" s="147"/>
      <c r="X61" s="147"/>
      <c r="Y61" s="147"/>
      <c r="Z61" s="147"/>
    </row>
    <row r="62">
      <c r="A62" s="38" t="s">
        <v>686</v>
      </c>
      <c r="B62" s="39" t="s">
        <v>4773</v>
      </c>
      <c r="C62" s="39" t="s">
        <v>4995</v>
      </c>
      <c r="D62" s="39" t="s">
        <v>4996</v>
      </c>
      <c r="E62" s="39" t="s">
        <v>4864</v>
      </c>
      <c r="F62" s="39" t="s">
        <v>4997</v>
      </c>
      <c r="G62" s="39" t="s">
        <v>4866</v>
      </c>
      <c r="H62" s="39" t="s">
        <v>4998</v>
      </c>
      <c r="I62" s="148" t="s">
        <v>4805</v>
      </c>
      <c r="J62" s="147"/>
      <c r="K62" s="147"/>
      <c r="L62" s="147"/>
      <c r="M62" s="147"/>
      <c r="N62" s="147"/>
      <c r="O62" s="147"/>
      <c r="P62" s="147"/>
      <c r="Q62" s="147"/>
      <c r="R62" s="147"/>
      <c r="S62" s="147"/>
      <c r="T62" s="147"/>
      <c r="U62" s="147"/>
      <c r="V62" s="147"/>
      <c r="W62" s="147"/>
      <c r="X62" s="147"/>
      <c r="Y62" s="147"/>
      <c r="Z62" s="147"/>
    </row>
    <row r="63">
      <c r="A63" s="38" t="s">
        <v>690</v>
      </c>
      <c r="B63" s="39" t="s">
        <v>4773</v>
      </c>
      <c r="C63" s="39" t="s">
        <v>4999</v>
      </c>
      <c r="D63" s="39" t="s">
        <v>5000</v>
      </c>
      <c r="E63" s="39" t="s">
        <v>5001</v>
      </c>
      <c r="F63" s="39" t="s">
        <v>4871</v>
      </c>
      <c r="G63" s="39" t="s">
        <v>4872</v>
      </c>
      <c r="H63" s="39" t="s">
        <v>4873</v>
      </c>
      <c r="I63" s="148" t="s">
        <v>4805</v>
      </c>
      <c r="J63" s="147"/>
      <c r="K63" s="147"/>
      <c r="L63" s="147"/>
      <c r="M63" s="147"/>
      <c r="N63" s="147"/>
      <c r="O63" s="147"/>
      <c r="P63" s="147"/>
      <c r="Q63" s="147"/>
      <c r="R63" s="147"/>
      <c r="S63" s="147"/>
      <c r="T63" s="147"/>
      <c r="U63" s="147"/>
      <c r="V63" s="147"/>
      <c r="W63" s="147"/>
      <c r="X63" s="147"/>
      <c r="Y63" s="147"/>
      <c r="Z63" s="147"/>
    </row>
    <row r="64">
      <c r="A64" s="38" t="s">
        <v>693</v>
      </c>
      <c r="B64" s="39" t="s">
        <v>4773</v>
      </c>
      <c r="C64" s="39" t="s">
        <v>5002</v>
      </c>
      <c r="D64" s="39" t="s">
        <v>5003</v>
      </c>
      <c r="E64" s="39" t="s">
        <v>5004</v>
      </c>
      <c r="F64" s="39" t="s">
        <v>4831</v>
      </c>
      <c r="G64" s="39" t="s">
        <v>4832</v>
      </c>
      <c r="H64" s="39" t="s">
        <v>4858</v>
      </c>
      <c r="I64" s="148" t="s">
        <v>4805</v>
      </c>
      <c r="J64" s="147"/>
      <c r="K64" s="147"/>
      <c r="L64" s="147"/>
      <c r="M64" s="147"/>
      <c r="N64" s="147"/>
      <c r="O64" s="147"/>
      <c r="P64" s="147"/>
      <c r="Q64" s="147"/>
      <c r="R64" s="147"/>
      <c r="S64" s="147"/>
      <c r="T64" s="147"/>
      <c r="U64" s="147"/>
      <c r="V64" s="147"/>
      <c r="W64" s="147"/>
      <c r="X64" s="147"/>
      <c r="Y64" s="147"/>
      <c r="Z64" s="147"/>
    </row>
    <row r="65">
      <c r="A65" s="38" t="s">
        <v>696</v>
      </c>
      <c r="B65" s="39" t="s">
        <v>4773</v>
      </c>
      <c r="C65" s="39" t="s">
        <v>5005</v>
      </c>
      <c r="D65" s="39" t="s">
        <v>5006</v>
      </c>
      <c r="E65" s="39" t="s">
        <v>4864</v>
      </c>
      <c r="F65" s="39" t="s">
        <v>4852</v>
      </c>
      <c r="G65" s="39" t="s">
        <v>4853</v>
      </c>
      <c r="H65" s="39" t="s">
        <v>5007</v>
      </c>
      <c r="I65" s="148" t="s">
        <v>4805</v>
      </c>
      <c r="J65" s="147"/>
      <c r="K65" s="147"/>
      <c r="L65" s="147"/>
      <c r="M65" s="147"/>
      <c r="N65" s="147"/>
      <c r="O65" s="147"/>
      <c r="P65" s="147"/>
      <c r="Q65" s="147"/>
      <c r="R65" s="147"/>
      <c r="S65" s="147"/>
      <c r="T65" s="147"/>
      <c r="U65" s="147"/>
      <c r="V65" s="147"/>
      <c r="W65" s="147"/>
      <c r="X65" s="147"/>
      <c r="Y65" s="147"/>
      <c r="Z65" s="147"/>
    </row>
    <row r="66">
      <c r="A66" s="38" t="s">
        <v>700</v>
      </c>
      <c r="B66" s="39" t="s">
        <v>4773</v>
      </c>
      <c r="C66" s="39" t="s">
        <v>5008</v>
      </c>
      <c r="D66" s="39" t="s">
        <v>5009</v>
      </c>
      <c r="E66" s="39" t="s">
        <v>5010</v>
      </c>
      <c r="F66" s="39" t="s">
        <v>4831</v>
      </c>
      <c r="G66" s="39" t="s">
        <v>4832</v>
      </c>
      <c r="H66" s="39" t="s">
        <v>4858</v>
      </c>
      <c r="I66" s="148" t="s">
        <v>4805</v>
      </c>
      <c r="J66" s="147"/>
      <c r="K66" s="147"/>
      <c r="L66" s="147"/>
      <c r="M66" s="147"/>
      <c r="N66" s="147"/>
      <c r="O66" s="147"/>
      <c r="P66" s="147"/>
      <c r="Q66" s="147"/>
      <c r="R66" s="147"/>
      <c r="S66" s="147"/>
      <c r="T66" s="147"/>
      <c r="U66" s="147"/>
      <c r="V66" s="147"/>
      <c r="W66" s="147"/>
      <c r="X66" s="147"/>
      <c r="Y66" s="147"/>
      <c r="Z66" s="147"/>
    </row>
    <row r="67">
      <c r="A67" s="38" t="s">
        <v>704</v>
      </c>
      <c r="B67" s="39" t="s">
        <v>4773</v>
      </c>
      <c r="C67" s="39" t="s">
        <v>5011</v>
      </c>
      <c r="D67" s="39" t="s">
        <v>5012</v>
      </c>
      <c r="E67" s="39" t="s">
        <v>4864</v>
      </c>
      <c r="F67" s="39" t="s">
        <v>4852</v>
      </c>
      <c r="G67" s="39" t="s">
        <v>4853</v>
      </c>
      <c r="H67" s="39" t="s">
        <v>4885</v>
      </c>
      <c r="I67" s="148" t="s">
        <v>4805</v>
      </c>
      <c r="J67" s="147"/>
      <c r="K67" s="147"/>
      <c r="L67" s="147"/>
      <c r="M67" s="147"/>
      <c r="N67" s="147"/>
      <c r="O67" s="147"/>
      <c r="P67" s="147"/>
      <c r="Q67" s="147"/>
      <c r="R67" s="147"/>
      <c r="S67" s="147"/>
      <c r="T67" s="147"/>
      <c r="U67" s="147"/>
      <c r="V67" s="147"/>
      <c r="W67" s="147"/>
      <c r="X67" s="147"/>
      <c r="Y67" s="147"/>
      <c r="Z67" s="147"/>
    </row>
    <row r="68">
      <c r="A68" s="161" t="s">
        <v>708</v>
      </c>
      <c r="B68" s="162" t="s">
        <v>4773</v>
      </c>
      <c r="C68" s="162" t="s">
        <v>5013</v>
      </c>
      <c r="D68" s="162" t="s">
        <v>5014</v>
      </c>
      <c r="E68" s="162" t="s">
        <v>5015</v>
      </c>
      <c r="F68" s="162" t="s">
        <v>4831</v>
      </c>
      <c r="G68" s="162" t="s">
        <v>4847</v>
      </c>
      <c r="H68" s="162" t="s">
        <v>5016</v>
      </c>
      <c r="I68" s="163" t="s">
        <v>16</v>
      </c>
      <c r="J68" s="164"/>
      <c r="K68" s="164"/>
      <c r="L68" s="164"/>
      <c r="M68" s="164"/>
      <c r="N68" s="164"/>
      <c r="O68" s="164"/>
      <c r="P68" s="164"/>
      <c r="Q68" s="164"/>
      <c r="R68" s="164"/>
      <c r="S68" s="164"/>
      <c r="T68" s="164"/>
      <c r="U68" s="164"/>
      <c r="V68" s="164"/>
      <c r="W68" s="164"/>
      <c r="X68" s="164"/>
      <c r="Y68" s="164"/>
      <c r="Z68" s="164"/>
    </row>
    <row r="69">
      <c r="A69" s="38" t="s">
        <v>712</v>
      </c>
      <c r="B69" s="39" t="s">
        <v>4773</v>
      </c>
      <c r="C69" s="39" t="s">
        <v>5017</v>
      </c>
      <c r="D69" s="39" t="s">
        <v>5018</v>
      </c>
      <c r="E69" s="39" t="s">
        <v>4851</v>
      </c>
      <c r="F69" s="39" t="s">
        <v>4852</v>
      </c>
      <c r="G69" s="39" t="s">
        <v>4853</v>
      </c>
      <c r="H69" s="39" t="s">
        <v>5019</v>
      </c>
      <c r="I69" s="148" t="s">
        <v>16</v>
      </c>
      <c r="J69" s="147"/>
      <c r="K69" s="147"/>
      <c r="L69" s="147"/>
      <c r="M69" s="147"/>
      <c r="N69" s="147"/>
      <c r="O69" s="147"/>
      <c r="P69" s="147"/>
      <c r="Q69" s="147"/>
      <c r="R69" s="147"/>
      <c r="S69" s="147"/>
      <c r="T69" s="147"/>
      <c r="U69" s="147"/>
      <c r="V69" s="147"/>
      <c r="W69" s="147"/>
      <c r="X69" s="147"/>
      <c r="Y69" s="147"/>
      <c r="Z69" s="147"/>
    </row>
    <row r="70">
      <c r="A70" s="38" t="s">
        <v>715</v>
      </c>
      <c r="B70" s="39" t="s">
        <v>4773</v>
      </c>
      <c r="C70" s="39" t="s">
        <v>5020</v>
      </c>
      <c r="D70" s="39" t="s">
        <v>5021</v>
      </c>
      <c r="E70" s="39" t="s">
        <v>5022</v>
      </c>
      <c r="F70" s="39" t="s">
        <v>4831</v>
      </c>
      <c r="G70" s="39" t="s">
        <v>4832</v>
      </c>
      <c r="H70" s="39" t="s">
        <v>4858</v>
      </c>
      <c r="I70" s="148" t="s">
        <v>16</v>
      </c>
      <c r="J70" s="147"/>
      <c r="K70" s="147"/>
      <c r="L70" s="147"/>
      <c r="M70" s="147"/>
      <c r="N70" s="147"/>
      <c r="O70" s="147"/>
      <c r="P70" s="147"/>
      <c r="Q70" s="147"/>
      <c r="R70" s="147"/>
      <c r="S70" s="147"/>
      <c r="T70" s="147"/>
      <c r="U70" s="147"/>
      <c r="V70" s="147"/>
      <c r="W70" s="147"/>
      <c r="X70" s="147"/>
      <c r="Y70" s="147"/>
      <c r="Z70" s="147"/>
    </row>
    <row r="71">
      <c r="A71" s="38" t="s">
        <v>718</v>
      </c>
      <c r="B71" s="39" t="s">
        <v>4773</v>
      </c>
      <c r="C71" s="39" t="s">
        <v>5023</v>
      </c>
      <c r="D71" s="39" t="s">
        <v>5024</v>
      </c>
      <c r="E71" s="39" t="s">
        <v>4851</v>
      </c>
      <c r="F71" s="39" t="s">
        <v>4852</v>
      </c>
      <c r="G71" s="39" t="s">
        <v>4853</v>
      </c>
      <c r="H71" s="39" t="s">
        <v>4861</v>
      </c>
      <c r="I71" s="148" t="s">
        <v>16</v>
      </c>
      <c r="J71" s="147"/>
      <c r="K71" s="147"/>
      <c r="L71" s="147"/>
      <c r="M71" s="147"/>
      <c r="N71" s="147"/>
      <c r="O71" s="147"/>
      <c r="P71" s="147"/>
      <c r="Q71" s="147"/>
      <c r="R71" s="147"/>
      <c r="S71" s="147"/>
      <c r="T71" s="147"/>
      <c r="U71" s="147"/>
      <c r="V71" s="147"/>
      <c r="W71" s="147"/>
      <c r="X71" s="147"/>
      <c r="Y71" s="147"/>
      <c r="Z71" s="147"/>
    </row>
    <row r="72">
      <c r="A72" s="38" t="s">
        <v>722</v>
      </c>
      <c r="B72" s="39" t="s">
        <v>4773</v>
      </c>
      <c r="C72" s="39" t="s">
        <v>5025</v>
      </c>
      <c r="D72" s="39" t="s">
        <v>5026</v>
      </c>
      <c r="E72" s="39" t="s">
        <v>4864</v>
      </c>
      <c r="F72" s="39" t="s">
        <v>5027</v>
      </c>
      <c r="G72" s="39" t="s">
        <v>4866</v>
      </c>
      <c r="H72" s="39" t="s">
        <v>5028</v>
      </c>
      <c r="I72" s="148" t="s">
        <v>16</v>
      </c>
      <c r="J72" s="147"/>
      <c r="K72" s="147"/>
      <c r="L72" s="147"/>
      <c r="M72" s="147"/>
      <c r="N72" s="147"/>
      <c r="O72" s="147"/>
      <c r="P72" s="147"/>
      <c r="Q72" s="147"/>
      <c r="R72" s="147"/>
      <c r="S72" s="147"/>
      <c r="T72" s="147"/>
      <c r="U72" s="147"/>
      <c r="V72" s="147"/>
      <c r="W72" s="147"/>
      <c r="X72" s="147"/>
      <c r="Y72" s="147"/>
      <c r="Z72" s="147"/>
    </row>
    <row r="73">
      <c r="A73" s="38" t="s">
        <v>728</v>
      </c>
      <c r="B73" s="39" t="s">
        <v>4773</v>
      </c>
      <c r="C73" s="39" t="s">
        <v>5029</v>
      </c>
      <c r="D73" s="39" t="s">
        <v>5030</v>
      </c>
      <c r="E73" s="39" t="s">
        <v>5031</v>
      </c>
      <c r="F73" s="39" t="s">
        <v>4831</v>
      </c>
      <c r="G73" s="39" t="s">
        <v>4832</v>
      </c>
      <c r="H73" s="39" t="s">
        <v>4858</v>
      </c>
      <c r="I73" s="148" t="s">
        <v>16</v>
      </c>
      <c r="J73" s="147"/>
      <c r="K73" s="147"/>
      <c r="L73" s="147"/>
      <c r="M73" s="147"/>
      <c r="N73" s="147"/>
      <c r="O73" s="147"/>
      <c r="P73" s="147"/>
      <c r="Q73" s="147"/>
      <c r="R73" s="147"/>
      <c r="S73" s="147"/>
      <c r="T73" s="147"/>
      <c r="U73" s="147"/>
      <c r="V73" s="147"/>
      <c r="W73" s="147"/>
      <c r="X73" s="147"/>
      <c r="Y73" s="147"/>
      <c r="Z73" s="147"/>
    </row>
    <row r="74">
      <c r="A74" s="38" t="s">
        <v>733</v>
      </c>
      <c r="B74" s="39" t="s">
        <v>4773</v>
      </c>
      <c r="C74" s="39" t="s">
        <v>5032</v>
      </c>
      <c r="D74" s="39" t="s">
        <v>5033</v>
      </c>
      <c r="E74" s="39" t="s">
        <v>4864</v>
      </c>
      <c r="F74" s="39" t="s">
        <v>4852</v>
      </c>
      <c r="G74" s="39" t="s">
        <v>4853</v>
      </c>
      <c r="H74" s="39" t="s">
        <v>5034</v>
      </c>
      <c r="I74" s="148" t="s">
        <v>16</v>
      </c>
      <c r="J74" s="147"/>
      <c r="K74" s="147"/>
      <c r="L74" s="147"/>
      <c r="M74" s="147"/>
      <c r="N74" s="147"/>
      <c r="O74" s="147"/>
      <c r="P74" s="147"/>
      <c r="Q74" s="147"/>
      <c r="R74" s="147"/>
      <c r="S74" s="147"/>
      <c r="T74" s="147"/>
      <c r="U74" s="147"/>
      <c r="V74" s="147"/>
      <c r="W74" s="147"/>
      <c r="X74" s="147"/>
      <c r="Y74" s="147"/>
      <c r="Z74" s="147"/>
    </row>
    <row r="75">
      <c r="A75" s="38" t="s">
        <v>736</v>
      </c>
      <c r="B75" s="39" t="s">
        <v>4773</v>
      </c>
      <c r="C75" s="39" t="s">
        <v>5035</v>
      </c>
      <c r="D75" s="39" t="s">
        <v>5036</v>
      </c>
      <c r="E75" s="39" t="s">
        <v>5037</v>
      </c>
      <c r="F75" s="39" t="s">
        <v>4841</v>
      </c>
      <c r="G75" s="39" t="s">
        <v>4842</v>
      </c>
      <c r="H75" s="39" t="s">
        <v>4843</v>
      </c>
      <c r="I75" s="148" t="s">
        <v>16</v>
      </c>
      <c r="J75" s="147"/>
      <c r="K75" s="147"/>
      <c r="L75" s="147"/>
      <c r="M75" s="147"/>
      <c r="N75" s="147"/>
      <c r="O75" s="147"/>
      <c r="P75" s="147"/>
      <c r="Q75" s="147"/>
      <c r="R75" s="147"/>
      <c r="S75" s="147"/>
      <c r="T75" s="147"/>
      <c r="U75" s="147"/>
      <c r="V75" s="147"/>
      <c r="W75" s="147"/>
      <c r="X75" s="147"/>
      <c r="Y75" s="147"/>
      <c r="Z75" s="147"/>
    </row>
    <row r="76">
      <c r="A76" s="38" t="s">
        <v>741</v>
      </c>
      <c r="B76" s="39" t="s">
        <v>4773</v>
      </c>
      <c r="C76" s="39" t="s">
        <v>5038</v>
      </c>
      <c r="D76" s="39" t="s">
        <v>5039</v>
      </c>
      <c r="E76" s="39" t="s">
        <v>5040</v>
      </c>
      <c r="F76" s="39" t="s">
        <v>4831</v>
      </c>
      <c r="G76" s="39" t="s">
        <v>4832</v>
      </c>
      <c r="H76" s="39" t="s">
        <v>4858</v>
      </c>
      <c r="I76" s="148" t="s">
        <v>16</v>
      </c>
      <c r="J76" s="147"/>
      <c r="K76" s="147"/>
      <c r="L76" s="147"/>
      <c r="M76" s="147"/>
      <c r="N76" s="147"/>
      <c r="O76" s="147"/>
      <c r="P76" s="147"/>
      <c r="Q76" s="147"/>
      <c r="R76" s="147"/>
      <c r="S76" s="147"/>
      <c r="T76" s="147"/>
      <c r="U76" s="147"/>
      <c r="V76" s="147"/>
      <c r="W76" s="147"/>
      <c r="X76" s="147"/>
      <c r="Y76" s="147"/>
      <c r="Z76" s="147"/>
    </row>
    <row r="77">
      <c r="A77" s="38" t="s">
        <v>745</v>
      </c>
      <c r="B77" s="39" t="s">
        <v>4773</v>
      </c>
      <c r="C77" s="39" t="s">
        <v>5041</v>
      </c>
      <c r="D77" s="39" t="s">
        <v>5042</v>
      </c>
      <c r="E77" s="39" t="s">
        <v>4864</v>
      </c>
      <c r="F77" s="39" t="s">
        <v>4852</v>
      </c>
      <c r="G77" s="39" t="s">
        <v>4853</v>
      </c>
      <c r="H77" s="39" t="s">
        <v>4885</v>
      </c>
      <c r="I77" s="148" t="s">
        <v>16</v>
      </c>
      <c r="J77" s="147"/>
      <c r="K77" s="147"/>
      <c r="L77" s="147"/>
      <c r="M77" s="147"/>
      <c r="N77" s="147"/>
      <c r="O77" s="147"/>
      <c r="P77" s="147"/>
      <c r="Q77" s="147"/>
      <c r="R77" s="147"/>
      <c r="S77" s="147"/>
      <c r="T77" s="147"/>
      <c r="U77" s="147"/>
      <c r="V77" s="147"/>
      <c r="W77" s="147"/>
      <c r="X77" s="147"/>
      <c r="Y77" s="147"/>
      <c r="Z77" s="147"/>
    </row>
    <row r="78">
      <c r="A78" s="38" t="s">
        <v>750</v>
      </c>
      <c r="B78" s="39" t="s">
        <v>4773</v>
      </c>
      <c r="C78" s="39" t="s">
        <v>5043</v>
      </c>
      <c r="D78" s="39" t="s">
        <v>5044</v>
      </c>
      <c r="E78" s="39" t="s">
        <v>5045</v>
      </c>
      <c r="F78" s="39" t="s">
        <v>4871</v>
      </c>
      <c r="G78" s="165"/>
      <c r="H78" s="165"/>
      <c r="I78" s="148" t="s">
        <v>16</v>
      </c>
      <c r="J78" s="147"/>
      <c r="K78" s="147"/>
      <c r="L78" s="147"/>
      <c r="M78" s="147"/>
      <c r="N78" s="147"/>
      <c r="O78" s="147"/>
      <c r="P78" s="147"/>
      <c r="Q78" s="147"/>
      <c r="R78" s="147"/>
      <c r="S78" s="147"/>
      <c r="T78" s="147"/>
      <c r="U78" s="147"/>
      <c r="V78" s="147"/>
      <c r="W78" s="147"/>
      <c r="X78" s="147"/>
      <c r="Y78" s="147"/>
      <c r="Z78" s="147"/>
    </row>
    <row r="79">
      <c r="A79" s="38" t="s">
        <v>756</v>
      </c>
      <c r="B79" s="39" t="s">
        <v>4773</v>
      </c>
      <c r="C79" s="39" t="s">
        <v>5046</v>
      </c>
      <c r="D79" s="39" t="s">
        <v>5047</v>
      </c>
      <c r="E79" s="39" t="s">
        <v>5048</v>
      </c>
      <c r="F79" s="39" t="s">
        <v>4831</v>
      </c>
      <c r="G79" s="39" t="s">
        <v>4847</v>
      </c>
      <c r="H79" s="39" t="s">
        <v>5049</v>
      </c>
      <c r="I79" s="148" t="s">
        <v>16</v>
      </c>
      <c r="J79" s="147"/>
      <c r="K79" s="147"/>
      <c r="L79" s="147"/>
      <c r="M79" s="147"/>
      <c r="N79" s="147"/>
      <c r="O79" s="147"/>
      <c r="P79" s="147"/>
      <c r="Q79" s="147"/>
      <c r="R79" s="147"/>
      <c r="S79" s="147"/>
      <c r="T79" s="147"/>
      <c r="U79" s="147"/>
      <c r="V79" s="147"/>
      <c r="W79" s="147"/>
      <c r="X79" s="147"/>
      <c r="Y79" s="147"/>
      <c r="Z79" s="147"/>
    </row>
    <row r="80">
      <c r="A80" s="38" t="s">
        <v>761</v>
      </c>
      <c r="B80" s="39" t="s">
        <v>4773</v>
      </c>
      <c r="C80" s="39" t="s">
        <v>5050</v>
      </c>
      <c r="D80" s="39" t="s">
        <v>5051</v>
      </c>
      <c r="E80" s="39" t="s">
        <v>4851</v>
      </c>
      <c r="F80" s="39" t="s">
        <v>4852</v>
      </c>
      <c r="G80" s="39" t="s">
        <v>4853</v>
      </c>
      <c r="H80" s="39" t="s">
        <v>5052</v>
      </c>
      <c r="I80" s="148" t="s">
        <v>16</v>
      </c>
      <c r="J80" s="147"/>
      <c r="K80" s="147"/>
      <c r="L80" s="147"/>
      <c r="M80" s="147"/>
      <c r="N80" s="147"/>
      <c r="O80" s="147"/>
      <c r="P80" s="147"/>
      <c r="Q80" s="147"/>
      <c r="R80" s="147"/>
      <c r="S80" s="147"/>
      <c r="T80" s="147"/>
      <c r="U80" s="147"/>
      <c r="V80" s="147"/>
      <c r="W80" s="147"/>
      <c r="X80" s="147"/>
      <c r="Y80" s="147"/>
      <c r="Z80" s="147"/>
    </row>
    <row r="81">
      <c r="A81" s="38" t="s">
        <v>767</v>
      </c>
      <c r="B81" s="39" t="s">
        <v>4773</v>
      </c>
      <c r="C81" s="39" t="s">
        <v>5053</v>
      </c>
      <c r="D81" s="39" t="s">
        <v>5054</v>
      </c>
      <c r="E81" s="39" t="s">
        <v>5055</v>
      </c>
      <c r="F81" s="39" t="s">
        <v>4831</v>
      </c>
      <c r="G81" s="39" t="s">
        <v>4832</v>
      </c>
      <c r="H81" s="39" t="s">
        <v>4858</v>
      </c>
      <c r="I81" s="148" t="s">
        <v>16</v>
      </c>
      <c r="J81" s="147"/>
      <c r="K81" s="147"/>
      <c r="L81" s="147"/>
      <c r="M81" s="147"/>
      <c r="N81" s="147"/>
      <c r="O81" s="147"/>
      <c r="P81" s="147"/>
      <c r="Q81" s="147"/>
      <c r="R81" s="147"/>
      <c r="S81" s="147"/>
      <c r="T81" s="147"/>
      <c r="U81" s="147"/>
      <c r="V81" s="147"/>
      <c r="W81" s="147"/>
      <c r="X81" s="147"/>
      <c r="Y81" s="147"/>
      <c r="Z81" s="147"/>
    </row>
    <row r="82">
      <c r="A82" s="38" t="s">
        <v>772</v>
      </c>
      <c r="B82" s="39" t="s">
        <v>4773</v>
      </c>
      <c r="C82" s="39" t="s">
        <v>5056</v>
      </c>
      <c r="D82" s="39" t="s">
        <v>5057</v>
      </c>
      <c r="E82" s="39" t="s">
        <v>4851</v>
      </c>
      <c r="F82" s="39" t="s">
        <v>4852</v>
      </c>
      <c r="G82" s="39" t="s">
        <v>4853</v>
      </c>
      <c r="H82" s="39" t="s">
        <v>4861</v>
      </c>
      <c r="I82" s="148" t="s">
        <v>16</v>
      </c>
      <c r="J82" s="147"/>
      <c r="K82" s="147"/>
      <c r="L82" s="147"/>
      <c r="M82" s="147"/>
      <c r="N82" s="147"/>
      <c r="O82" s="147"/>
      <c r="P82" s="147"/>
      <c r="Q82" s="147"/>
      <c r="R82" s="147"/>
      <c r="S82" s="147"/>
      <c r="T82" s="147"/>
      <c r="U82" s="147"/>
      <c r="V82" s="147"/>
      <c r="W82" s="147"/>
      <c r="X82" s="147"/>
      <c r="Y82" s="147"/>
      <c r="Z82" s="147"/>
    </row>
    <row r="83">
      <c r="A83" s="38" t="s">
        <v>778</v>
      </c>
      <c r="B83" s="39" t="s">
        <v>4773</v>
      </c>
      <c r="C83" s="39" t="s">
        <v>5058</v>
      </c>
      <c r="D83" s="39" t="s">
        <v>5059</v>
      </c>
      <c r="E83" s="39" t="s">
        <v>4864</v>
      </c>
      <c r="F83" s="39" t="s">
        <v>4852</v>
      </c>
      <c r="G83" s="39" t="s">
        <v>4853</v>
      </c>
      <c r="H83" s="39" t="s">
        <v>5060</v>
      </c>
      <c r="I83" s="148" t="s">
        <v>16</v>
      </c>
      <c r="J83" s="147"/>
      <c r="K83" s="147"/>
      <c r="L83" s="147"/>
      <c r="M83" s="147"/>
      <c r="N83" s="147"/>
      <c r="O83" s="147"/>
      <c r="P83" s="147"/>
      <c r="Q83" s="147"/>
      <c r="R83" s="147"/>
      <c r="S83" s="147"/>
      <c r="T83" s="147"/>
      <c r="U83" s="147"/>
      <c r="V83" s="147"/>
      <c r="W83" s="147"/>
      <c r="X83" s="147"/>
      <c r="Y83" s="147"/>
      <c r="Z83" s="147"/>
    </row>
    <row r="84">
      <c r="A84" s="38" t="s">
        <v>780</v>
      </c>
      <c r="B84" s="39" t="s">
        <v>4773</v>
      </c>
      <c r="C84" s="39" t="s">
        <v>5061</v>
      </c>
      <c r="D84" s="39" t="s">
        <v>5062</v>
      </c>
      <c r="E84" s="39" t="s">
        <v>5063</v>
      </c>
      <c r="F84" s="39" t="s">
        <v>4831</v>
      </c>
      <c r="G84" s="39" t="s">
        <v>4847</v>
      </c>
      <c r="H84" s="39" t="s">
        <v>5064</v>
      </c>
      <c r="I84" s="148" t="s">
        <v>16</v>
      </c>
      <c r="J84" s="147"/>
      <c r="K84" s="147"/>
      <c r="L84" s="147"/>
      <c r="M84" s="147"/>
      <c r="N84" s="147"/>
      <c r="O84" s="147"/>
      <c r="P84" s="147"/>
      <c r="Q84" s="147"/>
      <c r="R84" s="147"/>
      <c r="S84" s="147"/>
      <c r="T84" s="147"/>
      <c r="U84" s="147"/>
      <c r="V84" s="147"/>
      <c r="W84" s="147"/>
      <c r="X84" s="147"/>
      <c r="Y84" s="147"/>
      <c r="Z84" s="147"/>
    </row>
    <row r="85">
      <c r="A85" s="38" t="s">
        <v>782</v>
      </c>
      <c r="B85" s="39" t="s">
        <v>4773</v>
      </c>
      <c r="C85" s="39" t="s">
        <v>5065</v>
      </c>
      <c r="D85" s="39" t="s">
        <v>5066</v>
      </c>
      <c r="E85" s="39" t="s">
        <v>4851</v>
      </c>
      <c r="F85" s="39" t="s">
        <v>4852</v>
      </c>
      <c r="G85" s="39" t="s">
        <v>4853</v>
      </c>
      <c r="H85" s="39" t="s">
        <v>5067</v>
      </c>
      <c r="I85" s="148" t="s">
        <v>16</v>
      </c>
      <c r="J85" s="147"/>
      <c r="K85" s="147"/>
      <c r="L85" s="147"/>
      <c r="M85" s="147"/>
      <c r="N85" s="147"/>
      <c r="O85" s="147"/>
      <c r="P85" s="147"/>
      <c r="Q85" s="147"/>
      <c r="R85" s="147"/>
      <c r="S85" s="147"/>
      <c r="T85" s="147"/>
      <c r="U85" s="147"/>
      <c r="V85" s="147"/>
      <c r="W85" s="147"/>
      <c r="X85" s="147"/>
      <c r="Y85" s="147"/>
      <c r="Z85" s="147"/>
    </row>
    <row r="86">
      <c r="A86" s="38" t="s">
        <v>784</v>
      </c>
      <c r="B86" s="39" t="s">
        <v>4773</v>
      </c>
      <c r="C86" s="39" t="s">
        <v>5068</v>
      </c>
      <c r="D86" s="39" t="s">
        <v>5069</v>
      </c>
      <c r="E86" s="39" t="s">
        <v>5070</v>
      </c>
      <c r="F86" s="39" t="s">
        <v>4831</v>
      </c>
      <c r="G86" s="39" t="s">
        <v>4832</v>
      </c>
      <c r="H86" s="39" t="s">
        <v>4858</v>
      </c>
      <c r="I86" s="148" t="s">
        <v>16</v>
      </c>
      <c r="J86" s="147"/>
      <c r="K86" s="147"/>
      <c r="L86" s="147"/>
      <c r="M86" s="147"/>
      <c r="N86" s="147"/>
      <c r="O86" s="147"/>
      <c r="P86" s="147"/>
      <c r="Q86" s="147"/>
      <c r="R86" s="147"/>
      <c r="S86" s="147"/>
      <c r="T86" s="147"/>
      <c r="U86" s="147"/>
      <c r="V86" s="147"/>
      <c r="W86" s="147"/>
      <c r="X86" s="147"/>
      <c r="Y86" s="147"/>
      <c r="Z86" s="147"/>
    </row>
    <row r="87">
      <c r="A87" s="38" t="s">
        <v>789</v>
      </c>
      <c r="B87" s="39" t="s">
        <v>4773</v>
      </c>
      <c r="C87" s="39" t="s">
        <v>4903</v>
      </c>
      <c r="D87" s="39" t="s">
        <v>5071</v>
      </c>
      <c r="E87" s="39" t="s">
        <v>4851</v>
      </c>
      <c r="F87" s="39" t="s">
        <v>4852</v>
      </c>
      <c r="G87" s="39" t="s">
        <v>4853</v>
      </c>
      <c r="H87" s="39" t="s">
        <v>4861</v>
      </c>
      <c r="I87" s="148" t="s">
        <v>16</v>
      </c>
      <c r="J87" s="147"/>
      <c r="K87" s="147"/>
      <c r="L87" s="147"/>
      <c r="M87" s="147"/>
      <c r="N87" s="147"/>
      <c r="O87" s="147"/>
      <c r="P87" s="147"/>
      <c r="Q87" s="147"/>
      <c r="R87" s="147"/>
      <c r="S87" s="147"/>
      <c r="T87" s="147"/>
      <c r="U87" s="147"/>
      <c r="V87" s="147"/>
      <c r="W87" s="147"/>
      <c r="X87" s="147"/>
      <c r="Y87" s="147"/>
      <c r="Z87" s="147"/>
    </row>
    <row r="88">
      <c r="A88" s="38" t="s">
        <v>793</v>
      </c>
      <c r="B88" s="39" t="s">
        <v>4773</v>
      </c>
      <c r="C88" s="39" t="s">
        <v>5072</v>
      </c>
      <c r="D88" s="39" t="s">
        <v>5073</v>
      </c>
      <c r="E88" s="39" t="s">
        <v>4864</v>
      </c>
      <c r="F88" s="39" t="s">
        <v>5074</v>
      </c>
      <c r="G88" s="39" t="s">
        <v>4866</v>
      </c>
      <c r="H88" s="39" t="s">
        <v>5075</v>
      </c>
      <c r="I88" s="148" t="s">
        <v>16</v>
      </c>
      <c r="J88" s="147"/>
      <c r="K88" s="147"/>
      <c r="L88" s="147"/>
      <c r="M88" s="147"/>
      <c r="N88" s="147"/>
      <c r="O88" s="147"/>
      <c r="P88" s="147"/>
      <c r="Q88" s="147"/>
      <c r="R88" s="147"/>
      <c r="S88" s="147"/>
      <c r="T88" s="147"/>
      <c r="U88" s="147"/>
      <c r="V88" s="147"/>
      <c r="W88" s="147"/>
      <c r="X88" s="147"/>
      <c r="Y88" s="147"/>
      <c r="Z88" s="147"/>
    </row>
    <row r="89">
      <c r="A89" s="38" t="s">
        <v>798</v>
      </c>
      <c r="B89" s="39" t="s">
        <v>4773</v>
      </c>
      <c r="C89" s="39" t="s">
        <v>5076</v>
      </c>
      <c r="D89" s="39" t="s">
        <v>5077</v>
      </c>
      <c r="E89" s="39" t="s">
        <v>5078</v>
      </c>
      <c r="F89" s="39" t="s">
        <v>4831</v>
      </c>
      <c r="G89" s="39" t="s">
        <v>4832</v>
      </c>
      <c r="H89" s="39" t="s">
        <v>4858</v>
      </c>
      <c r="I89" s="148" t="s">
        <v>16</v>
      </c>
      <c r="J89" s="147"/>
      <c r="K89" s="147"/>
      <c r="L89" s="147"/>
      <c r="M89" s="147"/>
      <c r="N89" s="147"/>
      <c r="O89" s="147"/>
      <c r="P89" s="147"/>
      <c r="Q89" s="147"/>
      <c r="R89" s="147"/>
      <c r="S89" s="147"/>
      <c r="T89" s="147"/>
      <c r="U89" s="147"/>
      <c r="V89" s="147"/>
      <c r="W89" s="147"/>
      <c r="X89" s="147"/>
      <c r="Y89" s="147"/>
      <c r="Z89" s="147"/>
    </row>
    <row r="90">
      <c r="A90" s="38" t="s">
        <v>804</v>
      </c>
      <c r="B90" s="39" t="s">
        <v>4773</v>
      </c>
      <c r="C90" s="39" t="s">
        <v>5079</v>
      </c>
      <c r="D90" s="39" t="s">
        <v>5080</v>
      </c>
      <c r="E90" s="39" t="s">
        <v>4864</v>
      </c>
      <c r="F90" s="39" t="s">
        <v>4852</v>
      </c>
      <c r="G90" s="39" t="s">
        <v>4853</v>
      </c>
      <c r="H90" s="39" t="s">
        <v>5081</v>
      </c>
      <c r="I90" s="148" t="s">
        <v>16</v>
      </c>
      <c r="J90" s="147"/>
      <c r="K90" s="147"/>
      <c r="L90" s="147"/>
      <c r="M90" s="147"/>
      <c r="N90" s="147"/>
      <c r="O90" s="147"/>
      <c r="P90" s="147"/>
      <c r="Q90" s="147"/>
      <c r="R90" s="147"/>
      <c r="S90" s="147"/>
      <c r="T90" s="147"/>
      <c r="U90" s="147"/>
      <c r="V90" s="147"/>
      <c r="W90" s="147"/>
      <c r="X90" s="147"/>
      <c r="Y90" s="147"/>
      <c r="Z90" s="147"/>
    </row>
    <row r="91">
      <c r="A91" s="38" t="s">
        <v>807</v>
      </c>
      <c r="B91" s="39" t="s">
        <v>4773</v>
      </c>
      <c r="C91" s="39" t="s">
        <v>5082</v>
      </c>
      <c r="D91" s="39" t="s">
        <v>5083</v>
      </c>
      <c r="E91" s="39" t="s">
        <v>5084</v>
      </c>
      <c r="F91" s="39" t="s">
        <v>4841</v>
      </c>
      <c r="G91" s="39" t="s">
        <v>4842</v>
      </c>
      <c r="H91" s="39" t="s">
        <v>4843</v>
      </c>
      <c r="I91" s="148" t="s">
        <v>16</v>
      </c>
      <c r="J91" s="147"/>
      <c r="K91" s="147"/>
      <c r="L91" s="147"/>
      <c r="M91" s="147"/>
      <c r="N91" s="147"/>
      <c r="O91" s="147"/>
      <c r="P91" s="147"/>
      <c r="Q91" s="147"/>
      <c r="R91" s="147"/>
      <c r="S91" s="147"/>
      <c r="T91" s="147"/>
      <c r="U91" s="147"/>
      <c r="V91" s="147"/>
      <c r="W91" s="147"/>
      <c r="X91" s="147"/>
      <c r="Y91" s="147"/>
      <c r="Z91" s="147"/>
    </row>
    <row r="92">
      <c r="A92" s="38" t="s">
        <v>812</v>
      </c>
      <c r="B92" s="39" t="s">
        <v>4773</v>
      </c>
      <c r="C92" s="39" t="s">
        <v>5085</v>
      </c>
      <c r="D92" s="39" t="s">
        <v>5086</v>
      </c>
      <c r="E92" s="39" t="s">
        <v>5087</v>
      </c>
      <c r="F92" s="39" t="s">
        <v>4831</v>
      </c>
      <c r="G92" s="39" t="s">
        <v>4832</v>
      </c>
      <c r="H92" s="39" t="s">
        <v>4858</v>
      </c>
      <c r="I92" s="148" t="s">
        <v>16</v>
      </c>
      <c r="J92" s="147"/>
      <c r="K92" s="147"/>
      <c r="L92" s="147"/>
      <c r="M92" s="147"/>
      <c r="N92" s="147"/>
      <c r="O92" s="147"/>
      <c r="P92" s="147"/>
      <c r="Q92" s="147"/>
      <c r="R92" s="147"/>
      <c r="S92" s="147"/>
      <c r="T92" s="147"/>
      <c r="U92" s="147"/>
      <c r="V92" s="147"/>
      <c r="W92" s="147"/>
      <c r="X92" s="147"/>
      <c r="Y92" s="147"/>
      <c r="Z92" s="147"/>
    </row>
    <row r="93">
      <c r="A93" s="38" t="s">
        <v>816</v>
      </c>
      <c r="B93" s="39" t="s">
        <v>4773</v>
      </c>
      <c r="C93" s="39" t="s">
        <v>5088</v>
      </c>
      <c r="D93" s="39" t="s">
        <v>5089</v>
      </c>
      <c r="E93" s="39" t="s">
        <v>4864</v>
      </c>
      <c r="F93" s="39" t="s">
        <v>4852</v>
      </c>
      <c r="G93" s="39" t="s">
        <v>4853</v>
      </c>
      <c r="H93" s="39" t="s">
        <v>4885</v>
      </c>
      <c r="I93" s="148" t="s">
        <v>16</v>
      </c>
      <c r="J93" s="147"/>
      <c r="K93" s="147"/>
      <c r="L93" s="147"/>
      <c r="M93" s="147"/>
      <c r="N93" s="147"/>
      <c r="O93" s="147"/>
      <c r="P93" s="147"/>
      <c r="Q93" s="147"/>
      <c r="R93" s="147"/>
      <c r="S93" s="147"/>
      <c r="T93" s="147"/>
      <c r="U93" s="147"/>
      <c r="V93" s="147"/>
      <c r="W93" s="147"/>
      <c r="X93" s="147"/>
      <c r="Y93" s="147"/>
      <c r="Z93" s="147"/>
    </row>
    <row r="94">
      <c r="A94" s="38" t="s">
        <v>820</v>
      </c>
      <c r="B94" s="39" t="s">
        <v>4773</v>
      </c>
      <c r="C94" s="39" t="s">
        <v>5090</v>
      </c>
      <c r="D94" s="39" t="s">
        <v>5091</v>
      </c>
      <c r="E94" s="39" t="s">
        <v>5092</v>
      </c>
      <c r="F94" s="39" t="s">
        <v>4871</v>
      </c>
      <c r="G94" s="165"/>
      <c r="H94" s="165"/>
      <c r="I94" s="148" t="s">
        <v>16</v>
      </c>
      <c r="J94" s="147"/>
      <c r="K94" s="147"/>
      <c r="L94" s="147"/>
      <c r="M94" s="147"/>
      <c r="N94" s="147"/>
      <c r="O94" s="147"/>
      <c r="P94" s="147"/>
      <c r="Q94" s="147"/>
      <c r="R94" s="147"/>
      <c r="S94" s="147"/>
      <c r="T94" s="147"/>
      <c r="U94" s="147"/>
      <c r="V94" s="147"/>
      <c r="W94" s="147"/>
      <c r="X94" s="147"/>
      <c r="Y94" s="147"/>
      <c r="Z94" s="147"/>
    </row>
    <row r="95">
      <c r="A95" s="38" t="s">
        <v>824</v>
      </c>
      <c r="B95" s="39" t="s">
        <v>4773</v>
      </c>
      <c r="C95" s="39" t="s">
        <v>5093</v>
      </c>
      <c r="D95" s="39" t="s">
        <v>5094</v>
      </c>
      <c r="E95" s="39" t="s">
        <v>5095</v>
      </c>
      <c r="F95" s="39" t="s">
        <v>4831</v>
      </c>
      <c r="G95" s="39" t="s">
        <v>4847</v>
      </c>
      <c r="H95" s="39" t="s">
        <v>5096</v>
      </c>
      <c r="I95" s="148" t="s">
        <v>16</v>
      </c>
      <c r="J95" s="147"/>
      <c r="K95" s="147"/>
      <c r="L95" s="147"/>
      <c r="M95" s="147"/>
      <c r="N95" s="147"/>
      <c r="O95" s="147"/>
      <c r="P95" s="147"/>
      <c r="Q95" s="147"/>
      <c r="R95" s="147"/>
      <c r="S95" s="147"/>
      <c r="T95" s="147"/>
      <c r="U95" s="147"/>
      <c r="V95" s="147"/>
      <c r="W95" s="147"/>
      <c r="X95" s="147"/>
      <c r="Y95" s="147"/>
      <c r="Z95" s="147"/>
    </row>
    <row r="96">
      <c r="A96" s="38" t="s">
        <v>827</v>
      </c>
      <c r="B96" s="39" t="s">
        <v>4773</v>
      </c>
      <c r="C96" s="39" t="s">
        <v>5097</v>
      </c>
      <c r="D96" s="39" t="s">
        <v>5098</v>
      </c>
      <c r="E96" s="39" t="s">
        <v>4851</v>
      </c>
      <c r="F96" s="39" t="s">
        <v>4852</v>
      </c>
      <c r="G96" s="39" t="s">
        <v>4853</v>
      </c>
      <c r="H96" s="39" t="s">
        <v>5099</v>
      </c>
      <c r="I96" s="148" t="s">
        <v>16</v>
      </c>
      <c r="J96" s="147"/>
      <c r="K96" s="147"/>
      <c r="L96" s="147"/>
      <c r="M96" s="147"/>
      <c r="N96" s="147"/>
      <c r="O96" s="147"/>
      <c r="P96" s="147"/>
      <c r="Q96" s="147"/>
      <c r="R96" s="147"/>
      <c r="S96" s="147"/>
      <c r="T96" s="147"/>
      <c r="U96" s="147"/>
      <c r="V96" s="147"/>
      <c r="W96" s="147"/>
      <c r="X96" s="147"/>
      <c r="Y96" s="147"/>
      <c r="Z96" s="147"/>
    </row>
    <row r="97">
      <c r="A97" s="38" t="s">
        <v>831</v>
      </c>
      <c r="B97" s="39" t="s">
        <v>4773</v>
      </c>
      <c r="C97" s="39" t="s">
        <v>5100</v>
      </c>
      <c r="D97" s="39" t="s">
        <v>5101</v>
      </c>
      <c r="E97" s="39" t="s">
        <v>5102</v>
      </c>
      <c r="F97" s="39" t="s">
        <v>4831</v>
      </c>
      <c r="G97" s="39" t="s">
        <v>4832</v>
      </c>
      <c r="H97" s="39" t="s">
        <v>4858</v>
      </c>
      <c r="I97" s="148" t="s">
        <v>16</v>
      </c>
      <c r="J97" s="147"/>
      <c r="K97" s="147"/>
      <c r="L97" s="147"/>
      <c r="M97" s="147"/>
      <c r="N97" s="147"/>
      <c r="O97" s="147"/>
      <c r="P97" s="147"/>
      <c r="Q97" s="147"/>
      <c r="R97" s="147"/>
      <c r="S97" s="147"/>
      <c r="T97" s="147"/>
      <c r="U97" s="147"/>
      <c r="V97" s="147"/>
      <c r="W97" s="147"/>
      <c r="X97" s="147"/>
      <c r="Y97" s="147"/>
      <c r="Z97" s="147"/>
    </row>
    <row r="98">
      <c r="A98" s="38" t="s">
        <v>835</v>
      </c>
      <c r="B98" s="39" t="s">
        <v>4773</v>
      </c>
      <c r="C98" s="39" t="s">
        <v>4993</v>
      </c>
      <c r="D98" s="39" t="s">
        <v>5103</v>
      </c>
      <c r="E98" s="39" t="s">
        <v>4851</v>
      </c>
      <c r="F98" s="39" t="s">
        <v>4852</v>
      </c>
      <c r="G98" s="39" t="s">
        <v>4853</v>
      </c>
      <c r="H98" s="39" t="s">
        <v>4861</v>
      </c>
      <c r="I98" s="148" t="s">
        <v>16</v>
      </c>
      <c r="J98" s="147"/>
      <c r="K98" s="147"/>
      <c r="L98" s="147"/>
      <c r="M98" s="147"/>
      <c r="N98" s="147"/>
      <c r="O98" s="147"/>
      <c r="P98" s="147"/>
      <c r="Q98" s="147"/>
      <c r="R98" s="147"/>
      <c r="S98" s="147"/>
      <c r="T98" s="147"/>
      <c r="U98" s="147"/>
      <c r="V98" s="147"/>
      <c r="W98" s="147"/>
      <c r="X98" s="147"/>
      <c r="Y98" s="147"/>
      <c r="Z98" s="147"/>
    </row>
    <row r="99">
      <c r="A99" s="161" t="s">
        <v>840</v>
      </c>
      <c r="B99" s="162" t="s">
        <v>4773</v>
      </c>
      <c r="C99" s="162" t="s">
        <v>5104</v>
      </c>
      <c r="D99" s="162" t="s">
        <v>5105</v>
      </c>
      <c r="E99" s="162" t="s">
        <v>4864</v>
      </c>
      <c r="F99" s="162" t="s">
        <v>4852</v>
      </c>
      <c r="G99" s="162" t="s">
        <v>4853</v>
      </c>
      <c r="H99" s="162" t="s">
        <v>5106</v>
      </c>
      <c r="I99" s="148" t="s">
        <v>16</v>
      </c>
      <c r="J99" s="164"/>
      <c r="K99" s="164"/>
      <c r="L99" s="164"/>
      <c r="M99" s="164"/>
      <c r="N99" s="164"/>
      <c r="O99" s="164"/>
      <c r="P99" s="164"/>
      <c r="Q99" s="164"/>
      <c r="R99" s="164"/>
      <c r="S99" s="164"/>
      <c r="T99" s="164"/>
      <c r="U99" s="164"/>
      <c r="V99" s="164"/>
      <c r="W99" s="164"/>
      <c r="X99" s="164"/>
      <c r="Y99" s="164"/>
      <c r="Z99" s="164"/>
    </row>
    <row r="100">
      <c r="A100" s="38" t="s">
        <v>844</v>
      </c>
      <c r="B100" s="39" t="s">
        <v>4773</v>
      </c>
      <c r="C100" s="39" t="s">
        <v>5107</v>
      </c>
      <c r="D100" s="39" t="s">
        <v>5108</v>
      </c>
      <c r="E100" s="39" t="s">
        <v>5109</v>
      </c>
      <c r="F100" s="39" t="s">
        <v>4831</v>
      </c>
      <c r="G100" s="39" t="s">
        <v>4832</v>
      </c>
      <c r="H100" s="39" t="s">
        <v>5110</v>
      </c>
      <c r="I100" s="148" t="s">
        <v>17</v>
      </c>
      <c r="J100" s="147"/>
      <c r="K100" s="147"/>
      <c r="L100" s="147"/>
      <c r="M100" s="147"/>
      <c r="N100" s="147"/>
      <c r="O100" s="147"/>
      <c r="P100" s="147"/>
      <c r="Q100" s="147"/>
      <c r="R100" s="147"/>
      <c r="S100" s="147"/>
      <c r="T100" s="147"/>
      <c r="U100" s="147"/>
      <c r="V100" s="147"/>
      <c r="W100" s="147"/>
      <c r="X100" s="147"/>
      <c r="Y100" s="147"/>
      <c r="Z100" s="147"/>
    </row>
    <row r="101">
      <c r="A101" s="38" t="s">
        <v>848</v>
      </c>
      <c r="B101" s="39" t="s">
        <v>4773</v>
      </c>
      <c r="C101" s="39" t="s">
        <v>4844</v>
      </c>
      <c r="D101" s="39" t="s">
        <v>5111</v>
      </c>
      <c r="E101" s="39" t="s">
        <v>5112</v>
      </c>
      <c r="F101" s="39" t="s">
        <v>4831</v>
      </c>
      <c r="G101" s="39" t="s">
        <v>4847</v>
      </c>
      <c r="H101" s="39" t="s">
        <v>5113</v>
      </c>
      <c r="I101" s="148" t="s">
        <v>18</v>
      </c>
      <c r="J101" s="147"/>
      <c r="K101" s="147"/>
      <c r="L101" s="147"/>
      <c r="M101" s="147"/>
      <c r="N101" s="147"/>
      <c r="O101" s="147"/>
      <c r="P101" s="147"/>
      <c r="Q101" s="147"/>
      <c r="R101" s="147"/>
      <c r="S101" s="147"/>
      <c r="T101" s="147"/>
      <c r="U101" s="147"/>
      <c r="V101" s="147"/>
      <c r="W101" s="147"/>
      <c r="X101" s="147"/>
      <c r="Y101" s="147"/>
      <c r="Z101" s="147"/>
    </row>
    <row r="102">
      <c r="A102" s="38" t="s">
        <v>851</v>
      </c>
      <c r="B102" s="39" t="s">
        <v>4773</v>
      </c>
      <c r="C102" s="39" t="s">
        <v>5114</v>
      </c>
      <c r="D102" s="39" t="s">
        <v>5115</v>
      </c>
      <c r="E102" s="39" t="s">
        <v>4851</v>
      </c>
      <c r="F102" s="39" t="s">
        <v>4852</v>
      </c>
      <c r="G102" s="39" t="s">
        <v>4853</v>
      </c>
      <c r="H102" s="39" t="s">
        <v>5116</v>
      </c>
      <c r="I102" s="148" t="s">
        <v>18</v>
      </c>
      <c r="J102" s="147"/>
      <c r="K102" s="147"/>
      <c r="L102" s="147"/>
      <c r="M102" s="147"/>
      <c r="N102" s="147"/>
      <c r="O102" s="147"/>
      <c r="P102" s="147"/>
      <c r="Q102" s="147"/>
      <c r="R102" s="147"/>
      <c r="S102" s="147"/>
      <c r="T102" s="147"/>
      <c r="U102" s="147"/>
      <c r="V102" s="147"/>
      <c r="W102" s="147"/>
      <c r="X102" s="147"/>
      <c r="Y102" s="147"/>
      <c r="Z102" s="147"/>
    </row>
    <row r="103">
      <c r="A103" s="38" t="s">
        <v>854</v>
      </c>
      <c r="B103" s="39" t="s">
        <v>4773</v>
      </c>
      <c r="C103" s="39" t="s">
        <v>5117</v>
      </c>
      <c r="D103" s="39" t="s">
        <v>5118</v>
      </c>
      <c r="E103" s="39" t="s">
        <v>5119</v>
      </c>
      <c r="F103" s="39" t="s">
        <v>4831</v>
      </c>
      <c r="G103" s="39" t="s">
        <v>4832</v>
      </c>
      <c r="H103" s="39" t="s">
        <v>4858</v>
      </c>
      <c r="I103" s="148" t="s">
        <v>18</v>
      </c>
      <c r="J103" s="147"/>
      <c r="K103" s="147"/>
      <c r="L103" s="147"/>
      <c r="M103" s="147"/>
      <c r="N103" s="147"/>
      <c r="O103" s="147"/>
      <c r="P103" s="147"/>
      <c r="Q103" s="147"/>
      <c r="R103" s="147"/>
      <c r="S103" s="147"/>
      <c r="T103" s="147"/>
      <c r="U103" s="147"/>
      <c r="V103" s="147"/>
      <c r="W103" s="147"/>
      <c r="X103" s="147"/>
      <c r="Y103" s="147"/>
      <c r="Z103" s="147"/>
    </row>
    <row r="104">
      <c r="A104" s="38" t="s">
        <v>858</v>
      </c>
      <c r="B104" s="39" t="s">
        <v>4773</v>
      </c>
      <c r="C104" s="39" t="s">
        <v>4859</v>
      </c>
      <c r="D104" s="39" t="s">
        <v>5120</v>
      </c>
      <c r="E104" s="39" t="s">
        <v>4851</v>
      </c>
      <c r="F104" s="39" t="s">
        <v>4852</v>
      </c>
      <c r="G104" s="39" t="s">
        <v>4853</v>
      </c>
      <c r="H104" s="39" t="s">
        <v>4861</v>
      </c>
      <c r="I104" s="148" t="s">
        <v>18</v>
      </c>
      <c r="J104" s="147"/>
      <c r="K104" s="147"/>
      <c r="L104" s="147"/>
      <c r="M104" s="147"/>
      <c r="N104" s="147"/>
      <c r="O104" s="147"/>
      <c r="P104" s="147"/>
      <c r="Q104" s="147"/>
      <c r="R104" s="147"/>
      <c r="S104" s="147"/>
      <c r="T104" s="147"/>
      <c r="U104" s="147"/>
      <c r="V104" s="147"/>
      <c r="W104" s="147"/>
      <c r="X104" s="147"/>
      <c r="Y104" s="147"/>
      <c r="Z104" s="147"/>
    </row>
    <row r="105">
      <c r="A105" s="38" t="s">
        <v>862</v>
      </c>
      <c r="B105" s="39" t="s">
        <v>4773</v>
      </c>
      <c r="C105" s="39" t="s">
        <v>5121</v>
      </c>
      <c r="D105" s="39" t="s">
        <v>5122</v>
      </c>
      <c r="E105" s="39" t="s">
        <v>4864</v>
      </c>
      <c r="F105" s="39" t="s">
        <v>5123</v>
      </c>
      <c r="G105" s="39" t="s">
        <v>4866</v>
      </c>
      <c r="H105" s="39" t="s">
        <v>5124</v>
      </c>
      <c r="I105" s="148" t="s">
        <v>18</v>
      </c>
      <c r="J105" s="147"/>
      <c r="K105" s="147"/>
      <c r="L105" s="147"/>
      <c r="M105" s="147"/>
      <c r="N105" s="147"/>
      <c r="O105" s="147"/>
      <c r="P105" s="147"/>
      <c r="Q105" s="147"/>
      <c r="R105" s="147"/>
      <c r="S105" s="147"/>
      <c r="T105" s="147"/>
      <c r="U105" s="147"/>
      <c r="V105" s="147"/>
      <c r="W105" s="147"/>
      <c r="X105" s="147"/>
      <c r="Y105" s="147"/>
      <c r="Z105" s="147"/>
    </row>
    <row r="106">
      <c r="A106" s="38" t="s">
        <v>866</v>
      </c>
      <c r="B106" s="39" t="s">
        <v>4773</v>
      </c>
      <c r="C106" s="39" t="s">
        <v>5125</v>
      </c>
      <c r="D106" s="39" t="s">
        <v>5126</v>
      </c>
      <c r="E106" s="39" t="s">
        <v>5127</v>
      </c>
      <c r="F106" s="39" t="s">
        <v>4871</v>
      </c>
      <c r="G106" s="39" t="s">
        <v>4872</v>
      </c>
      <c r="H106" s="39" t="s">
        <v>4873</v>
      </c>
      <c r="I106" s="148" t="s">
        <v>18</v>
      </c>
      <c r="J106" s="147"/>
      <c r="K106" s="147"/>
      <c r="L106" s="147"/>
      <c r="M106" s="147"/>
      <c r="N106" s="147"/>
      <c r="O106" s="147"/>
      <c r="P106" s="147"/>
      <c r="Q106" s="147"/>
      <c r="R106" s="147"/>
      <c r="S106" s="147"/>
      <c r="T106" s="147"/>
      <c r="U106" s="147"/>
      <c r="V106" s="147"/>
      <c r="W106" s="147"/>
      <c r="X106" s="147"/>
      <c r="Y106" s="147"/>
      <c r="Z106" s="147"/>
    </row>
    <row r="107">
      <c r="A107" s="38" t="s">
        <v>869</v>
      </c>
      <c r="B107" s="39" t="s">
        <v>4773</v>
      </c>
      <c r="C107" s="39" t="s">
        <v>5128</v>
      </c>
      <c r="D107" s="39" t="s">
        <v>5129</v>
      </c>
      <c r="E107" s="39" t="s">
        <v>5130</v>
      </c>
      <c r="F107" s="39" t="s">
        <v>4831</v>
      </c>
      <c r="G107" s="39" t="s">
        <v>4832</v>
      </c>
      <c r="H107" s="39" t="s">
        <v>4858</v>
      </c>
      <c r="I107" s="148" t="s">
        <v>18</v>
      </c>
      <c r="J107" s="147"/>
      <c r="K107" s="147"/>
      <c r="L107" s="147"/>
      <c r="M107" s="147"/>
      <c r="N107" s="147"/>
      <c r="O107" s="147"/>
      <c r="P107" s="147"/>
      <c r="Q107" s="147"/>
      <c r="R107" s="147"/>
      <c r="S107" s="147"/>
      <c r="T107" s="147"/>
      <c r="U107" s="147"/>
      <c r="V107" s="147"/>
      <c r="W107" s="147"/>
      <c r="X107" s="147"/>
      <c r="Y107" s="147"/>
      <c r="Z107" s="147"/>
    </row>
    <row r="108">
      <c r="A108" s="38" t="s">
        <v>872</v>
      </c>
      <c r="B108" s="39" t="s">
        <v>4773</v>
      </c>
      <c r="C108" s="39" t="s">
        <v>5131</v>
      </c>
      <c r="D108" s="39" t="s">
        <v>5132</v>
      </c>
      <c r="E108" s="39" t="s">
        <v>4864</v>
      </c>
      <c r="F108" s="39" t="s">
        <v>4852</v>
      </c>
      <c r="G108" s="39" t="s">
        <v>4853</v>
      </c>
      <c r="H108" s="39" t="s">
        <v>5133</v>
      </c>
      <c r="I108" s="148" t="s">
        <v>18</v>
      </c>
      <c r="J108" s="147"/>
      <c r="K108" s="147"/>
      <c r="L108" s="147"/>
      <c r="M108" s="147"/>
      <c r="N108" s="147"/>
      <c r="O108" s="147"/>
      <c r="P108" s="147"/>
      <c r="Q108" s="147"/>
      <c r="R108" s="147"/>
      <c r="S108" s="147"/>
      <c r="T108" s="147"/>
      <c r="U108" s="147"/>
      <c r="V108" s="147"/>
      <c r="W108" s="147"/>
      <c r="X108" s="147"/>
      <c r="Y108" s="147"/>
      <c r="Z108" s="147"/>
    </row>
    <row r="109">
      <c r="A109" s="38" t="s">
        <v>875</v>
      </c>
      <c r="B109" s="39" t="s">
        <v>4773</v>
      </c>
      <c r="C109" s="39" t="s">
        <v>5134</v>
      </c>
      <c r="D109" s="39" t="s">
        <v>5135</v>
      </c>
      <c r="E109" s="39" t="s">
        <v>5136</v>
      </c>
      <c r="F109" s="39" t="s">
        <v>4831</v>
      </c>
      <c r="G109" s="39" t="s">
        <v>4832</v>
      </c>
      <c r="H109" s="39" t="s">
        <v>4858</v>
      </c>
      <c r="I109" s="148" t="s">
        <v>18</v>
      </c>
      <c r="J109" s="147"/>
      <c r="K109" s="147"/>
      <c r="L109" s="147"/>
      <c r="M109" s="147"/>
      <c r="N109" s="147"/>
      <c r="O109" s="147"/>
      <c r="P109" s="147"/>
      <c r="Q109" s="147"/>
      <c r="R109" s="147"/>
      <c r="S109" s="147"/>
      <c r="T109" s="147"/>
      <c r="U109" s="147"/>
      <c r="V109" s="147"/>
      <c r="W109" s="147"/>
      <c r="X109" s="147"/>
      <c r="Y109" s="147"/>
      <c r="Z109" s="147"/>
    </row>
    <row r="110">
      <c r="A110" s="38" t="s">
        <v>879</v>
      </c>
      <c r="B110" s="39" t="s">
        <v>4773</v>
      </c>
      <c r="C110" s="39" t="s">
        <v>5137</v>
      </c>
      <c r="D110" s="39" t="s">
        <v>5138</v>
      </c>
      <c r="E110" s="39" t="s">
        <v>4864</v>
      </c>
      <c r="F110" s="39" t="s">
        <v>4852</v>
      </c>
      <c r="G110" s="39" t="s">
        <v>4853</v>
      </c>
      <c r="H110" s="39" t="s">
        <v>4885</v>
      </c>
      <c r="I110" s="148" t="s">
        <v>18</v>
      </c>
      <c r="J110" s="147"/>
      <c r="K110" s="147"/>
      <c r="L110" s="147"/>
      <c r="M110" s="147"/>
      <c r="N110" s="147"/>
      <c r="O110" s="147"/>
      <c r="P110" s="147"/>
      <c r="Q110" s="147"/>
      <c r="R110" s="147"/>
      <c r="S110" s="147"/>
      <c r="T110" s="147"/>
      <c r="U110" s="147"/>
      <c r="V110" s="147"/>
      <c r="W110" s="147"/>
      <c r="X110" s="147"/>
      <c r="Y110" s="147"/>
      <c r="Z110" s="147"/>
    </row>
    <row r="111">
      <c r="A111" s="38" t="s">
        <v>882</v>
      </c>
      <c r="B111" s="39" t="s">
        <v>4773</v>
      </c>
      <c r="C111" s="39" t="s">
        <v>5139</v>
      </c>
      <c r="D111" s="39" t="s">
        <v>5140</v>
      </c>
      <c r="E111" s="39" t="s">
        <v>5141</v>
      </c>
      <c r="F111" s="39" t="s">
        <v>4831</v>
      </c>
      <c r="G111" s="39" t="s">
        <v>4832</v>
      </c>
      <c r="H111" s="39" t="s">
        <v>5142</v>
      </c>
      <c r="I111" s="148" t="s">
        <v>18</v>
      </c>
      <c r="J111" s="147"/>
      <c r="K111" s="147"/>
      <c r="L111" s="147"/>
      <c r="M111" s="147"/>
      <c r="N111" s="147"/>
      <c r="O111" s="147"/>
      <c r="P111" s="147"/>
      <c r="Q111" s="147"/>
      <c r="R111" s="147"/>
      <c r="S111" s="147"/>
      <c r="T111" s="147"/>
      <c r="U111" s="147"/>
      <c r="V111" s="147"/>
      <c r="W111" s="147"/>
      <c r="X111" s="147"/>
      <c r="Y111" s="147"/>
      <c r="Z111" s="147"/>
    </row>
    <row r="112">
      <c r="A112" s="38" t="s">
        <v>886</v>
      </c>
      <c r="B112" s="39" t="s">
        <v>4773</v>
      </c>
      <c r="C112" s="39" t="s">
        <v>4983</v>
      </c>
      <c r="D112" s="39" t="s">
        <v>5143</v>
      </c>
      <c r="E112" s="39" t="s">
        <v>5144</v>
      </c>
      <c r="F112" s="39" t="s">
        <v>4831</v>
      </c>
      <c r="G112" s="39" t="s">
        <v>4847</v>
      </c>
      <c r="H112" s="39" t="s">
        <v>5145</v>
      </c>
      <c r="I112" s="148" t="s">
        <v>18</v>
      </c>
      <c r="J112" s="147"/>
      <c r="K112" s="147"/>
      <c r="L112" s="147"/>
      <c r="M112" s="147"/>
      <c r="N112" s="147"/>
      <c r="O112" s="147"/>
      <c r="P112" s="147"/>
      <c r="Q112" s="147"/>
      <c r="R112" s="147"/>
      <c r="S112" s="147"/>
      <c r="T112" s="147"/>
      <c r="U112" s="147"/>
      <c r="V112" s="147"/>
      <c r="W112" s="147"/>
      <c r="X112" s="147"/>
      <c r="Y112" s="147"/>
      <c r="Z112" s="147"/>
    </row>
    <row r="113">
      <c r="A113" s="38" t="s">
        <v>889</v>
      </c>
      <c r="B113" s="39" t="s">
        <v>4773</v>
      </c>
      <c r="C113" s="39" t="s">
        <v>5146</v>
      </c>
      <c r="D113" s="39" t="s">
        <v>5147</v>
      </c>
      <c r="E113" s="39" t="s">
        <v>4851</v>
      </c>
      <c r="F113" s="39" t="s">
        <v>4852</v>
      </c>
      <c r="G113" s="39" t="s">
        <v>4853</v>
      </c>
      <c r="H113" s="39" t="s">
        <v>5148</v>
      </c>
      <c r="I113" s="148" t="s">
        <v>18</v>
      </c>
      <c r="J113" s="147"/>
      <c r="K113" s="147"/>
      <c r="L113" s="147"/>
      <c r="M113" s="147"/>
      <c r="N113" s="147"/>
      <c r="O113" s="147"/>
      <c r="P113" s="147"/>
      <c r="Q113" s="147"/>
      <c r="R113" s="147"/>
      <c r="S113" s="147"/>
      <c r="T113" s="147"/>
      <c r="U113" s="147"/>
      <c r="V113" s="147"/>
      <c r="W113" s="147"/>
      <c r="X113" s="147"/>
      <c r="Y113" s="147"/>
      <c r="Z113" s="147"/>
    </row>
    <row r="114">
      <c r="A114" s="38" t="s">
        <v>891</v>
      </c>
      <c r="B114" s="39" t="s">
        <v>4773</v>
      </c>
      <c r="C114" s="39" t="s">
        <v>5149</v>
      </c>
      <c r="D114" s="39" t="s">
        <v>5150</v>
      </c>
      <c r="E114" s="39" t="s">
        <v>5151</v>
      </c>
      <c r="F114" s="39" t="s">
        <v>4831</v>
      </c>
      <c r="G114" s="39" t="s">
        <v>4832</v>
      </c>
      <c r="H114" s="39" t="s">
        <v>4858</v>
      </c>
      <c r="I114" s="148" t="s">
        <v>18</v>
      </c>
      <c r="J114" s="147"/>
      <c r="K114" s="147"/>
      <c r="L114" s="147"/>
      <c r="M114" s="147"/>
      <c r="N114" s="147"/>
      <c r="O114" s="147"/>
      <c r="P114" s="147"/>
      <c r="Q114" s="147"/>
      <c r="R114" s="147"/>
      <c r="S114" s="147"/>
      <c r="T114" s="147"/>
      <c r="U114" s="147"/>
      <c r="V114" s="147"/>
      <c r="W114" s="147"/>
      <c r="X114" s="147"/>
      <c r="Y114" s="147"/>
      <c r="Z114" s="147"/>
    </row>
    <row r="115">
      <c r="A115" s="38" t="s">
        <v>893</v>
      </c>
      <c r="B115" s="39" t="s">
        <v>4773</v>
      </c>
      <c r="C115" s="39" t="s">
        <v>4993</v>
      </c>
      <c r="D115" s="39" t="s">
        <v>5152</v>
      </c>
      <c r="E115" s="39" t="s">
        <v>4851</v>
      </c>
      <c r="F115" s="39" t="s">
        <v>4852</v>
      </c>
      <c r="G115" s="39" t="s">
        <v>4853</v>
      </c>
      <c r="H115" s="39" t="s">
        <v>4861</v>
      </c>
      <c r="I115" s="148" t="s">
        <v>18</v>
      </c>
      <c r="J115" s="147"/>
      <c r="K115" s="147"/>
      <c r="L115" s="147"/>
      <c r="M115" s="147"/>
      <c r="N115" s="147"/>
      <c r="O115" s="147"/>
      <c r="P115" s="147"/>
      <c r="Q115" s="147"/>
      <c r="R115" s="147"/>
      <c r="S115" s="147"/>
      <c r="T115" s="147"/>
      <c r="U115" s="147"/>
      <c r="V115" s="147"/>
      <c r="W115" s="147"/>
      <c r="X115" s="147"/>
      <c r="Y115" s="147"/>
      <c r="Z115" s="147"/>
    </row>
    <row r="116">
      <c r="A116" s="38" t="s">
        <v>895</v>
      </c>
      <c r="B116" s="39" t="s">
        <v>4773</v>
      </c>
      <c r="C116" s="39" t="s">
        <v>5153</v>
      </c>
      <c r="D116" s="39" t="s">
        <v>5154</v>
      </c>
      <c r="E116" s="39" t="s">
        <v>4864</v>
      </c>
      <c r="F116" s="39" t="s">
        <v>5155</v>
      </c>
      <c r="G116" s="39" t="s">
        <v>4866</v>
      </c>
      <c r="H116" s="39" t="s">
        <v>5156</v>
      </c>
      <c r="I116" s="148" t="s">
        <v>18</v>
      </c>
      <c r="J116" s="147"/>
      <c r="K116" s="147"/>
      <c r="L116" s="147"/>
      <c r="M116" s="147"/>
      <c r="N116" s="147"/>
      <c r="O116" s="147"/>
      <c r="P116" s="147"/>
      <c r="Q116" s="147"/>
      <c r="R116" s="147"/>
      <c r="S116" s="147"/>
      <c r="T116" s="147"/>
      <c r="U116" s="147"/>
      <c r="V116" s="147"/>
      <c r="W116" s="147"/>
      <c r="X116" s="147"/>
      <c r="Y116" s="147"/>
      <c r="Z116" s="147"/>
    </row>
    <row r="117">
      <c r="A117" s="38" t="s">
        <v>900</v>
      </c>
      <c r="B117" s="39" t="s">
        <v>4773</v>
      </c>
      <c r="C117" s="39" t="s">
        <v>5157</v>
      </c>
      <c r="D117" s="39" t="s">
        <v>5158</v>
      </c>
      <c r="E117" s="39" t="s">
        <v>5159</v>
      </c>
      <c r="F117" s="39" t="s">
        <v>4871</v>
      </c>
      <c r="G117" s="39" t="s">
        <v>4872</v>
      </c>
      <c r="H117" s="39" t="s">
        <v>4873</v>
      </c>
      <c r="I117" s="148" t="s">
        <v>18</v>
      </c>
      <c r="J117" s="147"/>
      <c r="K117" s="147"/>
      <c r="L117" s="147"/>
      <c r="M117" s="147"/>
      <c r="N117" s="147"/>
      <c r="O117" s="147"/>
      <c r="P117" s="147"/>
      <c r="Q117" s="147"/>
      <c r="R117" s="147"/>
      <c r="S117" s="147"/>
      <c r="T117" s="147"/>
      <c r="U117" s="147"/>
      <c r="V117" s="147"/>
      <c r="W117" s="147"/>
      <c r="X117" s="147"/>
      <c r="Y117" s="147"/>
      <c r="Z117" s="147"/>
    </row>
    <row r="118">
      <c r="A118" s="38" t="s">
        <v>903</v>
      </c>
      <c r="B118" s="39" t="s">
        <v>4773</v>
      </c>
      <c r="C118" s="39" t="s">
        <v>5160</v>
      </c>
      <c r="D118" s="39" t="s">
        <v>5161</v>
      </c>
      <c r="E118" s="39" t="s">
        <v>5162</v>
      </c>
      <c r="F118" s="39" t="s">
        <v>4831</v>
      </c>
      <c r="G118" s="39" t="s">
        <v>4832</v>
      </c>
      <c r="H118" s="39" t="s">
        <v>4858</v>
      </c>
      <c r="I118" s="148" t="s">
        <v>18</v>
      </c>
      <c r="J118" s="147"/>
      <c r="K118" s="147"/>
      <c r="L118" s="147"/>
      <c r="M118" s="147"/>
      <c r="N118" s="147"/>
      <c r="O118" s="147"/>
      <c r="P118" s="147"/>
      <c r="Q118" s="147"/>
      <c r="R118" s="147"/>
      <c r="S118" s="147"/>
      <c r="T118" s="147"/>
      <c r="U118" s="147"/>
      <c r="V118" s="147"/>
      <c r="W118" s="147"/>
      <c r="X118" s="147"/>
      <c r="Y118" s="147"/>
      <c r="Z118" s="147"/>
    </row>
    <row r="119">
      <c r="A119" s="38" t="s">
        <v>906</v>
      </c>
      <c r="B119" s="39" t="s">
        <v>4773</v>
      </c>
      <c r="C119" s="39" t="s">
        <v>5163</v>
      </c>
      <c r="D119" s="39" t="s">
        <v>5164</v>
      </c>
      <c r="E119" s="39" t="s">
        <v>4864</v>
      </c>
      <c r="F119" s="39" t="s">
        <v>4852</v>
      </c>
      <c r="G119" s="39" t="s">
        <v>4853</v>
      </c>
      <c r="H119" s="39" t="s">
        <v>5165</v>
      </c>
      <c r="I119" s="148" t="s">
        <v>18</v>
      </c>
      <c r="J119" s="147"/>
      <c r="K119" s="147"/>
      <c r="L119" s="147"/>
      <c r="M119" s="147"/>
      <c r="N119" s="147"/>
      <c r="O119" s="147"/>
      <c r="P119" s="147"/>
      <c r="Q119" s="147"/>
      <c r="R119" s="147"/>
      <c r="S119" s="147"/>
      <c r="T119" s="147"/>
      <c r="U119" s="147"/>
      <c r="V119" s="147"/>
      <c r="W119" s="147"/>
      <c r="X119" s="147"/>
      <c r="Y119" s="147"/>
      <c r="Z119" s="147"/>
    </row>
    <row r="120">
      <c r="A120" s="38" t="s">
        <v>910</v>
      </c>
      <c r="B120" s="39" t="s">
        <v>4773</v>
      </c>
      <c r="C120" s="39" t="s">
        <v>5166</v>
      </c>
      <c r="D120" s="39" t="s">
        <v>5167</v>
      </c>
      <c r="E120" s="39" t="s">
        <v>5168</v>
      </c>
      <c r="F120" s="39" t="s">
        <v>4831</v>
      </c>
      <c r="G120" s="39" t="s">
        <v>4832</v>
      </c>
      <c r="H120" s="39" t="s">
        <v>4858</v>
      </c>
      <c r="I120" s="148" t="s">
        <v>18</v>
      </c>
      <c r="J120" s="147"/>
      <c r="K120" s="147"/>
      <c r="L120" s="147"/>
      <c r="M120" s="147"/>
      <c r="N120" s="147"/>
      <c r="O120" s="147"/>
      <c r="P120" s="147"/>
      <c r="Q120" s="147"/>
      <c r="R120" s="147"/>
      <c r="S120" s="147"/>
      <c r="T120" s="147"/>
      <c r="U120" s="147"/>
      <c r="V120" s="147"/>
      <c r="W120" s="147"/>
      <c r="X120" s="147"/>
      <c r="Y120" s="147"/>
      <c r="Z120" s="147"/>
    </row>
    <row r="121">
      <c r="A121" s="38" t="s">
        <v>914</v>
      </c>
      <c r="B121" s="166" t="s">
        <v>4773</v>
      </c>
      <c r="C121" s="166" t="s">
        <v>5169</v>
      </c>
      <c r="D121" s="166" t="s">
        <v>5170</v>
      </c>
      <c r="E121" s="166" t="s">
        <v>4864</v>
      </c>
      <c r="F121" s="166" t="s">
        <v>4852</v>
      </c>
      <c r="G121" s="166" t="s">
        <v>4853</v>
      </c>
      <c r="H121" s="166" t="s">
        <v>4885</v>
      </c>
      <c r="I121" s="148" t="s">
        <v>18</v>
      </c>
      <c r="J121" s="167"/>
      <c r="K121" s="167"/>
      <c r="L121" s="167"/>
      <c r="M121" s="167"/>
      <c r="N121" s="167"/>
      <c r="O121" s="167"/>
      <c r="P121" s="167"/>
      <c r="Q121" s="167"/>
      <c r="R121" s="167"/>
      <c r="S121" s="167"/>
      <c r="T121" s="167"/>
      <c r="U121" s="167"/>
      <c r="V121" s="167"/>
      <c r="W121" s="167"/>
      <c r="X121" s="167"/>
      <c r="Y121" s="167"/>
      <c r="Z121" s="167"/>
    </row>
    <row r="122">
      <c r="A122" s="168" t="s">
        <v>919</v>
      </c>
      <c r="B122" s="169" t="s">
        <v>4773</v>
      </c>
      <c r="C122" s="170" t="s">
        <v>5171</v>
      </c>
      <c r="D122" s="169" t="s">
        <v>5172</v>
      </c>
      <c r="E122" s="169" t="s">
        <v>5173</v>
      </c>
      <c r="F122" s="169" t="s">
        <v>5174</v>
      </c>
      <c r="G122" s="169" t="s">
        <v>5175</v>
      </c>
      <c r="H122" s="169" t="s">
        <v>5176</v>
      </c>
      <c r="I122" s="148" t="s">
        <v>13</v>
      </c>
      <c r="J122" s="171"/>
      <c r="K122" s="171"/>
      <c r="L122" s="171"/>
      <c r="M122" s="171"/>
      <c r="N122" s="171"/>
      <c r="O122" s="171"/>
      <c r="P122" s="171"/>
      <c r="Q122" s="171"/>
      <c r="R122" s="171"/>
      <c r="S122" s="171"/>
      <c r="T122" s="171"/>
      <c r="U122" s="171"/>
      <c r="V122" s="171"/>
      <c r="W122" s="171"/>
      <c r="X122" s="171"/>
      <c r="Y122" s="171"/>
      <c r="Z122" s="171"/>
    </row>
    <row r="123">
      <c r="A123" s="168" t="s">
        <v>922</v>
      </c>
      <c r="B123" s="172" t="s">
        <v>4773</v>
      </c>
      <c r="C123" s="173" t="s">
        <v>5177</v>
      </c>
      <c r="D123" s="172" t="s">
        <v>5178</v>
      </c>
      <c r="E123" s="172" t="s">
        <v>5173</v>
      </c>
      <c r="F123" s="172" t="s">
        <v>5174</v>
      </c>
      <c r="G123" s="172" t="s">
        <v>5175</v>
      </c>
      <c r="H123" s="172" t="s">
        <v>5176</v>
      </c>
      <c r="I123" s="148" t="s">
        <v>13</v>
      </c>
      <c r="J123" s="171"/>
      <c r="K123" s="171"/>
      <c r="L123" s="171"/>
      <c r="M123" s="171"/>
      <c r="N123" s="171"/>
      <c r="O123" s="171"/>
      <c r="P123" s="171"/>
      <c r="Q123" s="171"/>
      <c r="R123" s="171"/>
      <c r="S123" s="171"/>
      <c r="T123" s="171"/>
      <c r="U123" s="171"/>
      <c r="V123" s="171"/>
      <c r="W123" s="171"/>
      <c r="X123" s="171"/>
      <c r="Y123" s="171"/>
      <c r="Z123" s="171"/>
    </row>
    <row r="124">
      <c r="A124" s="168" t="s">
        <v>925</v>
      </c>
      <c r="B124" s="172" t="s">
        <v>4773</v>
      </c>
      <c r="C124" s="173" t="s">
        <v>5179</v>
      </c>
      <c r="D124" s="172" t="s">
        <v>5180</v>
      </c>
      <c r="E124" s="172" t="s">
        <v>4781</v>
      </c>
      <c r="F124" s="172" t="s">
        <v>4777</v>
      </c>
      <c r="G124" s="172" t="s">
        <v>4778</v>
      </c>
      <c r="H124" s="172" t="s">
        <v>4779</v>
      </c>
      <c r="I124" s="148" t="s">
        <v>13</v>
      </c>
      <c r="J124" s="171"/>
      <c r="K124" s="171"/>
      <c r="L124" s="171"/>
      <c r="M124" s="171"/>
      <c r="N124" s="171"/>
      <c r="O124" s="171"/>
      <c r="P124" s="171"/>
      <c r="Q124" s="171"/>
      <c r="R124" s="171"/>
      <c r="S124" s="171"/>
      <c r="T124" s="171"/>
      <c r="U124" s="171"/>
      <c r="V124" s="171"/>
      <c r="W124" s="171"/>
      <c r="X124" s="171"/>
      <c r="Y124" s="171"/>
      <c r="Z124" s="171"/>
    </row>
    <row r="125">
      <c r="A125" s="168" t="s">
        <v>929</v>
      </c>
      <c r="B125" s="172" t="s">
        <v>4773</v>
      </c>
      <c r="C125" s="173" t="s">
        <v>5181</v>
      </c>
      <c r="D125" s="172" t="s">
        <v>5180</v>
      </c>
      <c r="E125" s="172" t="s">
        <v>4783</v>
      </c>
      <c r="F125" s="172" t="s">
        <v>4784</v>
      </c>
      <c r="G125" s="174" t="s">
        <v>4785</v>
      </c>
      <c r="H125" s="175" t="s">
        <v>2964</v>
      </c>
      <c r="I125" s="148" t="s">
        <v>13</v>
      </c>
      <c r="J125" s="171"/>
      <c r="K125" s="171"/>
      <c r="L125" s="171"/>
      <c r="M125" s="171"/>
      <c r="N125" s="171"/>
      <c r="O125" s="171"/>
      <c r="P125" s="171"/>
      <c r="Q125" s="171"/>
      <c r="R125" s="171"/>
      <c r="S125" s="171"/>
      <c r="T125" s="171"/>
      <c r="U125" s="171"/>
      <c r="V125" s="171"/>
      <c r="W125" s="171"/>
      <c r="X125" s="171"/>
      <c r="Y125" s="171"/>
      <c r="Z125" s="171"/>
    </row>
    <row r="126">
      <c r="A126" s="168" t="s">
        <v>935</v>
      </c>
      <c r="B126" s="172" t="s">
        <v>4773</v>
      </c>
      <c r="C126" s="173" t="s">
        <v>5182</v>
      </c>
      <c r="D126" s="172" t="s">
        <v>5183</v>
      </c>
      <c r="E126" s="172" t="s">
        <v>4783</v>
      </c>
      <c r="F126" s="172" t="s">
        <v>4788</v>
      </c>
      <c r="G126" s="172" t="s">
        <v>4789</v>
      </c>
      <c r="H126" s="175" t="s">
        <v>4790</v>
      </c>
      <c r="I126" s="148" t="s">
        <v>13</v>
      </c>
      <c r="J126" s="171"/>
      <c r="K126" s="171"/>
      <c r="L126" s="171"/>
      <c r="M126" s="171"/>
      <c r="N126" s="171"/>
      <c r="O126" s="171"/>
      <c r="P126" s="171"/>
      <c r="Q126" s="171"/>
      <c r="R126" s="171"/>
      <c r="S126" s="171"/>
      <c r="T126" s="171"/>
      <c r="U126" s="171"/>
      <c r="V126" s="171"/>
      <c r="W126" s="171"/>
      <c r="X126" s="171"/>
      <c r="Y126" s="171"/>
      <c r="Z126" s="171"/>
    </row>
    <row r="127">
      <c r="A127" s="168" t="s">
        <v>938</v>
      </c>
      <c r="B127" s="172" t="s">
        <v>4773</v>
      </c>
      <c r="C127" s="173" t="s">
        <v>5184</v>
      </c>
      <c r="D127" s="172" t="s">
        <v>5185</v>
      </c>
      <c r="E127" s="172" t="s">
        <v>4783</v>
      </c>
      <c r="F127" s="172" t="s">
        <v>4788</v>
      </c>
      <c r="G127" s="172" t="s">
        <v>4789</v>
      </c>
      <c r="H127" s="175" t="s">
        <v>4792</v>
      </c>
      <c r="I127" s="148" t="s">
        <v>13</v>
      </c>
      <c r="J127" s="171"/>
      <c r="K127" s="171"/>
      <c r="L127" s="171"/>
      <c r="M127" s="171"/>
      <c r="N127" s="171"/>
      <c r="O127" s="171"/>
      <c r="P127" s="171"/>
      <c r="Q127" s="171"/>
      <c r="R127" s="171"/>
      <c r="S127" s="171"/>
      <c r="T127" s="171"/>
      <c r="U127" s="171"/>
      <c r="V127" s="171"/>
      <c r="W127" s="171"/>
      <c r="X127" s="171"/>
      <c r="Y127" s="171"/>
      <c r="Z127" s="171"/>
    </row>
    <row r="128">
      <c r="A128" s="38" t="s">
        <v>941</v>
      </c>
      <c r="B128" s="176" t="s">
        <v>4773</v>
      </c>
      <c r="C128" s="111" t="s">
        <v>5186</v>
      </c>
      <c r="D128" s="177" t="s">
        <v>5187</v>
      </c>
      <c r="E128" s="111" t="s">
        <v>5188</v>
      </c>
      <c r="F128" s="178" t="s">
        <v>4796</v>
      </c>
      <c r="G128" s="178" t="s">
        <v>4797</v>
      </c>
      <c r="H128" s="178" t="s">
        <v>4798</v>
      </c>
      <c r="I128" s="148" t="s">
        <v>13</v>
      </c>
      <c r="J128" s="179"/>
      <c r="K128" s="179"/>
      <c r="L128" s="179"/>
      <c r="M128" s="179"/>
      <c r="N128" s="179"/>
      <c r="O128" s="179"/>
      <c r="P128" s="179"/>
      <c r="Q128" s="179"/>
      <c r="R128" s="179"/>
      <c r="S128" s="179"/>
      <c r="T128" s="179"/>
      <c r="U128" s="179"/>
      <c r="V128" s="179"/>
      <c r="W128" s="179"/>
      <c r="X128" s="179"/>
      <c r="Y128" s="179"/>
      <c r="Z128" s="179"/>
    </row>
    <row r="129">
      <c r="A129" s="38" t="s">
        <v>945</v>
      </c>
      <c r="B129" s="176" t="s">
        <v>4773</v>
      </c>
      <c r="C129" s="111" t="s">
        <v>5189</v>
      </c>
      <c r="D129" s="177" t="s">
        <v>5190</v>
      </c>
      <c r="E129" s="111" t="s">
        <v>5191</v>
      </c>
      <c r="F129" s="178" t="s">
        <v>4796</v>
      </c>
      <c r="G129" s="178" t="s">
        <v>4797</v>
      </c>
      <c r="H129" s="178" t="s">
        <v>4798</v>
      </c>
      <c r="I129" s="148" t="s">
        <v>13</v>
      </c>
      <c r="J129" s="147"/>
      <c r="K129" s="147"/>
      <c r="L129" s="147"/>
      <c r="M129" s="147"/>
      <c r="N129" s="147"/>
      <c r="O129" s="147"/>
      <c r="P129" s="147"/>
      <c r="Q129" s="147"/>
      <c r="R129" s="147"/>
      <c r="S129" s="147"/>
      <c r="T129" s="147"/>
      <c r="U129" s="147"/>
      <c r="V129" s="147"/>
      <c r="W129" s="147"/>
      <c r="X129" s="147"/>
      <c r="Y129" s="147"/>
      <c r="Z129" s="147"/>
    </row>
    <row r="130">
      <c r="A130" s="38" t="s">
        <v>948</v>
      </c>
      <c r="B130" s="176" t="s">
        <v>4773</v>
      </c>
      <c r="C130" s="111" t="s">
        <v>5192</v>
      </c>
      <c r="D130" s="176" t="s">
        <v>5193</v>
      </c>
      <c r="E130" s="176" t="s">
        <v>5194</v>
      </c>
      <c r="F130" s="176" t="s">
        <v>4802</v>
      </c>
      <c r="G130" s="176" t="s">
        <v>4803</v>
      </c>
      <c r="H130" s="176" t="s">
        <v>4804</v>
      </c>
      <c r="I130" s="148" t="s">
        <v>4805</v>
      </c>
      <c r="J130" s="147"/>
      <c r="K130" s="147"/>
      <c r="L130" s="147"/>
      <c r="M130" s="147"/>
      <c r="N130" s="147"/>
      <c r="O130" s="147"/>
      <c r="P130" s="147"/>
      <c r="Q130" s="147"/>
      <c r="R130" s="147"/>
      <c r="S130" s="147"/>
      <c r="T130" s="147"/>
      <c r="U130" s="147"/>
      <c r="V130" s="147"/>
      <c r="W130" s="147"/>
      <c r="X130" s="147"/>
      <c r="Y130" s="147"/>
      <c r="Z130" s="147"/>
    </row>
    <row r="131">
      <c r="A131" s="38" t="s">
        <v>951</v>
      </c>
      <c r="B131" s="176" t="s">
        <v>4773</v>
      </c>
      <c r="C131" s="111" t="s">
        <v>5195</v>
      </c>
      <c r="D131" s="176" t="s">
        <v>5196</v>
      </c>
      <c r="E131" s="111" t="s">
        <v>5197</v>
      </c>
      <c r="F131" s="176" t="s">
        <v>4809</v>
      </c>
      <c r="G131" s="176" t="s">
        <v>4810</v>
      </c>
      <c r="H131" s="180" t="s">
        <v>4811</v>
      </c>
      <c r="I131" s="148" t="s">
        <v>4805</v>
      </c>
      <c r="J131" s="147"/>
      <c r="K131" s="147"/>
      <c r="L131" s="147"/>
      <c r="M131" s="147"/>
      <c r="N131" s="147"/>
      <c r="O131" s="147"/>
      <c r="P131" s="147"/>
      <c r="Q131" s="147"/>
      <c r="R131" s="147"/>
      <c r="S131" s="147"/>
      <c r="T131" s="147"/>
      <c r="U131" s="147"/>
      <c r="V131" s="147"/>
      <c r="W131" s="147"/>
      <c r="X131" s="147"/>
      <c r="Y131" s="147"/>
      <c r="Z131" s="147"/>
    </row>
    <row r="132">
      <c r="A132" s="55" t="s">
        <v>954</v>
      </c>
      <c r="B132" s="176" t="s">
        <v>4773</v>
      </c>
      <c r="C132" s="111" t="s">
        <v>5198</v>
      </c>
      <c r="D132" s="111" t="s">
        <v>5199</v>
      </c>
      <c r="E132" s="111" t="s">
        <v>5200</v>
      </c>
      <c r="F132" s="176" t="s">
        <v>4815</v>
      </c>
      <c r="G132" s="176" t="s">
        <v>4816</v>
      </c>
      <c r="H132" s="181" t="s">
        <v>4817</v>
      </c>
      <c r="I132" s="148" t="s">
        <v>4805</v>
      </c>
      <c r="J132" s="147"/>
      <c r="K132" s="147"/>
      <c r="L132" s="147"/>
      <c r="M132" s="147"/>
      <c r="N132" s="147"/>
      <c r="O132" s="147"/>
      <c r="P132" s="147"/>
      <c r="Q132" s="147"/>
      <c r="R132" s="147"/>
      <c r="S132" s="147"/>
      <c r="T132" s="147"/>
      <c r="U132" s="147"/>
      <c r="V132" s="147"/>
      <c r="W132" s="147"/>
      <c r="X132" s="147"/>
      <c r="Y132" s="147"/>
      <c r="Z132" s="147"/>
    </row>
    <row r="133">
      <c r="A133" s="38" t="s">
        <v>957</v>
      </c>
      <c r="B133" s="176" t="s">
        <v>4773</v>
      </c>
      <c r="C133" s="176" t="s">
        <v>5201</v>
      </c>
      <c r="D133" s="176" t="s">
        <v>5202</v>
      </c>
      <c r="E133" s="176" t="s">
        <v>5203</v>
      </c>
      <c r="F133" s="181" t="s">
        <v>4815</v>
      </c>
      <c r="G133" s="181" t="s">
        <v>4826</v>
      </c>
      <c r="H133" s="182" t="s">
        <v>4827</v>
      </c>
      <c r="I133" s="148" t="s">
        <v>4805</v>
      </c>
      <c r="J133" s="147"/>
      <c r="K133" s="147"/>
      <c r="L133" s="147"/>
      <c r="M133" s="147"/>
      <c r="N133" s="147"/>
      <c r="O133" s="147"/>
      <c r="P133" s="147"/>
      <c r="Q133" s="147"/>
      <c r="R133" s="147"/>
      <c r="S133" s="147"/>
      <c r="T133" s="147"/>
      <c r="U133" s="147"/>
      <c r="V133" s="147"/>
      <c r="W133" s="147"/>
      <c r="X133" s="147"/>
      <c r="Y133" s="147"/>
      <c r="Z133" s="147"/>
    </row>
    <row r="134">
      <c r="A134" s="38" t="s">
        <v>960</v>
      </c>
      <c r="B134" s="176" t="s">
        <v>4773</v>
      </c>
      <c r="C134" s="176" t="s">
        <v>5204</v>
      </c>
      <c r="D134" s="176" t="s">
        <v>5205</v>
      </c>
      <c r="E134" s="176" t="s">
        <v>5206</v>
      </c>
      <c r="F134" s="176" t="s">
        <v>4831</v>
      </c>
      <c r="G134" s="176" t="s">
        <v>4832</v>
      </c>
      <c r="H134" s="176" t="s">
        <v>5207</v>
      </c>
      <c r="I134" s="148" t="s">
        <v>4805</v>
      </c>
      <c r="J134" s="147"/>
      <c r="K134" s="147"/>
      <c r="L134" s="147"/>
      <c r="M134" s="147"/>
      <c r="N134" s="147"/>
      <c r="O134" s="147"/>
      <c r="P134" s="147"/>
      <c r="Q134" s="147"/>
      <c r="R134" s="147"/>
      <c r="S134" s="147"/>
      <c r="T134" s="147"/>
      <c r="U134" s="147"/>
      <c r="V134" s="147"/>
      <c r="W134" s="147"/>
      <c r="X134" s="147"/>
      <c r="Y134" s="147"/>
      <c r="Z134" s="147"/>
    </row>
    <row r="135">
      <c r="A135" s="38" t="s">
        <v>965</v>
      </c>
      <c r="B135" s="176" t="s">
        <v>4773</v>
      </c>
      <c r="C135" s="176" t="s">
        <v>5208</v>
      </c>
      <c r="D135" s="176" t="s">
        <v>5209</v>
      </c>
      <c r="E135" s="176" t="s">
        <v>5210</v>
      </c>
      <c r="F135" s="176" t="s">
        <v>4831</v>
      </c>
      <c r="G135" s="183" t="s">
        <v>4832</v>
      </c>
      <c r="H135" s="183" t="s">
        <v>5211</v>
      </c>
      <c r="I135" s="148" t="s">
        <v>4805</v>
      </c>
      <c r="J135" s="147"/>
      <c r="K135" s="147"/>
      <c r="L135" s="147"/>
      <c r="M135" s="147"/>
      <c r="N135" s="147"/>
      <c r="O135" s="147"/>
      <c r="P135" s="147"/>
      <c r="Q135" s="147"/>
      <c r="R135" s="147"/>
      <c r="S135" s="147"/>
      <c r="T135" s="147"/>
      <c r="U135" s="147"/>
      <c r="V135" s="147"/>
      <c r="W135" s="147"/>
      <c r="X135" s="147"/>
      <c r="Y135" s="147"/>
      <c r="Z135" s="147"/>
    </row>
    <row r="136">
      <c r="A136" s="38" t="s">
        <v>968</v>
      </c>
      <c r="B136" s="176" t="s">
        <v>4773</v>
      </c>
      <c r="C136" s="176" t="s">
        <v>4844</v>
      </c>
      <c r="D136" s="176" t="s">
        <v>5212</v>
      </c>
      <c r="E136" s="176" t="s">
        <v>5213</v>
      </c>
      <c r="F136" s="176" t="s">
        <v>4831</v>
      </c>
      <c r="G136" s="176" t="s">
        <v>4847</v>
      </c>
      <c r="H136" s="176" t="s">
        <v>5214</v>
      </c>
      <c r="I136" s="148" t="s">
        <v>4805</v>
      </c>
      <c r="J136" s="147"/>
      <c r="K136" s="147"/>
      <c r="L136" s="147"/>
      <c r="M136" s="147"/>
      <c r="N136" s="147"/>
      <c r="O136" s="147"/>
      <c r="P136" s="147"/>
      <c r="Q136" s="147"/>
      <c r="R136" s="147"/>
      <c r="S136" s="147"/>
      <c r="T136" s="147"/>
      <c r="U136" s="147"/>
      <c r="V136" s="147"/>
      <c r="W136" s="147"/>
      <c r="X136" s="147"/>
      <c r="Y136" s="147"/>
      <c r="Z136" s="147"/>
    </row>
    <row r="137">
      <c r="A137" s="38" t="s">
        <v>1307</v>
      </c>
      <c r="B137" s="176" t="s">
        <v>4773</v>
      </c>
      <c r="C137" s="176" t="s">
        <v>4849</v>
      </c>
      <c r="D137" s="176" t="s">
        <v>5215</v>
      </c>
      <c r="E137" s="176" t="s">
        <v>4851</v>
      </c>
      <c r="F137" s="176" t="s">
        <v>4852</v>
      </c>
      <c r="G137" s="176" t="s">
        <v>4853</v>
      </c>
      <c r="H137" s="176" t="s">
        <v>5216</v>
      </c>
      <c r="I137" s="148" t="s">
        <v>4805</v>
      </c>
      <c r="J137" s="147"/>
      <c r="K137" s="147"/>
      <c r="L137" s="147"/>
      <c r="M137" s="147"/>
      <c r="N137" s="147"/>
      <c r="O137" s="147"/>
      <c r="P137" s="147"/>
      <c r="Q137" s="147"/>
      <c r="R137" s="147"/>
      <c r="S137" s="147"/>
      <c r="T137" s="147"/>
      <c r="U137" s="147"/>
      <c r="V137" s="147"/>
      <c r="W137" s="147"/>
      <c r="X137" s="147"/>
      <c r="Y137" s="147"/>
      <c r="Z137" s="147"/>
    </row>
    <row r="138">
      <c r="A138" s="38" t="s">
        <v>1308</v>
      </c>
      <c r="B138" s="176" t="s">
        <v>4773</v>
      </c>
      <c r="C138" s="176" t="s">
        <v>5217</v>
      </c>
      <c r="D138" s="111" t="s">
        <v>5218</v>
      </c>
      <c r="E138" s="111" t="s">
        <v>5219</v>
      </c>
      <c r="F138" s="176" t="s">
        <v>4831</v>
      </c>
      <c r="G138" s="176" t="s">
        <v>4832</v>
      </c>
      <c r="H138" s="176" t="s">
        <v>4858</v>
      </c>
      <c r="I138" s="148" t="s">
        <v>4805</v>
      </c>
      <c r="J138" s="147"/>
      <c r="K138" s="147"/>
      <c r="L138" s="147"/>
      <c r="M138" s="147"/>
      <c r="N138" s="147"/>
      <c r="O138" s="147"/>
      <c r="P138" s="147"/>
      <c r="Q138" s="147"/>
      <c r="R138" s="147"/>
      <c r="S138" s="147"/>
      <c r="T138" s="147"/>
      <c r="U138" s="147"/>
      <c r="V138" s="147"/>
      <c r="W138" s="147"/>
      <c r="X138" s="147"/>
      <c r="Y138" s="147"/>
      <c r="Z138" s="147"/>
    </row>
    <row r="139">
      <c r="A139" s="38" t="s">
        <v>1309</v>
      </c>
      <c r="B139" s="176" t="s">
        <v>4773</v>
      </c>
      <c r="C139" s="176" t="s">
        <v>4859</v>
      </c>
      <c r="D139" s="176" t="s">
        <v>5220</v>
      </c>
      <c r="E139" s="176" t="s">
        <v>4851</v>
      </c>
      <c r="F139" s="176" t="s">
        <v>4852</v>
      </c>
      <c r="G139" s="176" t="s">
        <v>4853</v>
      </c>
      <c r="H139" s="176" t="s">
        <v>4861</v>
      </c>
      <c r="I139" s="148" t="s">
        <v>4805</v>
      </c>
      <c r="J139" s="147"/>
      <c r="K139" s="147"/>
      <c r="L139" s="147"/>
      <c r="M139" s="147"/>
      <c r="N139" s="147"/>
      <c r="O139" s="147"/>
      <c r="P139" s="147"/>
      <c r="Q139" s="147"/>
      <c r="R139" s="147"/>
      <c r="S139" s="147"/>
      <c r="T139" s="147"/>
      <c r="U139" s="147"/>
      <c r="V139" s="147"/>
      <c r="W139" s="147"/>
      <c r="X139" s="147"/>
      <c r="Y139" s="147"/>
      <c r="Z139" s="147"/>
    </row>
    <row r="140">
      <c r="A140" s="38" t="s">
        <v>1310</v>
      </c>
      <c r="B140" s="176" t="s">
        <v>4773</v>
      </c>
      <c r="C140" s="176" t="s">
        <v>5221</v>
      </c>
      <c r="D140" s="176" t="s">
        <v>5222</v>
      </c>
      <c r="E140" s="176" t="s">
        <v>4864</v>
      </c>
      <c r="F140" s="176" t="s">
        <v>5223</v>
      </c>
      <c r="G140" s="176" t="s">
        <v>4866</v>
      </c>
      <c r="H140" s="176" t="s">
        <v>5224</v>
      </c>
      <c r="I140" s="148" t="s">
        <v>4805</v>
      </c>
      <c r="J140" s="147"/>
      <c r="K140" s="147"/>
      <c r="L140" s="147"/>
      <c r="M140" s="147"/>
      <c r="N140" s="147"/>
      <c r="O140" s="147"/>
      <c r="P140" s="147"/>
      <c r="Q140" s="147"/>
      <c r="R140" s="147"/>
      <c r="S140" s="147"/>
      <c r="T140" s="147"/>
      <c r="U140" s="147"/>
      <c r="V140" s="147"/>
      <c r="W140" s="147"/>
      <c r="X140" s="147"/>
      <c r="Y140" s="147"/>
      <c r="Z140" s="147"/>
    </row>
    <row r="141">
      <c r="A141" s="38" t="s">
        <v>1311</v>
      </c>
      <c r="B141" s="176" t="s">
        <v>4773</v>
      </c>
      <c r="C141" s="176" t="s">
        <v>5225</v>
      </c>
      <c r="D141" s="176" t="s">
        <v>5226</v>
      </c>
      <c r="E141" s="176" t="s">
        <v>5227</v>
      </c>
      <c r="F141" s="176" t="s">
        <v>4871</v>
      </c>
      <c r="G141" s="176" t="s">
        <v>4872</v>
      </c>
      <c r="H141" s="176" t="s">
        <v>4873</v>
      </c>
      <c r="I141" s="148" t="s">
        <v>4805</v>
      </c>
      <c r="J141" s="147"/>
      <c r="K141" s="147"/>
      <c r="L141" s="147"/>
      <c r="M141" s="147"/>
      <c r="N141" s="147"/>
      <c r="O141" s="147"/>
      <c r="P141" s="147"/>
      <c r="Q141" s="147"/>
      <c r="R141" s="147"/>
      <c r="S141" s="147"/>
      <c r="T141" s="147"/>
      <c r="U141" s="147"/>
      <c r="V141" s="147"/>
      <c r="W141" s="147"/>
      <c r="X141" s="147"/>
      <c r="Y141" s="147"/>
      <c r="Z141" s="147"/>
    </row>
    <row r="142">
      <c r="A142" s="38" t="s">
        <v>1313</v>
      </c>
      <c r="B142" s="176" t="s">
        <v>4773</v>
      </c>
      <c r="C142" s="176" t="s">
        <v>5228</v>
      </c>
      <c r="D142" s="176" t="s">
        <v>5229</v>
      </c>
      <c r="E142" s="176" t="s">
        <v>5230</v>
      </c>
      <c r="F142" s="176" t="s">
        <v>4831</v>
      </c>
      <c r="G142" s="176" t="s">
        <v>4832</v>
      </c>
      <c r="H142" s="176" t="s">
        <v>4858</v>
      </c>
      <c r="I142" s="148" t="s">
        <v>4805</v>
      </c>
      <c r="J142" s="147"/>
      <c r="K142" s="147"/>
      <c r="L142" s="147"/>
      <c r="M142" s="147"/>
      <c r="N142" s="147"/>
      <c r="O142" s="147"/>
      <c r="P142" s="147"/>
      <c r="Q142" s="147"/>
      <c r="R142" s="147"/>
      <c r="S142" s="147"/>
      <c r="T142" s="147"/>
      <c r="U142" s="147"/>
      <c r="V142" s="147"/>
      <c r="W142" s="147"/>
      <c r="X142" s="147"/>
      <c r="Y142" s="147"/>
      <c r="Z142" s="147"/>
    </row>
    <row r="143">
      <c r="A143" s="38" t="s">
        <v>1315</v>
      </c>
      <c r="B143" s="176" t="s">
        <v>4773</v>
      </c>
      <c r="C143" s="176" t="s">
        <v>5231</v>
      </c>
      <c r="D143" s="176" t="s">
        <v>5232</v>
      </c>
      <c r="E143" s="176" t="s">
        <v>4864</v>
      </c>
      <c r="F143" s="176" t="s">
        <v>4852</v>
      </c>
      <c r="G143" s="176" t="s">
        <v>4853</v>
      </c>
      <c r="H143" s="176" t="s">
        <v>5233</v>
      </c>
      <c r="I143" s="148" t="s">
        <v>4805</v>
      </c>
      <c r="J143" s="147"/>
      <c r="K143" s="147"/>
      <c r="L143" s="147"/>
      <c r="M143" s="147"/>
      <c r="N143" s="147"/>
      <c r="O143" s="147"/>
      <c r="P143" s="147"/>
      <c r="Q143" s="147"/>
      <c r="R143" s="147"/>
      <c r="S143" s="147"/>
      <c r="T143" s="147"/>
      <c r="U143" s="147"/>
      <c r="V143" s="147"/>
      <c r="W143" s="147"/>
      <c r="X143" s="147"/>
      <c r="Y143" s="147"/>
      <c r="Z143" s="147"/>
    </row>
    <row r="144">
      <c r="A144" s="38" t="s">
        <v>1319</v>
      </c>
      <c r="B144" s="176" t="s">
        <v>4773</v>
      </c>
      <c r="C144" s="176" t="s">
        <v>5234</v>
      </c>
      <c r="D144" s="176" t="s">
        <v>5235</v>
      </c>
      <c r="E144" s="176" t="s">
        <v>5236</v>
      </c>
      <c r="F144" s="176" t="s">
        <v>4831</v>
      </c>
      <c r="G144" s="176" t="s">
        <v>4832</v>
      </c>
      <c r="H144" s="176" t="s">
        <v>4858</v>
      </c>
      <c r="I144" s="148" t="s">
        <v>4805</v>
      </c>
      <c r="J144" s="147"/>
      <c r="K144" s="147"/>
      <c r="L144" s="147"/>
      <c r="M144" s="147"/>
      <c r="N144" s="147"/>
      <c r="O144" s="147"/>
      <c r="P144" s="147"/>
      <c r="Q144" s="147"/>
      <c r="R144" s="147"/>
      <c r="S144" s="147"/>
      <c r="T144" s="147"/>
      <c r="U144" s="147"/>
      <c r="V144" s="147"/>
      <c r="W144" s="147"/>
      <c r="X144" s="147"/>
      <c r="Y144" s="147"/>
      <c r="Z144" s="147"/>
    </row>
    <row r="145">
      <c r="A145" s="38" t="s">
        <v>1321</v>
      </c>
      <c r="B145" s="176" t="s">
        <v>4773</v>
      </c>
      <c r="C145" s="176" t="s">
        <v>5237</v>
      </c>
      <c r="D145" s="176" t="s">
        <v>5238</v>
      </c>
      <c r="E145" s="176" t="s">
        <v>4864</v>
      </c>
      <c r="F145" s="176" t="s">
        <v>4852</v>
      </c>
      <c r="G145" s="176" t="s">
        <v>4853</v>
      </c>
      <c r="H145" s="176" t="s">
        <v>4885</v>
      </c>
      <c r="I145" s="148" t="s">
        <v>4805</v>
      </c>
      <c r="J145" s="147"/>
      <c r="K145" s="147"/>
      <c r="L145" s="147"/>
      <c r="M145" s="147"/>
      <c r="N145" s="147"/>
      <c r="O145" s="147"/>
      <c r="P145" s="147"/>
      <c r="Q145" s="147"/>
      <c r="R145" s="147"/>
      <c r="S145" s="147"/>
      <c r="T145" s="147"/>
      <c r="U145" s="147"/>
      <c r="V145" s="147"/>
      <c r="W145" s="147"/>
      <c r="X145" s="147"/>
      <c r="Y145" s="147"/>
      <c r="Z145" s="147"/>
    </row>
    <row r="146">
      <c r="A146" s="38" t="s">
        <v>1323</v>
      </c>
      <c r="B146" s="176" t="s">
        <v>4773</v>
      </c>
      <c r="C146" s="111" t="s">
        <v>5239</v>
      </c>
      <c r="D146" s="176" t="s">
        <v>5240</v>
      </c>
      <c r="E146" s="176" t="s">
        <v>5241</v>
      </c>
      <c r="F146" s="181" t="s">
        <v>4815</v>
      </c>
      <c r="G146" s="147"/>
      <c r="H146" s="147"/>
      <c r="I146" s="148" t="s">
        <v>4805</v>
      </c>
      <c r="J146" s="147"/>
      <c r="K146" s="147"/>
      <c r="L146" s="147"/>
      <c r="M146" s="147"/>
      <c r="N146" s="147"/>
      <c r="O146" s="147"/>
      <c r="P146" s="147"/>
      <c r="Q146" s="147"/>
      <c r="R146" s="147"/>
      <c r="S146" s="147"/>
      <c r="T146" s="147"/>
      <c r="U146" s="147"/>
      <c r="V146" s="147"/>
      <c r="W146" s="147"/>
      <c r="X146" s="147"/>
      <c r="Y146" s="147"/>
      <c r="Z146" s="147"/>
    </row>
    <row r="147">
      <c r="A147" s="38" t="s">
        <v>1324</v>
      </c>
      <c r="B147" s="176" t="s">
        <v>4773</v>
      </c>
      <c r="C147" s="111" t="s">
        <v>5242</v>
      </c>
      <c r="D147" s="176" t="s">
        <v>5243</v>
      </c>
      <c r="E147" s="176" t="s">
        <v>5244</v>
      </c>
      <c r="F147" s="176" t="s">
        <v>4831</v>
      </c>
      <c r="G147" s="147"/>
      <c r="H147" s="147"/>
      <c r="I147" s="148" t="s">
        <v>4805</v>
      </c>
      <c r="J147" s="147"/>
      <c r="K147" s="147"/>
      <c r="L147" s="147"/>
      <c r="M147" s="147"/>
      <c r="N147" s="147"/>
      <c r="O147" s="147"/>
      <c r="P147" s="147"/>
      <c r="Q147" s="147"/>
      <c r="R147" s="147"/>
      <c r="S147" s="147"/>
      <c r="T147" s="147"/>
      <c r="U147" s="147"/>
      <c r="V147" s="147"/>
      <c r="W147" s="147"/>
      <c r="X147" s="147"/>
      <c r="Y147" s="147"/>
      <c r="Z147" s="147"/>
    </row>
    <row r="148">
      <c r="A148" s="38" t="s">
        <v>1327</v>
      </c>
      <c r="B148" s="176" t="s">
        <v>4773</v>
      </c>
      <c r="C148" s="111" t="s">
        <v>5245</v>
      </c>
      <c r="D148" s="176" t="s">
        <v>5246</v>
      </c>
      <c r="E148" s="176" t="s">
        <v>5247</v>
      </c>
      <c r="F148" s="176" t="s">
        <v>4831</v>
      </c>
      <c r="G148" s="147"/>
      <c r="H148" s="147"/>
      <c r="I148" s="148" t="s">
        <v>4805</v>
      </c>
      <c r="J148" s="147"/>
      <c r="K148" s="147"/>
      <c r="L148" s="147"/>
      <c r="M148" s="147"/>
      <c r="N148" s="147"/>
      <c r="O148" s="147"/>
      <c r="P148" s="147"/>
      <c r="Q148" s="147"/>
      <c r="R148" s="147"/>
      <c r="S148" s="147"/>
      <c r="T148" s="147"/>
      <c r="U148" s="147"/>
      <c r="V148" s="147"/>
      <c r="W148" s="147"/>
      <c r="X148" s="147"/>
      <c r="Y148" s="147"/>
      <c r="Z148" s="147"/>
    </row>
    <row r="149">
      <c r="A149" s="38" t="s">
        <v>1329</v>
      </c>
      <c r="B149" s="176" t="s">
        <v>4773</v>
      </c>
      <c r="C149" s="111" t="s">
        <v>5248</v>
      </c>
      <c r="D149" s="176" t="s">
        <v>5249</v>
      </c>
      <c r="E149" s="176" t="s">
        <v>5250</v>
      </c>
      <c r="F149" s="176" t="s">
        <v>4831</v>
      </c>
      <c r="G149" s="147"/>
      <c r="H149" s="147"/>
      <c r="I149" s="148" t="s">
        <v>4805</v>
      </c>
      <c r="J149" s="147"/>
      <c r="K149" s="147"/>
      <c r="L149" s="147"/>
      <c r="M149" s="147"/>
      <c r="N149" s="147"/>
      <c r="O149" s="147"/>
      <c r="P149" s="147"/>
      <c r="Q149" s="147"/>
      <c r="R149" s="147"/>
      <c r="S149" s="147"/>
      <c r="T149" s="147"/>
      <c r="U149" s="147"/>
      <c r="V149" s="147"/>
      <c r="W149" s="147"/>
      <c r="X149" s="147"/>
      <c r="Y149" s="147"/>
      <c r="Z149" s="147"/>
    </row>
    <row r="150">
      <c r="A150" s="38" t="s">
        <v>1331</v>
      </c>
      <c r="B150" s="176" t="s">
        <v>4773</v>
      </c>
      <c r="C150" s="111" t="s">
        <v>5251</v>
      </c>
      <c r="D150" s="176" t="s">
        <v>5252</v>
      </c>
      <c r="E150" s="176" t="s">
        <v>4851</v>
      </c>
      <c r="F150" s="176" t="s">
        <v>4852</v>
      </c>
      <c r="G150" s="147"/>
      <c r="H150" s="147"/>
      <c r="I150" s="148" t="s">
        <v>4805</v>
      </c>
      <c r="J150" s="147"/>
      <c r="K150" s="147"/>
      <c r="L150" s="147"/>
      <c r="M150" s="147"/>
      <c r="N150" s="147"/>
      <c r="O150" s="147"/>
      <c r="P150" s="147"/>
      <c r="Q150" s="147"/>
      <c r="R150" s="147"/>
      <c r="S150" s="147"/>
      <c r="T150" s="147"/>
      <c r="U150" s="147"/>
      <c r="V150" s="147"/>
      <c r="W150" s="147"/>
      <c r="X150" s="147"/>
      <c r="Y150" s="147"/>
      <c r="Z150" s="147"/>
    </row>
    <row r="151">
      <c r="A151" s="38" t="s">
        <v>1333</v>
      </c>
      <c r="B151" s="176" t="s">
        <v>4773</v>
      </c>
      <c r="C151" s="111" t="s">
        <v>5253</v>
      </c>
      <c r="D151" s="111" t="s">
        <v>5254</v>
      </c>
      <c r="E151" s="111" t="s">
        <v>5255</v>
      </c>
      <c r="F151" s="176" t="s">
        <v>4831</v>
      </c>
      <c r="G151" s="147"/>
      <c r="H151" s="147"/>
      <c r="I151" s="148" t="s">
        <v>4805</v>
      </c>
      <c r="J151" s="147"/>
      <c r="K151" s="147"/>
      <c r="L151" s="147"/>
      <c r="M151" s="147"/>
      <c r="N151" s="147"/>
      <c r="O151" s="147"/>
      <c r="P151" s="147"/>
      <c r="Q151" s="147"/>
      <c r="R151" s="147"/>
      <c r="S151" s="147"/>
      <c r="T151" s="147"/>
      <c r="U151" s="147"/>
      <c r="V151" s="147"/>
      <c r="W151" s="147"/>
      <c r="X151" s="147"/>
      <c r="Y151" s="147"/>
      <c r="Z151" s="147"/>
    </row>
    <row r="152">
      <c r="A152" s="38" t="s">
        <v>1335</v>
      </c>
      <c r="B152" s="176" t="s">
        <v>4773</v>
      </c>
      <c r="C152" s="111" t="s">
        <v>5256</v>
      </c>
      <c r="D152" s="176" t="s">
        <v>5257</v>
      </c>
      <c r="E152" s="176" t="s">
        <v>4851</v>
      </c>
      <c r="F152" s="176" t="s">
        <v>4852</v>
      </c>
      <c r="G152" s="147"/>
      <c r="H152" s="147"/>
      <c r="I152" s="148" t="s">
        <v>4805</v>
      </c>
      <c r="J152" s="147"/>
      <c r="K152" s="147"/>
      <c r="L152" s="147"/>
      <c r="M152" s="147"/>
      <c r="N152" s="147"/>
      <c r="O152" s="147"/>
      <c r="P152" s="147"/>
      <c r="Q152" s="147"/>
      <c r="R152" s="147"/>
      <c r="S152" s="147"/>
      <c r="T152" s="147"/>
      <c r="U152" s="147"/>
      <c r="V152" s="147"/>
      <c r="W152" s="147"/>
      <c r="X152" s="147"/>
      <c r="Y152" s="147"/>
      <c r="Z152" s="147"/>
    </row>
    <row r="153">
      <c r="A153" s="38" t="s">
        <v>1337</v>
      </c>
      <c r="B153" s="176" t="s">
        <v>4773</v>
      </c>
      <c r="C153" s="111" t="s">
        <v>5258</v>
      </c>
      <c r="D153" s="176" t="s">
        <v>5259</v>
      </c>
      <c r="E153" s="176" t="s">
        <v>4864</v>
      </c>
      <c r="F153" s="176" t="s">
        <v>5260</v>
      </c>
      <c r="G153" s="147"/>
      <c r="H153" s="147"/>
      <c r="I153" s="148" t="s">
        <v>4805</v>
      </c>
      <c r="J153" s="147"/>
      <c r="K153" s="147"/>
      <c r="L153" s="147"/>
      <c r="M153" s="147"/>
      <c r="N153" s="147"/>
      <c r="O153" s="147"/>
      <c r="P153" s="147"/>
      <c r="Q153" s="147"/>
      <c r="R153" s="147"/>
      <c r="S153" s="147"/>
      <c r="T153" s="147"/>
      <c r="U153" s="147"/>
      <c r="V153" s="147"/>
      <c r="W153" s="147"/>
      <c r="X153" s="147"/>
      <c r="Y153" s="147"/>
      <c r="Z153" s="147"/>
    </row>
    <row r="154">
      <c r="A154" s="38" t="s">
        <v>1339</v>
      </c>
      <c r="B154" s="176" t="s">
        <v>4773</v>
      </c>
      <c r="C154" s="111" t="s">
        <v>5261</v>
      </c>
      <c r="D154" s="176" t="s">
        <v>5262</v>
      </c>
      <c r="E154" s="176" t="s">
        <v>5263</v>
      </c>
      <c r="F154" s="176" t="s">
        <v>4871</v>
      </c>
      <c r="G154" s="147"/>
      <c r="H154" s="147"/>
      <c r="I154" s="148" t="s">
        <v>4805</v>
      </c>
      <c r="J154" s="147"/>
      <c r="K154" s="147"/>
      <c r="L154" s="147"/>
      <c r="M154" s="147"/>
      <c r="N154" s="147"/>
      <c r="O154" s="147"/>
      <c r="P154" s="147"/>
      <c r="Q154" s="147"/>
      <c r="R154" s="147"/>
      <c r="S154" s="147"/>
      <c r="T154" s="147"/>
      <c r="U154" s="147"/>
      <c r="V154" s="147"/>
      <c r="W154" s="147"/>
      <c r="X154" s="147"/>
      <c r="Y154" s="147"/>
      <c r="Z154" s="147"/>
    </row>
    <row r="155">
      <c r="A155" s="38" t="s">
        <v>1341</v>
      </c>
      <c r="B155" s="176" t="s">
        <v>4773</v>
      </c>
      <c r="C155" s="111" t="s">
        <v>5264</v>
      </c>
      <c r="D155" s="176" t="s">
        <v>5265</v>
      </c>
      <c r="E155" s="176" t="s">
        <v>5266</v>
      </c>
      <c r="F155" s="176" t="s">
        <v>4831</v>
      </c>
      <c r="G155" s="147"/>
      <c r="H155" s="147"/>
      <c r="I155" s="148" t="s">
        <v>4805</v>
      </c>
      <c r="J155" s="147"/>
      <c r="K155" s="147"/>
      <c r="L155" s="147"/>
      <c r="M155" s="147"/>
      <c r="N155" s="147"/>
      <c r="O155" s="147"/>
      <c r="P155" s="147"/>
      <c r="Q155" s="147"/>
      <c r="R155" s="147"/>
      <c r="S155" s="147"/>
      <c r="T155" s="147"/>
      <c r="U155" s="147"/>
      <c r="V155" s="147"/>
      <c r="W155" s="147"/>
      <c r="X155" s="147"/>
      <c r="Y155" s="147"/>
      <c r="Z155" s="147"/>
    </row>
    <row r="156">
      <c r="A156" s="38" t="s">
        <v>1343</v>
      </c>
      <c r="B156" s="176" t="s">
        <v>4773</v>
      </c>
      <c r="C156" s="111" t="s">
        <v>5267</v>
      </c>
      <c r="D156" s="176" t="s">
        <v>5268</v>
      </c>
      <c r="E156" s="176" t="s">
        <v>4864</v>
      </c>
      <c r="F156" s="176" t="s">
        <v>4852</v>
      </c>
      <c r="G156" s="147"/>
      <c r="H156" s="147"/>
      <c r="I156" s="148" t="s">
        <v>4805</v>
      </c>
      <c r="J156" s="147"/>
      <c r="K156" s="147"/>
      <c r="L156" s="147"/>
      <c r="M156" s="147"/>
      <c r="N156" s="147"/>
      <c r="O156" s="147"/>
      <c r="P156" s="147"/>
      <c r="Q156" s="147"/>
      <c r="R156" s="147"/>
      <c r="S156" s="147"/>
      <c r="T156" s="147"/>
      <c r="U156" s="147"/>
      <c r="V156" s="147"/>
      <c r="W156" s="147"/>
      <c r="X156" s="147"/>
      <c r="Y156" s="147"/>
      <c r="Z156" s="147"/>
    </row>
    <row r="157">
      <c r="A157" s="38" t="s">
        <v>1345</v>
      </c>
      <c r="B157" s="176" t="s">
        <v>4773</v>
      </c>
      <c r="C157" s="111" t="s">
        <v>5269</v>
      </c>
      <c r="D157" s="176" t="s">
        <v>5270</v>
      </c>
      <c r="E157" s="176" t="s">
        <v>5271</v>
      </c>
      <c r="F157" s="176" t="s">
        <v>4831</v>
      </c>
      <c r="G157" s="147"/>
      <c r="H157" s="147"/>
      <c r="I157" s="148" t="s">
        <v>4805</v>
      </c>
      <c r="J157" s="147"/>
      <c r="K157" s="147"/>
      <c r="L157" s="147"/>
      <c r="M157" s="147"/>
      <c r="N157" s="147"/>
      <c r="O157" s="147"/>
      <c r="P157" s="147"/>
      <c r="Q157" s="147"/>
      <c r="R157" s="147"/>
      <c r="S157" s="147"/>
      <c r="T157" s="147"/>
      <c r="U157" s="147"/>
      <c r="V157" s="147"/>
      <c r="W157" s="147"/>
      <c r="X157" s="147"/>
      <c r="Y157" s="147"/>
      <c r="Z157" s="147"/>
    </row>
    <row r="158">
      <c r="A158" s="38" t="s">
        <v>1347</v>
      </c>
      <c r="B158" s="176" t="s">
        <v>4773</v>
      </c>
      <c r="C158" s="111" t="s">
        <v>5272</v>
      </c>
      <c r="D158" s="176" t="s">
        <v>5273</v>
      </c>
      <c r="E158" s="176" t="s">
        <v>4864</v>
      </c>
      <c r="F158" s="176" t="s">
        <v>4852</v>
      </c>
      <c r="G158" s="147"/>
      <c r="H158" s="147"/>
      <c r="I158" s="148" t="s">
        <v>4805</v>
      </c>
      <c r="J158" s="147"/>
      <c r="K158" s="147"/>
      <c r="L158" s="147"/>
      <c r="M158" s="147"/>
      <c r="N158" s="147"/>
      <c r="O158" s="147"/>
      <c r="P158" s="147"/>
      <c r="Q158" s="147"/>
      <c r="R158" s="147"/>
      <c r="S158" s="147"/>
      <c r="T158" s="147"/>
      <c r="U158" s="147"/>
      <c r="V158" s="147"/>
      <c r="W158" s="147"/>
      <c r="X158" s="147"/>
      <c r="Y158" s="147"/>
      <c r="Z158" s="147"/>
    </row>
    <row r="159">
      <c r="A159" s="38" t="s">
        <v>1349</v>
      </c>
      <c r="B159" s="39" t="s">
        <v>4773</v>
      </c>
      <c r="C159" s="39" t="s">
        <v>5274</v>
      </c>
      <c r="D159" s="39" t="s">
        <v>5275</v>
      </c>
      <c r="E159" s="39" t="s">
        <v>5276</v>
      </c>
      <c r="F159" s="39" t="s">
        <v>4831</v>
      </c>
      <c r="G159" s="39" t="s">
        <v>4832</v>
      </c>
      <c r="H159" s="39" t="s">
        <v>5277</v>
      </c>
      <c r="I159" s="148" t="s">
        <v>18</v>
      </c>
      <c r="J159" s="147"/>
      <c r="K159" s="147"/>
      <c r="L159" s="147"/>
      <c r="M159" s="147"/>
      <c r="N159" s="147"/>
      <c r="O159" s="147"/>
      <c r="P159" s="147"/>
      <c r="Q159" s="147"/>
      <c r="R159" s="147"/>
      <c r="S159" s="147"/>
      <c r="T159" s="147"/>
      <c r="U159" s="147"/>
      <c r="V159" s="147"/>
      <c r="W159" s="147"/>
      <c r="X159" s="147"/>
      <c r="Y159" s="147"/>
      <c r="Z159" s="147"/>
    </row>
    <row r="160">
      <c r="A160" s="38" t="s">
        <v>1351</v>
      </c>
      <c r="B160" s="39" t="s">
        <v>4773</v>
      </c>
      <c r="C160" s="39" t="s">
        <v>4844</v>
      </c>
      <c r="D160" s="39" t="s">
        <v>5278</v>
      </c>
      <c r="E160" s="39" t="s">
        <v>5279</v>
      </c>
      <c r="F160" s="39" t="s">
        <v>4831</v>
      </c>
      <c r="G160" s="39" t="s">
        <v>4847</v>
      </c>
      <c r="H160" s="39" t="s">
        <v>5280</v>
      </c>
      <c r="I160" s="148" t="s">
        <v>18</v>
      </c>
      <c r="J160" s="147"/>
      <c r="K160" s="147"/>
      <c r="L160" s="147"/>
      <c r="M160" s="147"/>
      <c r="N160" s="147"/>
      <c r="O160" s="147"/>
      <c r="P160" s="147"/>
      <c r="Q160" s="147"/>
      <c r="R160" s="147"/>
      <c r="S160" s="147"/>
      <c r="T160" s="147"/>
      <c r="U160" s="147"/>
      <c r="V160" s="147"/>
      <c r="W160" s="147"/>
      <c r="X160" s="147"/>
      <c r="Y160" s="147"/>
      <c r="Z160" s="147"/>
    </row>
    <row r="161">
      <c r="A161" s="38" t="s">
        <v>1353</v>
      </c>
      <c r="B161" s="39" t="s">
        <v>4773</v>
      </c>
      <c r="C161" s="39" t="s">
        <v>5281</v>
      </c>
      <c r="D161" s="39" t="s">
        <v>5282</v>
      </c>
      <c r="E161" s="39" t="s">
        <v>4851</v>
      </c>
      <c r="F161" s="39" t="s">
        <v>4852</v>
      </c>
      <c r="G161" s="39" t="s">
        <v>4853</v>
      </c>
      <c r="H161" s="39" t="s">
        <v>5283</v>
      </c>
      <c r="I161" s="148" t="s">
        <v>18</v>
      </c>
      <c r="J161" s="147"/>
      <c r="K161" s="147"/>
      <c r="L161" s="147"/>
      <c r="M161" s="147"/>
      <c r="N161" s="147"/>
      <c r="O161" s="147"/>
      <c r="P161" s="147"/>
      <c r="Q161" s="147"/>
      <c r="R161" s="147"/>
      <c r="S161" s="147"/>
      <c r="T161" s="147"/>
      <c r="U161" s="147"/>
      <c r="V161" s="147"/>
      <c r="W161" s="147"/>
      <c r="X161" s="147"/>
      <c r="Y161" s="147"/>
      <c r="Z161" s="147"/>
    </row>
    <row r="162">
      <c r="A162" s="38" t="s">
        <v>1356</v>
      </c>
      <c r="B162" s="39" t="s">
        <v>4773</v>
      </c>
      <c r="C162" s="39" t="s">
        <v>5284</v>
      </c>
      <c r="D162" s="39" t="s">
        <v>5285</v>
      </c>
      <c r="E162" s="39" t="s">
        <v>5286</v>
      </c>
      <c r="F162" s="39" t="s">
        <v>4831</v>
      </c>
      <c r="G162" s="39" t="s">
        <v>4832</v>
      </c>
      <c r="H162" s="39" t="s">
        <v>4858</v>
      </c>
      <c r="I162" s="148" t="s">
        <v>18</v>
      </c>
      <c r="J162" s="147"/>
      <c r="K162" s="147"/>
      <c r="L162" s="147"/>
      <c r="M162" s="147"/>
      <c r="N162" s="147"/>
      <c r="O162" s="147"/>
      <c r="P162" s="147"/>
      <c r="Q162" s="147"/>
      <c r="R162" s="147"/>
      <c r="S162" s="147"/>
      <c r="T162" s="147"/>
      <c r="U162" s="147"/>
      <c r="V162" s="147"/>
      <c r="W162" s="147"/>
      <c r="X162" s="147"/>
      <c r="Y162" s="147"/>
      <c r="Z162" s="147"/>
    </row>
    <row r="163">
      <c r="A163" s="38" t="s">
        <v>1358</v>
      </c>
      <c r="B163" s="39" t="s">
        <v>4773</v>
      </c>
      <c r="C163" s="39" t="s">
        <v>4859</v>
      </c>
      <c r="D163" s="39" t="s">
        <v>5287</v>
      </c>
      <c r="E163" s="39" t="s">
        <v>4851</v>
      </c>
      <c r="F163" s="39" t="s">
        <v>4852</v>
      </c>
      <c r="G163" s="39" t="s">
        <v>4853</v>
      </c>
      <c r="H163" s="39" t="s">
        <v>4861</v>
      </c>
      <c r="I163" s="148" t="s">
        <v>18</v>
      </c>
      <c r="J163" s="147"/>
      <c r="K163" s="147"/>
      <c r="L163" s="147"/>
      <c r="M163" s="147"/>
      <c r="N163" s="147"/>
      <c r="O163" s="147"/>
      <c r="P163" s="147"/>
      <c r="Q163" s="147"/>
      <c r="R163" s="147"/>
      <c r="S163" s="147"/>
      <c r="T163" s="147"/>
      <c r="U163" s="147"/>
      <c r="V163" s="147"/>
      <c r="W163" s="147"/>
      <c r="X163" s="147"/>
      <c r="Y163" s="147"/>
      <c r="Z163" s="147"/>
    </row>
    <row r="164">
      <c r="A164" s="38" t="s">
        <v>1360</v>
      </c>
      <c r="B164" s="39" t="s">
        <v>4773</v>
      </c>
      <c r="C164" s="39" t="s">
        <v>5288</v>
      </c>
      <c r="D164" s="39" t="s">
        <v>5289</v>
      </c>
      <c r="E164" s="39" t="s">
        <v>4864</v>
      </c>
      <c r="F164" s="39" t="s">
        <v>5290</v>
      </c>
      <c r="G164" s="39" t="s">
        <v>4866</v>
      </c>
      <c r="H164" s="39" t="s">
        <v>5291</v>
      </c>
      <c r="I164" s="148" t="s">
        <v>18</v>
      </c>
      <c r="J164" s="147"/>
      <c r="K164" s="147"/>
      <c r="L164" s="147"/>
      <c r="M164" s="147"/>
      <c r="N164" s="147"/>
      <c r="O164" s="147"/>
      <c r="P164" s="147"/>
      <c r="Q164" s="147"/>
      <c r="R164" s="147"/>
      <c r="S164" s="147"/>
      <c r="T164" s="147"/>
      <c r="U164" s="147"/>
      <c r="V164" s="147"/>
      <c r="W164" s="147"/>
      <c r="X164" s="147"/>
      <c r="Y164" s="147"/>
      <c r="Z164" s="147"/>
    </row>
    <row r="165">
      <c r="A165" s="38" t="s">
        <v>1362</v>
      </c>
      <c r="B165" s="39" t="s">
        <v>4773</v>
      </c>
      <c r="C165" s="39" t="s">
        <v>5292</v>
      </c>
      <c r="D165" s="39" t="s">
        <v>5293</v>
      </c>
      <c r="E165" s="39" t="s">
        <v>5294</v>
      </c>
      <c r="F165" s="39" t="s">
        <v>4871</v>
      </c>
      <c r="G165" s="39" t="s">
        <v>4872</v>
      </c>
      <c r="H165" s="39" t="s">
        <v>4873</v>
      </c>
      <c r="I165" s="148" t="s">
        <v>18</v>
      </c>
      <c r="J165" s="147"/>
      <c r="K165" s="147"/>
      <c r="L165" s="147"/>
      <c r="M165" s="147"/>
      <c r="N165" s="147"/>
      <c r="O165" s="147"/>
      <c r="P165" s="147"/>
      <c r="Q165" s="147"/>
      <c r="R165" s="147"/>
      <c r="S165" s="147"/>
      <c r="T165" s="147"/>
      <c r="U165" s="147"/>
      <c r="V165" s="147"/>
      <c r="W165" s="147"/>
      <c r="X165" s="147"/>
      <c r="Y165" s="147"/>
      <c r="Z165" s="147"/>
    </row>
    <row r="166">
      <c r="A166" s="38" t="s">
        <v>1364</v>
      </c>
      <c r="B166" s="39" t="s">
        <v>4773</v>
      </c>
      <c r="C166" s="39" t="s">
        <v>5295</v>
      </c>
      <c r="D166" s="39" t="s">
        <v>5296</v>
      </c>
      <c r="E166" s="39" t="s">
        <v>5297</v>
      </c>
      <c r="F166" s="39" t="s">
        <v>4831</v>
      </c>
      <c r="G166" s="39" t="s">
        <v>4832</v>
      </c>
      <c r="H166" s="39" t="s">
        <v>4858</v>
      </c>
      <c r="I166" s="148" t="s">
        <v>18</v>
      </c>
      <c r="J166" s="147"/>
      <c r="K166" s="147"/>
      <c r="L166" s="147"/>
      <c r="M166" s="147"/>
      <c r="N166" s="147"/>
      <c r="O166" s="147"/>
      <c r="P166" s="147"/>
      <c r="Q166" s="147"/>
      <c r="R166" s="147"/>
      <c r="S166" s="147"/>
      <c r="T166" s="147"/>
      <c r="U166" s="147"/>
      <c r="V166" s="147"/>
      <c r="W166" s="147"/>
      <c r="X166" s="147"/>
      <c r="Y166" s="147"/>
      <c r="Z166" s="147"/>
    </row>
    <row r="167">
      <c r="A167" s="38" t="s">
        <v>1366</v>
      </c>
      <c r="B167" s="39" t="s">
        <v>4773</v>
      </c>
      <c r="C167" s="39" t="s">
        <v>5298</v>
      </c>
      <c r="D167" s="39" t="s">
        <v>5299</v>
      </c>
      <c r="E167" s="39" t="s">
        <v>4864</v>
      </c>
      <c r="F167" s="39" t="s">
        <v>4852</v>
      </c>
      <c r="G167" s="39" t="s">
        <v>4853</v>
      </c>
      <c r="H167" s="39" t="s">
        <v>5300</v>
      </c>
      <c r="I167" s="148" t="s">
        <v>18</v>
      </c>
      <c r="J167" s="147"/>
      <c r="K167" s="147"/>
      <c r="L167" s="147"/>
      <c r="M167" s="147"/>
      <c r="N167" s="147"/>
      <c r="O167" s="147"/>
      <c r="P167" s="147"/>
      <c r="Q167" s="147"/>
      <c r="R167" s="147"/>
      <c r="S167" s="147"/>
      <c r="T167" s="147"/>
      <c r="U167" s="147"/>
      <c r="V167" s="147"/>
      <c r="W167" s="147"/>
      <c r="X167" s="147"/>
      <c r="Y167" s="147"/>
      <c r="Z167" s="147"/>
    </row>
    <row r="168">
      <c r="A168" s="38" t="s">
        <v>1368</v>
      </c>
      <c r="B168" s="39" t="s">
        <v>4773</v>
      </c>
      <c r="C168" s="39" t="s">
        <v>5301</v>
      </c>
      <c r="D168" s="39" t="s">
        <v>5302</v>
      </c>
      <c r="E168" s="39" t="s">
        <v>5303</v>
      </c>
      <c r="F168" s="39" t="s">
        <v>4831</v>
      </c>
      <c r="G168" s="39" t="s">
        <v>4832</v>
      </c>
      <c r="H168" s="39" t="s">
        <v>4858</v>
      </c>
      <c r="I168" s="148" t="s">
        <v>18</v>
      </c>
      <c r="J168" s="147"/>
      <c r="K168" s="147"/>
      <c r="L168" s="147"/>
      <c r="M168" s="147"/>
      <c r="N168" s="147"/>
      <c r="O168" s="147"/>
      <c r="P168" s="147"/>
      <c r="Q168" s="147"/>
      <c r="R168" s="147"/>
      <c r="S168" s="147"/>
      <c r="T168" s="147"/>
      <c r="U168" s="147"/>
      <c r="V168" s="147"/>
      <c r="W168" s="147"/>
      <c r="X168" s="147"/>
      <c r="Y168" s="147"/>
      <c r="Z168" s="147"/>
    </row>
    <row r="169">
      <c r="A169" s="38" t="s">
        <v>1370</v>
      </c>
      <c r="B169" s="39" t="s">
        <v>4773</v>
      </c>
      <c r="C169" s="39" t="s">
        <v>5304</v>
      </c>
      <c r="D169" s="39" t="s">
        <v>5305</v>
      </c>
      <c r="E169" s="39" t="s">
        <v>4864</v>
      </c>
      <c r="F169" s="39" t="s">
        <v>4852</v>
      </c>
      <c r="G169" s="39" t="s">
        <v>4853</v>
      </c>
      <c r="H169" s="39" t="s">
        <v>4885</v>
      </c>
      <c r="I169" s="148" t="s">
        <v>18</v>
      </c>
      <c r="J169" s="147"/>
      <c r="K169" s="147"/>
      <c r="L169" s="147"/>
      <c r="M169" s="147"/>
      <c r="N169" s="147"/>
      <c r="O169" s="147"/>
      <c r="P169" s="147"/>
      <c r="Q169" s="147"/>
      <c r="R169" s="147"/>
      <c r="S169" s="147"/>
      <c r="T169" s="147"/>
      <c r="U169" s="147"/>
      <c r="V169" s="147"/>
      <c r="W169" s="147"/>
      <c r="X169" s="147"/>
      <c r="Y169" s="147"/>
      <c r="Z169" s="147"/>
    </row>
    <row r="170">
      <c r="A170" s="38" t="s">
        <v>1372</v>
      </c>
      <c r="B170" s="39" t="s">
        <v>4773</v>
      </c>
      <c r="C170" s="39" t="s">
        <v>5306</v>
      </c>
      <c r="D170" s="39" t="s">
        <v>5307</v>
      </c>
      <c r="E170" s="39" t="s">
        <v>5308</v>
      </c>
      <c r="F170" s="39" t="s">
        <v>4831</v>
      </c>
      <c r="G170" s="39" t="s">
        <v>4832</v>
      </c>
      <c r="H170" s="39" t="s">
        <v>5309</v>
      </c>
      <c r="I170" s="148" t="s">
        <v>18</v>
      </c>
      <c r="J170" s="147"/>
      <c r="K170" s="147"/>
      <c r="L170" s="147"/>
      <c r="M170" s="147"/>
      <c r="N170" s="147"/>
      <c r="O170" s="147"/>
      <c r="P170" s="147"/>
      <c r="Q170" s="147"/>
      <c r="R170" s="147"/>
      <c r="S170" s="147"/>
      <c r="T170" s="147"/>
      <c r="U170" s="147"/>
      <c r="V170" s="147"/>
      <c r="W170" s="147"/>
      <c r="X170" s="147"/>
      <c r="Y170" s="147"/>
      <c r="Z170" s="147"/>
    </row>
    <row r="171">
      <c r="A171" s="38" t="s">
        <v>1373</v>
      </c>
      <c r="B171" s="39" t="s">
        <v>4773</v>
      </c>
      <c r="C171" s="39" t="s">
        <v>4983</v>
      </c>
      <c r="D171" s="39" t="s">
        <v>5310</v>
      </c>
      <c r="E171" s="39" t="s">
        <v>5311</v>
      </c>
      <c r="F171" s="39" t="s">
        <v>4831</v>
      </c>
      <c r="G171" s="39" t="s">
        <v>4847</v>
      </c>
      <c r="H171" s="39" t="s">
        <v>5312</v>
      </c>
      <c r="I171" s="148" t="s">
        <v>18</v>
      </c>
      <c r="J171" s="147"/>
      <c r="K171" s="147"/>
      <c r="L171" s="147"/>
      <c r="M171" s="147"/>
      <c r="N171" s="147"/>
      <c r="O171" s="147"/>
      <c r="P171" s="147"/>
      <c r="Q171" s="147"/>
      <c r="R171" s="147"/>
      <c r="S171" s="147"/>
      <c r="T171" s="147"/>
      <c r="U171" s="147"/>
      <c r="V171" s="147"/>
      <c r="W171" s="147"/>
      <c r="X171" s="147"/>
      <c r="Y171" s="147"/>
      <c r="Z171" s="147"/>
    </row>
    <row r="172">
      <c r="A172" s="38" t="s">
        <v>1376</v>
      </c>
      <c r="B172" s="39" t="s">
        <v>4773</v>
      </c>
      <c r="C172" s="39" t="s">
        <v>5313</v>
      </c>
      <c r="D172" s="39" t="s">
        <v>5314</v>
      </c>
      <c r="E172" s="39" t="s">
        <v>4851</v>
      </c>
      <c r="F172" s="39" t="s">
        <v>4852</v>
      </c>
      <c r="G172" s="39" t="s">
        <v>4853</v>
      </c>
      <c r="H172" s="39" t="s">
        <v>5315</v>
      </c>
      <c r="I172" s="148" t="s">
        <v>18</v>
      </c>
      <c r="J172" s="147"/>
      <c r="K172" s="147"/>
      <c r="L172" s="147"/>
      <c r="M172" s="147"/>
      <c r="N172" s="147"/>
      <c r="O172" s="147"/>
      <c r="P172" s="147"/>
      <c r="Q172" s="147"/>
      <c r="R172" s="147"/>
      <c r="S172" s="147"/>
      <c r="T172" s="147"/>
      <c r="U172" s="147"/>
      <c r="V172" s="147"/>
      <c r="W172" s="147"/>
      <c r="X172" s="147"/>
      <c r="Y172" s="147"/>
      <c r="Z172" s="147"/>
    </row>
    <row r="173">
      <c r="A173" s="38" t="s">
        <v>1378</v>
      </c>
      <c r="B173" s="39" t="s">
        <v>4773</v>
      </c>
      <c r="C173" s="39" t="s">
        <v>5316</v>
      </c>
      <c r="D173" s="39" t="s">
        <v>5317</v>
      </c>
      <c r="E173" s="39" t="s">
        <v>5318</v>
      </c>
      <c r="F173" s="39" t="s">
        <v>4831</v>
      </c>
      <c r="G173" s="39" t="s">
        <v>4832</v>
      </c>
      <c r="H173" s="39" t="s">
        <v>4858</v>
      </c>
      <c r="I173" s="148" t="s">
        <v>18</v>
      </c>
      <c r="J173" s="147"/>
      <c r="K173" s="147"/>
      <c r="L173" s="147"/>
      <c r="M173" s="147"/>
      <c r="N173" s="147"/>
      <c r="O173" s="147"/>
      <c r="P173" s="147"/>
      <c r="Q173" s="147"/>
      <c r="R173" s="147"/>
      <c r="S173" s="147"/>
      <c r="T173" s="147"/>
      <c r="U173" s="147"/>
      <c r="V173" s="147"/>
      <c r="W173" s="147"/>
      <c r="X173" s="147"/>
      <c r="Y173" s="147"/>
      <c r="Z173" s="147"/>
    </row>
    <row r="174">
      <c r="A174" s="38" t="s">
        <v>1380</v>
      </c>
      <c r="B174" s="39" t="s">
        <v>4773</v>
      </c>
      <c r="C174" s="39" t="s">
        <v>4993</v>
      </c>
      <c r="D174" s="39" t="s">
        <v>5319</v>
      </c>
      <c r="E174" s="39" t="s">
        <v>4851</v>
      </c>
      <c r="F174" s="39" t="s">
        <v>4852</v>
      </c>
      <c r="G174" s="39" t="s">
        <v>4853</v>
      </c>
      <c r="H174" s="39" t="s">
        <v>4861</v>
      </c>
      <c r="I174" s="148" t="s">
        <v>18</v>
      </c>
      <c r="J174" s="147"/>
      <c r="K174" s="147"/>
      <c r="L174" s="147"/>
      <c r="M174" s="147"/>
      <c r="N174" s="147"/>
      <c r="O174" s="147"/>
      <c r="P174" s="147"/>
      <c r="Q174" s="147"/>
      <c r="R174" s="147"/>
      <c r="S174" s="147"/>
      <c r="T174" s="147"/>
      <c r="U174" s="147"/>
      <c r="V174" s="147"/>
      <c r="W174" s="147"/>
      <c r="X174" s="147"/>
      <c r="Y174" s="147"/>
      <c r="Z174" s="147"/>
    </row>
    <row r="175">
      <c r="A175" s="38" t="s">
        <v>1382</v>
      </c>
      <c r="B175" s="39" t="s">
        <v>4773</v>
      </c>
      <c r="C175" s="39" t="s">
        <v>5320</v>
      </c>
      <c r="D175" s="39" t="s">
        <v>5321</v>
      </c>
      <c r="E175" s="39" t="s">
        <v>4864</v>
      </c>
      <c r="F175" s="39" t="s">
        <v>5322</v>
      </c>
      <c r="G175" s="39" t="s">
        <v>4866</v>
      </c>
      <c r="H175" s="39" t="s">
        <v>5323</v>
      </c>
      <c r="I175" s="148" t="s">
        <v>18</v>
      </c>
      <c r="J175" s="147"/>
      <c r="K175" s="147"/>
      <c r="L175" s="147"/>
      <c r="M175" s="147"/>
      <c r="N175" s="147"/>
      <c r="O175" s="147"/>
      <c r="P175" s="147"/>
      <c r="Q175" s="147"/>
      <c r="R175" s="147"/>
      <c r="S175" s="147"/>
      <c r="T175" s="147"/>
      <c r="U175" s="147"/>
      <c r="V175" s="147"/>
      <c r="W175" s="147"/>
      <c r="X175" s="147"/>
      <c r="Y175" s="147"/>
      <c r="Z175" s="147"/>
    </row>
    <row r="176">
      <c r="A176" s="38" t="s">
        <v>1385</v>
      </c>
      <c r="B176" s="39" t="s">
        <v>4773</v>
      </c>
      <c r="C176" s="39" t="s">
        <v>5324</v>
      </c>
      <c r="D176" s="39" t="s">
        <v>5325</v>
      </c>
      <c r="E176" s="39" t="s">
        <v>5326</v>
      </c>
      <c r="F176" s="39" t="s">
        <v>4871</v>
      </c>
      <c r="G176" s="39" t="s">
        <v>4872</v>
      </c>
      <c r="H176" s="39" t="s">
        <v>4873</v>
      </c>
      <c r="I176" s="148" t="s">
        <v>18</v>
      </c>
      <c r="J176" s="147"/>
      <c r="K176" s="147"/>
      <c r="L176" s="147"/>
      <c r="M176" s="147"/>
      <c r="N176" s="147"/>
      <c r="O176" s="147"/>
      <c r="P176" s="147"/>
      <c r="Q176" s="147"/>
      <c r="R176" s="147"/>
      <c r="S176" s="147"/>
      <c r="T176" s="147"/>
      <c r="U176" s="147"/>
      <c r="V176" s="147"/>
      <c r="W176" s="147"/>
      <c r="X176" s="147"/>
      <c r="Y176" s="147"/>
      <c r="Z176" s="147"/>
    </row>
    <row r="177">
      <c r="A177" s="38" t="s">
        <v>1387</v>
      </c>
      <c r="B177" s="39" t="s">
        <v>4773</v>
      </c>
      <c r="C177" s="39" t="s">
        <v>5327</v>
      </c>
      <c r="D177" s="39" t="s">
        <v>5328</v>
      </c>
      <c r="E177" s="39" t="s">
        <v>5329</v>
      </c>
      <c r="F177" s="39" t="s">
        <v>4831</v>
      </c>
      <c r="G177" s="39" t="s">
        <v>4832</v>
      </c>
      <c r="H177" s="39" t="s">
        <v>4858</v>
      </c>
      <c r="I177" s="148" t="s">
        <v>18</v>
      </c>
      <c r="J177" s="147"/>
      <c r="K177" s="147"/>
      <c r="L177" s="147"/>
      <c r="M177" s="147"/>
      <c r="N177" s="147"/>
      <c r="O177" s="147"/>
      <c r="P177" s="147"/>
      <c r="Q177" s="147"/>
      <c r="R177" s="147"/>
      <c r="S177" s="147"/>
      <c r="T177" s="147"/>
      <c r="U177" s="147"/>
      <c r="V177" s="147"/>
      <c r="W177" s="147"/>
      <c r="X177" s="147"/>
      <c r="Y177" s="147"/>
      <c r="Z177" s="147"/>
    </row>
    <row r="178">
      <c r="A178" s="38" t="s">
        <v>1389</v>
      </c>
      <c r="B178" s="39" t="s">
        <v>4773</v>
      </c>
      <c r="C178" s="39" t="s">
        <v>5330</v>
      </c>
      <c r="D178" s="39" t="s">
        <v>5331</v>
      </c>
      <c r="E178" s="39" t="s">
        <v>4864</v>
      </c>
      <c r="F178" s="39" t="s">
        <v>4852</v>
      </c>
      <c r="G178" s="39" t="s">
        <v>4853</v>
      </c>
      <c r="H178" s="39" t="s">
        <v>5332</v>
      </c>
      <c r="I178" s="148" t="s">
        <v>18</v>
      </c>
      <c r="J178" s="147"/>
      <c r="K178" s="147"/>
      <c r="L178" s="147"/>
      <c r="M178" s="147"/>
      <c r="N178" s="147"/>
      <c r="O178" s="147"/>
      <c r="P178" s="147"/>
      <c r="Q178" s="147"/>
      <c r="R178" s="147"/>
      <c r="S178" s="147"/>
      <c r="T178" s="147"/>
      <c r="U178" s="147"/>
      <c r="V178" s="147"/>
      <c r="W178" s="147"/>
      <c r="X178" s="147"/>
      <c r="Y178" s="147"/>
      <c r="Z178" s="147"/>
    </row>
    <row r="179">
      <c r="A179" s="38" t="s">
        <v>1391</v>
      </c>
      <c r="B179" s="39" t="s">
        <v>4773</v>
      </c>
      <c r="C179" s="39" t="s">
        <v>5333</v>
      </c>
      <c r="D179" s="39" t="s">
        <v>5334</v>
      </c>
      <c r="E179" s="39" t="s">
        <v>5335</v>
      </c>
      <c r="F179" s="39" t="s">
        <v>4831</v>
      </c>
      <c r="G179" s="39" t="s">
        <v>4832</v>
      </c>
      <c r="H179" s="39" t="s">
        <v>4858</v>
      </c>
      <c r="I179" s="148" t="s">
        <v>18</v>
      </c>
      <c r="J179" s="147"/>
      <c r="K179" s="147"/>
      <c r="L179" s="147"/>
      <c r="M179" s="147"/>
      <c r="N179" s="147"/>
      <c r="O179" s="147"/>
      <c r="P179" s="147"/>
      <c r="Q179" s="147"/>
      <c r="R179" s="147"/>
      <c r="S179" s="147"/>
      <c r="T179" s="147"/>
      <c r="U179" s="147"/>
      <c r="V179" s="147"/>
      <c r="W179" s="147"/>
      <c r="X179" s="147"/>
      <c r="Y179" s="147"/>
      <c r="Z179" s="147"/>
    </row>
    <row r="180">
      <c r="A180" s="38" t="s">
        <v>1393</v>
      </c>
      <c r="B180" s="39" t="s">
        <v>4773</v>
      </c>
      <c r="C180" s="39" t="s">
        <v>5336</v>
      </c>
      <c r="D180" s="39" t="s">
        <v>5337</v>
      </c>
      <c r="E180" s="39" t="s">
        <v>4864</v>
      </c>
      <c r="F180" s="39" t="s">
        <v>4852</v>
      </c>
      <c r="G180" s="39" t="s">
        <v>4853</v>
      </c>
      <c r="H180" s="39" t="s">
        <v>4885</v>
      </c>
      <c r="I180" s="148" t="s">
        <v>18</v>
      </c>
      <c r="J180" s="147"/>
      <c r="K180" s="147"/>
      <c r="L180" s="147"/>
      <c r="M180" s="147"/>
      <c r="N180" s="147"/>
      <c r="O180" s="147"/>
      <c r="P180" s="147"/>
      <c r="Q180" s="147"/>
      <c r="R180" s="147"/>
      <c r="S180" s="147"/>
      <c r="T180" s="147"/>
      <c r="U180" s="147"/>
      <c r="V180" s="147"/>
      <c r="W180" s="147"/>
      <c r="X180" s="147"/>
      <c r="Y180" s="147"/>
      <c r="Z180" s="147"/>
    </row>
    <row r="181">
      <c r="A181" s="55" t="s">
        <v>708</v>
      </c>
      <c r="B181" s="39" t="s">
        <v>4773</v>
      </c>
      <c r="C181" s="39" t="s">
        <v>5338</v>
      </c>
      <c r="D181" s="39" t="s">
        <v>5339</v>
      </c>
      <c r="E181" s="39" t="s">
        <v>5340</v>
      </c>
      <c r="F181" s="39" t="s">
        <v>4831</v>
      </c>
      <c r="G181" s="39" t="s">
        <v>4847</v>
      </c>
      <c r="H181" s="39" t="s">
        <v>5341</v>
      </c>
      <c r="I181" s="148" t="s">
        <v>16</v>
      </c>
      <c r="J181" s="147"/>
      <c r="K181" s="147"/>
      <c r="L181" s="147"/>
      <c r="M181" s="147"/>
      <c r="N181" s="147"/>
      <c r="O181" s="147"/>
      <c r="P181" s="147"/>
      <c r="Q181" s="147"/>
      <c r="R181" s="147"/>
      <c r="S181" s="147"/>
      <c r="T181" s="147"/>
      <c r="U181" s="147"/>
      <c r="V181" s="147"/>
      <c r="W181" s="147"/>
      <c r="X181" s="147"/>
      <c r="Y181" s="147"/>
      <c r="Z181" s="147"/>
    </row>
    <row r="182">
      <c r="A182" s="38" t="s">
        <v>712</v>
      </c>
      <c r="B182" s="39" t="s">
        <v>4773</v>
      </c>
      <c r="C182" s="39" t="s">
        <v>5017</v>
      </c>
      <c r="D182" s="39" t="s">
        <v>5342</v>
      </c>
      <c r="E182" s="39" t="s">
        <v>4851</v>
      </c>
      <c r="F182" s="39" t="s">
        <v>4852</v>
      </c>
      <c r="G182" s="39" t="s">
        <v>4853</v>
      </c>
      <c r="H182" s="39" t="s">
        <v>5343</v>
      </c>
      <c r="I182" s="148" t="s">
        <v>16</v>
      </c>
      <c r="J182" s="147"/>
      <c r="K182" s="147"/>
      <c r="L182" s="147"/>
      <c r="M182" s="147"/>
      <c r="N182" s="147"/>
      <c r="O182" s="147"/>
      <c r="P182" s="147"/>
      <c r="Q182" s="147"/>
      <c r="R182" s="147"/>
      <c r="S182" s="147"/>
      <c r="T182" s="147"/>
      <c r="U182" s="147"/>
      <c r="V182" s="147"/>
      <c r="W182" s="147"/>
      <c r="X182" s="147"/>
      <c r="Y182" s="147"/>
      <c r="Z182" s="147"/>
    </row>
    <row r="183">
      <c r="A183" s="38" t="s">
        <v>715</v>
      </c>
      <c r="B183" s="39" t="s">
        <v>4773</v>
      </c>
      <c r="C183" s="39" t="s">
        <v>5344</v>
      </c>
      <c r="D183" s="39" t="s">
        <v>5345</v>
      </c>
      <c r="E183" s="39" t="s">
        <v>5346</v>
      </c>
      <c r="F183" s="39" t="s">
        <v>4831</v>
      </c>
      <c r="G183" s="39" t="s">
        <v>4832</v>
      </c>
      <c r="H183" s="39" t="s">
        <v>4858</v>
      </c>
      <c r="I183" s="148" t="s">
        <v>16</v>
      </c>
      <c r="J183" s="147"/>
      <c r="K183" s="147"/>
      <c r="L183" s="147"/>
      <c r="M183" s="147"/>
      <c r="N183" s="147"/>
      <c r="O183" s="147"/>
      <c r="P183" s="147"/>
      <c r="Q183" s="147"/>
      <c r="R183" s="147"/>
      <c r="S183" s="147"/>
      <c r="T183" s="147"/>
      <c r="U183" s="147"/>
      <c r="V183" s="147"/>
      <c r="W183" s="147"/>
      <c r="X183" s="147"/>
      <c r="Y183" s="147"/>
      <c r="Z183" s="147"/>
    </row>
    <row r="184">
      <c r="A184" s="38" t="s">
        <v>718</v>
      </c>
      <c r="B184" s="39" t="s">
        <v>4773</v>
      </c>
      <c r="C184" s="39" t="s">
        <v>5023</v>
      </c>
      <c r="D184" s="39" t="s">
        <v>5347</v>
      </c>
      <c r="E184" s="39" t="s">
        <v>4851</v>
      </c>
      <c r="F184" s="39" t="s">
        <v>4852</v>
      </c>
      <c r="G184" s="39" t="s">
        <v>4853</v>
      </c>
      <c r="H184" s="39" t="s">
        <v>4861</v>
      </c>
      <c r="I184" s="148" t="s">
        <v>16</v>
      </c>
      <c r="J184" s="147"/>
      <c r="K184" s="147"/>
      <c r="L184" s="147"/>
      <c r="M184" s="147"/>
      <c r="N184" s="147"/>
      <c r="O184" s="147"/>
      <c r="P184" s="147"/>
      <c r="Q184" s="147"/>
      <c r="R184" s="147"/>
      <c r="S184" s="147"/>
      <c r="T184" s="147"/>
      <c r="U184" s="147"/>
      <c r="V184" s="147"/>
      <c r="W184" s="147"/>
      <c r="X184" s="147"/>
      <c r="Y184" s="147"/>
      <c r="Z184" s="147"/>
    </row>
    <row r="185">
      <c r="A185" s="38" t="s">
        <v>722</v>
      </c>
      <c r="B185" s="39" t="s">
        <v>4773</v>
      </c>
      <c r="C185" s="39" t="s">
        <v>5348</v>
      </c>
      <c r="D185" s="39" t="s">
        <v>5349</v>
      </c>
      <c r="E185" s="39" t="s">
        <v>4864</v>
      </c>
      <c r="F185" s="39" t="s">
        <v>5350</v>
      </c>
      <c r="G185" s="39" t="s">
        <v>4866</v>
      </c>
      <c r="H185" s="39" t="s">
        <v>5351</v>
      </c>
      <c r="I185" s="148" t="s">
        <v>16</v>
      </c>
      <c r="J185" s="147"/>
      <c r="K185" s="147"/>
      <c r="L185" s="147"/>
      <c r="M185" s="147"/>
      <c r="N185" s="147"/>
      <c r="O185" s="147"/>
      <c r="P185" s="147"/>
      <c r="Q185" s="147"/>
      <c r="R185" s="147"/>
      <c r="S185" s="147"/>
      <c r="T185" s="147"/>
      <c r="U185" s="147"/>
      <c r="V185" s="147"/>
      <c r="W185" s="147"/>
      <c r="X185" s="147"/>
      <c r="Y185" s="147"/>
      <c r="Z185" s="147"/>
    </row>
    <row r="186">
      <c r="A186" s="38" t="s">
        <v>728</v>
      </c>
      <c r="B186" s="39" t="s">
        <v>4773</v>
      </c>
      <c r="C186" s="39" t="s">
        <v>5352</v>
      </c>
      <c r="D186" s="39" t="s">
        <v>5353</v>
      </c>
      <c r="E186" s="39" t="s">
        <v>5354</v>
      </c>
      <c r="F186" s="39" t="s">
        <v>4831</v>
      </c>
      <c r="G186" s="39" t="s">
        <v>4832</v>
      </c>
      <c r="H186" s="39" t="s">
        <v>4858</v>
      </c>
      <c r="I186" s="148" t="s">
        <v>16</v>
      </c>
      <c r="J186" s="147"/>
      <c r="K186" s="147"/>
      <c r="L186" s="147"/>
      <c r="M186" s="147"/>
      <c r="N186" s="147"/>
      <c r="O186" s="147"/>
      <c r="P186" s="147"/>
      <c r="Q186" s="147"/>
      <c r="R186" s="147"/>
      <c r="S186" s="147"/>
      <c r="T186" s="147"/>
      <c r="U186" s="147"/>
      <c r="V186" s="147"/>
      <c r="W186" s="147"/>
      <c r="X186" s="147"/>
      <c r="Y186" s="147"/>
      <c r="Z186" s="147"/>
    </row>
    <row r="187">
      <c r="A187" s="38" t="s">
        <v>733</v>
      </c>
      <c r="B187" s="39" t="s">
        <v>4773</v>
      </c>
      <c r="C187" s="39" t="s">
        <v>5355</v>
      </c>
      <c r="D187" s="39" t="s">
        <v>5356</v>
      </c>
      <c r="E187" s="39" t="s">
        <v>4864</v>
      </c>
      <c r="F187" s="39" t="s">
        <v>4852</v>
      </c>
      <c r="G187" s="39" t="s">
        <v>4853</v>
      </c>
      <c r="H187" s="39" t="s">
        <v>5357</v>
      </c>
      <c r="I187" s="148" t="s">
        <v>16</v>
      </c>
      <c r="J187" s="147"/>
      <c r="K187" s="147"/>
      <c r="L187" s="147"/>
      <c r="M187" s="147"/>
      <c r="N187" s="147"/>
      <c r="O187" s="147"/>
      <c r="P187" s="147"/>
      <c r="Q187" s="147"/>
      <c r="R187" s="147"/>
      <c r="S187" s="147"/>
      <c r="T187" s="147"/>
      <c r="U187" s="147"/>
      <c r="V187" s="147"/>
      <c r="W187" s="147"/>
      <c r="X187" s="147"/>
      <c r="Y187" s="147"/>
      <c r="Z187" s="147"/>
    </row>
    <row r="188">
      <c r="A188" s="55" t="s">
        <v>736</v>
      </c>
      <c r="B188" s="39" t="s">
        <v>4773</v>
      </c>
      <c r="C188" s="39" t="s">
        <v>5358</v>
      </c>
      <c r="D188" s="39" t="s">
        <v>5359</v>
      </c>
      <c r="E188" s="39" t="s">
        <v>5360</v>
      </c>
      <c r="F188" s="39" t="s">
        <v>4841</v>
      </c>
      <c r="G188" s="39" t="s">
        <v>4842</v>
      </c>
      <c r="H188" s="39" t="s">
        <v>4843</v>
      </c>
      <c r="I188" s="148" t="s">
        <v>16</v>
      </c>
      <c r="J188" s="147"/>
      <c r="K188" s="147"/>
      <c r="L188" s="147"/>
      <c r="M188" s="147"/>
      <c r="N188" s="147"/>
      <c r="O188" s="147"/>
      <c r="P188" s="147"/>
      <c r="Q188" s="147"/>
      <c r="R188" s="147"/>
      <c r="S188" s="147"/>
      <c r="T188" s="147"/>
      <c r="U188" s="147"/>
      <c r="V188" s="147"/>
      <c r="W188" s="147"/>
      <c r="X188" s="147"/>
      <c r="Y188" s="147"/>
      <c r="Z188" s="147"/>
    </row>
    <row r="189">
      <c r="A189" s="38" t="s">
        <v>741</v>
      </c>
      <c r="B189" s="39" t="s">
        <v>4773</v>
      </c>
      <c r="C189" s="39" t="s">
        <v>5361</v>
      </c>
      <c r="D189" s="39" t="s">
        <v>5362</v>
      </c>
      <c r="E189" s="39" t="s">
        <v>5363</v>
      </c>
      <c r="F189" s="39" t="s">
        <v>4831</v>
      </c>
      <c r="G189" s="39" t="s">
        <v>4832</v>
      </c>
      <c r="H189" s="39" t="s">
        <v>4858</v>
      </c>
      <c r="I189" s="148" t="s">
        <v>16</v>
      </c>
      <c r="J189" s="147"/>
      <c r="K189" s="147"/>
      <c r="L189" s="147"/>
      <c r="M189" s="147"/>
      <c r="N189" s="147"/>
      <c r="O189" s="147"/>
      <c r="P189" s="147"/>
      <c r="Q189" s="147"/>
      <c r="R189" s="147"/>
      <c r="S189" s="147"/>
      <c r="T189" s="147"/>
      <c r="U189" s="147"/>
      <c r="V189" s="147"/>
      <c r="W189" s="147"/>
      <c r="X189" s="147"/>
      <c r="Y189" s="147"/>
      <c r="Z189" s="147"/>
    </row>
    <row r="190">
      <c r="A190" s="38" t="s">
        <v>745</v>
      </c>
      <c r="B190" s="39" t="s">
        <v>4773</v>
      </c>
      <c r="C190" s="39" t="s">
        <v>5364</v>
      </c>
      <c r="D190" s="39" t="s">
        <v>5365</v>
      </c>
      <c r="E190" s="39" t="s">
        <v>4864</v>
      </c>
      <c r="F190" s="39" t="s">
        <v>4852</v>
      </c>
      <c r="G190" s="39" t="s">
        <v>4853</v>
      </c>
      <c r="H190" s="39" t="s">
        <v>4885</v>
      </c>
      <c r="I190" s="148" t="s">
        <v>16</v>
      </c>
      <c r="J190" s="147"/>
      <c r="K190" s="147"/>
      <c r="L190" s="147"/>
      <c r="M190" s="147"/>
      <c r="N190" s="147"/>
      <c r="O190" s="147"/>
      <c r="P190" s="147"/>
      <c r="Q190" s="147"/>
      <c r="R190" s="147"/>
      <c r="S190" s="147"/>
      <c r="T190" s="147"/>
      <c r="U190" s="147"/>
      <c r="V190" s="147"/>
      <c r="W190" s="147"/>
      <c r="X190" s="147"/>
      <c r="Y190" s="147"/>
      <c r="Z190" s="147"/>
    </row>
    <row r="191">
      <c r="A191" s="38" t="s">
        <v>750</v>
      </c>
      <c r="B191" s="39" t="s">
        <v>4773</v>
      </c>
      <c r="C191" s="39" t="s">
        <v>5366</v>
      </c>
      <c r="D191" s="39" t="s">
        <v>5367</v>
      </c>
      <c r="E191" s="39" t="s">
        <v>5368</v>
      </c>
      <c r="F191" s="39" t="s">
        <v>4871</v>
      </c>
      <c r="G191" s="165"/>
      <c r="H191" s="165"/>
      <c r="I191" s="148" t="s">
        <v>16</v>
      </c>
      <c r="J191" s="147"/>
      <c r="K191" s="147"/>
      <c r="L191" s="147"/>
      <c r="M191" s="147"/>
      <c r="N191" s="147"/>
      <c r="O191" s="147"/>
      <c r="P191" s="147"/>
      <c r="Q191" s="147"/>
      <c r="R191" s="147"/>
      <c r="S191" s="147"/>
      <c r="T191" s="147"/>
      <c r="U191" s="147"/>
      <c r="V191" s="147"/>
      <c r="W191" s="147"/>
      <c r="X191" s="147"/>
      <c r="Y191" s="147"/>
      <c r="Z191" s="147"/>
    </row>
    <row r="192">
      <c r="A192" s="38" t="s">
        <v>756</v>
      </c>
      <c r="B192" s="39" t="s">
        <v>4773</v>
      </c>
      <c r="C192" s="39" t="s">
        <v>5369</v>
      </c>
      <c r="D192" s="39" t="s">
        <v>5370</v>
      </c>
      <c r="E192" s="39" t="s">
        <v>5371</v>
      </c>
      <c r="F192" s="39" t="s">
        <v>4831</v>
      </c>
      <c r="G192" s="39" t="s">
        <v>4847</v>
      </c>
      <c r="H192" s="39" t="s">
        <v>5372</v>
      </c>
      <c r="I192" s="148" t="s">
        <v>16</v>
      </c>
      <c r="J192" s="147"/>
      <c r="K192" s="147"/>
      <c r="L192" s="147"/>
      <c r="M192" s="147"/>
      <c r="N192" s="147"/>
      <c r="O192" s="147"/>
      <c r="P192" s="147"/>
      <c r="Q192" s="147"/>
      <c r="R192" s="147"/>
      <c r="S192" s="147"/>
      <c r="T192" s="147"/>
      <c r="U192" s="147"/>
      <c r="V192" s="147"/>
      <c r="W192" s="147"/>
      <c r="X192" s="147"/>
      <c r="Y192" s="147"/>
      <c r="Z192" s="147"/>
    </row>
    <row r="193">
      <c r="A193" s="38" t="s">
        <v>761</v>
      </c>
      <c r="B193" s="39" t="s">
        <v>4773</v>
      </c>
      <c r="C193" s="39" t="s">
        <v>5050</v>
      </c>
      <c r="D193" s="39" t="s">
        <v>5373</v>
      </c>
      <c r="E193" s="39" t="s">
        <v>4851</v>
      </c>
      <c r="F193" s="39" t="s">
        <v>4852</v>
      </c>
      <c r="G193" s="39" t="s">
        <v>4853</v>
      </c>
      <c r="H193" s="39" t="s">
        <v>5374</v>
      </c>
      <c r="I193" s="148" t="s">
        <v>16</v>
      </c>
      <c r="J193" s="147"/>
      <c r="K193" s="147"/>
      <c r="L193" s="147"/>
      <c r="M193" s="147"/>
      <c r="N193" s="147"/>
      <c r="O193" s="147"/>
      <c r="P193" s="147"/>
      <c r="Q193" s="147"/>
      <c r="R193" s="147"/>
      <c r="S193" s="147"/>
      <c r="T193" s="147"/>
      <c r="U193" s="147"/>
      <c r="V193" s="147"/>
      <c r="W193" s="147"/>
      <c r="X193" s="147"/>
      <c r="Y193" s="147"/>
      <c r="Z193" s="147"/>
    </row>
    <row r="194">
      <c r="A194" s="38" t="s">
        <v>767</v>
      </c>
      <c r="B194" s="39" t="s">
        <v>4773</v>
      </c>
      <c r="C194" s="39" t="s">
        <v>5375</v>
      </c>
      <c r="D194" s="39" t="s">
        <v>5376</v>
      </c>
      <c r="E194" s="39" t="s">
        <v>5377</v>
      </c>
      <c r="F194" s="39" t="s">
        <v>4831</v>
      </c>
      <c r="G194" s="39" t="s">
        <v>4832</v>
      </c>
      <c r="H194" s="39" t="s">
        <v>4858</v>
      </c>
      <c r="I194" s="148" t="s">
        <v>16</v>
      </c>
      <c r="J194" s="147"/>
      <c r="K194" s="147"/>
      <c r="L194" s="147"/>
      <c r="M194" s="147"/>
      <c r="N194" s="147"/>
      <c r="O194" s="147"/>
      <c r="P194" s="147"/>
      <c r="Q194" s="147"/>
      <c r="R194" s="147"/>
      <c r="S194" s="147"/>
      <c r="T194" s="147"/>
      <c r="U194" s="147"/>
      <c r="V194" s="147"/>
      <c r="W194" s="147"/>
      <c r="X194" s="147"/>
      <c r="Y194" s="147"/>
      <c r="Z194" s="147"/>
    </row>
    <row r="195">
      <c r="A195" s="38" t="s">
        <v>772</v>
      </c>
      <c r="B195" s="39" t="s">
        <v>4773</v>
      </c>
      <c r="C195" s="39" t="s">
        <v>5056</v>
      </c>
      <c r="D195" s="39" t="s">
        <v>5378</v>
      </c>
      <c r="E195" s="39" t="s">
        <v>4851</v>
      </c>
      <c r="F195" s="39" t="s">
        <v>4852</v>
      </c>
      <c r="G195" s="39" t="s">
        <v>4853</v>
      </c>
      <c r="H195" s="39" t="s">
        <v>4861</v>
      </c>
      <c r="I195" s="148" t="s">
        <v>16</v>
      </c>
      <c r="J195" s="147"/>
      <c r="K195" s="147"/>
      <c r="L195" s="147"/>
      <c r="M195" s="147"/>
      <c r="N195" s="147"/>
      <c r="O195" s="147"/>
      <c r="P195" s="147"/>
      <c r="Q195" s="147"/>
      <c r="R195" s="147"/>
      <c r="S195" s="147"/>
      <c r="T195" s="147"/>
      <c r="U195" s="147"/>
      <c r="V195" s="147"/>
      <c r="W195" s="147"/>
      <c r="X195" s="147"/>
      <c r="Y195" s="147"/>
      <c r="Z195" s="147"/>
    </row>
    <row r="196">
      <c r="A196" s="38" t="s">
        <v>778</v>
      </c>
      <c r="B196" s="39" t="s">
        <v>4773</v>
      </c>
      <c r="C196" s="39" t="s">
        <v>5379</v>
      </c>
      <c r="D196" s="39" t="s">
        <v>5380</v>
      </c>
      <c r="E196" s="39" t="s">
        <v>4864</v>
      </c>
      <c r="F196" s="39" t="s">
        <v>4852</v>
      </c>
      <c r="G196" s="39" t="s">
        <v>4853</v>
      </c>
      <c r="H196" s="39" t="s">
        <v>5381</v>
      </c>
      <c r="I196" s="148" t="s">
        <v>16</v>
      </c>
      <c r="J196" s="147"/>
      <c r="K196" s="147"/>
      <c r="L196" s="147"/>
      <c r="M196" s="147"/>
      <c r="N196" s="147"/>
      <c r="O196" s="147"/>
      <c r="P196" s="147"/>
      <c r="Q196" s="147"/>
      <c r="R196" s="147"/>
      <c r="S196" s="147"/>
      <c r="T196" s="147"/>
      <c r="U196" s="147"/>
      <c r="V196" s="147"/>
      <c r="W196" s="147"/>
      <c r="X196" s="147"/>
      <c r="Y196" s="147"/>
      <c r="Z196" s="147"/>
    </row>
    <row r="197">
      <c r="A197" s="38" t="s">
        <v>780</v>
      </c>
      <c r="B197" s="39" t="s">
        <v>4773</v>
      </c>
      <c r="C197" s="39" t="s">
        <v>5382</v>
      </c>
      <c r="D197" s="39" t="s">
        <v>5383</v>
      </c>
      <c r="E197" s="39" t="s">
        <v>5384</v>
      </c>
      <c r="F197" s="39" t="s">
        <v>4831</v>
      </c>
      <c r="G197" s="39" t="s">
        <v>4847</v>
      </c>
      <c r="H197" s="39" t="s">
        <v>5385</v>
      </c>
      <c r="I197" s="148" t="s">
        <v>16</v>
      </c>
      <c r="J197" s="147"/>
      <c r="K197" s="147"/>
      <c r="L197" s="147"/>
      <c r="M197" s="147"/>
      <c r="N197" s="147"/>
      <c r="O197" s="147"/>
      <c r="P197" s="147"/>
      <c r="Q197" s="147"/>
      <c r="R197" s="147"/>
      <c r="S197" s="147"/>
      <c r="T197" s="147"/>
      <c r="U197" s="147"/>
      <c r="V197" s="147"/>
      <c r="W197" s="147"/>
      <c r="X197" s="147"/>
      <c r="Y197" s="147"/>
      <c r="Z197" s="147"/>
    </row>
    <row r="198">
      <c r="A198" s="38" t="s">
        <v>782</v>
      </c>
      <c r="B198" s="39" t="s">
        <v>4773</v>
      </c>
      <c r="C198" s="39" t="s">
        <v>5065</v>
      </c>
      <c r="D198" s="39" t="s">
        <v>5386</v>
      </c>
      <c r="E198" s="39" t="s">
        <v>4851</v>
      </c>
      <c r="F198" s="39" t="s">
        <v>4852</v>
      </c>
      <c r="G198" s="39" t="s">
        <v>4853</v>
      </c>
      <c r="H198" s="39" t="s">
        <v>5387</v>
      </c>
      <c r="I198" s="148" t="s">
        <v>16</v>
      </c>
      <c r="J198" s="147"/>
      <c r="K198" s="147"/>
      <c r="L198" s="147"/>
      <c r="M198" s="147"/>
      <c r="N198" s="147"/>
      <c r="O198" s="147"/>
      <c r="P198" s="147"/>
      <c r="Q198" s="147"/>
      <c r="R198" s="147"/>
      <c r="S198" s="147"/>
      <c r="T198" s="147"/>
      <c r="U198" s="147"/>
      <c r="V198" s="147"/>
      <c r="W198" s="147"/>
      <c r="X198" s="147"/>
      <c r="Y198" s="147"/>
      <c r="Z198" s="147"/>
    </row>
    <row r="199">
      <c r="A199" s="38" t="s">
        <v>784</v>
      </c>
      <c r="B199" s="39" t="s">
        <v>4773</v>
      </c>
      <c r="C199" s="39" t="s">
        <v>5388</v>
      </c>
      <c r="D199" s="39" t="s">
        <v>5389</v>
      </c>
      <c r="E199" s="39" t="s">
        <v>5390</v>
      </c>
      <c r="F199" s="39" t="s">
        <v>4831</v>
      </c>
      <c r="G199" s="39" t="s">
        <v>4832</v>
      </c>
      <c r="H199" s="39" t="s">
        <v>4858</v>
      </c>
      <c r="I199" s="148" t="s">
        <v>16</v>
      </c>
      <c r="J199" s="147"/>
      <c r="K199" s="147"/>
      <c r="L199" s="147"/>
      <c r="M199" s="147"/>
      <c r="N199" s="147"/>
      <c r="O199" s="147"/>
      <c r="P199" s="147"/>
      <c r="Q199" s="147"/>
      <c r="R199" s="147"/>
      <c r="S199" s="147"/>
      <c r="T199" s="147"/>
      <c r="U199" s="147"/>
      <c r="V199" s="147"/>
      <c r="W199" s="147"/>
      <c r="X199" s="147"/>
      <c r="Y199" s="147"/>
      <c r="Z199" s="147"/>
    </row>
    <row r="200">
      <c r="A200" s="38" t="s">
        <v>789</v>
      </c>
      <c r="B200" s="39" t="s">
        <v>4773</v>
      </c>
      <c r="C200" s="39" t="s">
        <v>4903</v>
      </c>
      <c r="D200" s="39" t="s">
        <v>5391</v>
      </c>
      <c r="E200" s="39" t="s">
        <v>4851</v>
      </c>
      <c r="F200" s="39" t="s">
        <v>4852</v>
      </c>
      <c r="G200" s="39" t="s">
        <v>4853</v>
      </c>
      <c r="H200" s="39" t="s">
        <v>4861</v>
      </c>
      <c r="I200" s="148" t="s">
        <v>16</v>
      </c>
      <c r="J200" s="147"/>
      <c r="K200" s="147"/>
      <c r="L200" s="147"/>
      <c r="M200" s="147"/>
      <c r="N200" s="147"/>
      <c r="O200" s="147"/>
      <c r="P200" s="147"/>
      <c r="Q200" s="147"/>
      <c r="R200" s="147"/>
      <c r="S200" s="147"/>
      <c r="T200" s="147"/>
      <c r="U200" s="147"/>
      <c r="V200" s="147"/>
      <c r="W200" s="147"/>
      <c r="X200" s="147"/>
      <c r="Y200" s="147"/>
      <c r="Z200" s="147"/>
    </row>
    <row r="201">
      <c r="A201" s="38" t="s">
        <v>793</v>
      </c>
      <c r="B201" s="39" t="s">
        <v>4773</v>
      </c>
      <c r="C201" s="39" t="s">
        <v>5392</v>
      </c>
      <c r="D201" s="39" t="s">
        <v>5393</v>
      </c>
      <c r="E201" s="39" t="s">
        <v>4864</v>
      </c>
      <c r="F201" s="39" t="s">
        <v>5394</v>
      </c>
      <c r="G201" s="39" t="s">
        <v>4866</v>
      </c>
      <c r="H201" s="39" t="s">
        <v>5395</v>
      </c>
      <c r="I201" s="148" t="s">
        <v>16</v>
      </c>
      <c r="J201" s="147"/>
      <c r="K201" s="147"/>
      <c r="L201" s="147"/>
      <c r="M201" s="147"/>
      <c r="N201" s="147"/>
      <c r="O201" s="147"/>
      <c r="P201" s="147"/>
      <c r="Q201" s="147"/>
      <c r="R201" s="147"/>
      <c r="S201" s="147"/>
      <c r="T201" s="147"/>
      <c r="U201" s="147"/>
      <c r="V201" s="147"/>
      <c r="W201" s="147"/>
      <c r="X201" s="147"/>
      <c r="Y201" s="147"/>
      <c r="Z201" s="147"/>
    </row>
    <row r="202">
      <c r="A202" s="38" t="s">
        <v>798</v>
      </c>
      <c r="B202" s="39" t="s">
        <v>4773</v>
      </c>
      <c r="C202" s="39" t="s">
        <v>5396</v>
      </c>
      <c r="D202" s="39" t="s">
        <v>5397</v>
      </c>
      <c r="E202" s="39" t="s">
        <v>5398</v>
      </c>
      <c r="F202" s="39" t="s">
        <v>4831</v>
      </c>
      <c r="G202" s="39" t="s">
        <v>4832</v>
      </c>
      <c r="H202" s="39" t="s">
        <v>4858</v>
      </c>
      <c r="I202" s="148" t="s">
        <v>16</v>
      </c>
      <c r="J202" s="147"/>
      <c r="K202" s="147"/>
      <c r="L202" s="147"/>
      <c r="M202" s="147"/>
      <c r="N202" s="147"/>
      <c r="O202" s="147"/>
      <c r="P202" s="147"/>
      <c r="Q202" s="147"/>
      <c r="R202" s="147"/>
      <c r="S202" s="147"/>
      <c r="T202" s="147"/>
      <c r="U202" s="147"/>
      <c r="V202" s="147"/>
      <c r="W202" s="147"/>
      <c r="X202" s="147"/>
      <c r="Y202" s="147"/>
      <c r="Z202" s="147"/>
    </row>
    <row r="203">
      <c r="A203" s="38" t="s">
        <v>804</v>
      </c>
      <c r="B203" s="39" t="s">
        <v>4773</v>
      </c>
      <c r="C203" s="39" t="s">
        <v>5399</v>
      </c>
      <c r="D203" s="39" t="s">
        <v>5400</v>
      </c>
      <c r="E203" s="39" t="s">
        <v>4864</v>
      </c>
      <c r="F203" s="39" t="s">
        <v>4852</v>
      </c>
      <c r="G203" s="39" t="s">
        <v>4853</v>
      </c>
      <c r="H203" s="39" t="s">
        <v>5401</v>
      </c>
      <c r="I203" s="148" t="s">
        <v>16</v>
      </c>
      <c r="J203" s="147"/>
      <c r="K203" s="147"/>
      <c r="L203" s="147"/>
      <c r="M203" s="147"/>
      <c r="N203" s="147"/>
      <c r="O203" s="147"/>
      <c r="P203" s="147"/>
      <c r="Q203" s="147"/>
      <c r="R203" s="147"/>
      <c r="S203" s="147"/>
      <c r="T203" s="147"/>
      <c r="U203" s="147"/>
      <c r="V203" s="147"/>
      <c r="W203" s="147"/>
      <c r="X203" s="147"/>
      <c r="Y203" s="147"/>
      <c r="Z203" s="147"/>
    </row>
    <row r="204">
      <c r="A204" s="38" t="s">
        <v>807</v>
      </c>
      <c r="B204" s="39" t="s">
        <v>4773</v>
      </c>
      <c r="C204" s="39" t="s">
        <v>5402</v>
      </c>
      <c r="D204" s="39" t="s">
        <v>5403</v>
      </c>
      <c r="E204" s="39" t="s">
        <v>5404</v>
      </c>
      <c r="F204" s="39" t="s">
        <v>4841</v>
      </c>
      <c r="G204" s="39" t="s">
        <v>4842</v>
      </c>
      <c r="H204" s="39" t="s">
        <v>4843</v>
      </c>
      <c r="I204" s="148" t="s">
        <v>16</v>
      </c>
      <c r="J204" s="147"/>
      <c r="K204" s="147"/>
      <c r="L204" s="147"/>
      <c r="M204" s="147"/>
      <c r="N204" s="147"/>
      <c r="O204" s="147"/>
      <c r="P204" s="147"/>
      <c r="Q204" s="147"/>
      <c r="R204" s="147"/>
      <c r="S204" s="147"/>
      <c r="T204" s="147"/>
      <c r="U204" s="147"/>
      <c r="V204" s="147"/>
      <c r="W204" s="147"/>
      <c r="X204" s="147"/>
      <c r="Y204" s="147"/>
      <c r="Z204" s="147"/>
    </row>
    <row r="205">
      <c r="A205" s="38" t="s">
        <v>812</v>
      </c>
      <c r="B205" s="39" t="s">
        <v>4773</v>
      </c>
      <c r="C205" s="39" t="s">
        <v>5405</v>
      </c>
      <c r="D205" s="39" t="s">
        <v>5406</v>
      </c>
      <c r="E205" s="39" t="s">
        <v>5407</v>
      </c>
      <c r="F205" s="39" t="s">
        <v>4831</v>
      </c>
      <c r="G205" s="39" t="s">
        <v>4832</v>
      </c>
      <c r="H205" s="39" t="s">
        <v>4858</v>
      </c>
      <c r="I205" s="148" t="s">
        <v>16</v>
      </c>
      <c r="J205" s="147"/>
      <c r="K205" s="147"/>
      <c r="L205" s="147"/>
      <c r="M205" s="147"/>
      <c r="N205" s="147"/>
      <c r="O205" s="147"/>
      <c r="P205" s="147"/>
      <c r="Q205" s="147"/>
      <c r="R205" s="147"/>
      <c r="S205" s="147"/>
      <c r="T205" s="147"/>
      <c r="U205" s="147"/>
      <c r="V205" s="147"/>
      <c r="W205" s="147"/>
      <c r="X205" s="147"/>
      <c r="Y205" s="147"/>
      <c r="Z205" s="147"/>
    </row>
    <row r="206">
      <c r="A206" s="38" t="s">
        <v>816</v>
      </c>
      <c r="B206" s="39" t="s">
        <v>4773</v>
      </c>
      <c r="C206" s="39" t="s">
        <v>5408</v>
      </c>
      <c r="D206" s="39" t="s">
        <v>5409</v>
      </c>
      <c r="E206" s="39" t="s">
        <v>4864</v>
      </c>
      <c r="F206" s="39" t="s">
        <v>4852</v>
      </c>
      <c r="G206" s="39" t="s">
        <v>4853</v>
      </c>
      <c r="H206" s="39" t="s">
        <v>4885</v>
      </c>
      <c r="I206" s="148" t="s">
        <v>16</v>
      </c>
      <c r="J206" s="147"/>
      <c r="K206" s="147"/>
      <c r="L206" s="147"/>
      <c r="M206" s="147"/>
      <c r="N206" s="147"/>
      <c r="O206" s="147"/>
      <c r="P206" s="147"/>
      <c r="Q206" s="147"/>
      <c r="R206" s="147"/>
      <c r="S206" s="147"/>
      <c r="T206" s="147"/>
      <c r="U206" s="147"/>
      <c r="V206" s="147"/>
      <c r="W206" s="147"/>
      <c r="X206" s="147"/>
      <c r="Y206" s="147"/>
      <c r="Z206" s="147"/>
    </row>
    <row r="207">
      <c r="A207" s="38" t="s">
        <v>820</v>
      </c>
      <c r="B207" s="39" t="s">
        <v>4773</v>
      </c>
      <c r="C207" s="39" t="s">
        <v>5410</v>
      </c>
      <c r="D207" s="39" t="s">
        <v>5411</v>
      </c>
      <c r="E207" s="39" t="s">
        <v>5412</v>
      </c>
      <c r="F207" s="39" t="s">
        <v>4871</v>
      </c>
      <c r="G207" s="165"/>
      <c r="H207" s="165"/>
      <c r="I207" s="148" t="s">
        <v>16</v>
      </c>
      <c r="J207" s="147"/>
      <c r="K207" s="147"/>
      <c r="L207" s="147"/>
      <c r="M207" s="147"/>
      <c r="N207" s="147"/>
      <c r="O207" s="147"/>
      <c r="P207" s="147"/>
      <c r="Q207" s="147"/>
      <c r="R207" s="147"/>
      <c r="S207" s="147"/>
      <c r="T207" s="147"/>
      <c r="U207" s="147"/>
      <c r="V207" s="147"/>
      <c r="W207" s="147"/>
      <c r="X207" s="147"/>
      <c r="Y207" s="147"/>
      <c r="Z207" s="147"/>
    </row>
    <row r="208">
      <c r="A208" s="38" t="s">
        <v>824</v>
      </c>
      <c r="B208" s="39" t="s">
        <v>4773</v>
      </c>
      <c r="C208" s="39" t="s">
        <v>5413</v>
      </c>
      <c r="D208" s="39" t="s">
        <v>5414</v>
      </c>
      <c r="E208" s="39" t="s">
        <v>5415</v>
      </c>
      <c r="F208" s="39" t="s">
        <v>4831</v>
      </c>
      <c r="G208" s="39" t="s">
        <v>4847</v>
      </c>
      <c r="H208" s="39" t="s">
        <v>5416</v>
      </c>
      <c r="I208" s="148" t="s">
        <v>16</v>
      </c>
      <c r="J208" s="147"/>
      <c r="K208" s="147"/>
      <c r="L208" s="147"/>
      <c r="M208" s="147"/>
      <c r="N208" s="147"/>
      <c r="O208" s="147"/>
      <c r="P208" s="147"/>
      <c r="Q208" s="147"/>
      <c r="R208" s="147"/>
      <c r="S208" s="147"/>
      <c r="T208" s="147"/>
      <c r="U208" s="147"/>
      <c r="V208" s="147"/>
      <c r="W208" s="147"/>
      <c r="X208" s="147"/>
      <c r="Y208" s="147"/>
      <c r="Z208" s="147"/>
    </row>
    <row r="209">
      <c r="A209" s="38" t="s">
        <v>827</v>
      </c>
      <c r="B209" s="39" t="s">
        <v>4773</v>
      </c>
      <c r="C209" s="39" t="s">
        <v>5097</v>
      </c>
      <c r="D209" s="39" t="s">
        <v>5417</v>
      </c>
      <c r="E209" s="39" t="s">
        <v>4851</v>
      </c>
      <c r="F209" s="39" t="s">
        <v>4852</v>
      </c>
      <c r="G209" s="39" t="s">
        <v>4853</v>
      </c>
      <c r="H209" s="39" t="s">
        <v>5418</v>
      </c>
      <c r="I209" s="148" t="s">
        <v>16</v>
      </c>
      <c r="J209" s="147"/>
      <c r="K209" s="147"/>
      <c r="L209" s="147"/>
      <c r="M209" s="147"/>
      <c r="N209" s="147"/>
      <c r="O209" s="147"/>
      <c r="P209" s="147"/>
      <c r="Q209" s="147"/>
      <c r="R209" s="147"/>
      <c r="S209" s="147"/>
      <c r="T209" s="147"/>
      <c r="U209" s="147"/>
      <c r="V209" s="147"/>
      <c r="W209" s="147"/>
      <c r="X209" s="147"/>
      <c r="Y209" s="147"/>
      <c r="Z209" s="147"/>
    </row>
    <row r="210">
      <c r="A210" s="38" t="s">
        <v>831</v>
      </c>
      <c r="B210" s="39" t="s">
        <v>4773</v>
      </c>
      <c r="C210" s="39" t="s">
        <v>5419</v>
      </c>
      <c r="D210" s="39" t="s">
        <v>5420</v>
      </c>
      <c r="E210" s="39" t="s">
        <v>5421</v>
      </c>
      <c r="F210" s="39" t="s">
        <v>4831</v>
      </c>
      <c r="G210" s="39" t="s">
        <v>4832</v>
      </c>
      <c r="H210" s="39" t="s">
        <v>4858</v>
      </c>
      <c r="I210" s="148" t="s">
        <v>16</v>
      </c>
      <c r="J210" s="147"/>
      <c r="K210" s="147"/>
      <c r="L210" s="147"/>
      <c r="M210" s="147"/>
      <c r="N210" s="147"/>
      <c r="O210" s="147"/>
      <c r="P210" s="147"/>
      <c r="Q210" s="147"/>
      <c r="R210" s="147"/>
      <c r="S210" s="147"/>
      <c r="T210" s="147"/>
      <c r="U210" s="147"/>
      <c r="V210" s="147"/>
      <c r="W210" s="147"/>
      <c r="X210" s="147"/>
      <c r="Y210" s="147"/>
      <c r="Z210" s="147"/>
    </row>
    <row r="211">
      <c r="A211" s="38" t="s">
        <v>835</v>
      </c>
      <c r="B211" s="39" t="s">
        <v>4773</v>
      </c>
      <c r="C211" s="39" t="s">
        <v>4993</v>
      </c>
      <c r="D211" s="39" t="s">
        <v>5422</v>
      </c>
      <c r="E211" s="39" t="s">
        <v>4851</v>
      </c>
      <c r="F211" s="39" t="s">
        <v>4852</v>
      </c>
      <c r="G211" s="39" t="s">
        <v>4853</v>
      </c>
      <c r="H211" s="39" t="s">
        <v>4861</v>
      </c>
      <c r="I211" s="148" t="s">
        <v>16</v>
      </c>
      <c r="J211" s="147"/>
      <c r="K211" s="147"/>
      <c r="L211" s="147"/>
      <c r="M211" s="147"/>
      <c r="N211" s="147"/>
      <c r="O211" s="147"/>
      <c r="P211" s="147"/>
      <c r="Q211" s="147"/>
      <c r="R211" s="147"/>
      <c r="S211" s="147"/>
      <c r="T211" s="147"/>
      <c r="U211" s="147"/>
      <c r="V211" s="147"/>
      <c r="W211" s="147"/>
      <c r="X211" s="147"/>
      <c r="Y211" s="147"/>
      <c r="Z211" s="147"/>
    </row>
    <row r="212">
      <c r="A212" s="55" t="s">
        <v>840</v>
      </c>
      <c r="B212" s="39" t="s">
        <v>4773</v>
      </c>
      <c r="C212" s="39" t="s">
        <v>5423</v>
      </c>
      <c r="D212" s="39" t="s">
        <v>5424</v>
      </c>
      <c r="E212" s="39" t="s">
        <v>4864</v>
      </c>
      <c r="F212" s="39" t="s">
        <v>4852</v>
      </c>
      <c r="G212" s="39" t="s">
        <v>4853</v>
      </c>
      <c r="H212" s="39" t="s">
        <v>5425</v>
      </c>
      <c r="I212" s="148" t="s">
        <v>16</v>
      </c>
      <c r="J212" s="147"/>
      <c r="K212" s="147"/>
      <c r="L212" s="147"/>
      <c r="M212" s="147"/>
      <c r="N212" s="147"/>
      <c r="O212" s="147"/>
      <c r="P212" s="147"/>
      <c r="Q212" s="147"/>
      <c r="R212" s="147"/>
      <c r="S212" s="147"/>
      <c r="T212" s="147"/>
      <c r="U212" s="147"/>
      <c r="V212" s="147"/>
      <c r="W212" s="147"/>
      <c r="X212" s="147"/>
      <c r="Y212" s="147"/>
      <c r="Z212" s="147"/>
    </row>
    <row r="213">
      <c r="A213" s="184" t="s">
        <v>144</v>
      </c>
      <c r="B213" s="185" t="s">
        <v>4773</v>
      </c>
      <c r="C213" s="185" t="s">
        <v>5426</v>
      </c>
      <c r="D213" s="185" t="s">
        <v>5427</v>
      </c>
      <c r="E213" s="185" t="s">
        <v>5428</v>
      </c>
      <c r="F213" s="185" t="s">
        <v>4831</v>
      </c>
      <c r="G213" s="185" t="s">
        <v>4832</v>
      </c>
      <c r="H213" s="185" t="s">
        <v>5429</v>
      </c>
      <c r="I213" s="186" t="s">
        <v>17</v>
      </c>
      <c r="J213" s="187"/>
      <c r="K213" s="187"/>
      <c r="L213" s="187"/>
      <c r="M213" s="187"/>
      <c r="N213" s="187"/>
      <c r="O213" s="187"/>
      <c r="P213" s="187"/>
      <c r="Q213" s="187"/>
      <c r="R213" s="187"/>
      <c r="S213" s="187"/>
      <c r="T213" s="187"/>
      <c r="U213" s="187"/>
      <c r="V213" s="187"/>
      <c r="W213" s="187"/>
      <c r="X213" s="187"/>
      <c r="Y213" s="187"/>
      <c r="Z213" s="187"/>
    </row>
    <row r="214">
      <c r="A214" s="55" t="s">
        <v>149</v>
      </c>
      <c r="B214" s="39" t="s">
        <v>4773</v>
      </c>
      <c r="C214" s="39" t="s">
        <v>4838</v>
      </c>
      <c r="D214" s="39" t="s">
        <v>5430</v>
      </c>
      <c r="E214" s="39" t="s">
        <v>5431</v>
      </c>
      <c r="F214" s="39" t="s">
        <v>4841</v>
      </c>
      <c r="G214" s="39" t="s">
        <v>4842</v>
      </c>
      <c r="H214" s="39" t="s">
        <v>4843</v>
      </c>
      <c r="I214" s="148" t="s">
        <v>17</v>
      </c>
      <c r="J214" s="147"/>
      <c r="K214" s="147"/>
      <c r="L214" s="147"/>
      <c r="M214" s="147"/>
      <c r="N214" s="147"/>
      <c r="O214" s="147"/>
      <c r="P214" s="147"/>
      <c r="Q214" s="147"/>
      <c r="R214" s="147"/>
      <c r="S214" s="147"/>
      <c r="T214" s="147"/>
      <c r="U214" s="147"/>
      <c r="V214" s="147"/>
      <c r="W214" s="147"/>
      <c r="X214" s="147"/>
      <c r="Y214" s="147"/>
      <c r="Z214" s="147"/>
    </row>
    <row r="215">
      <c r="A215" s="55" t="s">
        <v>153</v>
      </c>
      <c r="B215" s="39" t="s">
        <v>4773</v>
      </c>
      <c r="C215" s="39" t="s">
        <v>4844</v>
      </c>
      <c r="D215" s="39" t="s">
        <v>5432</v>
      </c>
      <c r="E215" s="39" t="s">
        <v>5433</v>
      </c>
      <c r="F215" s="39" t="s">
        <v>4831</v>
      </c>
      <c r="G215" s="39" t="s">
        <v>4847</v>
      </c>
      <c r="H215" s="39" t="s">
        <v>5434</v>
      </c>
      <c r="I215" s="148" t="s">
        <v>17</v>
      </c>
      <c r="J215" s="147"/>
      <c r="K215" s="147"/>
      <c r="L215" s="147"/>
      <c r="M215" s="147"/>
      <c r="N215" s="147"/>
      <c r="O215" s="147"/>
      <c r="P215" s="147"/>
      <c r="Q215" s="147"/>
      <c r="R215" s="147"/>
      <c r="S215" s="147"/>
      <c r="T215" s="147"/>
      <c r="U215" s="147"/>
      <c r="V215" s="147"/>
      <c r="W215" s="147"/>
      <c r="X215" s="147"/>
      <c r="Y215" s="147"/>
      <c r="Z215" s="147"/>
    </row>
    <row r="216">
      <c r="A216" s="55" t="s">
        <v>158</v>
      </c>
      <c r="B216" s="39" t="s">
        <v>4773</v>
      </c>
      <c r="C216" s="39" t="s">
        <v>4849</v>
      </c>
      <c r="D216" s="39" t="s">
        <v>5435</v>
      </c>
      <c r="E216" s="39" t="s">
        <v>4851</v>
      </c>
      <c r="F216" s="39" t="s">
        <v>4852</v>
      </c>
      <c r="G216" s="39" t="s">
        <v>4853</v>
      </c>
      <c r="H216" s="39" t="s">
        <v>5436</v>
      </c>
      <c r="I216" s="148" t="s">
        <v>17</v>
      </c>
      <c r="J216" s="147"/>
      <c r="K216" s="147"/>
      <c r="L216" s="147"/>
      <c r="M216" s="147"/>
      <c r="N216" s="147"/>
      <c r="O216" s="147"/>
      <c r="P216" s="147"/>
      <c r="Q216" s="147"/>
      <c r="R216" s="147"/>
      <c r="S216" s="147"/>
      <c r="T216" s="147"/>
      <c r="U216" s="147"/>
      <c r="V216" s="147"/>
      <c r="W216" s="147"/>
      <c r="X216" s="147"/>
      <c r="Y216" s="147"/>
      <c r="Z216" s="147"/>
    </row>
    <row r="217">
      <c r="A217" s="55" t="s">
        <v>162</v>
      </c>
      <c r="B217" s="39" t="s">
        <v>4773</v>
      </c>
      <c r="C217" s="39" t="s">
        <v>5437</v>
      </c>
      <c r="D217" s="39" t="s">
        <v>5438</v>
      </c>
      <c r="E217" s="39" t="s">
        <v>5439</v>
      </c>
      <c r="F217" s="39" t="s">
        <v>4831</v>
      </c>
      <c r="G217" s="39" t="s">
        <v>4832</v>
      </c>
      <c r="H217" s="39" t="s">
        <v>4858</v>
      </c>
      <c r="I217" s="148" t="s">
        <v>17</v>
      </c>
      <c r="J217" s="147"/>
      <c r="K217" s="147"/>
      <c r="L217" s="147"/>
      <c r="M217" s="147"/>
      <c r="N217" s="147"/>
      <c r="O217" s="147"/>
      <c r="P217" s="147"/>
      <c r="Q217" s="147"/>
      <c r="R217" s="147"/>
      <c r="S217" s="147"/>
      <c r="T217" s="147"/>
      <c r="U217" s="147"/>
      <c r="V217" s="147"/>
      <c r="W217" s="147"/>
      <c r="X217" s="147"/>
      <c r="Y217" s="147"/>
      <c r="Z217" s="147"/>
    </row>
    <row r="218">
      <c r="A218" s="55" t="s">
        <v>165</v>
      </c>
      <c r="B218" s="39" t="s">
        <v>4773</v>
      </c>
      <c r="C218" s="39" t="s">
        <v>4859</v>
      </c>
      <c r="D218" s="39" t="s">
        <v>5440</v>
      </c>
      <c r="E218" s="39" t="s">
        <v>4851</v>
      </c>
      <c r="F218" s="39" t="s">
        <v>4852</v>
      </c>
      <c r="G218" s="39" t="s">
        <v>4853</v>
      </c>
      <c r="H218" s="39" t="s">
        <v>4861</v>
      </c>
      <c r="I218" s="148" t="s">
        <v>17</v>
      </c>
      <c r="J218" s="147"/>
      <c r="K218" s="147"/>
      <c r="L218" s="147"/>
      <c r="M218" s="147"/>
      <c r="N218" s="147"/>
      <c r="O218" s="147"/>
      <c r="P218" s="147"/>
      <c r="Q218" s="147"/>
      <c r="R218" s="147"/>
      <c r="S218" s="147"/>
      <c r="T218" s="147"/>
      <c r="U218" s="147"/>
      <c r="V218" s="147"/>
      <c r="W218" s="147"/>
      <c r="X218" s="147"/>
      <c r="Y218" s="147"/>
      <c r="Z218" s="147"/>
    </row>
    <row r="219">
      <c r="A219" s="55" t="s">
        <v>167</v>
      </c>
      <c r="B219" s="39" t="s">
        <v>4773</v>
      </c>
      <c r="C219" s="39" t="s">
        <v>5441</v>
      </c>
      <c r="D219" s="39" t="s">
        <v>5442</v>
      </c>
      <c r="E219" s="39" t="s">
        <v>4864</v>
      </c>
      <c r="F219" s="39" t="s">
        <v>5443</v>
      </c>
      <c r="G219" s="39" t="s">
        <v>4866</v>
      </c>
      <c r="H219" s="39" t="s">
        <v>5444</v>
      </c>
      <c r="I219" s="148" t="s">
        <v>17</v>
      </c>
      <c r="J219" s="147"/>
      <c r="K219" s="147"/>
      <c r="L219" s="147"/>
      <c r="M219" s="147"/>
      <c r="N219" s="147"/>
      <c r="O219" s="147"/>
      <c r="P219" s="147"/>
      <c r="Q219" s="147"/>
      <c r="R219" s="147"/>
      <c r="S219" s="147"/>
      <c r="T219" s="147"/>
      <c r="U219" s="147"/>
      <c r="V219" s="147"/>
      <c r="W219" s="147"/>
      <c r="X219" s="147"/>
      <c r="Y219" s="147"/>
      <c r="Z219" s="147"/>
    </row>
    <row r="220">
      <c r="A220" s="55" t="s">
        <v>170</v>
      </c>
      <c r="B220" s="39" t="s">
        <v>4773</v>
      </c>
      <c r="C220" s="39" t="s">
        <v>5445</v>
      </c>
      <c r="D220" s="39" t="s">
        <v>5446</v>
      </c>
      <c r="E220" s="39" t="s">
        <v>5447</v>
      </c>
      <c r="F220" s="39" t="s">
        <v>4871</v>
      </c>
      <c r="G220" s="39" t="s">
        <v>4872</v>
      </c>
      <c r="H220" s="39" t="s">
        <v>4873</v>
      </c>
      <c r="I220" s="148" t="s">
        <v>17</v>
      </c>
      <c r="J220" s="147"/>
      <c r="K220" s="147"/>
      <c r="L220" s="147"/>
      <c r="M220" s="147"/>
      <c r="N220" s="147"/>
      <c r="O220" s="147"/>
      <c r="P220" s="147"/>
      <c r="Q220" s="147"/>
      <c r="R220" s="147"/>
      <c r="S220" s="147"/>
      <c r="T220" s="147"/>
      <c r="U220" s="147"/>
      <c r="V220" s="147"/>
      <c r="W220" s="147"/>
      <c r="X220" s="147"/>
      <c r="Y220" s="147"/>
      <c r="Z220" s="147"/>
    </row>
    <row r="221">
      <c r="A221" s="55" t="s">
        <v>175</v>
      </c>
      <c r="B221" s="39" t="s">
        <v>4773</v>
      </c>
      <c r="C221" s="39" t="s">
        <v>5448</v>
      </c>
      <c r="D221" s="39" t="s">
        <v>5449</v>
      </c>
      <c r="E221" s="39" t="s">
        <v>5450</v>
      </c>
      <c r="F221" s="39" t="s">
        <v>4831</v>
      </c>
      <c r="G221" s="39" t="s">
        <v>4832</v>
      </c>
      <c r="H221" s="39" t="s">
        <v>4858</v>
      </c>
      <c r="I221" s="148" t="s">
        <v>17</v>
      </c>
      <c r="J221" s="147"/>
      <c r="K221" s="147"/>
      <c r="L221" s="147"/>
      <c r="M221" s="147"/>
      <c r="N221" s="147"/>
      <c r="O221" s="147"/>
      <c r="P221" s="147"/>
      <c r="Q221" s="147"/>
      <c r="R221" s="147"/>
      <c r="S221" s="147"/>
      <c r="T221" s="147"/>
      <c r="U221" s="147"/>
      <c r="V221" s="147"/>
      <c r="W221" s="147"/>
      <c r="X221" s="147"/>
      <c r="Y221" s="147"/>
      <c r="Z221" s="147"/>
    </row>
    <row r="222">
      <c r="A222" s="55" t="s">
        <v>180</v>
      </c>
      <c r="B222" s="39" t="s">
        <v>4773</v>
      </c>
      <c r="C222" s="39" t="s">
        <v>5451</v>
      </c>
      <c r="D222" s="39" t="s">
        <v>5452</v>
      </c>
      <c r="E222" s="39" t="s">
        <v>4864</v>
      </c>
      <c r="F222" s="39" t="s">
        <v>4852</v>
      </c>
      <c r="G222" s="39" t="s">
        <v>4853</v>
      </c>
      <c r="H222" s="39" t="s">
        <v>5453</v>
      </c>
      <c r="I222" s="148" t="s">
        <v>17</v>
      </c>
      <c r="J222" s="147"/>
      <c r="K222" s="147"/>
      <c r="L222" s="147"/>
      <c r="M222" s="147"/>
      <c r="N222" s="147"/>
      <c r="O222" s="147"/>
      <c r="P222" s="147"/>
      <c r="Q222" s="147"/>
      <c r="R222" s="147"/>
      <c r="S222" s="147"/>
      <c r="T222" s="147"/>
      <c r="U222" s="147"/>
      <c r="V222" s="147"/>
      <c r="W222" s="147"/>
      <c r="X222" s="147"/>
      <c r="Y222" s="147"/>
      <c r="Z222" s="147"/>
    </row>
    <row r="223">
      <c r="A223" s="55" t="s">
        <v>185</v>
      </c>
      <c r="B223" s="39" t="s">
        <v>4773</v>
      </c>
      <c r="C223" s="39" t="s">
        <v>5454</v>
      </c>
      <c r="D223" s="39" t="s">
        <v>5455</v>
      </c>
      <c r="E223" s="39" t="s">
        <v>5456</v>
      </c>
      <c r="F223" s="39" t="s">
        <v>4831</v>
      </c>
      <c r="G223" s="39" t="s">
        <v>4832</v>
      </c>
      <c r="H223" s="39" t="s">
        <v>4858</v>
      </c>
      <c r="I223" s="148" t="s">
        <v>17</v>
      </c>
      <c r="J223" s="147"/>
      <c r="K223" s="147"/>
      <c r="L223" s="147"/>
      <c r="M223" s="147"/>
      <c r="N223" s="147"/>
      <c r="O223" s="147"/>
      <c r="P223" s="147"/>
      <c r="Q223" s="147"/>
      <c r="R223" s="147"/>
      <c r="S223" s="147"/>
      <c r="T223" s="147"/>
      <c r="U223" s="147"/>
      <c r="V223" s="147"/>
      <c r="W223" s="147"/>
      <c r="X223" s="147"/>
      <c r="Y223" s="147"/>
      <c r="Z223" s="147"/>
    </row>
    <row r="224">
      <c r="A224" s="55" t="s">
        <v>190</v>
      </c>
      <c r="B224" s="39" t="s">
        <v>4773</v>
      </c>
      <c r="C224" s="39" t="s">
        <v>5457</v>
      </c>
      <c r="D224" s="39" t="s">
        <v>5458</v>
      </c>
      <c r="E224" s="39" t="s">
        <v>4864</v>
      </c>
      <c r="F224" s="39" t="s">
        <v>4852</v>
      </c>
      <c r="G224" s="39" t="s">
        <v>4853</v>
      </c>
      <c r="H224" s="39" t="s">
        <v>4885</v>
      </c>
      <c r="I224" s="148" t="s">
        <v>17</v>
      </c>
      <c r="J224" s="147"/>
      <c r="K224" s="147"/>
      <c r="L224" s="147"/>
      <c r="M224" s="147"/>
      <c r="N224" s="147"/>
      <c r="O224" s="147"/>
      <c r="P224" s="147"/>
      <c r="Q224" s="147"/>
      <c r="R224" s="147"/>
      <c r="S224" s="147"/>
      <c r="T224" s="147"/>
      <c r="U224" s="147"/>
      <c r="V224" s="147"/>
      <c r="W224" s="147"/>
      <c r="X224" s="147"/>
      <c r="Y224" s="147"/>
      <c r="Z224" s="147"/>
    </row>
    <row r="225">
      <c r="A225" s="55" t="s">
        <v>195</v>
      </c>
      <c r="B225" s="39" t="s">
        <v>4773</v>
      </c>
      <c r="C225" s="39" t="s">
        <v>5459</v>
      </c>
      <c r="D225" s="39" t="s">
        <v>5460</v>
      </c>
      <c r="E225" s="39" t="s">
        <v>5461</v>
      </c>
      <c r="F225" s="39" t="s">
        <v>4831</v>
      </c>
      <c r="G225" s="39" t="s">
        <v>4832</v>
      </c>
      <c r="H225" s="39" t="s">
        <v>5462</v>
      </c>
      <c r="I225" s="148" t="s">
        <v>17</v>
      </c>
      <c r="J225" s="147"/>
      <c r="K225" s="147"/>
      <c r="L225" s="147"/>
      <c r="M225" s="147"/>
      <c r="N225" s="147"/>
      <c r="O225" s="147"/>
      <c r="P225" s="147"/>
      <c r="Q225" s="147"/>
      <c r="R225" s="147"/>
      <c r="S225" s="147"/>
      <c r="T225" s="147"/>
      <c r="U225" s="147"/>
      <c r="V225" s="147"/>
      <c r="W225" s="147"/>
      <c r="X225" s="147"/>
      <c r="Y225" s="147"/>
      <c r="Z225" s="147"/>
    </row>
    <row r="226">
      <c r="A226" s="55" t="s">
        <v>200</v>
      </c>
      <c r="B226" s="39" t="s">
        <v>4773</v>
      </c>
      <c r="C226" s="39" t="s">
        <v>5463</v>
      </c>
      <c r="D226" s="39" t="s">
        <v>5464</v>
      </c>
      <c r="E226" s="39" t="s">
        <v>5465</v>
      </c>
      <c r="F226" s="39" t="s">
        <v>4841</v>
      </c>
      <c r="G226" s="39" t="s">
        <v>4842</v>
      </c>
      <c r="H226" s="39" t="s">
        <v>4843</v>
      </c>
      <c r="I226" s="148" t="s">
        <v>17</v>
      </c>
      <c r="J226" s="147"/>
      <c r="K226" s="147"/>
      <c r="L226" s="147"/>
      <c r="M226" s="147"/>
      <c r="N226" s="147"/>
      <c r="O226" s="147"/>
      <c r="P226" s="147"/>
      <c r="Q226" s="147"/>
      <c r="R226" s="147"/>
      <c r="S226" s="147"/>
      <c r="T226" s="147"/>
      <c r="U226" s="147"/>
      <c r="V226" s="147"/>
      <c r="W226" s="147"/>
      <c r="X226" s="147"/>
      <c r="Y226" s="147"/>
      <c r="Z226" s="147"/>
    </row>
    <row r="227">
      <c r="A227" s="55" t="s">
        <v>205</v>
      </c>
      <c r="B227" s="39" t="s">
        <v>4773</v>
      </c>
      <c r="C227" s="39" t="s">
        <v>5466</v>
      </c>
      <c r="D227" s="39" t="s">
        <v>5467</v>
      </c>
      <c r="E227" s="39" t="s">
        <v>5468</v>
      </c>
      <c r="F227" s="39" t="s">
        <v>4831</v>
      </c>
      <c r="G227" s="39" t="s">
        <v>4847</v>
      </c>
      <c r="H227" s="39" t="s">
        <v>5469</v>
      </c>
      <c r="I227" s="148" t="s">
        <v>17</v>
      </c>
      <c r="J227" s="147"/>
      <c r="K227" s="147"/>
      <c r="L227" s="147"/>
      <c r="M227" s="147"/>
      <c r="N227" s="147"/>
      <c r="O227" s="147"/>
      <c r="P227" s="147"/>
      <c r="Q227" s="147"/>
      <c r="R227" s="147"/>
      <c r="S227" s="147"/>
      <c r="T227" s="147"/>
      <c r="U227" s="147"/>
      <c r="V227" s="147"/>
      <c r="W227" s="147"/>
      <c r="X227" s="147"/>
      <c r="Y227" s="147"/>
      <c r="Z227" s="147"/>
    </row>
    <row r="228">
      <c r="A228" s="55" t="s">
        <v>210</v>
      </c>
      <c r="B228" s="39" t="s">
        <v>4773</v>
      </c>
      <c r="C228" s="39" t="s">
        <v>5470</v>
      </c>
      <c r="D228" s="39" t="s">
        <v>5471</v>
      </c>
      <c r="E228" s="39" t="s">
        <v>4851</v>
      </c>
      <c r="F228" s="39" t="s">
        <v>4852</v>
      </c>
      <c r="G228" s="39" t="s">
        <v>4853</v>
      </c>
      <c r="H228" s="39" t="s">
        <v>5472</v>
      </c>
      <c r="I228" s="148" t="s">
        <v>17</v>
      </c>
      <c r="J228" s="147"/>
      <c r="K228" s="147"/>
      <c r="L228" s="147"/>
      <c r="M228" s="147"/>
      <c r="N228" s="147"/>
      <c r="O228" s="147"/>
      <c r="P228" s="147"/>
      <c r="Q228" s="147"/>
      <c r="R228" s="147"/>
      <c r="S228" s="147"/>
      <c r="T228" s="147"/>
      <c r="U228" s="147"/>
      <c r="V228" s="147"/>
      <c r="W228" s="147"/>
      <c r="X228" s="147"/>
      <c r="Y228" s="147"/>
      <c r="Z228" s="147"/>
    </row>
    <row r="229">
      <c r="A229" s="55" t="s">
        <v>215</v>
      </c>
      <c r="B229" s="39" t="s">
        <v>4773</v>
      </c>
      <c r="C229" s="39" t="s">
        <v>5473</v>
      </c>
      <c r="D229" s="39" t="s">
        <v>5474</v>
      </c>
      <c r="E229" s="39" t="s">
        <v>5475</v>
      </c>
      <c r="F229" s="39" t="s">
        <v>4831</v>
      </c>
      <c r="G229" s="39" t="s">
        <v>4832</v>
      </c>
      <c r="H229" s="39" t="s">
        <v>4858</v>
      </c>
      <c r="I229" s="148" t="s">
        <v>17</v>
      </c>
      <c r="J229" s="147"/>
      <c r="K229" s="147"/>
      <c r="L229" s="147"/>
      <c r="M229" s="147"/>
      <c r="N229" s="147"/>
      <c r="O229" s="147"/>
      <c r="P229" s="147"/>
      <c r="Q229" s="147"/>
      <c r="R229" s="147"/>
      <c r="S229" s="147"/>
      <c r="T229" s="147"/>
      <c r="U229" s="147"/>
      <c r="V229" s="147"/>
      <c r="W229" s="147"/>
      <c r="X229" s="147"/>
      <c r="Y229" s="147"/>
      <c r="Z229" s="147"/>
    </row>
    <row r="230">
      <c r="A230" s="55" t="s">
        <v>220</v>
      </c>
      <c r="B230" s="39" t="s">
        <v>4773</v>
      </c>
      <c r="C230" s="39" t="s">
        <v>4903</v>
      </c>
      <c r="D230" s="39" t="s">
        <v>5476</v>
      </c>
      <c r="E230" s="39" t="s">
        <v>4851</v>
      </c>
      <c r="F230" s="39" t="s">
        <v>4852</v>
      </c>
      <c r="G230" s="39" t="s">
        <v>4853</v>
      </c>
      <c r="H230" s="39" t="s">
        <v>4861</v>
      </c>
      <c r="I230" s="148" t="s">
        <v>17</v>
      </c>
      <c r="J230" s="147"/>
      <c r="K230" s="147"/>
      <c r="L230" s="147"/>
      <c r="M230" s="147"/>
      <c r="N230" s="147"/>
      <c r="O230" s="147"/>
      <c r="P230" s="147"/>
      <c r="Q230" s="147"/>
      <c r="R230" s="147"/>
      <c r="S230" s="147"/>
      <c r="T230" s="147"/>
      <c r="U230" s="147"/>
      <c r="V230" s="147"/>
      <c r="W230" s="147"/>
      <c r="X230" s="147"/>
      <c r="Y230" s="147"/>
      <c r="Z230" s="147"/>
    </row>
    <row r="231">
      <c r="A231" s="55" t="s">
        <v>224</v>
      </c>
      <c r="B231" s="39" t="s">
        <v>4773</v>
      </c>
      <c r="C231" s="39" t="s">
        <v>5477</v>
      </c>
      <c r="D231" s="39" t="s">
        <v>5478</v>
      </c>
      <c r="E231" s="39" t="s">
        <v>4864</v>
      </c>
      <c r="F231" s="39" t="s">
        <v>5479</v>
      </c>
      <c r="G231" s="39" t="s">
        <v>4866</v>
      </c>
      <c r="H231" s="39" t="s">
        <v>5480</v>
      </c>
      <c r="I231" s="148" t="s">
        <v>17</v>
      </c>
      <c r="J231" s="147"/>
      <c r="K231" s="147"/>
      <c r="L231" s="147"/>
      <c r="M231" s="147"/>
      <c r="N231" s="147"/>
      <c r="O231" s="147"/>
      <c r="P231" s="147"/>
      <c r="Q231" s="147"/>
      <c r="R231" s="147"/>
      <c r="S231" s="147"/>
      <c r="T231" s="147"/>
      <c r="U231" s="147"/>
      <c r="V231" s="147"/>
      <c r="W231" s="147"/>
      <c r="X231" s="147"/>
      <c r="Y231" s="147"/>
      <c r="Z231" s="147"/>
    </row>
    <row r="232">
      <c r="A232" s="55" t="s">
        <v>228</v>
      </c>
      <c r="B232" s="39" t="s">
        <v>4773</v>
      </c>
      <c r="C232" s="39" t="s">
        <v>5481</v>
      </c>
      <c r="D232" s="46" t="s">
        <v>5482</v>
      </c>
      <c r="E232" s="39" t="s">
        <v>5483</v>
      </c>
      <c r="F232" s="39" t="s">
        <v>4871</v>
      </c>
      <c r="G232" s="39" t="s">
        <v>4872</v>
      </c>
      <c r="H232" s="39" t="s">
        <v>4873</v>
      </c>
      <c r="I232" s="148" t="s">
        <v>17</v>
      </c>
      <c r="J232" s="147"/>
      <c r="K232" s="147"/>
      <c r="L232" s="147"/>
      <c r="M232" s="147"/>
      <c r="N232" s="147"/>
      <c r="O232" s="147"/>
      <c r="P232" s="147"/>
      <c r="Q232" s="147"/>
      <c r="R232" s="147"/>
      <c r="S232" s="147"/>
      <c r="T232" s="147"/>
      <c r="U232" s="147"/>
      <c r="V232" s="147"/>
      <c r="W232" s="147"/>
      <c r="X232" s="147"/>
      <c r="Y232" s="147"/>
      <c r="Z232" s="147"/>
    </row>
    <row r="233">
      <c r="A233" s="55" t="s">
        <v>233</v>
      </c>
      <c r="B233" s="39" t="s">
        <v>4773</v>
      </c>
      <c r="C233" s="39" t="s">
        <v>5484</v>
      </c>
      <c r="D233" s="39" t="s">
        <v>5485</v>
      </c>
      <c r="E233" s="39" t="s">
        <v>5486</v>
      </c>
      <c r="F233" s="39" t="s">
        <v>4831</v>
      </c>
      <c r="G233" s="39" t="s">
        <v>4832</v>
      </c>
      <c r="H233" s="39" t="s">
        <v>4858</v>
      </c>
      <c r="I233" s="148" t="s">
        <v>17</v>
      </c>
      <c r="J233" s="147"/>
      <c r="K233" s="147"/>
      <c r="L233" s="147"/>
      <c r="M233" s="147"/>
      <c r="N233" s="147"/>
      <c r="O233" s="147"/>
      <c r="P233" s="147"/>
      <c r="Q233" s="147"/>
      <c r="R233" s="147"/>
      <c r="S233" s="147"/>
      <c r="T233" s="147"/>
      <c r="U233" s="147"/>
      <c r="V233" s="147"/>
      <c r="W233" s="147"/>
      <c r="X233" s="147"/>
      <c r="Y233" s="147"/>
      <c r="Z233" s="147"/>
    </row>
    <row r="234">
      <c r="A234" s="55" t="s">
        <v>237</v>
      </c>
      <c r="B234" s="39" t="s">
        <v>4773</v>
      </c>
      <c r="C234" s="39" t="s">
        <v>5487</v>
      </c>
      <c r="D234" s="39" t="s">
        <v>5488</v>
      </c>
      <c r="E234" s="39" t="s">
        <v>4864</v>
      </c>
      <c r="F234" s="39" t="s">
        <v>4852</v>
      </c>
      <c r="G234" s="39" t="s">
        <v>4853</v>
      </c>
      <c r="H234" s="39" t="s">
        <v>5489</v>
      </c>
      <c r="I234" s="148" t="s">
        <v>17</v>
      </c>
      <c r="J234" s="147"/>
      <c r="K234" s="147"/>
      <c r="L234" s="147"/>
      <c r="M234" s="147"/>
      <c r="N234" s="147"/>
      <c r="O234" s="147"/>
      <c r="P234" s="147"/>
      <c r="Q234" s="147"/>
      <c r="R234" s="147"/>
      <c r="S234" s="147"/>
      <c r="T234" s="147"/>
      <c r="U234" s="147"/>
      <c r="V234" s="147"/>
      <c r="W234" s="147"/>
      <c r="X234" s="147"/>
      <c r="Y234" s="147"/>
      <c r="Z234" s="147"/>
    </row>
    <row r="235">
      <c r="A235" s="55" t="s">
        <v>241</v>
      </c>
      <c r="B235" s="39" t="s">
        <v>4773</v>
      </c>
      <c r="C235" s="39" t="s">
        <v>5490</v>
      </c>
      <c r="D235" s="39" t="s">
        <v>5491</v>
      </c>
      <c r="E235" s="39" t="s">
        <v>5492</v>
      </c>
      <c r="F235" s="39" t="s">
        <v>4831</v>
      </c>
      <c r="G235" s="39" t="s">
        <v>4832</v>
      </c>
      <c r="H235" s="39" t="s">
        <v>4858</v>
      </c>
      <c r="I235" s="148" t="s">
        <v>17</v>
      </c>
      <c r="J235" s="147"/>
      <c r="K235" s="147"/>
      <c r="L235" s="147"/>
      <c r="M235" s="147"/>
      <c r="N235" s="147"/>
      <c r="O235" s="147"/>
      <c r="P235" s="147"/>
      <c r="Q235" s="147"/>
      <c r="R235" s="147"/>
      <c r="S235" s="147"/>
      <c r="T235" s="147"/>
      <c r="U235" s="147"/>
      <c r="V235" s="147"/>
      <c r="W235" s="147"/>
      <c r="X235" s="147"/>
      <c r="Y235" s="147"/>
      <c r="Z235" s="147"/>
    </row>
    <row r="236">
      <c r="A236" s="55" t="s">
        <v>245</v>
      </c>
      <c r="B236" s="39" t="s">
        <v>4773</v>
      </c>
      <c r="C236" s="39" t="s">
        <v>5493</v>
      </c>
      <c r="D236" s="39" t="s">
        <v>5494</v>
      </c>
      <c r="E236" s="39" t="s">
        <v>4864</v>
      </c>
      <c r="F236" s="39" t="s">
        <v>4852</v>
      </c>
      <c r="G236" s="39" t="s">
        <v>4853</v>
      </c>
      <c r="H236" s="39" t="s">
        <v>4885</v>
      </c>
      <c r="I236" s="148" t="s">
        <v>17</v>
      </c>
      <c r="J236" s="147"/>
      <c r="K236" s="147"/>
      <c r="L236" s="147"/>
      <c r="M236" s="147"/>
      <c r="N236" s="147"/>
      <c r="O236" s="147"/>
      <c r="P236" s="147"/>
      <c r="Q236" s="147"/>
      <c r="R236" s="147"/>
      <c r="S236" s="147"/>
      <c r="T236" s="147"/>
      <c r="U236" s="147"/>
      <c r="V236" s="147"/>
      <c r="W236" s="147"/>
      <c r="X236" s="147"/>
      <c r="Y236" s="147"/>
      <c r="Z236" s="147"/>
    </row>
    <row r="237">
      <c r="A237" s="168" t="s">
        <v>919</v>
      </c>
      <c r="B237" s="169" t="s">
        <v>4773</v>
      </c>
      <c r="C237" s="170" t="s">
        <v>5171</v>
      </c>
      <c r="D237" s="170" t="s">
        <v>5495</v>
      </c>
      <c r="E237" s="169" t="s">
        <v>5173</v>
      </c>
      <c r="F237" s="169" t="s">
        <v>5174</v>
      </c>
      <c r="G237" s="169" t="s">
        <v>5175</v>
      </c>
      <c r="H237" s="169" t="s">
        <v>5176</v>
      </c>
      <c r="I237" s="188" t="s">
        <v>13</v>
      </c>
      <c r="J237" s="171"/>
      <c r="K237" s="171"/>
      <c r="L237" s="171"/>
      <c r="M237" s="171"/>
      <c r="N237" s="171"/>
      <c r="O237" s="171"/>
      <c r="P237" s="171"/>
      <c r="Q237" s="171"/>
      <c r="R237" s="171"/>
      <c r="S237" s="171"/>
      <c r="T237" s="171"/>
      <c r="U237" s="171"/>
      <c r="V237" s="171"/>
      <c r="W237" s="171"/>
      <c r="X237" s="171"/>
      <c r="Y237" s="171"/>
      <c r="Z237" s="171"/>
    </row>
    <row r="238">
      <c r="A238" s="168" t="s">
        <v>922</v>
      </c>
      <c r="B238" s="172" t="s">
        <v>4773</v>
      </c>
      <c r="C238" s="173" t="s">
        <v>5177</v>
      </c>
      <c r="D238" s="173" t="s">
        <v>5496</v>
      </c>
      <c r="E238" s="172" t="s">
        <v>5173</v>
      </c>
      <c r="F238" s="172" t="s">
        <v>5174</v>
      </c>
      <c r="G238" s="172" t="s">
        <v>5175</v>
      </c>
      <c r="H238" s="172" t="s">
        <v>5176</v>
      </c>
      <c r="I238" s="188" t="s">
        <v>13</v>
      </c>
      <c r="J238" s="171"/>
      <c r="K238" s="171"/>
      <c r="L238" s="171"/>
      <c r="M238" s="171"/>
      <c r="N238" s="171"/>
      <c r="O238" s="171"/>
      <c r="P238" s="171"/>
      <c r="Q238" s="171"/>
      <c r="R238" s="171"/>
      <c r="S238" s="171"/>
      <c r="T238" s="171"/>
      <c r="U238" s="171"/>
      <c r="V238" s="171"/>
      <c r="W238" s="171"/>
      <c r="X238" s="171"/>
      <c r="Y238" s="171"/>
      <c r="Z238" s="171"/>
    </row>
    <row r="239">
      <c r="A239" s="168" t="s">
        <v>925</v>
      </c>
      <c r="B239" s="172" t="s">
        <v>4773</v>
      </c>
      <c r="C239" s="173" t="s">
        <v>5179</v>
      </c>
      <c r="D239" s="173" t="s">
        <v>5497</v>
      </c>
      <c r="E239" s="172" t="s">
        <v>4781</v>
      </c>
      <c r="F239" s="172" t="s">
        <v>4777</v>
      </c>
      <c r="G239" s="172" t="s">
        <v>4778</v>
      </c>
      <c r="H239" s="172" t="s">
        <v>4779</v>
      </c>
      <c r="I239" s="188" t="s">
        <v>13</v>
      </c>
      <c r="J239" s="171"/>
      <c r="K239" s="171"/>
      <c r="L239" s="171"/>
      <c r="M239" s="171"/>
      <c r="N239" s="171"/>
      <c r="O239" s="171"/>
      <c r="P239" s="171"/>
      <c r="Q239" s="171"/>
      <c r="R239" s="171"/>
      <c r="S239" s="171"/>
      <c r="T239" s="171"/>
      <c r="U239" s="171"/>
      <c r="V239" s="171"/>
      <c r="W239" s="171"/>
      <c r="X239" s="171"/>
      <c r="Y239" s="171"/>
      <c r="Z239" s="171"/>
    </row>
    <row r="240">
      <c r="A240" s="168" t="s">
        <v>929</v>
      </c>
      <c r="B240" s="172" t="s">
        <v>4773</v>
      </c>
      <c r="C240" s="173" t="s">
        <v>5181</v>
      </c>
      <c r="D240" s="173" t="s">
        <v>5497</v>
      </c>
      <c r="E240" s="172" t="s">
        <v>4783</v>
      </c>
      <c r="F240" s="172" t="s">
        <v>4784</v>
      </c>
      <c r="G240" s="174" t="s">
        <v>4785</v>
      </c>
      <c r="H240" s="175" t="s">
        <v>2964</v>
      </c>
      <c r="I240" s="188" t="s">
        <v>13</v>
      </c>
      <c r="J240" s="171"/>
      <c r="K240" s="171"/>
      <c r="L240" s="171"/>
      <c r="M240" s="171"/>
      <c r="N240" s="171"/>
      <c r="O240" s="171"/>
      <c r="P240" s="171"/>
      <c r="Q240" s="171"/>
      <c r="R240" s="171"/>
      <c r="S240" s="171"/>
      <c r="T240" s="171"/>
      <c r="U240" s="171"/>
      <c r="V240" s="171"/>
      <c r="W240" s="171"/>
      <c r="X240" s="171"/>
      <c r="Y240" s="171"/>
      <c r="Z240" s="171"/>
    </row>
    <row r="241">
      <c r="A241" s="168" t="s">
        <v>935</v>
      </c>
      <c r="B241" s="172" t="s">
        <v>4773</v>
      </c>
      <c r="C241" s="173" t="s">
        <v>5182</v>
      </c>
      <c r="D241" s="173" t="s">
        <v>5498</v>
      </c>
      <c r="E241" s="172" t="s">
        <v>4783</v>
      </c>
      <c r="F241" s="172" t="s">
        <v>4788</v>
      </c>
      <c r="G241" s="172" t="s">
        <v>4789</v>
      </c>
      <c r="H241" s="175" t="s">
        <v>4790</v>
      </c>
      <c r="I241" s="188" t="s">
        <v>13</v>
      </c>
      <c r="J241" s="171"/>
      <c r="K241" s="171"/>
      <c r="L241" s="171"/>
      <c r="M241" s="171"/>
      <c r="N241" s="171"/>
      <c r="O241" s="171"/>
      <c r="P241" s="171"/>
      <c r="Q241" s="171"/>
      <c r="R241" s="171"/>
      <c r="S241" s="171"/>
      <c r="T241" s="171"/>
      <c r="U241" s="171"/>
      <c r="V241" s="171"/>
      <c r="W241" s="171"/>
      <c r="X241" s="171"/>
      <c r="Y241" s="171"/>
      <c r="Z241" s="171"/>
    </row>
    <row r="242">
      <c r="A242" s="168" t="s">
        <v>938</v>
      </c>
      <c r="B242" s="172" t="s">
        <v>4773</v>
      </c>
      <c r="C242" s="173" t="s">
        <v>5184</v>
      </c>
      <c r="D242" s="173" t="s">
        <v>5499</v>
      </c>
      <c r="E242" s="172" t="s">
        <v>4783</v>
      </c>
      <c r="F242" s="172" t="s">
        <v>4788</v>
      </c>
      <c r="G242" s="172" t="s">
        <v>4789</v>
      </c>
      <c r="H242" s="175" t="s">
        <v>4792</v>
      </c>
      <c r="I242" s="188" t="s">
        <v>13</v>
      </c>
      <c r="J242" s="171"/>
      <c r="K242" s="171"/>
      <c r="L242" s="171"/>
      <c r="M242" s="171"/>
      <c r="N242" s="171"/>
      <c r="O242" s="171"/>
      <c r="P242" s="171"/>
      <c r="Q242" s="171"/>
      <c r="R242" s="171"/>
      <c r="S242" s="171"/>
      <c r="T242" s="171"/>
      <c r="U242" s="171"/>
      <c r="V242" s="171"/>
      <c r="W242" s="171"/>
      <c r="X242" s="171"/>
      <c r="Y242" s="171"/>
      <c r="Z242" s="171"/>
    </row>
    <row r="243">
      <c r="A243" s="168" t="s">
        <v>938</v>
      </c>
      <c r="B243" s="172" t="s">
        <v>4773</v>
      </c>
      <c r="C243" s="173" t="s">
        <v>5500</v>
      </c>
      <c r="D243" s="173" t="s">
        <v>5501</v>
      </c>
      <c r="E243" s="173" t="s">
        <v>5502</v>
      </c>
      <c r="F243" s="173" t="s">
        <v>5503</v>
      </c>
      <c r="G243" s="173" t="s">
        <v>5504</v>
      </c>
      <c r="H243" s="189" t="s">
        <v>5505</v>
      </c>
      <c r="I243" s="148" t="s">
        <v>16</v>
      </c>
      <c r="J243" s="147"/>
      <c r="K243" s="147"/>
      <c r="L243" s="147"/>
      <c r="M243" s="147"/>
      <c r="N243" s="147"/>
      <c r="O243" s="147"/>
      <c r="P243" s="147"/>
      <c r="Q243" s="147"/>
      <c r="R243" s="147"/>
      <c r="S243" s="147"/>
      <c r="T243" s="147"/>
      <c r="U243" s="147"/>
      <c r="V243" s="147"/>
      <c r="W243" s="147"/>
      <c r="X243" s="147"/>
      <c r="Y243" s="147"/>
      <c r="Z243" s="147"/>
    </row>
    <row r="244">
      <c r="A244" s="168" t="s">
        <v>938</v>
      </c>
      <c r="B244" s="172" t="s">
        <v>4773</v>
      </c>
      <c r="C244" s="173" t="s">
        <v>5506</v>
      </c>
      <c r="D244" s="173" t="s">
        <v>5507</v>
      </c>
      <c r="E244" s="173" t="s">
        <v>5508</v>
      </c>
      <c r="F244" s="173" t="s">
        <v>5503</v>
      </c>
      <c r="G244" s="173" t="s">
        <v>5504</v>
      </c>
      <c r="H244" s="189" t="s">
        <v>5505</v>
      </c>
      <c r="I244" s="148" t="s">
        <v>17</v>
      </c>
      <c r="J244" s="147"/>
      <c r="K244" s="147"/>
      <c r="L244" s="147"/>
      <c r="M244" s="147"/>
      <c r="N244" s="147"/>
      <c r="O244" s="147"/>
      <c r="P244" s="147"/>
      <c r="Q244" s="147"/>
      <c r="R244" s="147"/>
      <c r="S244" s="147"/>
      <c r="T244" s="147"/>
      <c r="U244" s="147"/>
      <c r="V244" s="147"/>
      <c r="W244" s="147"/>
      <c r="X244" s="147"/>
      <c r="Y244" s="147"/>
      <c r="Z244" s="147"/>
    </row>
    <row r="245">
      <c r="A245" s="168" t="s">
        <v>938</v>
      </c>
      <c r="B245" s="172" t="s">
        <v>4773</v>
      </c>
      <c r="C245" s="173" t="s">
        <v>5509</v>
      </c>
      <c r="D245" s="173" t="s">
        <v>5510</v>
      </c>
      <c r="E245" s="173" t="s">
        <v>5511</v>
      </c>
      <c r="F245" s="173" t="s">
        <v>5503</v>
      </c>
      <c r="G245" s="173" t="s">
        <v>5504</v>
      </c>
      <c r="H245" s="189" t="s">
        <v>5505</v>
      </c>
      <c r="I245" s="148" t="s">
        <v>18</v>
      </c>
      <c r="J245" s="147"/>
      <c r="K245" s="147"/>
      <c r="L245" s="147"/>
      <c r="M245" s="147"/>
      <c r="N245" s="147"/>
      <c r="O245" s="147"/>
      <c r="P245" s="147"/>
      <c r="Q245" s="147"/>
      <c r="R245" s="147"/>
      <c r="S245" s="147"/>
      <c r="T245" s="147"/>
      <c r="U245" s="147"/>
      <c r="V245" s="147"/>
      <c r="W245" s="147"/>
      <c r="X245" s="147"/>
      <c r="Y245" s="147"/>
      <c r="Z245" s="147"/>
    </row>
    <row r="246">
      <c r="A246" s="168" t="s">
        <v>938</v>
      </c>
      <c r="B246" s="172" t="s">
        <v>4773</v>
      </c>
      <c r="C246" s="173" t="s">
        <v>5512</v>
      </c>
      <c r="D246" s="173" t="s">
        <v>5513</v>
      </c>
      <c r="E246" s="173" t="s">
        <v>5514</v>
      </c>
      <c r="F246" s="173" t="s">
        <v>5503</v>
      </c>
      <c r="G246" s="173" t="s">
        <v>5504</v>
      </c>
      <c r="H246" s="189" t="s">
        <v>5505</v>
      </c>
      <c r="I246" s="148" t="s">
        <v>4805</v>
      </c>
      <c r="J246" s="147"/>
      <c r="K246" s="147"/>
      <c r="L246" s="147"/>
      <c r="M246" s="147"/>
      <c r="N246" s="147"/>
      <c r="O246" s="147"/>
      <c r="P246" s="147"/>
      <c r="Q246" s="147"/>
      <c r="R246" s="147"/>
      <c r="S246" s="147"/>
      <c r="T246" s="147"/>
      <c r="U246" s="147"/>
      <c r="V246" s="147"/>
      <c r="W246" s="147"/>
      <c r="X246" s="147"/>
      <c r="Y246" s="147"/>
      <c r="Z246" s="147"/>
    </row>
    <row r="247">
      <c r="A247" s="147"/>
      <c r="B247" s="147"/>
      <c r="C247" s="147"/>
      <c r="D247" s="147"/>
      <c r="E247" s="147"/>
      <c r="F247" s="147"/>
      <c r="G247" s="147"/>
      <c r="H247" s="147"/>
      <c r="I247" s="190"/>
      <c r="J247" s="147"/>
      <c r="K247" s="147"/>
      <c r="L247" s="147"/>
      <c r="M247" s="147"/>
      <c r="N247" s="147"/>
      <c r="O247" s="147"/>
      <c r="P247" s="147"/>
      <c r="Q247" s="147"/>
      <c r="R247" s="147"/>
      <c r="S247" s="147"/>
      <c r="T247" s="147"/>
      <c r="U247" s="147"/>
      <c r="V247" s="147"/>
      <c r="W247" s="147"/>
      <c r="X247" s="147"/>
      <c r="Y247" s="147"/>
      <c r="Z247" s="147"/>
    </row>
    <row r="248">
      <c r="A248" s="147"/>
      <c r="B248" s="147"/>
      <c r="C248" s="147"/>
      <c r="D248" s="147"/>
      <c r="E248" s="147"/>
      <c r="F248" s="147"/>
      <c r="G248" s="147"/>
      <c r="H248" s="147"/>
      <c r="I248" s="190"/>
      <c r="J248" s="147"/>
      <c r="K248" s="147"/>
      <c r="L248" s="147"/>
      <c r="M248" s="147"/>
      <c r="N248" s="147"/>
      <c r="O248" s="147"/>
      <c r="P248" s="147"/>
      <c r="Q248" s="147"/>
      <c r="R248" s="147"/>
      <c r="S248" s="147"/>
      <c r="T248" s="147"/>
      <c r="U248" s="147"/>
      <c r="V248" s="147"/>
      <c r="W248" s="147"/>
      <c r="X248" s="147"/>
      <c r="Y248" s="147"/>
      <c r="Z248" s="147"/>
    </row>
    <row r="249">
      <c r="A249" s="147"/>
      <c r="B249" s="147"/>
      <c r="C249" s="147"/>
      <c r="D249" s="147"/>
      <c r="E249" s="147"/>
      <c r="F249" s="147"/>
      <c r="G249" s="147"/>
      <c r="H249" s="147"/>
      <c r="I249" s="190"/>
      <c r="J249" s="147"/>
      <c r="K249" s="147"/>
      <c r="L249" s="147"/>
      <c r="M249" s="147"/>
      <c r="N249" s="147"/>
      <c r="O249" s="147"/>
      <c r="P249" s="147"/>
      <c r="Q249" s="147"/>
      <c r="R249" s="147"/>
      <c r="S249" s="147"/>
      <c r="T249" s="147"/>
      <c r="U249" s="147"/>
      <c r="V249" s="147"/>
      <c r="W249" s="147"/>
      <c r="X249" s="147"/>
      <c r="Y249" s="147"/>
      <c r="Z249" s="147"/>
    </row>
    <row r="250">
      <c r="A250" s="147"/>
      <c r="B250" s="147"/>
      <c r="C250" s="147"/>
      <c r="D250" s="147"/>
      <c r="E250" s="147"/>
      <c r="F250" s="147"/>
      <c r="G250" s="147"/>
      <c r="H250" s="147"/>
      <c r="I250" s="190"/>
      <c r="J250" s="147"/>
      <c r="K250" s="147"/>
      <c r="L250" s="147"/>
      <c r="M250" s="147"/>
      <c r="N250" s="147"/>
      <c r="O250" s="147"/>
      <c r="P250" s="147"/>
      <c r="Q250" s="147"/>
      <c r="R250" s="147"/>
      <c r="S250" s="147"/>
      <c r="T250" s="147"/>
      <c r="U250" s="147"/>
      <c r="V250" s="147"/>
      <c r="W250" s="147"/>
      <c r="X250" s="147"/>
      <c r="Y250" s="147"/>
      <c r="Z250" s="147"/>
    </row>
    <row r="251">
      <c r="A251" s="147"/>
      <c r="B251" s="147"/>
      <c r="C251" s="147"/>
      <c r="D251" s="147"/>
      <c r="E251" s="147"/>
      <c r="F251" s="147"/>
      <c r="G251" s="147"/>
      <c r="H251" s="147"/>
      <c r="I251" s="190"/>
      <c r="J251" s="147"/>
      <c r="K251" s="147"/>
      <c r="L251" s="147"/>
      <c r="M251" s="147"/>
      <c r="N251" s="147"/>
      <c r="O251" s="147"/>
      <c r="P251" s="147"/>
      <c r="Q251" s="147"/>
      <c r="R251" s="147"/>
      <c r="S251" s="147"/>
      <c r="T251" s="147"/>
      <c r="U251" s="147"/>
      <c r="V251" s="147"/>
      <c r="W251" s="147"/>
      <c r="X251" s="147"/>
      <c r="Y251" s="147"/>
      <c r="Z251" s="147"/>
    </row>
    <row r="252">
      <c r="A252" s="147"/>
      <c r="B252" s="147"/>
      <c r="C252" s="147"/>
      <c r="D252" s="147"/>
      <c r="E252" s="147"/>
      <c r="F252" s="147"/>
      <c r="G252" s="147"/>
      <c r="H252" s="147"/>
      <c r="I252" s="190"/>
      <c r="J252" s="147"/>
      <c r="K252" s="147"/>
      <c r="L252" s="147"/>
      <c r="M252" s="147"/>
      <c r="N252" s="147"/>
      <c r="O252" s="147"/>
      <c r="P252" s="147"/>
      <c r="Q252" s="147"/>
      <c r="R252" s="147"/>
      <c r="S252" s="147"/>
      <c r="T252" s="147"/>
      <c r="U252" s="147"/>
      <c r="V252" s="147"/>
      <c r="W252" s="147"/>
      <c r="X252" s="147"/>
      <c r="Y252" s="147"/>
      <c r="Z252" s="147"/>
    </row>
    <row r="253">
      <c r="A253" s="147"/>
      <c r="B253" s="147"/>
      <c r="C253" s="147"/>
      <c r="D253" s="147"/>
      <c r="E253" s="147"/>
      <c r="F253" s="147"/>
      <c r="G253" s="147"/>
      <c r="H253" s="147"/>
      <c r="I253" s="190"/>
      <c r="J253" s="147"/>
      <c r="K253" s="147"/>
      <c r="L253" s="147"/>
      <c r="M253" s="147"/>
      <c r="N253" s="147"/>
      <c r="O253" s="147"/>
      <c r="P253" s="147"/>
      <c r="Q253" s="147"/>
      <c r="R253" s="147"/>
      <c r="S253" s="147"/>
      <c r="T253" s="147"/>
      <c r="U253" s="147"/>
      <c r="V253" s="147"/>
      <c r="W253" s="147"/>
      <c r="X253" s="147"/>
      <c r="Y253" s="147"/>
      <c r="Z253" s="147"/>
    </row>
    <row r="254">
      <c r="A254" s="147"/>
      <c r="B254" s="147"/>
      <c r="C254" s="147"/>
      <c r="D254" s="147"/>
      <c r="E254" s="147"/>
      <c r="F254" s="147"/>
      <c r="G254" s="147"/>
      <c r="H254" s="147"/>
      <c r="I254" s="190"/>
      <c r="J254" s="147"/>
      <c r="K254" s="147"/>
      <c r="L254" s="147"/>
      <c r="M254" s="147"/>
      <c r="N254" s="147"/>
      <c r="O254" s="147"/>
      <c r="P254" s="147"/>
      <c r="Q254" s="147"/>
      <c r="R254" s="147"/>
      <c r="S254" s="147"/>
      <c r="T254" s="147"/>
      <c r="U254" s="147"/>
      <c r="V254" s="147"/>
      <c r="W254" s="147"/>
      <c r="X254" s="147"/>
      <c r="Y254" s="147"/>
      <c r="Z254" s="147"/>
    </row>
    <row r="255">
      <c r="A255" s="147"/>
      <c r="B255" s="147"/>
      <c r="C255" s="147"/>
      <c r="D255" s="147"/>
      <c r="E255" s="147"/>
      <c r="F255" s="147"/>
      <c r="G255" s="147"/>
      <c r="H255" s="147"/>
      <c r="I255" s="190"/>
      <c r="J255" s="147"/>
      <c r="K255" s="147"/>
      <c r="L255" s="147"/>
      <c r="M255" s="147"/>
      <c r="N255" s="147"/>
      <c r="O255" s="147"/>
      <c r="P255" s="147"/>
      <c r="Q255" s="147"/>
      <c r="R255" s="147"/>
      <c r="S255" s="147"/>
      <c r="T255" s="147"/>
      <c r="U255" s="147"/>
      <c r="V255" s="147"/>
      <c r="W255" s="147"/>
      <c r="X255" s="147"/>
      <c r="Y255" s="147"/>
      <c r="Z255" s="147"/>
    </row>
    <row r="256">
      <c r="A256" s="147"/>
      <c r="B256" s="147"/>
      <c r="C256" s="147"/>
      <c r="D256" s="147"/>
      <c r="E256" s="147"/>
      <c r="F256" s="147"/>
      <c r="G256" s="147"/>
      <c r="H256" s="147"/>
      <c r="I256" s="190"/>
      <c r="J256" s="147"/>
      <c r="K256" s="147"/>
      <c r="L256" s="147"/>
      <c r="M256" s="147"/>
      <c r="N256" s="147"/>
      <c r="O256" s="147"/>
      <c r="P256" s="147"/>
      <c r="Q256" s="147"/>
      <c r="R256" s="147"/>
      <c r="S256" s="147"/>
      <c r="T256" s="147"/>
      <c r="U256" s="147"/>
      <c r="V256" s="147"/>
      <c r="W256" s="147"/>
      <c r="X256" s="147"/>
      <c r="Y256" s="147"/>
      <c r="Z256" s="147"/>
    </row>
    <row r="257">
      <c r="A257" s="147"/>
      <c r="B257" s="147"/>
      <c r="C257" s="147"/>
      <c r="D257" s="147"/>
      <c r="E257" s="147"/>
      <c r="F257" s="147"/>
      <c r="G257" s="147"/>
      <c r="H257" s="147"/>
      <c r="I257" s="190"/>
      <c r="J257" s="147"/>
      <c r="K257" s="147"/>
      <c r="L257" s="147"/>
      <c r="M257" s="147"/>
      <c r="N257" s="147"/>
      <c r="O257" s="147"/>
      <c r="P257" s="147"/>
      <c r="Q257" s="147"/>
      <c r="R257" s="147"/>
      <c r="S257" s="147"/>
      <c r="T257" s="147"/>
      <c r="U257" s="147"/>
      <c r="V257" s="147"/>
      <c r="W257" s="147"/>
      <c r="X257" s="147"/>
      <c r="Y257" s="147"/>
      <c r="Z257" s="147"/>
    </row>
    <row r="258">
      <c r="A258" s="147"/>
      <c r="B258" s="147"/>
      <c r="C258" s="147"/>
      <c r="D258" s="147"/>
      <c r="E258" s="147"/>
      <c r="F258" s="147"/>
      <c r="G258" s="147"/>
      <c r="H258" s="147"/>
      <c r="I258" s="190"/>
      <c r="J258" s="147"/>
      <c r="K258" s="147"/>
      <c r="L258" s="147"/>
      <c r="M258" s="147"/>
      <c r="N258" s="147"/>
      <c r="O258" s="147"/>
      <c r="P258" s="147"/>
      <c r="Q258" s="147"/>
      <c r="R258" s="147"/>
      <c r="S258" s="147"/>
      <c r="T258" s="147"/>
      <c r="U258" s="147"/>
      <c r="V258" s="147"/>
      <c r="W258" s="147"/>
      <c r="X258" s="147"/>
      <c r="Y258" s="147"/>
      <c r="Z258" s="147"/>
    </row>
    <row r="259">
      <c r="A259" s="147"/>
      <c r="B259" s="147"/>
      <c r="C259" s="147"/>
      <c r="D259" s="147"/>
      <c r="E259" s="147"/>
      <c r="F259" s="147"/>
      <c r="G259" s="147"/>
      <c r="H259" s="147"/>
      <c r="I259" s="190"/>
      <c r="J259" s="147"/>
      <c r="K259" s="147"/>
      <c r="L259" s="147"/>
      <c r="M259" s="147"/>
      <c r="N259" s="147"/>
      <c r="O259" s="147"/>
      <c r="P259" s="147"/>
      <c r="Q259" s="147"/>
      <c r="R259" s="147"/>
      <c r="S259" s="147"/>
      <c r="T259" s="147"/>
      <c r="U259" s="147"/>
      <c r="V259" s="147"/>
      <c r="W259" s="147"/>
      <c r="X259" s="147"/>
      <c r="Y259" s="147"/>
      <c r="Z259" s="147"/>
    </row>
    <row r="260">
      <c r="A260" s="147"/>
      <c r="B260" s="147"/>
      <c r="C260" s="147"/>
      <c r="D260" s="147"/>
      <c r="E260" s="147"/>
      <c r="F260" s="147"/>
      <c r="G260" s="147"/>
      <c r="H260" s="147"/>
      <c r="I260" s="190"/>
      <c r="J260" s="147"/>
      <c r="K260" s="147"/>
      <c r="L260" s="147"/>
      <c r="M260" s="147"/>
      <c r="N260" s="147"/>
      <c r="O260" s="147"/>
      <c r="P260" s="147"/>
      <c r="Q260" s="147"/>
      <c r="R260" s="147"/>
      <c r="S260" s="147"/>
      <c r="T260" s="147"/>
      <c r="U260" s="147"/>
      <c r="V260" s="147"/>
      <c r="W260" s="147"/>
      <c r="X260" s="147"/>
      <c r="Y260" s="147"/>
      <c r="Z260" s="147"/>
    </row>
    <row r="261">
      <c r="A261" s="147"/>
      <c r="B261" s="147"/>
      <c r="C261" s="147"/>
      <c r="D261" s="147"/>
      <c r="E261" s="147"/>
      <c r="F261" s="147"/>
      <c r="G261" s="147"/>
      <c r="H261" s="147"/>
      <c r="I261" s="190"/>
      <c r="J261" s="147"/>
      <c r="K261" s="147"/>
      <c r="L261" s="147"/>
      <c r="M261" s="147"/>
      <c r="N261" s="147"/>
      <c r="O261" s="147"/>
      <c r="P261" s="147"/>
      <c r="Q261" s="147"/>
      <c r="R261" s="147"/>
      <c r="S261" s="147"/>
      <c r="T261" s="147"/>
      <c r="U261" s="147"/>
      <c r="V261" s="147"/>
      <c r="W261" s="147"/>
      <c r="X261" s="147"/>
      <c r="Y261" s="147"/>
      <c r="Z261" s="147"/>
    </row>
    <row r="262">
      <c r="A262" s="147"/>
      <c r="B262" s="147"/>
      <c r="C262" s="147"/>
      <c r="D262" s="147"/>
      <c r="E262" s="147"/>
      <c r="F262" s="147"/>
      <c r="G262" s="147"/>
      <c r="H262" s="147"/>
      <c r="I262" s="190"/>
      <c r="J262" s="147"/>
      <c r="K262" s="147"/>
      <c r="L262" s="147"/>
      <c r="M262" s="147"/>
      <c r="N262" s="147"/>
      <c r="O262" s="147"/>
      <c r="P262" s="147"/>
      <c r="Q262" s="147"/>
      <c r="R262" s="147"/>
      <c r="S262" s="147"/>
      <c r="T262" s="147"/>
      <c r="U262" s="147"/>
      <c r="V262" s="147"/>
      <c r="W262" s="147"/>
      <c r="X262" s="147"/>
      <c r="Y262" s="147"/>
      <c r="Z262" s="147"/>
    </row>
    <row r="263">
      <c r="A263" s="147"/>
      <c r="B263" s="147"/>
      <c r="C263" s="147"/>
      <c r="D263" s="147"/>
      <c r="E263" s="147"/>
      <c r="F263" s="147"/>
      <c r="G263" s="147"/>
      <c r="H263" s="147"/>
      <c r="I263" s="190"/>
      <c r="J263" s="147"/>
      <c r="K263" s="147"/>
      <c r="L263" s="147"/>
      <c r="M263" s="147"/>
      <c r="N263" s="147"/>
      <c r="O263" s="147"/>
      <c r="P263" s="147"/>
      <c r="Q263" s="147"/>
      <c r="R263" s="147"/>
      <c r="S263" s="147"/>
      <c r="T263" s="147"/>
      <c r="U263" s="147"/>
      <c r="V263" s="147"/>
      <c r="W263" s="147"/>
      <c r="X263" s="147"/>
      <c r="Y263" s="147"/>
      <c r="Z263" s="147"/>
    </row>
    <row r="264">
      <c r="A264" s="147"/>
      <c r="B264" s="147"/>
      <c r="C264" s="147"/>
      <c r="D264" s="147"/>
      <c r="E264" s="147"/>
      <c r="F264" s="147"/>
      <c r="G264" s="147"/>
      <c r="H264" s="147"/>
      <c r="I264" s="190"/>
      <c r="J264" s="147"/>
      <c r="K264" s="147"/>
      <c r="L264" s="147"/>
      <c r="M264" s="147"/>
      <c r="N264" s="147"/>
      <c r="O264" s="147"/>
      <c r="P264" s="147"/>
      <c r="Q264" s="147"/>
      <c r="R264" s="147"/>
      <c r="S264" s="147"/>
      <c r="T264" s="147"/>
      <c r="U264" s="147"/>
      <c r="V264" s="147"/>
      <c r="W264" s="147"/>
      <c r="X264" s="147"/>
      <c r="Y264" s="147"/>
      <c r="Z264" s="147"/>
    </row>
    <row r="265">
      <c r="A265" s="147"/>
      <c r="B265" s="147"/>
      <c r="C265" s="147"/>
      <c r="D265" s="147"/>
      <c r="E265" s="147"/>
      <c r="F265" s="147"/>
      <c r="G265" s="147"/>
      <c r="H265" s="147"/>
      <c r="I265" s="190"/>
      <c r="J265" s="147"/>
      <c r="K265" s="147"/>
      <c r="L265" s="147"/>
      <c r="M265" s="147"/>
      <c r="N265" s="147"/>
      <c r="O265" s="147"/>
      <c r="P265" s="147"/>
      <c r="Q265" s="147"/>
      <c r="R265" s="147"/>
      <c r="S265" s="147"/>
      <c r="T265" s="147"/>
      <c r="U265" s="147"/>
      <c r="V265" s="147"/>
      <c r="W265" s="147"/>
      <c r="X265" s="147"/>
      <c r="Y265" s="147"/>
      <c r="Z265" s="147"/>
    </row>
    <row r="266">
      <c r="A266" s="147"/>
      <c r="B266" s="147"/>
      <c r="C266" s="147"/>
      <c r="D266" s="147"/>
      <c r="E266" s="147"/>
      <c r="F266" s="147"/>
      <c r="G266" s="147"/>
      <c r="H266" s="147"/>
      <c r="I266" s="190"/>
      <c r="J266" s="147"/>
      <c r="K266" s="147"/>
      <c r="L266" s="147"/>
      <c r="M266" s="147"/>
      <c r="N266" s="147"/>
      <c r="O266" s="147"/>
      <c r="P266" s="147"/>
      <c r="Q266" s="147"/>
      <c r="R266" s="147"/>
      <c r="S266" s="147"/>
      <c r="T266" s="147"/>
      <c r="U266" s="147"/>
      <c r="V266" s="147"/>
      <c r="W266" s="147"/>
      <c r="X266" s="147"/>
      <c r="Y266" s="147"/>
      <c r="Z266" s="147"/>
    </row>
    <row r="267">
      <c r="A267" s="147"/>
      <c r="B267" s="147"/>
      <c r="C267" s="147"/>
      <c r="D267" s="147"/>
      <c r="E267" s="147"/>
      <c r="F267" s="147"/>
      <c r="G267" s="147"/>
      <c r="H267" s="147"/>
      <c r="I267" s="190"/>
      <c r="J267" s="147"/>
      <c r="K267" s="147"/>
      <c r="L267" s="147"/>
      <c r="M267" s="147"/>
      <c r="N267" s="147"/>
      <c r="O267" s="147"/>
      <c r="P267" s="147"/>
      <c r="Q267" s="147"/>
      <c r="R267" s="147"/>
      <c r="S267" s="147"/>
      <c r="T267" s="147"/>
      <c r="U267" s="147"/>
      <c r="V267" s="147"/>
      <c r="W267" s="147"/>
      <c r="X267" s="147"/>
      <c r="Y267" s="147"/>
      <c r="Z267" s="147"/>
    </row>
    <row r="268">
      <c r="A268" s="147"/>
      <c r="B268" s="147"/>
      <c r="C268" s="147"/>
      <c r="D268" s="147"/>
      <c r="E268" s="147"/>
      <c r="F268" s="147"/>
      <c r="G268" s="147"/>
      <c r="H268" s="147"/>
      <c r="I268" s="190"/>
      <c r="J268" s="147"/>
      <c r="K268" s="147"/>
      <c r="L268" s="147"/>
      <c r="M268" s="147"/>
      <c r="N268" s="147"/>
      <c r="O268" s="147"/>
      <c r="P268" s="147"/>
      <c r="Q268" s="147"/>
      <c r="R268" s="147"/>
      <c r="S268" s="147"/>
      <c r="T268" s="147"/>
      <c r="U268" s="147"/>
      <c r="V268" s="147"/>
      <c r="W268" s="147"/>
      <c r="X268" s="147"/>
      <c r="Y268" s="147"/>
      <c r="Z268" s="147"/>
    </row>
    <row r="269">
      <c r="A269" s="147"/>
      <c r="B269" s="147"/>
      <c r="C269" s="147"/>
      <c r="D269" s="147"/>
      <c r="E269" s="147"/>
      <c r="F269" s="147"/>
      <c r="G269" s="147"/>
      <c r="H269" s="147"/>
      <c r="I269" s="190"/>
      <c r="J269" s="147"/>
      <c r="K269" s="147"/>
      <c r="L269" s="147"/>
      <c r="M269" s="147"/>
      <c r="N269" s="147"/>
      <c r="O269" s="147"/>
      <c r="P269" s="147"/>
      <c r="Q269" s="147"/>
      <c r="R269" s="147"/>
      <c r="S269" s="147"/>
      <c r="T269" s="147"/>
      <c r="U269" s="147"/>
      <c r="V269" s="147"/>
      <c r="W269" s="147"/>
      <c r="X269" s="147"/>
      <c r="Y269" s="147"/>
      <c r="Z269" s="147"/>
    </row>
    <row r="270">
      <c r="A270" s="147"/>
      <c r="B270" s="147"/>
      <c r="C270" s="147"/>
      <c r="D270" s="147"/>
      <c r="E270" s="147"/>
      <c r="F270" s="147"/>
      <c r="G270" s="147"/>
      <c r="H270" s="147"/>
      <c r="I270" s="190"/>
      <c r="J270" s="147"/>
      <c r="K270" s="147"/>
      <c r="L270" s="147"/>
      <c r="M270" s="147"/>
      <c r="N270" s="147"/>
      <c r="O270" s="147"/>
      <c r="P270" s="147"/>
      <c r="Q270" s="147"/>
      <c r="R270" s="147"/>
      <c r="S270" s="147"/>
      <c r="T270" s="147"/>
      <c r="U270" s="147"/>
      <c r="V270" s="147"/>
      <c r="W270" s="147"/>
      <c r="X270" s="147"/>
      <c r="Y270" s="147"/>
      <c r="Z270" s="147"/>
    </row>
    <row r="271">
      <c r="A271" s="147"/>
      <c r="B271" s="147"/>
      <c r="C271" s="147"/>
      <c r="D271" s="147"/>
      <c r="E271" s="147"/>
      <c r="F271" s="147"/>
      <c r="G271" s="147"/>
      <c r="H271" s="147"/>
      <c r="I271" s="190"/>
      <c r="J271" s="147"/>
      <c r="K271" s="147"/>
      <c r="L271" s="147"/>
      <c r="M271" s="147"/>
      <c r="N271" s="147"/>
      <c r="O271" s="147"/>
      <c r="P271" s="147"/>
      <c r="Q271" s="147"/>
      <c r="R271" s="147"/>
      <c r="S271" s="147"/>
      <c r="T271" s="147"/>
      <c r="U271" s="147"/>
      <c r="V271" s="147"/>
      <c r="W271" s="147"/>
      <c r="X271" s="147"/>
      <c r="Y271" s="147"/>
      <c r="Z271" s="147"/>
    </row>
    <row r="272">
      <c r="A272" s="147"/>
      <c r="B272" s="147"/>
      <c r="C272" s="147"/>
      <c r="D272" s="147"/>
      <c r="E272" s="147"/>
      <c r="F272" s="147"/>
      <c r="G272" s="147"/>
      <c r="H272" s="147"/>
      <c r="I272" s="190"/>
      <c r="J272" s="147"/>
      <c r="K272" s="147"/>
      <c r="L272" s="147"/>
      <c r="M272" s="147"/>
      <c r="N272" s="147"/>
      <c r="O272" s="147"/>
      <c r="P272" s="147"/>
      <c r="Q272" s="147"/>
      <c r="R272" s="147"/>
      <c r="S272" s="147"/>
      <c r="T272" s="147"/>
      <c r="U272" s="147"/>
      <c r="V272" s="147"/>
      <c r="W272" s="147"/>
      <c r="X272" s="147"/>
      <c r="Y272" s="147"/>
      <c r="Z272" s="147"/>
    </row>
    <row r="273">
      <c r="A273" s="147"/>
      <c r="B273" s="147"/>
      <c r="C273" s="147"/>
      <c r="D273" s="147"/>
      <c r="E273" s="147"/>
      <c r="F273" s="147"/>
      <c r="G273" s="147"/>
      <c r="H273" s="147"/>
      <c r="I273" s="190"/>
      <c r="J273" s="147"/>
      <c r="K273" s="147"/>
      <c r="L273" s="147"/>
      <c r="M273" s="147"/>
      <c r="N273" s="147"/>
      <c r="O273" s="147"/>
      <c r="P273" s="147"/>
      <c r="Q273" s="147"/>
      <c r="R273" s="147"/>
      <c r="S273" s="147"/>
      <c r="T273" s="147"/>
      <c r="U273" s="147"/>
      <c r="V273" s="147"/>
      <c r="W273" s="147"/>
      <c r="X273" s="147"/>
      <c r="Y273" s="147"/>
      <c r="Z273" s="147"/>
    </row>
    <row r="274">
      <c r="A274" s="147"/>
      <c r="B274" s="147"/>
      <c r="C274" s="147"/>
      <c r="D274" s="147"/>
      <c r="E274" s="147"/>
      <c r="F274" s="147"/>
      <c r="G274" s="147"/>
      <c r="H274" s="147"/>
      <c r="I274" s="190"/>
      <c r="J274" s="147"/>
      <c r="K274" s="147"/>
      <c r="L274" s="147"/>
      <c r="M274" s="147"/>
      <c r="N274" s="147"/>
      <c r="O274" s="147"/>
      <c r="P274" s="147"/>
      <c r="Q274" s="147"/>
      <c r="R274" s="147"/>
      <c r="S274" s="147"/>
      <c r="T274" s="147"/>
      <c r="U274" s="147"/>
      <c r="V274" s="147"/>
      <c r="W274" s="147"/>
      <c r="X274" s="147"/>
      <c r="Y274" s="147"/>
      <c r="Z274" s="147"/>
    </row>
    <row r="275">
      <c r="A275" s="147"/>
      <c r="B275" s="147"/>
      <c r="C275" s="147"/>
      <c r="D275" s="147"/>
      <c r="E275" s="147"/>
      <c r="F275" s="147"/>
      <c r="G275" s="147"/>
      <c r="H275" s="147"/>
      <c r="I275" s="190"/>
      <c r="J275" s="147"/>
      <c r="K275" s="147"/>
      <c r="L275" s="147"/>
      <c r="M275" s="147"/>
      <c r="N275" s="147"/>
      <c r="O275" s="147"/>
      <c r="P275" s="147"/>
      <c r="Q275" s="147"/>
      <c r="R275" s="147"/>
      <c r="S275" s="147"/>
      <c r="T275" s="147"/>
      <c r="U275" s="147"/>
      <c r="V275" s="147"/>
      <c r="W275" s="147"/>
      <c r="X275" s="147"/>
      <c r="Y275" s="147"/>
      <c r="Z275" s="147"/>
    </row>
    <row r="276">
      <c r="A276" s="147"/>
      <c r="B276" s="147"/>
      <c r="C276" s="147"/>
      <c r="D276" s="147"/>
      <c r="E276" s="147"/>
      <c r="F276" s="147"/>
      <c r="G276" s="147"/>
      <c r="H276" s="147"/>
      <c r="I276" s="190"/>
      <c r="J276" s="147"/>
      <c r="K276" s="147"/>
      <c r="L276" s="147"/>
      <c r="M276" s="147"/>
      <c r="N276" s="147"/>
      <c r="O276" s="147"/>
      <c r="P276" s="147"/>
      <c r="Q276" s="147"/>
      <c r="R276" s="147"/>
      <c r="S276" s="147"/>
      <c r="T276" s="147"/>
      <c r="U276" s="147"/>
      <c r="V276" s="147"/>
      <c r="W276" s="147"/>
      <c r="X276" s="147"/>
      <c r="Y276" s="147"/>
      <c r="Z276" s="147"/>
    </row>
    <row r="277">
      <c r="A277" s="147"/>
      <c r="B277" s="147"/>
      <c r="C277" s="147"/>
      <c r="D277" s="147"/>
      <c r="E277" s="147"/>
      <c r="F277" s="147"/>
      <c r="G277" s="147"/>
      <c r="H277" s="147"/>
      <c r="I277" s="190"/>
      <c r="J277" s="147"/>
      <c r="K277" s="147"/>
      <c r="L277" s="147"/>
      <c r="M277" s="147"/>
      <c r="N277" s="147"/>
      <c r="O277" s="147"/>
      <c r="P277" s="147"/>
      <c r="Q277" s="147"/>
      <c r="R277" s="147"/>
      <c r="S277" s="147"/>
      <c r="T277" s="147"/>
      <c r="U277" s="147"/>
      <c r="V277" s="147"/>
      <c r="W277" s="147"/>
      <c r="X277" s="147"/>
      <c r="Y277" s="147"/>
      <c r="Z277" s="147"/>
    </row>
    <row r="278">
      <c r="A278" s="147"/>
      <c r="B278" s="147"/>
      <c r="C278" s="147"/>
      <c r="D278" s="147"/>
      <c r="E278" s="147"/>
      <c r="F278" s="147"/>
      <c r="G278" s="147"/>
      <c r="H278" s="147"/>
      <c r="I278" s="190"/>
      <c r="J278" s="147"/>
      <c r="K278" s="147"/>
      <c r="L278" s="147"/>
      <c r="M278" s="147"/>
      <c r="N278" s="147"/>
      <c r="O278" s="147"/>
      <c r="P278" s="147"/>
      <c r="Q278" s="147"/>
      <c r="R278" s="147"/>
      <c r="S278" s="147"/>
      <c r="T278" s="147"/>
      <c r="U278" s="147"/>
      <c r="V278" s="147"/>
      <c r="W278" s="147"/>
      <c r="X278" s="147"/>
      <c r="Y278" s="147"/>
      <c r="Z278" s="147"/>
    </row>
    <row r="279">
      <c r="A279" s="147"/>
      <c r="B279" s="147"/>
      <c r="C279" s="147"/>
      <c r="D279" s="147"/>
      <c r="E279" s="147"/>
      <c r="F279" s="147"/>
      <c r="G279" s="147"/>
      <c r="H279" s="147"/>
      <c r="I279" s="190"/>
      <c r="J279" s="147"/>
      <c r="K279" s="147"/>
      <c r="L279" s="147"/>
      <c r="M279" s="147"/>
      <c r="N279" s="147"/>
      <c r="O279" s="147"/>
      <c r="P279" s="147"/>
      <c r="Q279" s="147"/>
      <c r="R279" s="147"/>
      <c r="S279" s="147"/>
      <c r="T279" s="147"/>
      <c r="U279" s="147"/>
      <c r="V279" s="147"/>
      <c r="W279" s="147"/>
      <c r="X279" s="147"/>
      <c r="Y279" s="147"/>
      <c r="Z279" s="147"/>
    </row>
    <row r="280">
      <c r="A280" s="147"/>
      <c r="B280" s="147"/>
      <c r="C280" s="147"/>
      <c r="D280" s="147"/>
      <c r="E280" s="147"/>
      <c r="F280" s="147"/>
      <c r="G280" s="147"/>
      <c r="H280" s="147"/>
      <c r="I280" s="190"/>
      <c r="J280" s="147"/>
      <c r="K280" s="147"/>
      <c r="L280" s="147"/>
      <c r="M280" s="147"/>
      <c r="N280" s="147"/>
      <c r="O280" s="147"/>
      <c r="P280" s="147"/>
      <c r="Q280" s="147"/>
      <c r="R280" s="147"/>
      <c r="S280" s="147"/>
      <c r="T280" s="147"/>
      <c r="U280" s="147"/>
      <c r="V280" s="147"/>
      <c r="W280" s="147"/>
      <c r="X280" s="147"/>
      <c r="Y280" s="147"/>
      <c r="Z280" s="147"/>
    </row>
    <row r="281">
      <c r="A281" s="147"/>
      <c r="B281" s="147"/>
      <c r="C281" s="147"/>
      <c r="D281" s="147"/>
      <c r="E281" s="147"/>
      <c r="F281" s="147"/>
      <c r="G281" s="147"/>
      <c r="H281" s="147"/>
      <c r="I281" s="190"/>
      <c r="J281" s="147"/>
      <c r="K281" s="147"/>
      <c r="L281" s="147"/>
      <c r="M281" s="147"/>
      <c r="N281" s="147"/>
      <c r="O281" s="147"/>
      <c r="P281" s="147"/>
      <c r="Q281" s="147"/>
      <c r="R281" s="147"/>
      <c r="S281" s="147"/>
      <c r="T281" s="147"/>
      <c r="U281" s="147"/>
      <c r="V281" s="147"/>
      <c r="W281" s="147"/>
      <c r="X281" s="147"/>
      <c r="Y281" s="147"/>
      <c r="Z281" s="147"/>
    </row>
    <row r="282">
      <c r="A282" s="147"/>
      <c r="B282" s="147"/>
      <c r="C282" s="147"/>
      <c r="D282" s="147"/>
      <c r="E282" s="147"/>
      <c r="F282" s="147"/>
      <c r="G282" s="147"/>
      <c r="H282" s="147"/>
      <c r="I282" s="190"/>
      <c r="J282" s="147"/>
      <c r="K282" s="147"/>
      <c r="L282" s="147"/>
      <c r="M282" s="147"/>
      <c r="N282" s="147"/>
      <c r="O282" s="147"/>
      <c r="P282" s="147"/>
      <c r="Q282" s="147"/>
      <c r="R282" s="147"/>
      <c r="S282" s="147"/>
      <c r="T282" s="147"/>
      <c r="U282" s="147"/>
      <c r="V282" s="147"/>
      <c r="W282" s="147"/>
      <c r="X282" s="147"/>
      <c r="Y282" s="147"/>
      <c r="Z282" s="147"/>
    </row>
    <row r="283">
      <c r="A283" s="147"/>
      <c r="B283" s="147"/>
      <c r="C283" s="147"/>
      <c r="D283" s="147"/>
      <c r="E283" s="147"/>
      <c r="F283" s="147"/>
      <c r="G283" s="147"/>
      <c r="H283" s="147"/>
      <c r="I283" s="190"/>
      <c r="J283" s="147"/>
      <c r="K283" s="147"/>
      <c r="L283" s="147"/>
      <c r="M283" s="147"/>
      <c r="N283" s="147"/>
      <c r="O283" s="147"/>
      <c r="P283" s="147"/>
      <c r="Q283" s="147"/>
      <c r="R283" s="147"/>
      <c r="S283" s="147"/>
      <c r="T283" s="147"/>
      <c r="U283" s="147"/>
      <c r="V283" s="147"/>
      <c r="W283" s="147"/>
      <c r="X283" s="147"/>
      <c r="Y283" s="147"/>
      <c r="Z283" s="147"/>
    </row>
    <row r="284">
      <c r="A284" s="147"/>
      <c r="B284" s="147"/>
      <c r="C284" s="147"/>
      <c r="D284" s="147"/>
      <c r="E284" s="147"/>
      <c r="F284" s="147"/>
      <c r="G284" s="147"/>
      <c r="H284" s="147"/>
      <c r="I284" s="190"/>
      <c r="J284" s="147"/>
      <c r="K284" s="147"/>
      <c r="L284" s="147"/>
      <c r="M284" s="147"/>
      <c r="N284" s="147"/>
      <c r="O284" s="147"/>
      <c r="P284" s="147"/>
      <c r="Q284" s="147"/>
      <c r="R284" s="147"/>
      <c r="S284" s="147"/>
      <c r="T284" s="147"/>
      <c r="U284" s="147"/>
      <c r="V284" s="147"/>
      <c r="W284" s="147"/>
      <c r="X284" s="147"/>
      <c r="Y284" s="147"/>
      <c r="Z284" s="147"/>
    </row>
    <row r="285">
      <c r="A285" s="147"/>
      <c r="B285" s="147"/>
      <c r="C285" s="147"/>
      <c r="D285" s="147"/>
      <c r="E285" s="147"/>
      <c r="F285" s="147"/>
      <c r="G285" s="147"/>
      <c r="H285" s="147"/>
      <c r="I285" s="190"/>
      <c r="J285" s="147"/>
      <c r="K285" s="147"/>
      <c r="L285" s="147"/>
      <c r="M285" s="147"/>
      <c r="N285" s="147"/>
      <c r="O285" s="147"/>
      <c r="P285" s="147"/>
      <c r="Q285" s="147"/>
      <c r="R285" s="147"/>
      <c r="S285" s="147"/>
      <c r="T285" s="147"/>
      <c r="U285" s="147"/>
      <c r="V285" s="147"/>
      <c r="W285" s="147"/>
      <c r="X285" s="147"/>
      <c r="Y285" s="147"/>
      <c r="Z285" s="147"/>
    </row>
    <row r="286">
      <c r="A286" s="147"/>
      <c r="B286" s="147"/>
      <c r="C286" s="147"/>
      <c r="D286" s="147"/>
      <c r="E286" s="147"/>
      <c r="F286" s="147"/>
      <c r="G286" s="147"/>
      <c r="H286" s="147"/>
      <c r="I286" s="190"/>
      <c r="J286" s="147"/>
      <c r="K286" s="147"/>
      <c r="L286" s="147"/>
      <c r="M286" s="147"/>
      <c r="N286" s="147"/>
      <c r="O286" s="147"/>
      <c r="P286" s="147"/>
      <c r="Q286" s="147"/>
      <c r="R286" s="147"/>
      <c r="S286" s="147"/>
      <c r="T286" s="147"/>
      <c r="U286" s="147"/>
      <c r="V286" s="147"/>
      <c r="W286" s="147"/>
      <c r="X286" s="147"/>
      <c r="Y286" s="147"/>
      <c r="Z286" s="147"/>
    </row>
    <row r="287">
      <c r="A287" s="147"/>
      <c r="B287" s="147"/>
      <c r="C287" s="147"/>
      <c r="D287" s="147"/>
      <c r="E287" s="147"/>
      <c r="F287" s="147"/>
      <c r="G287" s="147"/>
      <c r="H287" s="147"/>
      <c r="I287" s="190"/>
      <c r="J287" s="147"/>
      <c r="K287" s="147"/>
      <c r="L287" s="147"/>
      <c r="M287" s="147"/>
      <c r="N287" s="147"/>
      <c r="O287" s="147"/>
      <c r="P287" s="147"/>
      <c r="Q287" s="147"/>
      <c r="R287" s="147"/>
      <c r="S287" s="147"/>
      <c r="T287" s="147"/>
      <c r="U287" s="147"/>
      <c r="V287" s="147"/>
      <c r="W287" s="147"/>
      <c r="X287" s="147"/>
      <c r="Y287" s="147"/>
      <c r="Z287" s="147"/>
    </row>
    <row r="288">
      <c r="A288" s="147"/>
      <c r="B288" s="147"/>
      <c r="C288" s="147"/>
      <c r="D288" s="147"/>
      <c r="E288" s="147"/>
      <c r="F288" s="147"/>
      <c r="G288" s="147"/>
      <c r="H288" s="147"/>
      <c r="I288" s="190"/>
      <c r="J288" s="147"/>
      <c r="K288" s="147"/>
      <c r="L288" s="147"/>
      <c r="M288" s="147"/>
      <c r="N288" s="147"/>
      <c r="O288" s="147"/>
      <c r="P288" s="147"/>
      <c r="Q288" s="147"/>
      <c r="R288" s="147"/>
      <c r="S288" s="147"/>
      <c r="T288" s="147"/>
      <c r="U288" s="147"/>
      <c r="V288" s="147"/>
      <c r="W288" s="147"/>
      <c r="X288" s="147"/>
      <c r="Y288" s="147"/>
      <c r="Z288" s="147"/>
    </row>
    <row r="289">
      <c r="A289" s="147"/>
      <c r="B289" s="147"/>
      <c r="C289" s="147"/>
      <c r="D289" s="147"/>
      <c r="E289" s="147"/>
      <c r="F289" s="147"/>
      <c r="G289" s="147"/>
      <c r="H289" s="147"/>
      <c r="I289" s="190"/>
      <c r="J289" s="147"/>
      <c r="K289" s="147"/>
      <c r="L289" s="147"/>
      <c r="M289" s="147"/>
      <c r="N289" s="147"/>
      <c r="O289" s="147"/>
      <c r="P289" s="147"/>
      <c r="Q289" s="147"/>
      <c r="R289" s="147"/>
      <c r="S289" s="147"/>
      <c r="T289" s="147"/>
      <c r="U289" s="147"/>
      <c r="V289" s="147"/>
      <c r="W289" s="147"/>
      <c r="X289" s="147"/>
      <c r="Y289" s="147"/>
      <c r="Z289" s="147"/>
    </row>
    <row r="290">
      <c r="A290" s="147"/>
      <c r="B290" s="147"/>
      <c r="C290" s="147"/>
      <c r="D290" s="147"/>
      <c r="E290" s="147"/>
      <c r="F290" s="147"/>
      <c r="G290" s="147"/>
      <c r="H290" s="147"/>
      <c r="I290" s="190"/>
      <c r="J290" s="147"/>
      <c r="K290" s="147"/>
      <c r="L290" s="147"/>
      <c r="M290" s="147"/>
      <c r="N290" s="147"/>
      <c r="O290" s="147"/>
      <c r="P290" s="147"/>
      <c r="Q290" s="147"/>
      <c r="R290" s="147"/>
      <c r="S290" s="147"/>
      <c r="T290" s="147"/>
      <c r="U290" s="147"/>
      <c r="V290" s="147"/>
      <c r="W290" s="147"/>
      <c r="X290" s="147"/>
      <c r="Y290" s="147"/>
      <c r="Z290" s="147"/>
    </row>
    <row r="291">
      <c r="A291" s="147"/>
      <c r="B291" s="147"/>
      <c r="C291" s="147"/>
      <c r="D291" s="147"/>
      <c r="E291" s="147"/>
      <c r="F291" s="147"/>
      <c r="G291" s="147"/>
      <c r="H291" s="147"/>
      <c r="I291" s="190"/>
      <c r="J291" s="147"/>
      <c r="K291" s="147"/>
      <c r="L291" s="147"/>
      <c r="M291" s="147"/>
      <c r="N291" s="147"/>
      <c r="O291" s="147"/>
      <c r="P291" s="147"/>
      <c r="Q291" s="147"/>
      <c r="R291" s="147"/>
      <c r="S291" s="147"/>
      <c r="T291" s="147"/>
      <c r="U291" s="147"/>
      <c r="V291" s="147"/>
      <c r="W291" s="147"/>
      <c r="X291" s="147"/>
      <c r="Y291" s="147"/>
      <c r="Z291" s="147"/>
    </row>
    <row r="292">
      <c r="A292" s="147"/>
      <c r="B292" s="147"/>
      <c r="C292" s="147"/>
      <c r="D292" s="147"/>
      <c r="E292" s="147"/>
      <c r="F292" s="147"/>
      <c r="G292" s="147"/>
      <c r="H292" s="147"/>
      <c r="I292" s="190"/>
      <c r="J292" s="147"/>
      <c r="K292" s="147"/>
      <c r="L292" s="147"/>
      <c r="M292" s="147"/>
      <c r="N292" s="147"/>
      <c r="O292" s="147"/>
      <c r="P292" s="147"/>
      <c r="Q292" s="147"/>
      <c r="R292" s="147"/>
      <c r="S292" s="147"/>
      <c r="T292" s="147"/>
      <c r="U292" s="147"/>
      <c r="V292" s="147"/>
      <c r="W292" s="147"/>
      <c r="X292" s="147"/>
      <c r="Y292" s="147"/>
      <c r="Z292" s="147"/>
    </row>
    <row r="293">
      <c r="A293" s="147"/>
      <c r="B293" s="147"/>
      <c r="C293" s="147"/>
      <c r="D293" s="147"/>
      <c r="E293" s="147"/>
      <c r="F293" s="147"/>
      <c r="G293" s="147"/>
      <c r="H293" s="147"/>
      <c r="I293" s="190"/>
      <c r="J293" s="147"/>
      <c r="K293" s="147"/>
      <c r="L293" s="147"/>
      <c r="M293" s="147"/>
      <c r="N293" s="147"/>
      <c r="O293" s="147"/>
      <c r="P293" s="147"/>
      <c r="Q293" s="147"/>
      <c r="R293" s="147"/>
      <c r="S293" s="147"/>
      <c r="T293" s="147"/>
      <c r="U293" s="147"/>
      <c r="V293" s="147"/>
      <c r="W293" s="147"/>
      <c r="X293" s="147"/>
      <c r="Y293" s="147"/>
      <c r="Z293" s="147"/>
    </row>
    <row r="294">
      <c r="A294" s="147"/>
      <c r="B294" s="147"/>
      <c r="C294" s="147"/>
      <c r="D294" s="147"/>
      <c r="E294" s="147"/>
      <c r="F294" s="147"/>
      <c r="G294" s="147"/>
      <c r="H294" s="147"/>
      <c r="I294" s="190"/>
      <c r="J294" s="147"/>
      <c r="K294" s="147"/>
      <c r="L294" s="147"/>
      <c r="M294" s="147"/>
      <c r="N294" s="147"/>
      <c r="O294" s="147"/>
      <c r="P294" s="147"/>
      <c r="Q294" s="147"/>
      <c r="R294" s="147"/>
      <c r="S294" s="147"/>
      <c r="T294" s="147"/>
      <c r="U294" s="147"/>
      <c r="V294" s="147"/>
      <c r="W294" s="147"/>
      <c r="X294" s="147"/>
      <c r="Y294" s="147"/>
      <c r="Z294" s="147"/>
    </row>
    <row r="295">
      <c r="A295" s="147"/>
      <c r="B295" s="147"/>
      <c r="C295" s="147"/>
      <c r="D295" s="147"/>
      <c r="E295" s="147"/>
      <c r="F295" s="147"/>
      <c r="G295" s="147"/>
      <c r="H295" s="147"/>
      <c r="I295" s="190"/>
      <c r="J295" s="147"/>
      <c r="K295" s="147"/>
      <c r="L295" s="147"/>
      <c r="M295" s="147"/>
      <c r="N295" s="147"/>
      <c r="O295" s="147"/>
      <c r="P295" s="147"/>
      <c r="Q295" s="147"/>
      <c r="R295" s="147"/>
      <c r="S295" s="147"/>
      <c r="T295" s="147"/>
      <c r="U295" s="147"/>
      <c r="V295" s="147"/>
      <c r="W295" s="147"/>
      <c r="X295" s="147"/>
      <c r="Y295" s="147"/>
      <c r="Z295" s="147"/>
    </row>
    <row r="296">
      <c r="A296" s="147"/>
      <c r="B296" s="147"/>
      <c r="C296" s="147"/>
      <c r="D296" s="147"/>
      <c r="E296" s="147"/>
      <c r="F296" s="147"/>
      <c r="G296" s="147"/>
      <c r="H296" s="147"/>
      <c r="I296" s="190"/>
      <c r="J296" s="147"/>
      <c r="K296" s="147"/>
      <c r="L296" s="147"/>
      <c r="M296" s="147"/>
      <c r="N296" s="147"/>
      <c r="O296" s="147"/>
      <c r="P296" s="147"/>
      <c r="Q296" s="147"/>
      <c r="R296" s="147"/>
      <c r="S296" s="147"/>
      <c r="T296" s="147"/>
      <c r="U296" s="147"/>
      <c r="V296" s="147"/>
      <c r="W296" s="147"/>
      <c r="X296" s="147"/>
      <c r="Y296" s="147"/>
      <c r="Z296" s="147"/>
    </row>
    <row r="297">
      <c r="A297" s="147"/>
      <c r="B297" s="147"/>
      <c r="C297" s="147"/>
      <c r="D297" s="147"/>
      <c r="E297" s="147"/>
      <c r="F297" s="147"/>
      <c r="G297" s="147"/>
      <c r="H297" s="147"/>
      <c r="I297" s="190"/>
      <c r="J297" s="147"/>
      <c r="K297" s="147"/>
      <c r="L297" s="147"/>
      <c r="M297" s="147"/>
      <c r="N297" s="147"/>
      <c r="O297" s="147"/>
      <c r="P297" s="147"/>
      <c r="Q297" s="147"/>
      <c r="R297" s="147"/>
      <c r="S297" s="147"/>
      <c r="T297" s="147"/>
      <c r="U297" s="147"/>
      <c r="V297" s="147"/>
      <c r="W297" s="147"/>
      <c r="X297" s="147"/>
      <c r="Y297" s="147"/>
      <c r="Z297" s="147"/>
    </row>
    <row r="298">
      <c r="A298" s="147"/>
      <c r="B298" s="147"/>
      <c r="C298" s="147"/>
      <c r="D298" s="147"/>
      <c r="E298" s="147"/>
      <c r="F298" s="147"/>
      <c r="G298" s="147"/>
      <c r="H298" s="147"/>
      <c r="I298" s="190"/>
      <c r="J298" s="147"/>
      <c r="K298" s="147"/>
      <c r="L298" s="147"/>
      <c r="M298" s="147"/>
      <c r="N298" s="147"/>
      <c r="O298" s="147"/>
      <c r="P298" s="147"/>
      <c r="Q298" s="147"/>
      <c r="R298" s="147"/>
      <c r="S298" s="147"/>
      <c r="T298" s="147"/>
      <c r="U298" s="147"/>
      <c r="V298" s="147"/>
      <c r="W298" s="147"/>
      <c r="X298" s="147"/>
      <c r="Y298" s="147"/>
      <c r="Z298" s="147"/>
    </row>
    <row r="299">
      <c r="A299" s="147"/>
      <c r="B299" s="147"/>
      <c r="C299" s="147"/>
      <c r="D299" s="147"/>
      <c r="E299" s="147"/>
      <c r="F299" s="147"/>
      <c r="G299" s="147"/>
      <c r="H299" s="147"/>
      <c r="I299" s="190"/>
      <c r="J299" s="147"/>
      <c r="K299" s="147"/>
      <c r="L299" s="147"/>
      <c r="M299" s="147"/>
      <c r="N299" s="147"/>
      <c r="O299" s="147"/>
      <c r="P299" s="147"/>
      <c r="Q299" s="147"/>
      <c r="R299" s="147"/>
      <c r="S299" s="147"/>
      <c r="T299" s="147"/>
      <c r="U299" s="147"/>
      <c r="V299" s="147"/>
      <c r="W299" s="147"/>
      <c r="X299" s="147"/>
      <c r="Y299" s="147"/>
      <c r="Z299" s="147"/>
    </row>
    <row r="300">
      <c r="A300" s="147"/>
      <c r="B300" s="147"/>
      <c r="C300" s="147"/>
      <c r="D300" s="147"/>
      <c r="E300" s="147"/>
      <c r="F300" s="147"/>
      <c r="G300" s="147"/>
      <c r="H300" s="147"/>
      <c r="I300" s="190"/>
      <c r="J300" s="147"/>
      <c r="K300" s="147"/>
      <c r="L300" s="147"/>
      <c r="M300" s="147"/>
      <c r="N300" s="147"/>
      <c r="O300" s="147"/>
      <c r="P300" s="147"/>
      <c r="Q300" s="147"/>
      <c r="R300" s="147"/>
      <c r="S300" s="147"/>
      <c r="T300" s="147"/>
      <c r="U300" s="147"/>
      <c r="V300" s="147"/>
      <c r="W300" s="147"/>
      <c r="X300" s="147"/>
      <c r="Y300" s="147"/>
      <c r="Z300" s="147"/>
    </row>
    <row r="301">
      <c r="A301" s="147"/>
      <c r="B301" s="147"/>
      <c r="C301" s="147"/>
      <c r="D301" s="147"/>
      <c r="E301" s="147"/>
      <c r="F301" s="147"/>
      <c r="G301" s="147"/>
      <c r="H301" s="147"/>
      <c r="I301" s="190"/>
      <c r="J301" s="147"/>
      <c r="K301" s="147"/>
      <c r="L301" s="147"/>
      <c r="M301" s="147"/>
      <c r="N301" s="147"/>
      <c r="O301" s="147"/>
      <c r="P301" s="147"/>
      <c r="Q301" s="147"/>
      <c r="R301" s="147"/>
      <c r="S301" s="147"/>
      <c r="T301" s="147"/>
      <c r="U301" s="147"/>
      <c r="V301" s="147"/>
      <c r="W301" s="147"/>
      <c r="X301" s="147"/>
      <c r="Y301" s="147"/>
      <c r="Z301" s="147"/>
    </row>
    <row r="302">
      <c r="A302" s="147"/>
      <c r="B302" s="147"/>
      <c r="C302" s="147"/>
      <c r="D302" s="147"/>
      <c r="E302" s="147"/>
      <c r="F302" s="147"/>
      <c r="G302" s="147"/>
      <c r="H302" s="147"/>
      <c r="I302" s="190"/>
      <c r="J302" s="147"/>
      <c r="K302" s="147"/>
      <c r="L302" s="147"/>
      <c r="M302" s="147"/>
      <c r="N302" s="147"/>
      <c r="O302" s="147"/>
      <c r="P302" s="147"/>
      <c r="Q302" s="147"/>
      <c r="R302" s="147"/>
      <c r="S302" s="147"/>
      <c r="T302" s="147"/>
      <c r="U302" s="147"/>
      <c r="V302" s="147"/>
      <c r="W302" s="147"/>
      <c r="X302" s="147"/>
      <c r="Y302" s="147"/>
      <c r="Z302" s="147"/>
    </row>
    <row r="303">
      <c r="A303" s="147"/>
      <c r="B303" s="147"/>
      <c r="C303" s="147"/>
      <c r="D303" s="147"/>
      <c r="E303" s="147"/>
      <c r="F303" s="147"/>
      <c r="G303" s="147"/>
      <c r="H303" s="147"/>
      <c r="I303" s="190"/>
      <c r="J303" s="147"/>
      <c r="K303" s="147"/>
      <c r="L303" s="147"/>
      <c r="M303" s="147"/>
      <c r="N303" s="147"/>
      <c r="O303" s="147"/>
      <c r="P303" s="147"/>
      <c r="Q303" s="147"/>
      <c r="R303" s="147"/>
      <c r="S303" s="147"/>
      <c r="T303" s="147"/>
      <c r="U303" s="147"/>
      <c r="V303" s="147"/>
      <c r="W303" s="147"/>
      <c r="X303" s="147"/>
      <c r="Y303" s="147"/>
      <c r="Z303" s="147"/>
    </row>
    <row r="304">
      <c r="A304" s="147"/>
      <c r="B304" s="147"/>
      <c r="C304" s="147"/>
      <c r="D304" s="147"/>
      <c r="E304" s="147"/>
      <c r="F304" s="147"/>
      <c r="G304" s="147"/>
      <c r="H304" s="147"/>
      <c r="I304" s="190"/>
      <c r="J304" s="147"/>
      <c r="K304" s="147"/>
      <c r="L304" s="147"/>
      <c r="M304" s="147"/>
      <c r="N304" s="147"/>
      <c r="O304" s="147"/>
      <c r="P304" s="147"/>
      <c r="Q304" s="147"/>
      <c r="R304" s="147"/>
      <c r="S304" s="147"/>
      <c r="T304" s="147"/>
      <c r="U304" s="147"/>
      <c r="V304" s="147"/>
      <c r="W304" s="147"/>
      <c r="X304" s="147"/>
      <c r="Y304" s="147"/>
      <c r="Z304" s="147"/>
    </row>
    <row r="305">
      <c r="A305" s="147"/>
      <c r="B305" s="147"/>
      <c r="C305" s="147"/>
      <c r="D305" s="147"/>
      <c r="E305" s="147"/>
      <c r="F305" s="147"/>
      <c r="G305" s="147"/>
      <c r="H305" s="147"/>
      <c r="I305" s="190"/>
      <c r="J305" s="147"/>
      <c r="K305" s="147"/>
      <c r="L305" s="147"/>
      <c r="M305" s="147"/>
      <c r="N305" s="147"/>
      <c r="O305" s="147"/>
      <c r="P305" s="147"/>
      <c r="Q305" s="147"/>
      <c r="R305" s="147"/>
      <c r="S305" s="147"/>
      <c r="T305" s="147"/>
      <c r="U305" s="147"/>
      <c r="V305" s="147"/>
      <c r="W305" s="147"/>
      <c r="X305" s="147"/>
      <c r="Y305" s="147"/>
      <c r="Z305" s="147"/>
    </row>
    <row r="306">
      <c r="A306" s="147"/>
      <c r="B306" s="147"/>
      <c r="C306" s="147"/>
      <c r="D306" s="147"/>
      <c r="E306" s="147"/>
      <c r="F306" s="147"/>
      <c r="G306" s="147"/>
      <c r="H306" s="147"/>
      <c r="I306" s="190"/>
      <c r="J306" s="147"/>
      <c r="K306" s="147"/>
      <c r="L306" s="147"/>
      <c r="M306" s="147"/>
      <c r="N306" s="147"/>
      <c r="O306" s="147"/>
      <c r="P306" s="147"/>
      <c r="Q306" s="147"/>
      <c r="R306" s="147"/>
      <c r="S306" s="147"/>
      <c r="T306" s="147"/>
      <c r="U306" s="147"/>
      <c r="V306" s="147"/>
      <c r="W306" s="147"/>
      <c r="X306" s="147"/>
      <c r="Y306" s="147"/>
      <c r="Z306" s="147"/>
    </row>
    <row r="307">
      <c r="A307" s="147"/>
      <c r="B307" s="147"/>
      <c r="C307" s="147"/>
      <c r="D307" s="147"/>
      <c r="E307" s="147"/>
      <c r="F307" s="147"/>
      <c r="G307" s="147"/>
      <c r="H307" s="147"/>
      <c r="I307" s="190"/>
      <c r="J307" s="147"/>
      <c r="K307" s="147"/>
      <c r="L307" s="147"/>
      <c r="M307" s="147"/>
      <c r="N307" s="147"/>
      <c r="O307" s="147"/>
      <c r="P307" s="147"/>
      <c r="Q307" s="147"/>
      <c r="R307" s="147"/>
      <c r="S307" s="147"/>
      <c r="T307" s="147"/>
      <c r="U307" s="147"/>
      <c r="V307" s="147"/>
      <c r="W307" s="147"/>
      <c r="X307" s="147"/>
      <c r="Y307" s="147"/>
      <c r="Z307" s="147"/>
    </row>
    <row r="308">
      <c r="A308" s="147"/>
      <c r="B308" s="147"/>
      <c r="C308" s="147"/>
      <c r="D308" s="147"/>
      <c r="E308" s="147"/>
      <c r="F308" s="147"/>
      <c r="G308" s="147"/>
      <c r="H308" s="147"/>
      <c r="I308" s="190"/>
      <c r="J308" s="147"/>
      <c r="K308" s="147"/>
      <c r="L308" s="147"/>
      <c r="M308" s="147"/>
      <c r="N308" s="147"/>
      <c r="O308" s="147"/>
      <c r="P308" s="147"/>
      <c r="Q308" s="147"/>
      <c r="R308" s="147"/>
      <c r="S308" s="147"/>
      <c r="T308" s="147"/>
      <c r="U308" s="147"/>
      <c r="V308" s="147"/>
      <c r="W308" s="147"/>
      <c r="X308" s="147"/>
      <c r="Y308" s="147"/>
      <c r="Z308" s="147"/>
    </row>
    <row r="309">
      <c r="A309" s="147"/>
      <c r="B309" s="147"/>
      <c r="C309" s="147"/>
      <c r="D309" s="147"/>
      <c r="E309" s="147"/>
      <c r="F309" s="147"/>
      <c r="G309" s="147"/>
      <c r="H309" s="147"/>
      <c r="I309" s="190"/>
      <c r="J309" s="147"/>
      <c r="K309" s="147"/>
      <c r="L309" s="147"/>
      <c r="M309" s="147"/>
      <c r="N309" s="147"/>
      <c r="O309" s="147"/>
      <c r="P309" s="147"/>
      <c r="Q309" s="147"/>
      <c r="R309" s="147"/>
      <c r="S309" s="147"/>
      <c r="T309" s="147"/>
      <c r="U309" s="147"/>
      <c r="V309" s="147"/>
      <c r="W309" s="147"/>
      <c r="X309" s="147"/>
      <c r="Y309" s="147"/>
      <c r="Z309" s="147"/>
    </row>
    <row r="310">
      <c r="A310" s="147"/>
      <c r="B310" s="147"/>
      <c r="C310" s="147"/>
      <c r="D310" s="147"/>
      <c r="E310" s="147"/>
      <c r="F310" s="147"/>
      <c r="G310" s="147"/>
      <c r="H310" s="147"/>
      <c r="I310" s="190"/>
      <c r="J310" s="147"/>
      <c r="K310" s="147"/>
      <c r="L310" s="147"/>
      <c r="M310" s="147"/>
      <c r="N310" s="147"/>
      <c r="O310" s="147"/>
      <c r="P310" s="147"/>
      <c r="Q310" s="147"/>
      <c r="R310" s="147"/>
      <c r="S310" s="147"/>
      <c r="T310" s="147"/>
      <c r="U310" s="147"/>
      <c r="V310" s="147"/>
      <c r="W310" s="147"/>
      <c r="X310" s="147"/>
      <c r="Y310" s="147"/>
      <c r="Z310" s="147"/>
    </row>
    <row r="311">
      <c r="A311" s="147"/>
      <c r="B311" s="147"/>
      <c r="C311" s="147"/>
      <c r="D311" s="147"/>
      <c r="E311" s="147"/>
      <c r="F311" s="147"/>
      <c r="G311" s="147"/>
      <c r="H311" s="147"/>
      <c r="I311" s="190"/>
      <c r="J311" s="147"/>
      <c r="K311" s="147"/>
      <c r="L311" s="147"/>
      <c r="M311" s="147"/>
      <c r="N311" s="147"/>
      <c r="O311" s="147"/>
      <c r="P311" s="147"/>
      <c r="Q311" s="147"/>
      <c r="R311" s="147"/>
      <c r="S311" s="147"/>
      <c r="T311" s="147"/>
      <c r="U311" s="147"/>
      <c r="V311" s="147"/>
      <c r="W311" s="147"/>
      <c r="X311" s="147"/>
      <c r="Y311" s="147"/>
      <c r="Z311" s="147"/>
    </row>
    <row r="312">
      <c r="A312" s="147"/>
      <c r="B312" s="147"/>
      <c r="C312" s="147"/>
      <c r="D312" s="147"/>
      <c r="E312" s="147"/>
      <c r="F312" s="147"/>
      <c r="G312" s="147"/>
      <c r="H312" s="147"/>
      <c r="I312" s="190"/>
      <c r="J312" s="147"/>
      <c r="K312" s="147"/>
      <c r="L312" s="147"/>
      <c r="M312" s="147"/>
      <c r="N312" s="147"/>
      <c r="O312" s="147"/>
      <c r="P312" s="147"/>
      <c r="Q312" s="147"/>
      <c r="R312" s="147"/>
      <c r="S312" s="147"/>
      <c r="T312" s="147"/>
      <c r="U312" s="147"/>
      <c r="V312" s="147"/>
      <c r="W312" s="147"/>
      <c r="X312" s="147"/>
      <c r="Y312" s="147"/>
      <c r="Z312" s="147"/>
    </row>
    <row r="313">
      <c r="A313" s="147"/>
      <c r="B313" s="147"/>
      <c r="C313" s="147"/>
      <c r="D313" s="147"/>
      <c r="E313" s="147"/>
      <c r="F313" s="147"/>
      <c r="G313" s="147"/>
      <c r="H313" s="147"/>
      <c r="I313" s="190"/>
      <c r="J313" s="147"/>
      <c r="K313" s="147"/>
      <c r="L313" s="147"/>
      <c r="M313" s="147"/>
      <c r="N313" s="147"/>
      <c r="O313" s="147"/>
      <c r="P313" s="147"/>
      <c r="Q313" s="147"/>
      <c r="R313" s="147"/>
      <c r="S313" s="147"/>
      <c r="T313" s="147"/>
      <c r="U313" s="147"/>
      <c r="V313" s="147"/>
      <c r="W313" s="147"/>
      <c r="X313" s="147"/>
      <c r="Y313" s="147"/>
      <c r="Z313" s="147"/>
    </row>
    <row r="314">
      <c r="A314" s="147"/>
      <c r="B314" s="147"/>
      <c r="C314" s="147"/>
      <c r="D314" s="147"/>
      <c r="E314" s="147"/>
      <c r="F314" s="147"/>
      <c r="G314" s="147"/>
      <c r="H314" s="147"/>
      <c r="I314" s="190"/>
      <c r="J314" s="147"/>
      <c r="K314" s="147"/>
      <c r="L314" s="147"/>
      <c r="M314" s="147"/>
      <c r="N314" s="147"/>
      <c r="O314" s="147"/>
      <c r="P314" s="147"/>
      <c r="Q314" s="147"/>
      <c r="R314" s="147"/>
      <c r="S314" s="147"/>
      <c r="T314" s="147"/>
      <c r="U314" s="147"/>
      <c r="V314" s="147"/>
      <c r="W314" s="147"/>
      <c r="X314" s="147"/>
      <c r="Y314" s="147"/>
      <c r="Z314" s="147"/>
    </row>
    <row r="315">
      <c r="A315" s="147"/>
      <c r="B315" s="147"/>
      <c r="C315" s="147"/>
      <c r="D315" s="147"/>
      <c r="E315" s="147"/>
      <c r="F315" s="147"/>
      <c r="G315" s="147"/>
      <c r="H315" s="147"/>
      <c r="I315" s="190"/>
      <c r="J315" s="147"/>
      <c r="K315" s="147"/>
      <c r="L315" s="147"/>
      <c r="M315" s="147"/>
      <c r="N315" s="147"/>
      <c r="O315" s="147"/>
      <c r="P315" s="147"/>
      <c r="Q315" s="147"/>
      <c r="R315" s="147"/>
      <c r="S315" s="147"/>
      <c r="T315" s="147"/>
      <c r="U315" s="147"/>
      <c r="V315" s="147"/>
      <c r="W315" s="147"/>
      <c r="X315" s="147"/>
      <c r="Y315" s="147"/>
      <c r="Z315" s="147"/>
    </row>
    <row r="316">
      <c r="A316" s="147"/>
      <c r="B316" s="147"/>
      <c r="C316" s="147"/>
      <c r="D316" s="147"/>
      <c r="E316" s="147"/>
      <c r="F316" s="147"/>
      <c r="G316" s="147"/>
      <c r="H316" s="147"/>
      <c r="I316" s="190"/>
      <c r="J316" s="147"/>
      <c r="K316" s="147"/>
      <c r="L316" s="147"/>
      <c r="M316" s="147"/>
      <c r="N316" s="147"/>
      <c r="O316" s="147"/>
      <c r="P316" s="147"/>
      <c r="Q316" s="147"/>
      <c r="R316" s="147"/>
      <c r="S316" s="147"/>
      <c r="T316" s="147"/>
      <c r="U316" s="147"/>
      <c r="V316" s="147"/>
      <c r="W316" s="147"/>
      <c r="X316" s="147"/>
      <c r="Y316" s="147"/>
      <c r="Z316" s="147"/>
    </row>
    <row r="317">
      <c r="A317" s="147"/>
      <c r="B317" s="147"/>
      <c r="C317" s="147"/>
      <c r="D317" s="147"/>
      <c r="E317" s="147"/>
      <c r="F317" s="147"/>
      <c r="G317" s="147"/>
      <c r="H317" s="147"/>
      <c r="I317" s="190"/>
      <c r="J317" s="147"/>
      <c r="K317" s="147"/>
      <c r="L317" s="147"/>
      <c r="M317" s="147"/>
      <c r="N317" s="147"/>
      <c r="O317" s="147"/>
      <c r="P317" s="147"/>
      <c r="Q317" s="147"/>
      <c r="R317" s="147"/>
      <c r="S317" s="147"/>
      <c r="T317" s="147"/>
      <c r="U317" s="147"/>
      <c r="V317" s="147"/>
      <c r="W317" s="147"/>
      <c r="X317" s="147"/>
      <c r="Y317" s="147"/>
      <c r="Z317" s="147"/>
    </row>
    <row r="318">
      <c r="A318" s="147"/>
      <c r="B318" s="147"/>
      <c r="C318" s="147"/>
      <c r="D318" s="147"/>
      <c r="E318" s="147"/>
      <c r="F318" s="147"/>
      <c r="G318" s="147"/>
      <c r="H318" s="147"/>
      <c r="I318" s="190"/>
      <c r="J318" s="147"/>
      <c r="K318" s="147"/>
      <c r="L318" s="147"/>
      <c r="M318" s="147"/>
      <c r="N318" s="147"/>
      <c r="O318" s="147"/>
      <c r="P318" s="147"/>
      <c r="Q318" s="147"/>
      <c r="R318" s="147"/>
      <c r="S318" s="147"/>
      <c r="T318" s="147"/>
      <c r="U318" s="147"/>
      <c r="V318" s="147"/>
      <c r="W318" s="147"/>
      <c r="X318" s="147"/>
      <c r="Y318" s="147"/>
      <c r="Z318" s="147"/>
    </row>
    <row r="319">
      <c r="A319" s="147"/>
      <c r="B319" s="147"/>
      <c r="C319" s="147"/>
      <c r="D319" s="147"/>
      <c r="E319" s="147"/>
      <c r="F319" s="147"/>
      <c r="G319" s="147"/>
      <c r="H319" s="147"/>
      <c r="I319" s="190"/>
      <c r="J319" s="147"/>
      <c r="K319" s="147"/>
      <c r="L319" s="147"/>
      <c r="M319" s="147"/>
      <c r="N319" s="147"/>
      <c r="O319" s="147"/>
      <c r="P319" s="147"/>
      <c r="Q319" s="147"/>
      <c r="R319" s="147"/>
      <c r="S319" s="147"/>
      <c r="T319" s="147"/>
      <c r="U319" s="147"/>
      <c r="V319" s="147"/>
      <c r="W319" s="147"/>
      <c r="X319" s="147"/>
      <c r="Y319" s="147"/>
      <c r="Z319" s="147"/>
    </row>
    <row r="320">
      <c r="A320" s="147"/>
      <c r="B320" s="147"/>
      <c r="C320" s="147"/>
      <c r="D320" s="147"/>
      <c r="E320" s="147"/>
      <c r="F320" s="147"/>
      <c r="G320" s="147"/>
      <c r="H320" s="147"/>
      <c r="I320" s="190"/>
      <c r="J320" s="147"/>
      <c r="K320" s="147"/>
      <c r="L320" s="147"/>
      <c r="M320" s="147"/>
      <c r="N320" s="147"/>
      <c r="O320" s="147"/>
      <c r="P320" s="147"/>
      <c r="Q320" s="147"/>
      <c r="R320" s="147"/>
      <c r="S320" s="147"/>
      <c r="T320" s="147"/>
      <c r="U320" s="147"/>
      <c r="V320" s="147"/>
      <c r="W320" s="147"/>
      <c r="X320" s="147"/>
      <c r="Y320" s="147"/>
      <c r="Z320" s="147"/>
    </row>
    <row r="321">
      <c r="A321" s="147"/>
      <c r="B321" s="147"/>
      <c r="C321" s="147"/>
      <c r="D321" s="147"/>
      <c r="E321" s="147"/>
      <c r="F321" s="147"/>
      <c r="G321" s="147"/>
      <c r="H321" s="147"/>
      <c r="I321" s="190"/>
      <c r="J321" s="147"/>
      <c r="K321" s="147"/>
      <c r="L321" s="147"/>
      <c r="M321" s="147"/>
      <c r="N321" s="147"/>
      <c r="O321" s="147"/>
      <c r="P321" s="147"/>
      <c r="Q321" s="147"/>
      <c r="R321" s="147"/>
      <c r="S321" s="147"/>
      <c r="T321" s="147"/>
      <c r="U321" s="147"/>
      <c r="V321" s="147"/>
      <c r="W321" s="147"/>
      <c r="X321" s="147"/>
      <c r="Y321" s="147"/>
      <c r="Z321" s="147"/>
    </row>
    <row r="322">
      <c r="A322" s="147"/>
      <c r="B322" s="147"/>
      <c r="C322" s="147"/>
      <c r="D322" s="147"/>
      <c r="E322" s="147"/>
      <c r="F322" s="147"/>
      <c r="G322" s="147"/>
      <c r="H322" s="147"/>
      <c r="I322" s="190"/>
      <c r="J322" s="147"/>
      <c r="K322" s="147"/>
      <c r="L322" s="147"/>
      <c r="M322" s="147"/>
      <c r="N322" s="147"/>
      <c r="O322" s="147"/>
      <c r="P322" s="147"/>
      <c r="Q322" s="147"/>
      <c r="R322" s="147"/>
      <c r="S322" s="147"/>
      <c r="T322" s="147"/>
      <c r="U322" s="147"/>
      <c r="V322" s="147"/>
      <c r="W322" s="147"/>
      <c r="X322" s="147"/>
      <c r="Y322" s="147"/>
      <c r="Z322" s="147"/>
    </row>
    <row r="323">
      <c r="A323" s="147"/>
      <c r="B323" s="147"/>
      <c r="C323" s="147"/>
      <c r="D323" s="147"/>
      <c r="E323" s="147"/>
      <c r="F323" s="147"/>
      <c r="G323" s="147"/>
      <c r="H323" s="147"/>
      <c r="I323" s="190"/>
      <c r="J323" s="147"/>
      <c r="K323" s="147"/>
      <c r="L323" s="147"/>
      <c r="M323" s="147"/>
      <c r="N323" s="147"/>
      <c r="O323" s="147"/>
      <c r="P323" s="147"/>
      <c r="Q323" s="147"/>
      <c r="R323" s="147"/>
      <c r="S323" s="147"/>
      <c r="T323" s="147"/>
      <c r="U323" s="147"/>
      <c r="V323" s="147"/>
      <c r="W323" s="147"/>
      <c r="X323" s="147"/>
      <c r="Y323" s="147"/>
      <c r="Z323" s="147"/>
    </row>
    <row r="324">
      <c r="A324" s="147"/>
      <c r="B324" s="147"/>
      <c r="C324" s="147"/>
      <c r="D324" s="147"/>
      <c r="E324" s="147"/>
      <c r="F324" s="147"/>
      <c r="G324" s="147"/>
      <c r="H324" s="147"/>
      <c r="I324" s="190"/>
      <c r="J324" s="147"/>
      <c r="K324" s="147"/>
      <c r="L324" s="147"/>
      <c r="M324" s="147"/>
      <c r="N324" s="147"/>
      <c r="O324" s="147"/>
      <c r="P324" s="147"/>
      <c r="Q324" s="147"/>
      <c r="R324" s="147"/>
      <c r="S324" s="147"/>
      <c r="T324" s="147"/>
      <c r="U324" s="147"/>
      <c r="V324" s="147"/>
      <c r="W324" s="147"/>
      <c r="X324" s="147"/>
      <c r="Y324" s="147"/>
      <c r="Z324" s="147"/>
    </row>
    <row r="325">
      <c r="A325" s="147"/>
      <c r="B325" s="147"/>
      <c r="C325" s="147"/>
      <c r="D325" s="147"/>
      <c r="E325" s="147"/>
      <c r="F325" s="147"/>
      <c r="G325" s="147"/>
      <c r="H325" s="147"/>
      <c r="I325" s="190"/>
      <c r="J325" s="147"/>
      <c r="K325" s="147"/>
      <c r="L325" s="147"/>
      <c r="M325" s="147"/>
      <c r="N325" s="147"/>
      <c r="O325" s="147"/>
      <c r="P325" s="147"/>
      <c r="Q325" s="147"/>
      <c r="R325" s="147"/>
      <c r="S325" s="147"/>
      <c r="T325" s="147"/>
      <c r="U325" s="147"/>
      <c r="V325" s="147"/>
      <c r="W325" s="147"/>
      <c r="X325" s="147"/>
      <c r="Y325" s="147"/>
      <c r="Z325" s="147"/>
    </row>
    <row r="326">
      <c r="A326" s="147"/>
      <c r="B326" s="147"/>
      <c r="C326" s="147"/>
      <c r="D326" s="147"/>
      <c r="E326" s="147"/>
      <c r="F326" s="147"/>
      <c r="G326" s="147"/>
      <c r="H326" s="147"/>
      <c r="I326" s="190"/>
      <c r="J326" s="147"/>
      <c r="K326" s="147"/>
      <c r="L326" s="147"/>
      <c r="M326" s="147"/>
      <c r="N326" s="147"/>
      <c r="O326" s="147"/>
      <c r="P326" s="147"/>
      <c r="Q326" s="147"/>
      <c r="R326" s="147"/>
      <c r="S326" s="147"/>
      <c r="T326" s="147"/>
      <c r="U326" s="147"/>
      <c r="V326" s="147"/>
      <c r="W326" s="147"/>
      <c r="X326" s="147"/>
      <c r="Y326" s="147"/>
      <c r="Z326" s="147"/>
    </row>
    <row r="327">
      <c r="A327" s="147"/>
      <c r="B327" s="147"/>
      <c r="C327" s="147"/>
      <c r="D327" s="147"/>
      <c r="E327" s="147"/>
      <c r="F327" s="147"/>
      <c r="G327" s="147"/>
      <c r="H327" s="147"/>
      <c r="I327" s="190"/>
      <c r="J327" s="147"/>
      <c r="K327" s="147"/>
      <c r="L327" s="147"/>
      <c r="M327" s="147"/>
      <c r="N327" s="147"/>
      <c r="O327" s="147"/>
      <c r="P327" s="147"/>
      <c r="Q327" s="147"/>
      <c r="R327" s="147"/>
      <c r="S327" s="147"/>
      <c r="T327" s="147"/>
      <c r="U327" s="147"/>
      <c r="V327" s="147"/>
      <c r="W327" s="147"/>
      <c r="X327" s="147"/>
      <c r="Y327" s="147"/>
      <c r="Z327" s="147"/>
    </row>
    <row r="328">
      <c r="A328" s="147"/>
      <c r="B328" s="147"/>
      <c r="C328" s="147"/>
      <c r="D328" s="147"/>
      <c r="E328" s="147"/>
      <c r="F328" s="147"/>
      <c r="G328" s="147"/>
      <c r="H328" s="147"/>
      <c r="I328" s="190"/>
      <c r="J328" s="147"/>
      <c r="K328" s="147"/>
      <c r="L328" s="147"/>
      <c r="M328" s="147"/>
      <c r="N328" s="147"/>
      <c r="O328" s="147"/>
      <c r="P328" s="147"/>
      <c r="Q328" s="147"/>
      <c r="R328" s="147"/>
      <c r="S328" s="147"/>
      <c r="T328" s="147"/>
      <c r="U328" s="147"/>
      <c r="V328" s="147"/>
      <c r="W328" s="147"/>
      <c r="X328" s="147"/>
      <c r="Y328" s="147"/>
      <c r="Z328" s="147"/>
    </row>
    <row r="329">
      <c r="A329" s="147"/>
      <c r="B329" s="147"/>
      <c r="C329" s="147"/>
      <c r="D329" s="147"/>
      <c r="E329" s="147"/>
      <c r="F329" s="147"/>
      <c r="G329" s="147"/>
      <c r="H329" s="147"/>
      <c r="I329" s="190"/>
      <c r="J329" s="147"/>
      <c r="K329" s="147"/>
      <c r="L329" s="147"/>
      <c r="M329" s="147"/>
      <c r="N329" s="147"/>
      <c r="O329" s="147"/>
      <c r="P329" s="147"/>
      <c r="Q329" s="147"/>
      <c r="R329" s="147"/>
      <c r="S329" s="147"/>
      <c r="T329" s="147"/>
      <c r="U329" s="147"/>
      <c r="V329" s="147"/>
      <c r="W329" s="147"/>
      <c r="X329" s="147"/>
      <c r="Y329" s="147"/>
      <c r="Z329" s="147"/>
    </row>
    <row r="330">
      <c r="A330" s="147"/>
      <c r="B330" s="147"/>
      <c r="C330" s="147"/>
      <c r="D330" s="147"/>
      <c r="E330" s="147"/>
      <c r="F330" s="147"/>
      <c r="G330" s="147"/>
      <c r="H330" s="147"/>
      <c r="I330" s="190"/>
      <c r="J330" s="147"/>
      <c r="K330" s="147"/>
      <c r="L330" s="147"/>
      <c r="M330" s="147"/>
      <c r="N330" s="147"/>
      <c r="O330" s="147"/>
      <c r="P330" s="147"/>
      <c r="Q330" s="147"/>
      <c r="R330" s="147"/>
      <c r="S330" s="147"/>
      <c r="T330" s="147"/>
      <c r="U330" s="147"/>
      <c r="V330" s="147"/>
      <c r="W330" s="147"/>
      <c r="X330" s="147"/>
      <c r="Y330" s="147"/>
      <c r="Z330" s="147"/>
    </row>
    <row r="331">
      <c r="A331" s="147"/>
      <c r="B331" s="147"/>
      <c r="C331" s="147"/>
      <c r="D331" s="147"/>
      <c r="E331" s="147"/>
      <c r="F331" s="147"/>
      <c r="G331" s="147"/>
      <c r="H331" s="147"/>
      <c r="I331" s="190"/>
      <c r="J331" s="147"/>
      <c r="K331" s="147"/>
      <c r="L331" s="147"/>
      <c r="M331" s="147"/>
      <c r="N331" s="147"/>
      <c r="O331" s="147"/>
      <c r="P331" s="147"/>
      <c r="Q331" s="147"/>
      <c r="R331" s="147"/>
      <c r="S331" s="147"/>
      <c r="T331" s="147"/>
      <c r="U331" s="147"/>
      <c r="V331" s="147"/>
      <c r="W331" s="147"/>
      <c r="X331" s="147"/>
      <c r="Y331" s="147"/>
      <c r="Z331" s="147"/>
    </row>
    <row r="332">
      <c r="A332" s="147"/>
      <c r="B332" s="147"/>
      <c r="C332" s="147"/>
      <c r="D332" s="147"/>
      <c r="E332" s="147"/>
      <c r="F332" s="147"/>
      <c r="G332" s="147"/>
      <c r="H332" s="147"/>
      <c r="I332" s="190"/>
      <c r="J332" s="147"/>
      <c r="K332" s="147"/>
      <c r="L332" s="147"/>
      <c r="M332" s="147"/>
      <c r="N332" s="147"/>
      <c r="O332" s="147"/>
      <c r="P332" s="147"/>
      <c r="Q332" s="147"/>
      <c r="R332" s="147"/>
      <c r="S332" s="147"/>
      <c r="T332" s="147"/>
      <c r="U332" s="147"/>
      <c r="V332" s="147"/>
      <c r="W332" s="147"/>
      <c r="X332" s="147"/>
      <c r="Y332" s="147"/>
      <c r="Z332" s="147"/>
    </row>
    <row r="333">
      <c r="A333" s="147"/>
      <c r="B333" s="147"/>
      <c r="C333" s="147"/>
      <c r="D333" s="147"/>
      <c r="E333" s="147"/>
      <c r="F333" s="147"/>
      <c r="G333" s="147"/>
      <c r="H333" s="147"/>
      <c r="I333" s="190"/>
      <c r="J333" s="147"/>
      <c r="K333" s="147"/>
      <c r="L333" s="147"/>
      <c r="M333" s="147"/>
      <c r="N333" s="147"/>
      <c r="O333" s="147"/>
      <c r="P333" s="147"/>
      <c r="Q333" s="147"/>
      <c r="R333" s="147"/>
      <c r="S333" s="147"/>
      <c r="T333" s="147"/>
      <c r="U333" s="147"/>
      <c r="V333" s="147"/>
      <c r="W333" s="147"/>
      <c r="X333" s="147"/>
      <c r="Y333" s="147"/>
      <c r="Z333" s="147"/>
    </row>
    <row r="334">
      <c r="A334" s="147"/>
      <c r="B334" s="147"/>
      <c r="C334" s="147"/>
      <c r="D334" s="147"/>
      <c r="E334" s="147"/>
      <c r="F334" s="147"/>
      <c r="G334" s="147"/>
      <c r="H334" s="147"/>
      <c r="I334" s="190"/>
      <c r="J334" s="147"/>
      <c r="K334" s="147"/>
      <c r="L334" s="147"/>
      <c r="M334" s="147"/>
      <c r="N334" s="147"/>
      <c r="O334" s="147"/>
      <c r="P334" s="147"/>
      <c r="Q334" s="147"/>
      <c r="R334" s="147"/>
      <c r="S334" s="147"/>
      <c r="T334" s="147"/>
      <c r="U334" s="147"/>
      <c r="V334" s="147"/>
      <c r="W334" s="147"/>
      <c r="X334" s="147"/>
      <c r="Y334" s="147"/>
      <c r="Z334" s="147"/>
    </row>
    <row r="335">
      <c r="A335" s="147"/>
      <c r="B335" s="147"/>
      <c r="C335" s="147"/>
      <c r="D335" s="147"/>
      <c r="E335" s="147"/>
      <c r="F335" s="147"/>
      <c r="G335" s="147"/>
      <c r="H335" s="147"/>
      <c r="I335" s="190"/>
      <c r="J335" s="147"/>
      <c r="K335" s="147"/>
      <c r="L335" s="147"/>
      <c r="M335" s="147"/>
      <c r="N335" s="147"/>
      <c r="O335" s="147"/>
      <c r="P335" s="147"/>
      <c r="Q335" s="147"/>
      <c r="R335" s="147"/>
      <c r="S335" s="147"/>
      <c r="T335" s="147"/>
      <c r="U335" s="147"/>
      <c r="V335" s="147"/>
      <c r="W335" s="147"/>
      <c r="X335" s="147"/>
      <c r="Y335" s="147"/>
      <c r="Z335" s="147"/>
    </row>
    <row r="336">
      <c r="A336" s="147"/>
      <c r="B336" s="147"/>
      <c r="C336" s="147"/>
      <c r="D336" s="147"/>
      <c r="E336" s="147"/>
      <c r="F336" s="147"/>
      <c r="G336" s="147"/>
      <c r="H336" s="147"/>
      <c r="I336" s="190"/>
      <c r="J336" s="147"/>
      <c r="K336" s="147"/>
      <c r="L336" s="147"/>
      <c r="M336" s="147"/>
      <c r="N336" s="147"/>
      <c r="O336" s="147"/>
      <c r="P336" s="147"/>
      <c r="Q336" s="147"/>
      <c r="R336" s="147"/>
      <c r="S336" s="147"/>
      <c r="T336" s="147"/>
      <c r="U336" s="147"/>
      <c r="V336" s="147"/>
      <c r="W336" s="147"/>
      <c r="X336" s="147"/>
      <c r="Y336" s="147"/>
      <c r="Z336" s="147"/>
    </row>
    <row r="337">
      <c r="A337" s="147"/>
      <c r="B337" s="147"/>
      <c r="C337" s="147"/>
      <c r="D337" s="147"/>
      <c r="E337" s="147"/>
      <c r="F337" s="147"/>
      <c r="G337" s="147"/>
      <c r="H337" s="147"/>
      <c r="I337" s="190"/>
      <c r="J337" s="147"/>
      <c r="K337" s="147"/>
      <c r="L337" s="147"/>
      <c r="M337" s="147"/>
      <c r="N337" s="147"/>
      <c r="O337" s="147"/>
      <c r="P337" s="147"/>
      <c r="Q337" s="147"/>
      <c r="R337" s="147"/>
      <c r="S337" s="147"/>
      <c r="T337" s="147"/>
      <c r="U337" s="147"/>
      <c r="V337" s="147"/>
      <c r="W337" s="147"/>
      <c r="X337" s="147"/>
      <c r="Y337" s="147"/>
      <c r="Z337" s="147"/>
    </row>
    <row r="338">
      <c r="A338" s="147"/>
      <c r="B338" s="147"/>
      <c r="C338" s="147"/>
      <c r="D338" s="147"/>
      <c r="E338" s="147"/>
      <c r="F338" s="147"/>
      <c r="G338" s="147"/>
      <c r="H338" s="147"/>
      <c r="I338" s="190"/>
      <c r="J338" s="147"/>
      <c r="K338" s="147"/>
      <c r="L338" s="147"/>
      <c r="M338" s="147"/>
      <c r="N338" s="147"/>
      <c r="O338" s="147"/>
      <c r="P338" s="147"/>
      <c r="Q338" s="147"/>
      <c r="R338" s="147"/>
      <c r="S338" s="147"/>
      <c r="T338" s="147"/>
      <c r="U338" s="147"/>
      <c r="V338" s="147"/>
      <c r="W338" s="147"/>
      <c r="X338" s="147"/>
      <c r="Y338" s="147"/>
      <c r="Z338" s="147"/>
    </row>
    <row r="339">
      <c r="A339" s="147"/>
      <c r="B339" s="147"/>
      <c r="C339" s="147"/>
      <c r="D339" s="147"/>
      <c r="E339" s="147"/>
      <c r="F339" s="147"/>
      <c r="G339" s="147"/>
      <c r="H339" s="147"/>
      <c r="I339" s="190"/>
      <c r="J339" s="147"/>
      <c r="K339" s="147"/>
      <c r="L339" s="147"/>
      <c r="M339" s="147"/>
      <c r="N339" s="147"/>
      <c r="O339" s="147"/>
      <c r="P339" s="147"/>
      <c r="Q339" s="147"/>
      <c r="R339" s="147"/>
      <c r="S339" s="147"/>
      <c r="T339" s="147"/>
      <c r="U339" s="147"/>
      <c r="V339" s="147"/>
      <c r="W339" s="147"/>
      <c r="X339" s="147"/>
      <c r="Y339" s="147"/>
      <c r="Z339" s="147"/>
    </row>
    <row r="340">
      <c r="A340" s="147"/>
      <c r="B340" s="147"/>
      <c r="C340" s="147"/>
      <c r="D340" s="147"/>
      <c r="E340" s="147"/>
      <c r="F340" s="147"/>
      <c r="G340" s="147"/>
      <c r="H340" s="147"/>
      <c r="I340" s="190"/>
      <c r="J340" s="147"/>
      <c r="K340" s="147"/>
      <c r="L340" s="147"/>
      <c r="M340" s="147"/>
      <c r="N340" s="147"/>
      <c r="O340" s="147"/>
      <c r="P340" s="147"/>
      <c r="Q340" s="147"/>
      <c r="R340" s="147"/>
      <c r="S340" s="147"/>
      <c r="T340" s="147"/>
      <c r="U340" s="147"/>
      <c r="V340" s="147"/>
      <c r="W340" s="147"/>
      <c r="X340" s="147"/>
      <c r="Y340" s="147"/>
      <c r="Z340" s="147"/>
    </row>
    <row r="341">
      <c r="A341" s="147"/>
      <c r="B341" s="147"/>
      <c r="C341" s="147"/>
      <c r="D341" s="147"/>
      <c r="E341" s="147"/>
      <c r="F341" s="147"/>
      <c r="G341" s="147"/>
      <c r="H341" s="147"/>
      <c r="I341" s="190"/>
      <c r="J341" s="147"/>
      <c r="K341" s="147"/>
      <c r="L341" s="147"/>
      <c r="M341" s="147"/>
      <c r="N341" s="147"/>
      <c r="O341" s="147"/>
      <c r="P341" s="147"/>
      <c r="Q341" s="147"/>
      <c r="R341" s="147"/>
      <c r="S341" s="147"/>
      <c r="T341" s="147"/>
      <c r="U341" s="147"/>
      <c r="V341" s="147"/>
      <c r="W341" s="147"/>
      <c r="X341" s="147"/>
      <c r="Y341" s="147"/>
      <c r="Z341" s="147"/>
    </row>
    <row r="342">
      <c r="A342" s="147"/>
      <c r="B342" s="147"/>
      <c r="C342" s="147"/>
      <c r="D342" s="147"/>
      <c r="E342" s="147"/>
      <c r="F342" s="147"/>
      <c r="G342" s="147"/>
      <c r="H342" s="147"/>
      <c r="I342" s="190"/>
      <c r="J342" s="147"/>
      <c r="K342" s="147"/>
      <c r="L342" s="147"/>
      <c r="M342" s="147"/>
      <c r="N342" s="147"/>
      <c r="O342" s="147"/>
      <c r="P342" s="147"/>
      <c r="Q342" s="147"/>
      <c r="R342" s="147"/>
      <c r="S342" s="147"/>
      <c r="T342" s="147"/>
      <c r="U342" s="147"/>
      <c r="V342" s="147"/>
      <c r="W342" s="147"/>
      <c r="X342" s="147"/>
      <c r="Y342" s="147"/>
      <c r="Z342" s="147"/>
    </row>
    <row r="343">
      <c r="A343" s="147"/>
      <c r="B343" s="147"/>
      <c r="C343" s="147"/>
      <c r="D343" s="147"/>
      <c r="E343" s="147"/>
      <c r="F343" s="147"/>
      <c r="G343" s="147"/>
      <c r="H343" s="147"/>
      <c r="I343" s="190"/>
      <c r="J343" s="147"/>
      <c r="K343" s="147"/>
      <c r="L343" s="147"/>
      <c r="M343" s="147"/>
      <c r="N343" s="147"/>
      <c r="O343" s="147"/>
      <c r="P343" s="147"/>
      <c r="Q343" s="147"/>
      <c r="R343" s="147"/>
      <c r="S343" s="147"/>
      <c r="T343" s="147"/>
      <c r="U343" s="147"/>
      <c r="V343" s="147"/>
      <c r="W343" s="147"/>
      <c r="X343" s="147"/>
      <c r="Y343" s="147"/>
      <c r="Z343" s="147"/>
    </row>
    <row r="344">
      <c r="A344" s="147"/>
      <c r="B344" s="147"/>
      <c r="C344" s="147"/>
      <c r="D344" s="147"/>
      <c r="E344" s="147"/>
      <c r="F344" s="147"/>
      <c r="G344" s="147"/>
      <c r="H344" s="147"/>
      <c r="I344" s="190"/>
      <c r="J344" s="147"/>
      <c r="K344" s="147"/>
      <c r="L344" s="147"/>
      <c r="M344" s="147"/>
      <c r="N344" s="147"/>
      <c r="O344" s="147"/>
      <c r="P344" s="147"/>
      <c r="Q344" s="147"/>
      <c r="R344" s="147"/>
      <c r="S344" s="147"/>
      <c r="T344" s="147"/>
      <c r="U344" s="147"/>
      <c r="V344" s="147"/>
      <c r="W344" s="147"/>
      <c r="X344" s="147"/>
      <c r="Y344" s="147"/>
      <c r="Z344" s="147"/>
    </row>
    <row r="345">
      <c r="A345" s="147"/>
      <c r="B345" s="147"/>
      <c r="C345" s="147"/>
      <c r="D345" s="147"/>
      <c r="E345" s="147"/>
      <c r="F345" s="147"/>
      <c r="G345" s="147"/>
      <c r="H345" s="147"/>
      <c r="I345" s="190"/>
      <c r="J345" s="147"/>
      <c r="K345" s="147"/>
      <c r="L345" s="147"/>
      <c r="M345" s="147"/>
      <c r="N345" s="147"/>
      <c r="O345" s="147"/>
      <c r="P345" s="147"/>
      <c r="Q345" s="147"/>
      <c r="R345" s="147"/>
      <c r="S345" s="147"/>
      <c r="T345" s="147"/>
      <c r="U345" s="147"/>
      <c r="V345" s="147"/>
      <c r="W345" s="147"/>
      <c r="X345" s="147"/>
      <c r="Y345" s="147"/>
      <c r="Z345" s="147"/>
    </row>
    <row r="346">
      <c r="A346" s="147"/>
      <c r="B346" s="147"/>
      <c r="C346" s="147"/>
      <c r="D346" s="147"/>
      <c r="E346" s="147"/>
      <c r="F346" s="147"/>
      <c r="G346" s="147"/>
      <c r="H346" s="147"/>
      <c r="I346" s="190"/>
      <c r="J346" s="147"/>
      <c r="K346" s="147"/>
      <c r="L346" s="147"/>
      <c r="M346" s="147"/>
      <c r="N346" s="147"/>
      <c r="O346" s="147"/>
      <c r="P346" s="147"/>
      <c r="Q346" s="147"/>
      <c r="R346" s="147"/>
      <c r="S346" s="147"/>
      <c r="T346" s="147"/>
      <c r="U346" s="147"/>
      <c r="V346" s="147"/>
      <c r="W346" s="147"/>
      <c r="X346" s="147"/>
      <c r="Y346" s="147"/>
      <c r="Z346" s="147"/>
    </row>
    <row r="347">
      <c r="A347" s="147"/>
      <c r="B347" s="147"/>
      <c r="C347" s="147"/>
      <c r="D347" s="147"/>
      <c r="E347" s="147"/>
      <c r="F347" s="147"/>
      <c r="G347" s="147"/>
      <c r="H347" s="147"/>
      <c r="I347" s="190"/>
      <c r="J347" s="147"/>
      <c r="K347" s="147"/>
      <c r="L347" s="147"/>
      <c r="M347" s="147"/>
      <c r="N347" s="147"/>
      <c r="O347" s="147"/>
      <c r="P347" s="147"/>
      <c r="Q347" s="147"/>
      <c r="R347" s="147"/>
      <c r="S347" s="147"/>
      <c r="T347" s="147"/>
      <c r="U347" s="147"/>
      <c r="V347" s="147"/>
      <c r="W347" s="147"/>
      <c r="X347" s="147"/>
      <c r="Y347" s="147"/>
      <c r="Z347" s="147"/>
    </row>
    <row r="348">
      <c r="A348" s="147"/>
      <c r="B348" s="147"/>
      <c r="C348" s="147"/>
      <c r="D348" s="147"/>
      <c r="E348" s="147"/>
      <c r="F348" s="147"/>
      <c r="G348" s="147"/>
      <c r="H348" s="147"/>
      <c r="I348" s="190"/>
      <c r="J348" s="147"/>
      <c r="K348" s="147"/>
      <c r="L348" s="147"/>
      <c r="M348" s="147"/>
      <c r="N348" s="147"/>
      <c r="O348" s="147"/>
      <c r="P348" s="147"/>
      <c r="Q348" s="147"/>
      <c r="R348" s="147"/>
      <c r="S348" s="147"/>
      <c r="T348" s="147"/>
      <c r="U348" s="147"/>
      <c r="V348" s="147"/>
      <c r="W348" s="147"/>
      <c r="X348" s="147"/>
      <c r="Y348" s="147"/>
      <c r="Z348" s="147"/>
    </row>
    <row r="349">
      <c r="A349" s="147"/>
      <c r="B349" s="147"/>
      <c r="C349" s="147"/>
      <c r="D349" s="147"/>
      <c r="E349" s="147"/>
      <c r="F349" s="147"/>
      <c r="G349" s="147"/>
      <c r="H349" s="147"/>
      <c r="I349" s="190"/>
      <c r="J349" s="147"/>
      <c r="K349" s="147"/>
      <c r="L349" s="147"/>
      <c r="M349" s="147"/>
      <c r="N349" s="147"/>
      <c r="O349" s="147"/>
      <c r="P349" s="147"/>
      <c r="Q349" s="147"/>
      <c r="R349" s="147"/>
      <c r="S349" s="147"/>
      <c r="T349" s="147"/>
      <c r="U349" s="147"/>
      <c r="V349" s="147"/>
      <c r="W349" s="147"/>
      <c r="X349" s="147"/>
      <c r="Y349" s="147"/>
      <c r="Z349" s="147"/>
    </row>
    <row r="350">
      <c r="A350" s="147"/>
      <c r="B350" s="147"/>
      <c r="C350" s="147"/>
      <c r="D350" s="147"/>
      <c r="E350" s="147"/>
      <c r="F350" s="147"/>
      <c r="G350" s="147"/>
      <c r="H350" s="147"/>
      <c r="I350" s="190"/>
      <c r="J350" s="147"/>
      <c r="K350" s="147"/>
      <c r="L350" s="147"/>
      <c r="M350" s="147"/>
      <c r="N350" s="147"/>
      <c r="O350" s="147"/>
      <c r="P350" s="147"/>
      <c r="Q350" s="147"/>
      <c r="R350" s="147"/>
      <c r="S350" s="147"/>
      <c r="T350" s="147"/>
      <c r="U350" s="147"/>
      <c r="V350" s="147"/>
      <c r="W350" s="147"/>
      <c r="X350" s="147"/>
      <c r="Y350" s="147"/>
      <c r="Z350" s="147"/>
    </row>
    <row r="351">
      <c r="A351" s="147"/>
      <c r="B351" s="147"/>
      <c r="C351" s="147"/>
      <c r="D351" s="147"/>
      <c r="E351" s="147"/>
      <c r="F351" s="147"/>
      <c r="G351" s="147"/>
      <c r="H351" s="147"/>
      <c r="I351" s="190"/>
      <c r="J351" s="147"/>
      <c r="K351" s="147"/>
      <c r="L351" s="147"/>
      <c r="M351" s="147"/>
      <c r="N351" s="147"/>
      <c r="O351" s="147"/>
      <c r="P351" s="147"/>
      <c r="Q351" s="147"/>
      <c r="R351" s="147"/>
      <c r="S351" s="147"/>
      <c r="T351" s="147"/>
      <c r="U351" s="147"/>
      <c r="V351" s="147"/>
      <c r="W351" s="147"/>
      <c r="X351" s="147"/>
      <c r="Y351" s="147"/>
      <c r="Z351" s="147"/>
    </row>
    <row r="352">
      <c r="A352" s="147"/>
      <c r="B352" s="147"/>
      <c r="C352" s="147"/>
      <c r="D352" s="147"/>
      <c r="E352" s="147"/>
      <c r="F352" s="147"/>
      <c r="G352" s="147"/>
      <c r="H352" s="147"/>
      <c r="I352" s="190"/>
      <c r="J352" s="147"/>
      <c r="K352" s="147"/>
      <c r="L352" s="147"/>
      <c r="M352" s="147"/>
      <c r="N352" s="147"/>
      <c r="O352" s="147"/>
      <c r="P352" s="147"/>
      <c r="Q352" s="147"/>
      <c r="R352" s="147"/>
      <c r="S352" s="147"/>
      <c r="T352" s="147"/>
      <c r="U352" s="147"/>
      <c r="V352" s="147"/>
      <c r="W352" s="147"/>
      <c r="X352" s="147"/>
      <c r="Y352" s="147"/>
      <c r="Z352" s="147"/>
    </row>
    <row r="353">
      <c r="A353" s="147"/>
      <c r="B353" s="147"/>
      <c r="C353" s="147"/>
      <c r="D353" s="147"/>
      <c r="E353" s="147"/>
      <c r="F353" s="147"/>
      <c r="G353" s="147"/>
      <c r="H353" s="147"/>
      <c r="I353" s="190"/>
      <c r="J353" s="147"/>
      <c r="K353" s="147"/>
      <c r="L353" s="147"/>
      <c r="M353" s="147"/>
      <c r="N353" s="147"/>
      <c r="O353" s="147"/>
      <c r="P353" s="147"/>
      <c r="Q353" s="147"/>
      <c r="R353" s="147"/>
      <c r="S353" s="147"/>
      <c r="T353" s="147"/>
      <c r="U353" s="147"/>
      <c r="V353" s="147"/>
      <c r="W353" s="147"/>
      <c r="X353" s="147"/>
      <c r="Y353" s="147"/>
      <c r="Z353" s="147"/>
    </row>
    <row r="354">
      <c r="A354" s="147"/>
      <c r="B354" s="147"/>
      <c r="C354" s="147"/>
      <c r="D354" s="147"/>
      <c r="E354" s="147"/>
      <c r="F354" s="147"/>
      <c r="G354" s="147"/>
      <c r="H354" s="147"/>
      <c r="I354" s="190"/>
      <c r="J354" s="147"/>
      <c r="K354" s="147"/>
      <c r="L354" s="147"/>
      <c r="M354" s="147"/>
      <c r="N354" s="147"/>
      <c r="O354" s="147"/>
      <c r="P354" s="147"/>
      <c r="Q354" s="147"/>
      <c r="R354" s="147"/>
      <c r="S354" s="147"/>
      <c r="T354" s="147"/>
      <c r="U354" s="147"/>
      <c r="V354" s="147"/>
      <c r="W354" s="147"/>
      <c r="X354" s="147"/>
      <c r="Y354" s="147"/>
      <c r="Z354" s="147"/>
    </row>
    <row r="355">
      <c r="A355" s="147"/>
      <c r="B355" s="147"/>
      <c r="C355" s="147"/>
      <c r="D355" s="147"/>
      <c r="E355" s="147"/>
      <c r="F355" s="147"/>
      <c r="G355" s="147"/>
      <c r="H355" s="147"/>
      <c r="I355" s="190"/>
      <c r="J355" s="147"/>
      <c r="K355" s="147"/>
      <c r="L355" s="147"/>
      <c r="M355" s="147"/>
      <c r="N355" s="147"/>
      <c r="O355" s="147"/>
      <c r="P355" s="147"/>
      <c r="Q355" s="147"/>
      <c r="R355" s="147"/>
      <c r="S355" s="147"/>
      <c r="T355" s="147"/>
      <c r="U355" s="147"/>
      <c r="V355" s="147"/>
      <c r="W355" s="147"/>
      <c r="X355" s="147"/>
      <c r="Y355" s="147"/>
      <c r="Z355" s="147"/>
    </row>
    <row r="356">
      <c r="A356" s="147"/>
      <c r="B356" s="147"/>
      <c r="C356" s="147"/>
      <c r="D356" s="147"/>
      <c r="E356" s="147"/>
      <c r="F356" s="147"/>
      <c r="G356" s="147"/>
      <c r="H356" s="147"/>
      <c r="I356" s="190"/>
      <c r="J356" s="147"/>
      <c r="K356" s="147"/>
      <c r="L356" s="147"/>
      <c r="M356" s="147"/>
      <c r="N356" s="147"/>
      <c r="O356" s="147"/>
      <c r="P356" s="147"/>
      <c r="Q356" s="147"/>
      <c r="R356" s="147"/>
      <c r="S356" s="147"/>
      <c r="T356" s="147"/>
      <c r="U356" s="147"/>
      <c r="V356" s="147"/>
      <c r="W356" s="147"/>
      <c r="X356" s="147"/>
      <c r="Y356" s="147"/>
      <c r="Z356" s="147"/>
    </row>
    <row r="357">
      <c r="A357" s="147"/>
      <c r="B357" s="147"/>
      <c r="C357" s="147"/>
      <c r="D357" s="147"/>
      <c r="E357" s="147"/>
      <c r="F357" s="147"/>
      <c r="G357" s="147"/>
      <c r="H357" s="147"/>
      <c r="I357" s="190"/>
      <c r="J357" s="147"/>
      <c r="K357" s="147"/>
      <c r="L357" s="147"/>
      <c r="M357" s="147"/>
      <c r="N357" s="147"/>
      <c r="O357" s="147"/>
      <c r="P357" s="147"/>
      <c r="Q357" s="147"/>
      <c r="R357" s="147"/>
      <c r="S357" s="147"/>
      <c r="T357" s="147"/>
      <c r="U357" s="147"/>
      <c r="V357" s="147"/>
      <c r="W357" s="147"/>
      <c r="X357" s="147"/>
      <c r="Y357" s="147"/>
      <c r="Z357" s="147"/>
    </row>
    <row r="358">
      <c r="A358" s="147"/>
      <c r="B358" s="147"/>
      <c r="C358" s="147"/>
      <c r="D358" s="147"/>
      <c r="E358" s="147"/>
      <c r="F358" s="147"/>
      <c r="G358" s="147"/>
      <c r="H358" s="147"/>
      <c r="I358" s="190"/>
      <c r="J358" s="147"/>
      <c r="K358" s="147"/>
      <c r="L358" s="147"/>
      <c r="M358" s="147"/>
      <c r="N358" s="147"/>
      <c r="O358" s="147"/>
      <c r="P358" s="147"/>
      <c r="Q358" s="147"/>
      <c r="R358" s="147"/>
      <c r="S358" s="147"/>
      <c r="T358" s="147"/>
      <c r="U358" s="147"/>
      <c r="V358" s="147"/>
      <c r="W358" s="147"/>
      <c r="X358" s="147"/>
      <c r="Y358" s="147"/>
      <c r="Z358" s="147"/>
    </row>
    <row r="359">
      <c r="A359" s="147"/>
      <c r="B359" s="147"/>
      <c r="C359" s="147"/>
      <c r="D359" s="147"/>
      <c r="E359" s="147"/>
      <c r="F359" s="147"/>
      <c r="G359" s="147"/>
      <c r="H359" s="147"/>
      <c r="I359" s="190"/>
      <c r="J359" s="147"/>
      <c r="K359" s="147"/>
      <c r="L359" s="147"/>
      <c r="M359" s="147"/>
      <c r="N359" s="147"/>
      <c r="O359" s="147"/>
      <c r="P359" s="147"/>
      <c r="Q359" s="147"/>
      <c r="R359" s="147"/>
      <c r="S359" s="147"/>
      <c r="T359" s="147"/>
      <c r="U359" s="147"/>
      <c r="V359" s="147"/>
      <c r="W359" s="147"/>
      <c r="X359" s="147"/>
      <c r="Y359" s="147"/>
      <c r="Z359" s="147"/>
    </row>
    <row r="360">
      <c r="A360" s="147"/>
      <c r="B360" s="147"/>
      <c r="C360" s="147"/>
      <c r="D360" s="147"/>
      <c r="E360" s="147"/>
      <c r="F360" s="147"/>
      <c r="G360" s="147"/>
      <c r="H360" s="147"/>
      <c r="I360" s="190"/>
      <c r="J360" s="147"/>
      <c r="K360" s="147"/>
      <c r="L360" s="147"/>
      <c r="M360" s="147"/>
      <c r="N360" s="147"/>
      <c r="O360" s="147"/>
      <c r="P360" s="147"/>
      <c r="Q360" s="147"/>
      <c r="R360" s="147"/>
      <c r="S360" s="147"/>
      <c r="T360" s="147"/>
      <c r="U360" s="147"/>
      <c r="V360" s="147"/>
      <c r="W360" s="147"/>
      <c r="X360" s="147"/>
      <c r="Y360" s="147"/>
      <c r="Z360" s="147"/>
    </row>
    <row r="361">
      <c r="A361" s="147"/>
      <c r="B361" s="147"/>
      <c r="C361" s="147"/>
      <c r="D361" s="147"/>
      <c r="E361" s="147"/>
      <c r="F361" s="147"/>
      <c r="G361" s="147"/>
      <c r="H361" s="147"/>
      <c r="I361" s="190"/>
      <c r="J361" s="147"/>
      <c r="K361" s="147"/>
      <c r="L361" s="147"/>
      <c r="M361" s="147"/>
      <c r="N361" s="147"/>
      <c r="O361" s="147"/>
      <c r="P361" s="147"/>
      <c r="Q361" s="147"/>
      <c r="R361" s="147"/>
      <c r="S361" s="147"/>
      <c r="T361" s="147"/>
      <c r="U361" s="147"/>
      <c r="V361" s="147"/>
      <c r="W361" s="147"/>
      <c r="X361" s="147"/>
      <c r="Y361" s="147"/>
      <c r="Z361" s="147"/>
    </row>
    <row r="362">
      <c r="A362" s="147"/>
      <c r="B362" s="147"/>
      <c r="C362" s="147"/>
      <c r="D362" s="147"/>
      <c r="E362" s="147"/>
      <c r="F362" s="147"/>
      <c r="G362" s="147"/>
      <c r="H362" s="147"/>
      <c r="I362" s="190"/>
      <c r="J362" s="147"/>
      <c r="K362" s="147"/>
      <c r="L362" s="147"/>
      <c r="M362" s="147"/>
      <c r="N362" s="147"/>
      <c r="O362" s="147"/>
      <c r="P362" s="147"/>
      <c r="Q362" s="147"/>
      <c r="R362" s="147"/>
      <c r="S362" s="147"/>
      <c r="T362" s="147"/>
      <c r="U362" s="147"/>
      <c r="V362" s="147"/>
      <c r="W362" s="147"/>
      <c r="X362" s="147"/>
      <c r="Y362" s="147"/>
      <c r="Z362" s="147"/>
    </row>
    <row r="363">
      <c r="A363" s="147"/>
      <c r="B363" s="147"/>
      <c r="C363" s="147"/>
      <c r="D363" s="147"/>
      <c r="E363" s="147"/>
      <c r="F363" s="147"/>
      <c r="G363" s="147"/>
      <c r="H363" s="147"/>
      <c r="I363" s="190"/>
      <c r="J363" s="147"/>
      <c r="K363" s="147"/>
      <c r="L363" s="147"/>
      <c r="M363" s="147"/>
      <c r="N363" s="147"/>
      <c r="O363" s="147"/>
      <c r="P363" s="147"/>
      <c r="Q363" s="147"/>
      <c r="R363" s="147"/>
      <c r="S363" s="147"/>
      <c r="T363" s="147"/>
      <c r="U363" s="147"/>
      <c r="V363" s="147"/>
      <c r="W363" s="147"/>
      <c r="X363" s="147"/>
      <c r="Y363" s="147"/>
      <c r="Z363" s="147"/>
    </row>
    <row r="364">
      <c r="A364" s="147"/>
      <c r="B364" s="147"/>
      <c r="C364" s="147"/>
      <c r="D364" s="147"/>
      <c r="E364" s="147"/>
      <c r="F364" s="147"/>
      <c r="G364" s="147"/>
      <c r="H364" s="147"/>
      <c r="I364" s="190"/>
      <c r="J364" s="147"/>
      <c r="K364" s="147"/>
      <c r="L364" s="147"/>
      <c r="M364" s="147"/>
      <c r="N364" s="147"/>
      <c r="O364" s="147"/>
      <c r="P364" s="147"/>
      <c r="Q364" s="147"/>
      <c r="R364" s="147"/>
      <c r="S364" s="147"/>
      <c r="T364" s="147"/>
      <c r="U364" s="147"/>
      <c r="V364" s="147"/>
      <c r="W364" s="147"/>
      <c r="X364" s="147"/>
      <c r="Y364" s="147"/>
      <c r="Z364" s="147"/>
    </row>
    <row r="365">
      <c r="A365" s="147"/>
      <c r="B365" s="147"/>
      <c r="C365" s="147"/>
      <c r="D365" s="147"/>
      <c r="E365" s="147"/>
      <c r="F365" s="147"/>
      <c r="G365" s="147"/>
      <c r="H365" s="147"/>
      <c r="I365" s="190"/>
      <c r="J365" s="147"/>
      <c r="K365" s="147"/>
      <c r="L365" s="147"/>
      <c r="M365" s="147"/>
      <c r="N365" s="147"/>
      <c r="O365" s="147"/>
      <c r="P365" s="147"/>
      <c r="Q365" s="147"/>
      <c r="R365" s="147"/>
      <c r="S365" s="147"/>
      <c r="T365" s="147"/>
      <c r="U365" s="147"/>
      <c r="V365" s="147"/>
      <c r="W365" s="147"/>
      <c r="X365" s="147"/>
      <c r="Y365" s="147"/>
      <c r="Z365" s="147"/>
    </row>
    <row r="366">
      <c r="A366" s="147"/>
      <c r="B366" s="147"/>
      <c r="C366" s="147"/>
      <c r="D366" s="147"/>
      <c r="E366" s="147"/>
      <c r="F366" s="147"/>
      <c r="G366" s="147"/>
      <c r="H366" s="147"/>
      <c r="I366" s="190"/>
      <c r="J366" s="147"/>
      <c r="K366" s="147"/>
      <c r="L366" s="147"/>
      <c r="M366" s="147"/>
      <c r="N366" s="147"/>
      <c r="O366" s="147"/>
      <c r="P366" s="147"/>
      <c r="Q366" s="147"/>
      <c r="R366" s="147"/>
      <c r="S366" s="147"/>
      <c r="T366" s="147"/>
      <c r="U366" s="147"/>
      <c r="V366" s="147"/>
      <c r="W366" s="147"/>
      <c r="X366" s="147"/>
      <c r="Y366" s="147"/>
      <c r="Z366" s="147"/>
    </row>
    <row r="367">
      <c r="A367" s="147"/>
      <c r="B367" s="147"/>
      <c r="C367" s="147"/>
      <c r="D367" s="147"/>
      <c r="E367" s="147"/>
      <c r="F367" s="147"/>
      <c r="G367" s="147"/>
      <c r="H367" s="147"/>
      <c r="I367" s="190"/>
      <c r="J367" s="147"/>
      <c r="K367" s="147"/>
      <c r="L367" s="147"/>
      <c r="M367" s="147"/>
      <c r="N367" s="147"/>
      <c r="O367" s="147"/>
      <c r="P367" s="147"/>
      <c r="Q367" s="147"/>
      <c r="R367" s="147"/>
      <c r="S367" s="147"/>
      <c r="T367" s="147"/>
      <c r="U367" s="147"/>
      <c r="V367" s="147"/>
      <c r="W367" s="147"/>
      <c r="X367" s="147"/>
      <c r="Y367" s="147"/>
      <c r="Z367" s="147"/>
    </row>
    <row r="368">
      <c r="A368" s="147"/>
      <c r="B368" s="147"/>
      <c r="C368" s="147"/>
      <c r="D368" s="147"/>
      <c r="E368" s="147"/>
      <c r="F368" s="147"/>
      <c r="G368" s="147"/>
      <c r="H368" s="147"/>
      <c r="I368" s="190"/>
      <c r="J368" s="147"/>
      <c r="K368" s="147"/>
      <c r="L368" s="147"/>
      <c r="M368" s="147"/>
      <c r="N368" s="147"/>
      <c r="O368" s="147"/>
      <c r="P368" s="147"/>
      <c r="Q368" s="147"/>
      <c r="R368" s="147"/>
      <c r="S368" s="147"/>
      <c r="T368" s="147"/>
      <c r="U368" s="147"/>
      <c r="V368" s="147"/>
      <c r="W368" s="147"/>
      <c r="X368" s="147"/>
      <c r="Y368" s="147"/>
      <c r="Z368" s="147"/>
    </row>
    <row r="369">
      <c r="A369" s="147"/>
      <c r="B369" s="147"/>
      <c r="C369" s="147"/>
      <c r="D369" s="147"/>
      <c r="E369" s="147"/>
      <c r="F369" s="147"/>
      <c r="G369" s="147"/>
      <c r="H369" s="147"/>
      <c r="I369" s="190"/>
      <c r="J369" s="147"/>
      <c r="K369" s="147"/>
      <c r="L369" s="147"/>
      <c r="M369" s="147"/>
      <c r="N369" s="147"/>
      <c r="O369" s="147"/>
      <c r="P369" s="147"/>
      <c r="Q369" s="147"/>
      <c r="R369" s="147"/>
      <c r="S369" s="147"/>
      <c r="T369" s="147"/>
      <c r="U369" s="147"/>
      <c r="V369" s="147"/>
      <c r="W369" s="147"/>
      <c r="X369" s="147"/>
      <c r="Y369" s="147"/>
      <c r="Z369" s="147"/>
    </row>
    <row r="370">
      <c r="A370" s="147"/>
      <c r="B370" s="147"/>
      <c r="C370" s="147"/>
      <c r="D370" s="147"/>
      <c r="E370" s="147"/>
      <c r="F370" s="147"/>
      <c r="G370" s="147"/>
      <c r="H370" s="147"/>
      <c r="I370" s="190"/>
      <c r="J370" s="147"/>
      <c r="K370" s="147"/>
      <c r="L370" s="147"/>
      <c r="M370" s="147"/>
      <c r="N370" s="147"/>
      <c r="O370" s="147"/>
      <c r="P370" s="147"/>
      <c r="Q370" s="147"/>
      <c r="R370" s="147"/>
      <c r="S370" s="147"/>
      <c r="T370" s="147"/>
      <c r="U370" s="147"/>
      <c r="V370" s="147"/>
      <c r="W370" s="147"/>
      <c r="X370" s="147"/>
      <c r="Y370" s="147"/>
      <c r="Z370" s="147"/>
    </row>
    <row r="371">
      <c r="A371" s="147"/>
      <c r="B371" s="147"/>
      <c r="C371" s="147"/>
      <c r="D371" s="147"/>
      <c r="E371" s="147"/>
      <c r="F371" s="147"/>
      <c r="G371" s="147"/>
      <c r="H371" s="147"/>
      <c r="I371" s="190"/>
      <c r="J371" s="147"/>
      <c r="K371" s="147"/>
      <c r="L371" s="147"/>
      <c r="M371" s="147"/>
      <c r="N371" s="147"/>
      <c r="O371" s="147"/>
      <c r="P371" s="147"/>
      <c r="Q371" s="147"/>
      <c r="R371" s="147"/>
      <c r="S371" s="147"/>
      <c r="T371" s="147"/>
      <c r="U371" s="147"/>
      <c r="V371" s="147"/>
      <c r="W371" s="147"/>
      <c r="X371" s="147"/>
      <c r="Y371" s="147"/>
      <c r="Z371" s="147"/>
    </row>
    <row r="372">
      <c r="A372" s="147"/>
      <c r="B372" s="147"/>
      <c r="C372" s="147"/>
      <c r="D372" s="147"/>
      <c r="E372" s="147"/>
      <c r="F372" s="147"/>
      <c r="G372" s="147"/>
      <c r="H372" s="147"/>
      <c r="I372" s="190"/>
      <c r="J372" s="147"/>
      <c r="K372" s="147"/>
      <c r="L372" s="147"/>
      <c r="M372" s="147"/>
      <c r="N372" s="147"/>
      <c r="O372" s="147"/>
      <c r="P372" s="147"/>
      <c r="Q372" s="147"/>
      <c r="R372" s="147"/>
      <c r="S372" s="147"/>
      <c r="T372" s="147"/>
      <c r="U372" s="147"/>
      <c r="V372" s="147"/>
      <c r="W372" s="147"/>
      <c r="X372" s="147"/>
      <c r="Y372" s="147"/>
      <c r="Z372" s="147"/>
    </row>
    <row r="373">
      <c r="A373" s="147"/>
      <c r="B373" s="147"/>
      <c r="C373" s="147"/>
      <c r="D373" s="147"/>
      <c r="E373" s="147"/>
      <c r="F373" s="147"/>
      <c r="G373" s="147"/>
      <c r="H373" s="147"/>
      <c r="I373" s="190"/>
      <c r="J373" s="147"/>
      <c r="K373" s="147"/>
      <c r="L373" s="147"/>
      <c r="M373" s="147"/>
      <c r="N373" s="147"/>
      <c r="O373" s="147"/>
      <c r="P373" s="147"/>
      <c r="Q373" s="147"/>
      <c r="R373" s="147"/>
      <c r="S373" s="147"/>
      <c r="T373" s="147"/>
      <c r="U373" s="147"/>
      <c r="V373" s="147"/>
      <c r="W373" s="147"/>
      <c r="X373" s="147"/>
      <c r="Y373" s="147"/>
      <c r="Z373" s="147"/>
    </row>
    <row r="374">
      <c r="A374" s="147"/>
      <c r="B374" s="147"/>
      <c r="C374" s="147"/>
      <c r="D374" s="147"/>
      <c r="E374" s="147"/>
      <c r="F374" s="147"/>
      <c r="G374" s="147"/>
      <c r="H374" s="147"/>
      <c r="I374" s="190"/>
      <c r="J374" s="147"/>
      <c r="K374" s="147"/>
      <c r="L374" s="147"/>
      <c r="M374" s="147"/>
      <c r="N374" s="147"/>
      <c r="O374" s="147"/>
      <c r="P374" s="147"/>
      <c r="Q374" s="147"/>
      <c r="R374" s="147"/>
      <c r="S374" s="147"/>
      <c r="T374" s="147"/>
      <c r="U374" s="147"/>
      <c r="V374" s="147"/>
      <c r="W374" s="147"/>
      <c r="X374" s="147"/>
      <c r="Y374" s="147"/>
      <c r="Z374" s="147"/>
    </row>
    <row r="375">
      <c r="A375" s="147"/>
      <c r="B375" s="147"/>
      <c r="C375" s="147"/>
      <c r="D375" s="147"/>
      <c r="E375" s="147"/>
      <c r="F375" s="147"/>
      <c r="G375" s="147"/>
      <c r="H375" s="147"/>
      <c r="I375" s="190"/>
      <c r="J375" s="147"/>
      <c r="K375" s="147"/>
      <c r="L375" s="147"/>
      <c r="M375" s="147"/>
      <c r="N375" s="147"/>
      <c r="O375" s="147"/>
      <c r="P375" s="147"/>
      <c r="Q375" s="147"/>
      <c r="R375" s="147"/>
      <c r="S375" s="147"/>
      <c r="T375" s="147"/>
      <c r="U375" s="147"/>
      <c r="V375" s="147"/>
      <c r="W375" s="147"/>
      <c r="X375" s="147"/>
      <c r="Y375" s="147"/>
      <c r="Z375" s="147"/>
    </row>
    <row r="376">
      <c r="A376" s="147"/>
      <c r="B376" s="147"/>
      <c r="C376" s="147"/>
      <c r="D376" s="147"/>
      <c r="E376" s="147"/>
      <c r="F376" s="147"/>
      <c r="G376" s="147"/>
      <c r="H376" s="147"/>
      <c r="I376" s="190"/>
      <c r="J376" s="147"/>
      <c r="K376" s="147"/>
      <c r="L376" s="147"/>
      <c r="M376" s="147"/>
      <c r="N376" s="147"/>
      <c r="O376" s="147"/>
      <c r="P376" s="147"/>
      <c r="Q376" s="147"/>
      <c r="R376" s="147"/>
      <c r="S376" s="147"/>
      <c r="T376" s="147"/>
      <c r="U376" s="147"/>
      <c r="V376" s="147"/>
      <c r="W376" s="147"/>
      <c r="X376" s="147"/>
      <c r="Y376" s="147"/>
      <c r="Z376" s="147"/>
    </row>
    <row r="377">
      <c r="A377" s="147"/>
      <c r="B377" s="147"/>
      <c r="C377" s="147"/>
      <c r="D377" s="147"/>
      <c r="E377" s="147"/>
      <c r="F377" s="147"/>
      <c r="G377" s="147"/>
      <c r="H377" s="147"/>
      <c r="I377" s="190"/>
      <c r="J377" s="147"/>
      <c r="K377" s="147"/>
      <c r="L377" s="147"/>
      <c r="M377" s="147"/>
      <c r="N377" s="147"/>
      <c r="O377" s="147"/>
      <c r="P377" s="147"/>
      <c r="Q377" s="147"/>
      <c r="R377" s="147"/>
      <c r="S377" s="147"/>
      <c r="T377" s="147"/>
      <c r="U377" s="147"/>
      <c r="V377" s="147"/>
      <c r="W377" s="147"/>
      <c r="X377" s="147"/>
      <c r="Y377" s="147"/>
      <c r="Z377" s="147"/>
    </row>
    <row r="378">
      <c r="A378" s="147"/>
      <c r="B378" s="147"/>
      <c r="C378" s="147"/>
      <c r="D378" s="147"/>
      <c r="E378" s="147"/>
      <c r="F378" s="147"/>
      <c r="G378" s="147"/>
      <c r="H378" s="147"/>
      <c r="I378" s="190"/>
      <c r="J378" s="147"/>
      <c r="K378" s="147"/>
      <c r="L378" s="147"/>
      <c r="M378" s="147"/>
      <c r="N378" s="147"/>
      <c r="O378" s="147"/>
      <c r="P378" s="147"/>
      <c r="Q378" s="147"/>
      <c r="R378" s="147"/>
      <c r="S378" s="147"/>
      <c r="T378" s="147"/>
      <c r="U378" s="147"/>
      <c r="V378" s="147"/>
      <c r="W378" s="147"/>
      <c r="X378" s="147"/>
      <c r="Y378" s="147"/>
      <c r="Z378" s="147"/>
    </row>
    <row r="379">
      <c r="A379" s="147"/>
      <c r="B379" s="147"/>
      <c r="C379" s="147"/>
      <c r="D379" s="147"/>
      <c r="E379" s="147"/>
      <c r="F379" s="147"/>
      <c r="G379" s="147"/>
      <c r="H379" s="147"/>
      <c r="I379" s="190"/>
      <c r="J379" s="147"/>
      <c r="K379" s="147"/>
      <c r="L379" s="147"/>
      <c r="M379" s="147"/>
      <c r="N379" s="147"/>
      <c r="O379" s="147"/>
      <c r="P379" s="147"/>
      <c r="Q379" s="147"/>
      <c r="R379" s="147"/>
      <c r="S379" s="147"/>
      <c r="T379" s="147"/>
      <c r="U379" s="147"/>
      <c r="V379" s="147"/>
      <c r="W379" s="147"/>
      <c r="X379" s="147"/>
      <c r="Y379" s="147"/>
      <c r="Z379" s="147"/>
    </row>
    <row r="380">
      <c r="A380" s="147"/>
      <c r="B380" s="147"/>
      <c r="C380" s="147"/>
      <c r="D380" s="147"/>
      <c r="E380" s="147"/>
      <c r="F380" s="147"/>
      <c r="G380" s="147"/>
      <c r="H380" s="147"/>
      <c r="I380" s="190"/>
      <c r="J380" s="147"/>
      <c r="K380" s="147"/>
      <c r="L380" s="147"/>
      <c r="M380" s="147"/>
      <c r="N380" s="147"/>
      <c r="O380" s="147"/>
      <c r="P380" s="147"/>
      <c r="Q380" s="147"/>
      <c r="R380" s="147"/>
      <c r="S380" s="147"/>
      <c r="T380" s="147"/>
      <c r="U380" s="147"/>
      <c r="V380" s="147"/>
      <c r="W380" s="147"/>
      <c r="X380" s="147"/>
      <c r="Y380" s="147"/>
      <c r="Z380" s="147"/>
    </row>
    <row r="381">
      <c r="A381" s="147"/>
      <c r="B381" s="147"/>
      <c r="C381" s="147"/>
      <c r="D381" s="147"/>
      <c r="E381" s="147"/>
      <c r="F381" s="147"/>
      <c r="G381" s="147"/>
      <c r="H381" s="147"/>
      <c r="I381" s="190"/>
      <c r="J381" s="147"/>
      <c r="K381" s="147"/>
      <c r="L381" s="147"/>
      <c r="M381" s="147"/>
      <c r="N381" s="147"/>
      <c r="O381" s="147"/>
      <c r="P381" s="147"/>
      <c r="Q381" s="147"/>
      <c r="R381" s="147"/>
      <c r="S381" s="147"/>
      <c r="T381" s="147"/>
      <c r="U381" s="147"/>
      <c r="V381" s="147"/>
      <c r="W381" s="147"/>
      <c r="X381" s="147"/>
      <c r="Y381" s="147"/>
      <c r="Z381" s="147"/>
    </row>
    <row r="382">
      <c r="A382" s="147"/>
      <c r="B382" s="147"/>
      <c r="C382" s="147"/>
      <c r="D382" s="147"/>
      <c r="E382" s="147"/>
      <c r="F382" s="147"/>
      <c r="G382" s="147"/>
      <c r="H382" s="147"/>
      <c r="I382" s="190"/>
      <c r="J382" s="147"/>
      <c r="K382" s="147"/>
      <c r="L382" s="147"/>
      <c r="M382" s="147"/>
      <c r="N382" s="147"/>
      <c r="O382" s="147"/>
      <c r="P382" s="147"/>
      <c r="Q382" s="147"/>
      <c r="R382" s="147"/>
      <c r="S382" s="147"/>
      <c r="T382" s="147"/>
      <c r="U382" s="147"/>
      <c r="V382" s="147"/>
      <c r="W382" s="147"/>
      <c r="X382" s="147"/>
      <c r="Y382" s="147"/>
      <c r="Z382" s="147"/>
    </row>
    <row r="383">
      <c r="A383" s="147"/>
      <c r="B383" s="147"/>
      <c r="C383" s="147"/>
      <c r="D383" s="147"/>
      <c r="E383" s="147"/>
      <c r="F383" s="147"/>
      <c r="G383" s="147"/>
      <c r="H383" s="147"/>
      <c r="I383" s="190"/>
      <c r="J383" s="147"/>
      <c r="K383" s="147"/>
      <c r="L383" s="147"/>
      <c r="M383" s="147"/>
      <c r="N383" s="147"/>
      <c r="O383" s="147"/>
      <c r="P383" s="147"/>
      <c r="Q383" s="147"/>
      <c r="R383" s="147"/>
      <c r="S383" s="147"/>
      <c r="T383" s="147"/>
      <c r="U383" s="147"/>
      <c r="V383" s="147"/>
      <c r="W383" s="147"/>
      <c r="X383" s="147"/>
      <c r="Y383" s="147"/>
      <c r="Z383" s="147"/>
    </row>
    <row r="384">
      <c r="A384" s="147"/>
      <c r="B384" s="147"/>
      <c r="C384" s="147"/>
      <c r="D384" s="147"/>
      <c r="E384" s="147"/>
      <c r="F384" s="147"/>
      <c r="G384" s="147"/>
      <c r="H384" s="147"/>
      <c r="I384" s="190"/>
      <c r="J384" s="147"/>
      <c r="K384" s="147"/>
      <c r="L384" s="147"/>
      <c r="M384" s="147"/>
      <c r="N384" s="147"/>
      <c r="O384" s="147"/>
      <c r="P384" s="147"/>
      <c r="Q384" s="147"/>
      <c r="R384" s="147"/>
      <c r="S384" s="147"/>
      <c r="T384" s="147"/>
      <c r="U384" s="147"/>
      <c r="V384" s="147"/>
      <c r="W384" s="147"/>
      <c r="X384" s="147"/>
      <c r="Y384" s="147"/>
      <c r="Z384" s="147"/>
    </row>
    <row r="385">
      <c r="A385" s="147"/>
      <c r="B385" s="147"/>
      <c r="C385" s="147"/>
      <c r="D385" s="147"/>
      <c r="E385" s="147"/>
      <c r="F385" s="147"/>
      <c r="G385" s="147"/>
      <c r="H385" s="147"/>
      <c r="I385" s="190"/>
      <c r="J385" s="147"/>
      <c r="K385" s="147"/>
      <c r="L385" s="147"/>
      <c r="M385" s="147"/>
      <c r="N385" s="147"/>
      <c r="O385" s="147"/>
      <c r="P385" s="147"/>
      <c r="Q385" s="147"/>
      <c r="R385" s="147"/>
      <c r="S385" s="147"/>
      <c r="T385" s="147"/>
      <c r="U385" s="147"/>
      <c r="V385" s="147"/>
      <c r="W385" s="147"/>
      <c r="X385" s="147"/>
      <c r="Y385" s="147"/>
      <c r="Z385" s="147"/>
    </row>
    <row r="386">
      <c r="A386" s="147"/>
      <c r="B386" s="147"/>
      <c r="C386" s="147"/>
      <c r="D386" s="147"/>
      <c r="E386" s="147"/>
      <c r="F386" s="147"/>
      <c r="G386" s="147"/>
      <c r="H386" s="147"/>
      <c r="I386" s="190"/>
      <c r="J386" s="147"/>
      <c r="K386" s="147"/>
      <c r="L386" s="147"/>
      <c r="M386" s="147"/>
      <c r="N386" s="147"/>
      <c r="O386" s="147"/>
      <c r="P386" s="147"/>
      <c r="Q386" s="147"/>
      <c r="R386" s="147"/>
      <c r="S386" s="147"/>
      <c r="T386" s="147"/>
      <c r="U386" s="147"/>
      <c r="V386" s="147"/>
      <c r="W386" s="147"/>
      <c r="X386" s="147"/>
      <c r="Y386" s="147"/>
      <c r="Z386" s="147"/>
    </row>
    <row r="387">
      <c r="A387" s="147"/>
      <c r="B387" s="147"/>
      <c r="C387" s="147"/>
      <c r="D387" s="147"/>
      <c r="E387" s="147"/>
      <c r="F387" s="147"/>
      <c r="G387" s="147"/>
      <c r="H387" s="147"/>
      <c r="I387" s="190"/>
      <c r="J387" s="147"/>
      <c r="K387" s="147"/>
      <c r="L387" s="147"/>
      <c r="M387" s="147"/>
      <c r="N387" s="147"/>
      <c r="O387" s="147"/>
      <c r="P387" s="147"/>
      <c r="Q387" s="147"/>
      <c r="R387" s="147"/>
      <c r="S387" s="147"/>
      <c r="T387" s="147"/>
      <c r="U387" s="147"/>
      <c r="V387" s="147"/>
      <c r="W387" s="147"/>
      <c r="X387" s="147"/>
      <c r="Y387" s="147"/>
      <c r="Z387" s="147"/>
    </row>
    <row r="388">
      <c r="A388" s="147"/>
      <c r="B388" s="147"/>
      <c r="C388" s="147"/>
      <c r="D388" s="147"/>
      <c r="E388" s="147"/>
      <c r="F388" s="147"/>
      <c r="G388" s="147"/>
      <c r="H388" s="147"/>
      <c r="I388" s="190"/>
      <c r="J388" s="147"/>
      <c r="K388" s="147"/>
      <c r="L388" s="147"/>
      <c r="M388" s="147"/>
      <c r="N388" s="147"/>
      <c r="O388" s="147"/>
      <c r="P388" s="147"/>
      <c r="Q388" s="147"/>
      <c r="R388" s="147"/>
      <c r="S388" s="147"/>
      <c r="T388" s="147"/>
      <c r="U388" s="147"/>
      <c r="V388" s="147"/>
      <c r="W388" s="147"/>
      <c r="X388" s="147"/>
      <c r="Y388" s="147"/>
      <c r="Z388" s="147"/>
    </row>
    <row r="389">
      <c r="A389" s="147"/>
      <c r="B389" s="147"/>
      <c r="C389" s="147"/>
      <c r="D389" s="147"/>
      <c r="E389" s="147"/>
      <c r="F389" s="147"/>
      <c r="G389" s="147"/>
      <c r="H389" s="147"/>
      <c r="I389" s="190"/>
      <c r="J389" s="147"/>
      <c r="K389" s="147"/>
      <c r="L389" s="147"/>
      <c r="M389" s="147"/>
      <c r="N389" s="147"/>
      <c r="O389" s="147"/>
      <c r="P389" s="147"/>
      <c r="Q389" s="147"/>
      <c r="R389" s="147"/>
      <c r="S389" s="147"/>
      <c r="T389" s="147"/>
      <c r="U389" s="147"/>
      <c r="V389" s="147"/>
      <c r="W389" s="147"/>
      <c r="X389" s="147"/>
      <c r="Y389" s="147"/>
      <c r="Z389" s="147"/>
    </row>
    <row r="390">
      <c r="A390" s="147"/>
      <c r="B390" s="147"/>
      <c r="C390" s="147"/>
      <c r="D390" s="147"/>
      <c r="E390" s="147"/>
      <c r="F390" s="147"/>
      <c r="G390" s="147"/>
      <c r="H390" s="147"/>
      <c r="I390" s="190"/>
      <c r="J390" s="147"/>
      <c r="K390" s="147"/>
      <c r="L390" s="147"/>
      <c r="M390" s="147"/>
      <c r="N390" s="147"/>
      <c r="O390" s="147"/>
      <c r="P390" s="147"/>
      <c r="Q390" s="147"/>
      <c r="R390" s="147"/>
      <c r="S390" s="147"/>
      <c r="T390" s="147"/>
      <c r="U390" s="147"/>
      <c r="V390" s="147"/>
      <c r="W390" s="147"/>
      <c r="X390" s="147"/>
      <c r="Y390" s="147"/>
      <c r="Z390" s="147"/>
    </row>
    <row r="391">
      <c r="A391" s="147"/>
      <c r="B391" s="147"/>
      <c r="C391" s="147"/>
      <c r="D391" s="147"/>
      <c r="E391" s="147"/>
      <c r="F391" s="147"/>
      <c r="G391" s="147"/>
      <c r="H391" s="147"/>
      <c r="I391" s="190"/>
      <c r="J391" s="147"/>
      <c r="K391" s="147"/>
      <c r="L391" s="147"/>
      <c r="M391" s="147"/>
      <c r="N391" s="147"/>
      <c r="O391" s="147"/>
      <c r="P391" s="147"/>
      <c r="Q391" s="147"/>
      <c r="R391" s="147"/>
      <c r="S391" s="147"/>
      <c r="T391" s="147"/>
      <c r="U391" s="147"/>
      <c r="V391" s="147"/>
      <c r="W391" s="147"/>
      <c r="X391" s="147"/>
      <c r="Y391" s="147"/>
      <c r="Z391" s="147"/>
    </row>
    <row r="392">
      <c r="A392" s="147"/>
      <c r="B392" s="147"/>
      <c r="C392" s="147"/>
      <c r="D392" s="147"/>
      <c r="E392" s="147"/>
      <c r="F392" s="147"/>
      <c r="G392" s="147"/>
      <c r="H392" s="147"/>
      <c r="I392" s="190"/>
      <c r="J392" s="147"/>
      <c r="K392" s="147"/>
      <c r="L392" s="147"/>
      <c r="M392" s="147"/>
      <c r="N392" s="147"/>
      <c r="O392" s="147"/>
      <c r="P392" s="147"/>
      <c r="Q392" s="147"/>
      <c r="R392" s="147"/>
      <c r="S392" s="147"/>
      <c r="T392" s="147"/>
      <c r="U392" s="147"/>
      <c r="V392" s="147"/>
      <c r="W392" s="147"/>
      <c r="X392" s="147"/>
      <c r="Y392" s="147"/>
      <c r="Z392" s="147"/>
    </row>
    <row r="393">
      <c r="A393" s="147"/>
      <c r="B393" s="147"/>
      <c r="C393" s="147"/>
      <c r="D393" s="147"/>
      <c r="E393" s="147"/>
      <c r="F393" s="147"/>
      <c r="G393" s="147"/>
      <c r="H393" s="147"/>
      <c r="I393" s="190"/>
      <c r="J393" s="147"/>
      <c r="K393" s="147"/>
      <c r="L393" s="147"/>
      <c r="M393" s="147"/>
      <c r="N393" s="147"/>
      <c r="O393" s="147"/>
      <c r="P393" s="147"/>
      <c r="Q393" s="147"/>
      <c r="R393" s="147"/>
      <c r="S393" s="147"/>
      <c r="T393" s="147"/>
      <c r="U393" s="147"/>
      <c r="V393" s="147"/>
      <c r="W393" s="147"/>
      <c r="X393" s="147"/>
      <c r="Y393" s="147"/>
      <c r="Z393" s="147"/>
    </row>
    <row r="394">
      <c r="A394" s="147"/>
      <c r="B394" s="147"/>
      <c r="C394" s="147"/>
      <c r="D394" s="147"/>
      <c r="E394" s="147"/>
      <c r="F394" s="147"/>
      <c r="G394" s="147"/>
      <c r="H394" s="147"/>
      <c r="I394" s="190"/>
      <c r="J394" s="147"/>
      <c r="K394" s="147"/>
      <c r="L394" s="147"/>
      <c r="M394" s="147"/>
      <c r="N394" s="147"/>
      <c r="O394" s="147"/>
      <c r="P394" s="147"/>
      <c r="Q394" s="147"/>
      <c r="R394" s="147"/>
      <c r="S394" s="147"/>
      <c r="T394" s="147"/>
      <c r="U394" s="147"/>
      <c r="V394" s="147"/>
      <c r="W394" s="147"/>
      <c r="X394" s="147"/>
      <c r="Y394" s="147"/>
      <c r="Z394" s="147"/>
    </row>
    <row r="395">
      <c r="A395" s="147"/>
      <c r="B395" s="147"/>
      <c r="C395" s="147"/>
      <c r="D395" s="147"/>
      <c r="E395" s="147"/>
      <c r="F395" s="147"/>
      <c r="G395" s="147"/>
      <c r="H395" s="147"/>
      <c r="I395" s="190"/>
      <c r="J395" s="147"/>
      <c r="K395" s="147"/>
      <c r="L395" s="147"/>
      <c r="M395" s="147"/>
      <c r="N395" s="147"/>
      <c r="O395" s="147"/>
      <c r="P395" s="147"/>
      <c r="Q395" s="147"/>
      <c r="R395" s="147"/>
      <c r="S395" s="147"/>
      <c r="T395" s="147"/>
      <c r="U395" s="147"/>
      <c r="V395" s="147"/>
      <c r="W395" s="147"/>
      <c r="X395" s="147"/>
      <c r="Y395" s="147"/>
      <c r="Z395" s="147"/>
    </row>
    <row r="396">
      <c r="A396" s="147"/>
      <c r="B396" s="147"/>
      <c r="C396" s="147"/>
      <c r="D396" s="147"/>
      <c r="E396" s="147"/>
      <c r="F396" s="147"/>
      <c r="G396" s="147"/>
      <c r="H396" s="147"/>
      <c r="I396" s="190"/>
      <c r="J396" s="147"/>
      <c r="K396" s="147"/>
      <c r="L396" s="147"/>
      <c r="M396" s="147"/>
      <c r="N396" s="147"/>
      <c r="O396" s="147"/>
      <c r="P396" s="147"/>
      <c r="Q396" s="147"/>
      <c r="R396" s="147"/>
      <c r="S396" s="147"/>
      <c r="T396" s="147"/>
      <c r="U396" s="147"/>
      <c r="V396" s="147"/>
      <c r="W396" s="147"/>
      <c r="X396" s="147"/>
      <c r="Y396" s="147"/>
      <c r="Z396" s="147"/>
    </row>
    <row r="397">
      <c r="A397" s="147"/>
      <c r="B397" s="147"/>
      <c r="C397" s="147"/>
      <c r="D397" s="147"/>
      <c r="E397" s="147"/>
      <c r="F397" s="147"/>
      <c r="G397" s="147"/>
      <c r="H397" s="147"/>
      <c r="I397" s="190"/>
      <c r="J397" s="147"/>
      <c r="K397" s="147"/>
      <c r="L397" s="147"/>
      <c r="M397" s="147"/>
      <c r="N397" s="147"/>
      <c r="O397" s="147"/>
      <c r="P397" s="147"/>
      <c r="Q397" s="147"/>
      <c r="R397" s="147"/>
      <c r="S397" s="147"/>
      <c r="T397" s="147"/>
      <c r="U397" s="147"/>
      <c r="V397" s="147"/>
      <c r="W397" s="147"/>
      <c r="X397" s="147"/>
      <c r="Y397" s="147"/>
      <c r="Z397" s="147"/>
    </row>
    <row r="398">
      <c r="A398" s="147"/>
      <c r="B398" s="147"/>
      <c r="C398" s="147"/>
      <c r="D398" s="147"/>
      <c r="E398" s="147"/>
      <c r="F398" s="147"/>
      <c r="G398" s="147"/>
      <c r="H398" s="147"/>
      <c r="I398" s="190"/>
      <c r="J398" s="147"/>
      <c r="K398" s="147"/>
      <c r="L398" s="147"/>
      <c r="M398" s="147"/>
      <c r="N398" s="147"/>
      <c r="O398" s="147"/>
      <c r="P398" s="147"/>
      <c r="Q398" s="147"/>
      <c r="R398" s="147"/>
      <c r="S398" s="147"/>
      <c r="T398" s="147"/>
      <c r="U398" s="147"/>
      <c r="V398" s="147"/>
      <c r="W398" s="147"/>
      <c r="X398" s="147"/>
      <c r="Y398" s="147"/>
      <c r="Z398" s="147"/>
    </row>
    <row r="399">
      <c r="A399" s="147"/>
      <c r="B399" s="147"/>
      <c r="C399" s="147"/>
      <c r="D399" s="147"/>
      <c r="E399" s="147"/>
      <c r="F399" s="147"/>
      <c r="G399" s="147"/>
      <c r="H399" s="147"/>
      <c r="I399" s="190"/>
      <c r="J399" s="147"/>
      <c r="K399" s="147"/>
      <c r="L399" s="147"/>
      <c r="M399" s="147"/>
      <c r="N399" s="147"/>
      <c r="O399" s="147"/>
      <c r="P399" s="147"/>
      <c r="Q399" s="147"/>
      <c r="R399" s="147"/>
      <c r="S399" s="147"/>
      <c r="T399" s="147"/>
      <c r="U399" s="147"/>
      <c r="V399" s="147"/>
      <c r="W399" s="147"/>
      <c r="X399" s="147"/>
      <c r="Y399" s="147"/>
      <c r="Z399" s="147"/>
    </row>
    <row r="400">
      <c r="A400" s="147"/>
      <c r="B400" s="147"/>
      <c r="C400" s="147"/>
      <c r="D400" s="147"/>
      <c r="E400" s="147"/>
      <c r="F400" s="147"/>
      <c r="G400" s="147"/>
      <c r="H400" s="147"/>
      <c r="I400" s="190"/>
      <c r="J400" s="147"/>
      <c r="K400" s="147"/>
      <c r="L400" s="147"/>
      <c r="M400" s="147"/>
      <c r="N400" s="147"/>
      <c r="O400" s="147"/>
      <c r="P400" s="147"/>
      <c r="Q400" s="147"/>
      <c r="R400" s="147"/>
      <c r="S400" s="147"/>
      <c r="T400" s="147"/>
      <c r="U400" s="147"/>
      <c r="V400" s="147"/>
      <c r="W400" s="147"/>
      <c r="X400" s="147"/>
      <c r="Y400" s="147"/>
      <c r="Z400" s="147"/>
    </row>
    <row r="401">
      <c r="A401" s="147"/>
      <c r="B401" s="147"/>
      <c r="C401" s="147"/>
      <c r="D401" s="147"/>
      <c r="E401" s="147"/>
      <c r="F401" s="147"/>
      <c r="G401" s="147"/>
      <c r="H401" s="147"/>
      <c r="I401" s="190"/>
      <c r="J401" s="147"/>
      <c r="K401" s="147"/>
      <c r="L401" s="147"/>
      <c r="M401" s="147"/>
      <c r="N401" s="147"/>
      <c r="O401" s="147"/>
      <c r="P401" s="147"/>
      <c r="Q401" s="147"/>
      <c r="R401" s="147"/>
      <c r="S401" s="147"/>
      <c r="T401" s="147"/>
      <c r="U401" s="147"/>
      <c r="V401" s="147"/>
      <c r="W401" s="147"/>
      <c r="X401" s="147"/>
      <c r="Y401" s="147"/>
      <c r="Z401" s="147"/>
    </row>
    <row r="402">
      <c r="A402" s="147"/>
      <c r="B402" s="147"/>
      <c r="C402" s="147"/>
      <c r="D402" s="147"/>
      <c r="E402" s="147"/>
      <c r="F402" s="147"/>
      <c r="G402" s="147"/>
      <c r="H402" s="147"/>
      <c r="I402" s="190"/>
      <c r="J402" s="147"/>
      <c r="K402" s="147"/>
      <c r="L402" s="147"/>
      <c r="M402" s="147"/>
      <c r="N402" s="147"/>
      <c r="O402" s="147"/>
      <c r="P402" s="147"/>
      <c r="Q402" s="147"/>
      <c r="R402" s="147"/>
      <c r="S402" s="147"/>
      <c r="T402" s="147"/>
      <c r="U402" s="147"/>
      <c r="V402" s="147"/>
      <c r="W402" s="147"/>
      <c r="X402" s="147"/>
      <c r="Y402" s="147"/>
      <c r="Z402" s="147"/>
    </row>
    <row r="403">
      <c r="A403" s="147"/>
      <c r="B403" s="147"/>
      <c r="C403" s="147"/>
      <c r="D403" s="147"/>
      <c r="E403" s="147"/>
      <c r="F403" s="147"/>
      <c r="G403" s="147"/>
      <c r="H403" s="147"/>
      <c r="I403" s="190"/>
      <c r="J403" s="147"/>
      <c r="K403" s="147"/>
      <c r="L403" s="147"/>
      <c r="M403" s="147"/>
      <c r="N403" s="147"/>
      <c r="O403" s="147"/>
      <c r="P403" s="147"/>
      <c r="Q403" s="147"/>
      <c r="R403" s="147"/>
      <c r="S403" s="147"/>
      <c r="T403" s="147"/>
      <c r="U403" s="147"/>
      <c r="V403" s="147"/>
      <c r="W403" s="147"/>
      <c r="X403" s="147"/>
      <c r="Y403" s="147"/>
      <c r="Z403" s="147"/>
    </row>
    <row r="404">
      <c r="A404" s="147"/>
      <c r="B404" s="147"/>
      <c r="C404" s="147"/>
      <c r="D404" s="147"/>
      <c r="E404" s="147"/>
      <c r="F404" s="147"/>
      <c r="G404" s="147"/>
      <c r="H404" s="147"/>
      <c r="I404" s="190"/>
      <c r="J404" s="147"/>
      <c r="K404" s="147"/>
      <c r="L404" s="147"/>
      <c r="M404" s="147"/>
      <c r="N404" s="147"/>
      <c r="O404" s="147"/>
      <c r="P404" s="147"/>
      <c r="Q404" s="147"/>
      <c r="R404" s="147"/>
      <c r="S404" s="147"/>
      <c r="T404" s="147"/>
      <c r="U404" s="147"/>
      <c r="V404" s="147"/>
      <c r="W404" s="147"/>
      <c r="X404" s="147"/>
      <c r="Y404" s="147"/>
      <c r="Z404" s="147"/>
    </row>
    <row r="405">
      <c r="A405" s="147"/>
      <c r="B405" s="147"/>
      <c r="C405" s="147"/>
      <c r="D405" s="147"/>
      <c r="E405" s="147"/>
      <c r="F405" s="147"/>
      <c r="G405" s="147"/>
      <c r="H405" s="147"/>
      <c r="I405" s="190"/>
      <c r="J405" s="147"/>
      <c r="K405" s="147"/>
      <c r="L405" s="147"/>
      <c r="M405" s="147"/>
      <c r="N405" s="147"/>
      <c r="O405" s="147"/>
      <c r="P405" s="147"/>
      <c r="Q405" s="147"/>
      <c r="R405" s="147"/>
      <c r="S405" s="147"/>
      <c r="T405" s="147"/>
      <c r="U405" s="147"/>
      <c r="V405" s="147"/>
      <c r="W405" s="147"/>
      <c r="X405" s="147"/>
      <c r="Y405" s="147"/>
      <c r="Z405" s="147"/>
    </row>
    <row r="406">
      <c r="A406" s="147"/>
      <c r="B406" s="147"/>
      <c r="C406" s="147"/>
      <c r="D406" s="147"/>
      <c r="E406" s="147"/>
      <c r="F406" s="147"/>
      <c r="G406" s="147"/>
      <c r="H406" s="147"/>
      <c r="I406" s="190"/>
      <c r="J406" s="147"/>
      <c r="K406" s="147"/>
      <c r="L406" s="147"/>
      <c r="M406" s="147"/>
      <c r="N406" s="147"/>
      <c r="O406" s="147"/>
      <c r="P406" s="147"/>
      <c r="Q406" s="147"/>
      <c r="R406" s="147"/>
      <c r="S406" s="147"/>
      <c r="T406" s="147"/>
      <c r="U406" s="147"/>
      <c r="V406" s="147"/>
      <c r="W406" s="147"/>
      <c r="X406" s="147"/>
      <c r="Y406" s="147"/>
      <c r="Z406" s="147"/>
    </row>
    <row r="407">
      <c r="A407" s="147"/>
      <c r="B407" s="147"/>
      <c r="C407" s="147"/>
      <c r="D407" s="147"/>
      <c r="E407" s="147"/>
      <c r="F407" s="147"/>
      <c r="G407" s="147"/>
      <c r="H407" s="147"/>
      <c r="I407" s="190"/>
      <c r="J407" s="147"/>
      <c r="K407" s="147"/>
      <c r="L407" s="147"/>
      <c r="M407" s="147"/>
      <c r="N407" s="147"/>
      <c r="O407" s="147"/>
      <c r="P407" s="147"/>
      <c r="Q407" s="147"/>
      <c r="R407" s="147"/>
      <c r="S407" s="147"/>
      <c r="T407" s="147"/>
      <c r="U407" s="147"/>
      <c r="V407" s="147"/>
      <c r="W407" s="147"/>
      <c r="X407" s="147"/>
      <c r="Y407" s="147"/>
      <c r="Z407" s="147"/>
    </row>
    <row r="408">
      <c r="A408" s="147"/>
      <c r="B408" s="147"/>
      <c r="C408" s="147"/>
      <c r="D408" s="147"/>
      <c r="E408" s="147"/>
      <c r="F408" s="147"/>
      <c r="G408" s="147"/>
      <c r="H408" s="147"/>
      <c r="I408" s="190"/>
      <c r="J408" s="147"/>
      <c r="K408" s="147"/>
      <c r="L408" s="147"/>
      <c r="M408" s="147"/>
      <c r="N408" s="147"/>
      <c r="O408" s="147"/>
      <c r="P408" s="147"/>
      <c r="Q408" s="147"/>
      <c r="R408" s="147"/>
      <c r="S408" s="147"/>
      <c r="T408" s="147"/>
      <c r="U408" s="147"/>
      <c r="V408" s="147"/>
      <c r="W408" s="147"/>
      <c r="X408" s="147"/>
      <c r="Y408" s="147"/>
      <c r="Z408" s="147"/>
    </row>
    <row r="409">
      <c r="A409" s="147"/>
      <c r="B409" s="147"/>
      <c r="C409" s="147"/>
      <c r="D409" s="147"/>
      <c r="E409" s="147"/>
      <c r="F409" s="147"/>
      <c r="G409" s="147"/>
      <c r="H409" s="147"/>
      <c r="I409" s="190"/>
      <c r="J409" s="147"/>
      <c r="K409" s="147"/>
      <c r="L409" s="147"/>
      <c r="M409" s="147"/>
      <c r="N409" s="147"/>
      <c r="O409" s="147"/>
      <c r="P409" s="147"/>
      <c r="Q409" s="147"/>
      <c r="R409" s="147"/>
      <c r="S409" s="147"/>
      <c r="T409" s="147"/>
      <c r="U409" s="147"/>
      <c r="V409" s="147"/>
      <c r="W409" s="147"/>
      <c r="X409" s="147"/>
      <c r="Y409" s="147"/>
      <c r="Z409" s="147"/>
    </row>
    <row r="410">
      <c r="A410" s="147"/>
      <c r="B410" s="147"/>
      <c r="C410" s="147"/>
      <c r="D410" s="147"/>
      <c r="E410" s="147"/>
      <c r="F410" s="147"/>
      <c r="G410" s="147"/>
      <c r="H410" s="147"/>
      <c r="I410" s="190"/>
      <c r="J410" s="147"/>
      <c r="K410" s="147"/>
      <c r="L410" s="147"/>
      <c r="M410" s="147"/>
      <c r="N410" s="147"/>
      <c r="O410" s="147"/>
      <c r="P410" s="147"/>
      <c r="Q410" s="147"/>
      <c r="R410" s="147"/>
      <c r="S410" s="147"/>
      <c r="T410" s="147"/>
      <c r="U410" s="147"/>
      <c r="V410" s="147"/>
      <c r="W410" s="147"/>
      <c r="X410" s="147"/>
      <c r="Y410" s="147"/>
      <c r="Z410" s="147"/>
    </row>
    <row r="411">
      <c r="A411" s="147"/>
      <c r="B411" s="147"/>
      <c r="C411" s="147"/>
      <c r="D411" s="147"/>
      <c r="E411" s="147"/>
      <c r="F411" s="147"/>
      <c r="G411" s="147"/>
      <c r="H411" s="147"/>
      <c r="I411" s="190"/>
      <c r="J411" s="147"/>
      <c r="K411" s="147"/>
      <c r="L411" s="147"/>
      <c r="M411" s="147"/>
      <c r="N411" s="147"/>
      <c r="O411" s="147"/>
      <c r="P411" s="147"/>
      <c r="Q411" s="147"/>
      <c r="R411" s="147"/>
      <c r="S411" s="147"/>
      <c r="T411" s="147"/>
      <c r="U411" s="147"/>
      <c r="V411" s="147"/>
      <c r="W411" s="147"/>
      <c r="X411" s="147"/>
      <c r="Y411" s="147"/>
      <c r="Z411" s="147"/>
    </row>
    <row r="412">
      <c r="A412" s="147"/>
      <c r="B412" s="147"/>
      <c r="C412" s="147"/>
      <c r="D412" s="147"/>
      <c r="E412" s="147"/>
      <c r="F412" s="147"/>
      <c r="G412" s="147"/>
      <c r="H412" s="147"/>
      <c r="I412" s="190"/>
      <c r="J412" s="147"/>
      <c r="K412" s="147"/>
      <c r="L412" s="147"/>
      <c r="M412" s="147"/>
      <c r="N412" s="147"/>
      <c r="O412" s="147"/>
      <c r="P412" s="147"/>
      <c r="Q412" s="147"/>
      <c r="R412" s="147"/>
      <c r="S412" s="147"/>
      <c r="T412" s="147"/>
      <c r="U412" s="147"/>
      <c r="V412" s="147"/>
      <c r="W412" s="147"/>
      <c r="X412" s="147"/>
      <c r="Y412" s="147"/>
      <c r="Z412" s="147"/>
    </row>
    <row r="413">
      <c r="A413" s="147"/>
      <c r="B413" s="147"/>
      <c r="C413" s="147"/>
      <c r="D413" s="147"/>
      <c r="E413" s="147"/>
      <c r="F413" s="147"/>
      <c r="G413" s="147"/>
      <c r="H413" s="147"/>
      <c r="I413" s="190"/>
      <c r="J413" s="147"/>
      <c r="K413" s="147"/>
      <c r="L413" s="147"/>
      <c r="M413" s="147"/>
      <c r="N413" s="147"/>
      <c r="O413" s="147"/>
      <c r="P413" s="147"/>
      <c r="Q413" s="147"/>
      <c r="R413" s="147"/>
      <c r="S413" s="147"/>
      <c r="T413" s="147"/>
      <c r="U413" s="147"/>
      <c r="V413" s="147"/>
      <c r="W413" s="147"/>
      <c r="X413" s="147"/>
      <c r="Y413" s="147"/>
      <c r="Z413" s="147"/>
    </row>
    <row r="414">
      <c r="A414" s="147"/>
      <c r="B414" s="147"/>
      <c r="C414" s="147"/>
      <c r="D414" s="147"/>
      <c r="E414" s="147"/>
      <c r="F414" s="147"/>
      <c r="G414" s="147"/>
      <c r="H414" s="147"/>
      <c r="I414" s="190"/>
      <c r="J414" s="147"/>
      <c r="K414" s="147"/>
      <c r="L414" s="147"/>
      <c r="M414" s="147"/>
      <c r="N414" s="147"/>
      <c r="O414" s="147"/>
      <c r="P414" s="147"/>
      <c r="Q414" s="147"/>
      <c r="R414" s="147"/>
      <c r="S414" s="147"/>
      <c r="T414" s="147"/>
      <c r="U414" s="147"/>
      <c r="V414" s="147"/>
      <c r="W414" s="147"/>
      <c r="X414" s="147"/>
      <c r="Y414" s="147"/>
      <c r="Z414" s="147"/>
    </row>
    <row r="415">
      <c r="A415" s="147"/>
      <c r="B415" s="147"/>
      <c r="C415" s="147"/>
      <c r="D415" s="147"/>
      <c r="E415" s="147"/>
      <c r="F415" s="147"/>
      <c r="G415" s="147"/>
      <c r="H415" s="147"/>
      <c r="I415" s="190"/>
      <c r="J415" s="147"/>
      <c r="K415" s="147"/>
      <c r="L415" s="147"/>
      <c r="M415" s="147"/>
      <c r="N415" s="147"/>
      <c r="O415" s="147"/>
      <c r="P415" s="147"/>
      <c r="Q415" s="147"/>
      <c r="R415" s="147"/>
      <c r="S415" s="147"/>
      <c r="T415" s="147"/>
      <c r="U415" s="147"/>
      <c r="V415" s="147"/>
      <c r="W415" s="147"/>
      <c r="X415" s="147"/>
      <c r="Y415" s="147"/>
      <c r="Z415" s="147"/>
    </row>
    <row r="416">
      <c r="A416" s="147"/>
      <c r="B416" s="147"/>
      <c r="C416" s="147"/>
      <c r="D416" s="147"/>
      <c r="E416" s="147"/>
      <c r="F416" s="147"/>
      <c r="G416" s="147"/>
      <c r="H416" s="147"/>
      <c r="I416" s="190"/>
      <c r="J416" s="147"/>
      <c r="K416" s="147"/>
      <c r="L416" s="147"/>
      <c r="M416" s="147"/>
      <c r="N416" s="147"/>
      <c r="O416" s="147"/>
      <c r="P416" s="147"/>
      <c r="Q416" s="147"/>
      <c r="R416" s="147"/>
      <c r="S416" s="147"/>
      <c r="T416" s="147"/>
      <c r="U416" s="147"/>
      <c r="V416" s="147"/>
      <c r="W416" s="147"/>
      <c r="X416" s="147"/>
      <c r="Y416" s="147"/>
      <c r="Z416" s="147"/>
    </row>
    <row r="417">
      <c r="A417" s="147"/>
      <c r="B417" s="147"/>
      <c r="C417" s="147"/>
      <c r="D417" s="147"/>
      <c r="E417" s="147"/>
      <c r="F417" s="147"/>
      <c r="G417" s="147"/>
      <c r="H417" s="147"/>
      <c r="I417" s="190"/>
      <c r="J417" s="147"/>
      <c r="K417" s="147"/>
      <c r="L417" s="147"/>
      <c r="M417" s="147"/>
      <c r="N417" s="147"/>
      <c r="O417" s="147"/>
      <c r="P417" s="147"/>
      <c r="Q417" s="147"/>
      <c r="R417" s="147"/>
      <c r="S417" s="147"/>
      <c r="T417" s="147"/>
      <c r="U417" s="147"/>
      <c r="V417" s="147"/>
      <c r="W417" s="147"/>
      <c r="X417" s="147"/>
      <c r="Y417" s="147"/>
      <c r="Z417" s="147"/>
    </row>
    <row r="418">
      <c r="A418" s="147"/>
      <c r="B418" s="147"/>
      <c r="C418" s="147"/>
      <c r="D418" s="147"/>
      <c r="E418" s="147"/>
      <c r="F418" s="147"/>
      <c r="G418" s="147"/>
      <c r="H418" s="147"/>
      <c r="I418" s="190"/>
      <c r="J418" s="147"/>
      <c r="K418" s="147"/>
      <c r="L418" s="147"/>
      <c r="M418" s="147"/>
      <c r="N418" s="147"/>
      <c r="O418" s="147"/>
      <c r="P418" s="147"/>
      <c r="Q418" s="147"/>
      <c r="R418" s="147"/>
      <c r="S418" s="147"/>
      <c r="T418" s="147"/>
      <c r="U418" s="147"/>
      <c r="V418" s="147"/>
      <c r="W418" s="147"/>
      <c r="X418" s="147"/>
      <c r="Y418" s="147"/>
      <c r="Z418" s="147"/>
    </row>
    <row r="419">
      <c r="A419" s="147"/>
      <c r="B419" s="147"/>
      <c r="C419" s="147"/>
      <c r="D419" s="147"/>
      <c r="E419" s="147"/>
      <c r="F419" s="147"/>
      <c r="G419" s="147"/>
      <c r="H419" s="147"/>
      <c r="I419" s="190"/>
      <c r="J419" s="147"/>
      <c r="K419" s="147"/>
      <c r="L419" s="147"/>
      <c r="M419" s="147"/>
      <c r="N419" s="147"/>
      <c r="O419" s="147"/>
      <c r="P419" s="147"/>
      <c r="Q419" s="147"/>
      <c r="R419" s="147"/>
      <c r="S419" s="147"/>
      <c r="T419" s="147"/>
      <c r="U419" s="147"/>
      <c r="V419" s="147"/>
      <c r="W419" s="147"/>
      <c r="X419" s="147"/>
      <c r="Y419" s="147"/>
      <c r="Z419" s="147"/>
    </row>
    <row r="420">
      <c r="A420" s="147"/>
      <c r="B420" s="147"/>
      <c r="C420" s="147"/>
      <c r="D420" s="147"/>
      <c r="E420" s="147"/>
      <c r="F420" s="147"/>
      <c r="G420" s="147"/>
      <c r="H420" s="147"/>
      <c r="I420" s="190"/>
      <c r="J420" s="147"/>
      <c r="K420" s="147"/>
      <c r="L420" s="147"/>
      <c r="M420" s="147"/>
      <c r="N420" s="147"/>
      <c r="O420" s="147"/>
      <c r="P420" s="147"/>
      <c r="Q420" s="147"/>
      <c r="R420" s="147"/>
      <c r="S420" s="147"/>
      <c r="T420" s="147"/>
      <c r="U420" s="147"/>
      <c r="V420" s="147"/>
      <c r="W420" s="147"/>
      <c r="X420" s="147"/>
      <c r="Y420" s="147"/>
      <c r="Z420" s="147"/>
    </row>
    <row r="421">
      <c r="A421" s="147"/>
      <c r="B421" s="147"/>
      <c r="C421" s="147"/>
      <c r="D421" s="147"/>
      <c r="E421" s="147"/>
      <c r="F421" s="147"/>
      <c r="G421" s="147"/>
      <c r="H421" s="147"/>
      <c r="I421" s="190"/>
      <c r="J421" s="147"/>
      <c r="K421" s="147"/>
      <c r="L421" s="147"/>
      <c r="M421" s="147"/>
      <c r="N421" s="147"/>
      <c r="O421" s="147"/>
      <c r="P421" s="147"/>
      <c r="Q421" s="147"/>
      <c r="R421" s="147"/>
      <c r="S421" s="147"/>
      <c r="T421" s="147"/>
      <c r="U421" s="147"/>
      <c r="V421" s="147"/>
      <c r="W421" s="147"/>
      <c r="X421" s="147"/>
      <c r="Y421" s="147"/>
      <c r="Z421" s="147"/>
    </row>
    <row r="422">
      <c r="A422" s="147"/>
      <c r="B422" s="147"/>
      <c r="C422" s="147"/>
      <c r="D422" s="147"/>
      <c r="E422" s="147"/>
      <c r="F422" s="147"/>
      <c r="G422" s="147"/>
      <c r="H422" s="147"/>
      <c r="I422" s="190"/>
      <c r="J422" s="147"/>
      <c r="K422" s="147"/>
      <c r="L422" s="147"/>
      <c r="M422" s="147"/>
      <c r="N422" s="147"/>
      <c r="O422" s="147"/>
      <c r="P422" s="147"/>
      <c r="Q422" s="147"/>
      <c r="R422" s="147"/>
      <c r="S422" s="147"/>
      <c r="T422" s="147"/>
      <c r="U422" s="147"/>
      <c r="V422" s="147"/>
      <c r="W422" s="147"/>
      <c r="X422" s="147"/>
      <c r="Y422" s="147"/>
      <c r="Z422" s="147"/>
    </row>
    <row r="423">
      <c r="A423" s="147"/>
      <c r="B423" s="147"/>
      <c r="C423" s="147"/>
      <c r="D423" s="147"/>
      <c r="E423" s="147"/>
      <c r="F423" s="147"/>
      <c r="G423" s="147"/>
      <c r="H423" s="147"/>
      <c r="I423" s="190"/>
      <c r="J423" s="147"/>
      <c r="K423" s="147"/>
      <c r="L423" s="147"/>
      <c r="M423" s="147"/>
      <c r="N423" s="147"/>
      <c r="O423" s="147"/>
      <c r="P423" s="147"/>
      <c r="Q423" s="147"/>
      <c r="R423" s="147"/>
      <c r="S423" s="147"/>
      <c r="T423" s="147"/>
      <c r="U423" s="147"/>
      <c r="V423" s="147"/>
      <c r="W423" s="147"/>
      <c r="X423" s="147"/>
      <c r="Y423" s="147"/>
      <c r="Z423" s="147"/>
    </row>
    <row r="424">
      <c r="A424" s="147"/>
      <c r="B424" s="147"/>
      <c r="C424" s="147"/>
      <c r="D424" s="147"/>
      <c r="E424" s="147"/>
      <c r="F424" s="147"/>
      <c r="G424" s="147"/>
      <c r="H424" s="147"/>
      <c r="I424" s="190"/>
      <c r="J424" s="147"/>
      <c r="K424" s="147"/>
      <c r="L424" s="147"/>
      <c r="M424" s="147"/>
      <c r="N424" s="147"/>
      <c r="O424" s="147"/>
      <c r="P424" s="147"/>
      <c r="Q424" s="147"/>
      <c r="R424" s="147"/>
      <c r="S424" s="147"/>
      <c r="T424" s="147"/>
      <c r="U424" s="147"/>
      <c r="V424" s="147"/>
      <c r="W424" s="147"/>
      <c r="X424" s="147"/>
      <c r="Y424" s="147"/>
      <c r="Z424" s="147"/>
    </row>
    <row r="425">
      <c r="A425" s="147"/>
      <c r="B425" s="147"/>
      <c r="C425" s="147"/>
      <c r="D425" s="147"/>
      <c r="E425" s="147"/>
      <c r="F425" s="147"/>
      <c r="G425" s="147"/>
      <c r="H425" s="147"/>
      <c r="I425" s="190"/>
      <c r="J425" s="147"/>
      <c r="K425" s="147"/>
      <c r="L425" s="147"/>
      <c r="M425" s="147"/>
      <c r="N425" s="147"/>
      <c r="O425" s="147"/>
      <c r="P425" s="147"/>
      <c r="Q425" s="147"/>
      <c r="R425" s="147"/>
      <c r="S425" s="147"/>
      <c r="T425" s="147"/>
      <c r="U425" s="147"/>
      <c r="V425" s="147"/>
      <c r="W425" s="147"/>
      <c r="X425" s="147"/>
      <c r="Y425" s="147"/>
      <c r="Z425" s="147"/>
    </row>
    <row r="426">
      <c r="A426" s="147"/>
      <c r="B426" s="147"/>
      <c r="C426" s="147"/>
      <c r="D426" s="147"/>
      <c r="E426" s="147"/>
      <c r="F426" s="147"/>
      <c r="G426" s="147"/>
      <c r="H426" s="147"/>
      <c r="I426" s="190"/>
      <c r="J426" s="147"/>
      <c r="K426" s="147"/>
      <c r="L426" s="147"/>
      <c r="M426" s="147"/>
      <c r="N426" s="147"/>
      <c r="O426" s="147"/>
      <c r="P426" s="147"/>
      <c r="Q426" s="147"/>
      <c r="R426" s="147"/>
      <c r="S426" s="147"/>
      <c r="T426" s="147"/>
      <c r="U426" s="147"/>
      <c r="V426" s="147"/>
      <c r="W426" s="147"/>
      <c r="X426" s="147"/>
      <c r="Y426" s="147"/>
      <c r="Z426" s="147"/>
    </row>
    <row r="427">
      <c r="A427" s="147"/>
      <c r="B427" s="147"/>
      <c r="C427" s="147"/>
      <c r="D427" s="147"/>
      <c r="E427" s="147"/>
      <c r="F427" s="147"/>
      <c r="G427" s="147"/>
      <c r="H427" s="147"/>
      <c r="I427" s="190"/>
      <c r="J427" s="147"/>
      <c r="K427" s="147"/>
      <c r="L427" s="147"/>
      <c r="M427" s="147"/>
      <c r="N427" s="147"/>
      <c r="O427" s="147"/>
      <c r="P427" s="147"/>
      <c r="Q427" s="147"/>
      <c r="R427" s="147"/>
      <c r="S427" s="147"/>
      <c r="T427" s="147"/>
      <c r="U427" s="147"/>
      <c r="V427" s="147"/>
      <c r="W427" s="147"/>
      <c r="X427" s="147"/>
      <c r="Y427" s="147"/>
      <c r="Z427" s="147"/>
    </row>
    <row r="428">
      <c r="A428" s="147"/>
      <c r="B428" s="147"/>
      <c r="C428" s="147"/>
      <c r="D428" s="147"/>
      <c r="E428" s="147"/>
      <c r="F428" s="147"/>
      <c r="G428" s="147"/>
      <c r="H428" s="147"/>
      <c r="I428" s="190"/>
      <c r="J428" s="147"/>
      <c r="K428" s="147"/>
      <c r="L428" s="147"/>
      <c r="M428" s="147"/>
      <c r="N428" s="147"/>
      <c r="O428" s="147"/>
      <c r="P428" s="147"/>
      <c r="Q428" s="147"/>
      <c r="R428" s="147"/>
      <c r="S428" s="147"/>
      <c r="T428" s="147"/>
      <c r="U428" s="147"/>
      <c r="V428" s="147"/>
      <c r="W428" s="147"/>
      <c r="X428" s="147"/>
      <c r="Y428" s="147"/>
      <c r="Z428" s="147"/>
    </row>
    <row r="429">
      <c r="A429" s="147"/>
      <c r="B429" s="147"/>
      <c r="C429" s="147"/>
      <c r="D429" s="147"/>
      <c r="E429" s="147"/>
      <c r="F429" s="147"/>
      <c r="G429" s="147"/>
      <c r="H429" s="147"/>
      <c r="I429" s="190"/>
      <c r="J429" s="147"/>
      <c r="K429" s="147"/>
      <c r="L429" s="147"/>
      <c r="M429" s="147"/>
      <c r="N429" s="147"/>
      <c r="O429" s="147"/>
      <c r="P429" s="147"/>
      <c r="Q429" s="147"/>
      <c r="R429" s="147"/>
      <c r="S429" s="147"/>
      <c r="T429" s="147"/>
      <c r="U429" s="147"/>
      <c r="V429" s="147"/>
      <c r="W429" s="147"/>
      <c r="X429" s="147"/>
      <c r="Y429" s="147"/>
      <c r="Z429" s="147"/>
    </row>
    <row r="430">
      <c r="A430" s="147"/>
      <c r="B430" s="147"/>
      <c r="C430" s="147"/>
      <c r="D430" s="147"/>
      <c r="E430" s="147"/>
      <c r="F430" s="147"/>
      <c r="G430" s="147"/>
      <c r="H430" s="147"/>
      <c r="I430" s="190"/>
      <c r="J430" s="147"/>
      <c r="K430" s="147"/>
      <c r="L430" s="147"/>
      <c r="M430" s="147"/>
      <c r="N430" s="147"/>
      <c r="O430" s="147"/>
      <c r="P430" s="147"/>
      <c r="Q430" s="147"/>
      <c r="R430" s="147"/>
      <c r="S430" s="147"/>
      <c r="T430" s="147"/>
      <c r="U430" s="147"/>
      <c r="V430" s="147"/>
      <c r="W430" s="147"/>
      <c r="X430" s="147"/>
      <c r="Y430" s="147"/>
      <c r="Z430" s="147"/>
    </row>
    <row r="431">
      <c r="A431" s="147"/>
      <c r="B431" s="147"/>
      <c r="C431" s="147"/>
      <c r="D431" s="147"/>
      <c r="E431" s="147"/>
      <c r="F431" s="147"/>
      <c r="G431" s="147"/>
      <c r="H431" s="147"/>
      <c r="I431" s="190"/>
      <c r="J431" s="147"/>
      <c r="K431" s="147"/>
      <c r="L431" s="147"/>
      <c r="M431" s="147"/>
      <c r="N431" s="147"/>
      <c r="O431" s="147"/>
      <c r="P431" s="147"/>
      <c r="Q431" s="147"/>
      <c r="R431" s="147"/>
      <c r="S431" s="147"/>
      <c r="T431" s="147"/>
      <c r="U431" s="147"/>
      <c r="V431" s="147"/>
      <c r="W431" s="147"/>
      <c r="X431" s="147"/>
      <c r="Y431" s="147"/>
      <c r="Z431" s="147"/>
    </row>
    <row r="432">
      <c r="A432" s="147"/>
      <c r="B432" s="147"/>
      <c r="C432" s="147"/>
      <c r="D432" s="147"/>
      <c r="E432" s="147"/>
      <c r="F432" s="147"/>
      <c r="G432" s="147"/>
      <c r="H432" s="147"/>
      <c r="I432" s="190"/>
      <c r="J432" s="147"/>
      <c r="K432" s="147"/>
      <c r="L432" s="147"/>
      <c r="M432" s="147"/>
      <c r="N432" s="147"/>
      <c r="O432" s="147"/>
      <c r="P432" s="147"/>
      <c r="Q432" s="147"/>
      <c r="R432" s="147"/>
      <c r="S432" s="147"/>
      <c r="T432" s="147"/>
      <c r="U432" s="147"/>
      <c r="V432" s="147"/>
      <c r="W432" s="147"/>
      <c r="X432" s="147"/>
      <c r="Y432" s="147"/>
      <c r="Z432" s="147"/>
    </row>
    <row r="433">
      <c r="A433" s="147"/>
      <c r="B433" s="147"/>
      <c r="C433" s="147"/>
      <c r="D433" s="147"/>
      <c r="E433" s="147"/>
      <c r="F433" s="147"/>
      <c r="G433" s="147"/>
      <c r="H433" s="147"/>
      <c r="I433" s="190"/>
      <c r="J433" s="147"/>
      <c r="K433" s="147"/>
      <c r="L433" s="147"/>
      <c r="M433" s="147"/>
      <c r="N433" s="147"/>
      <c r="O433" s="147"/>
      <c r="P433" s="147"/>
      <c r="Q433" s="147"/>
      <c r="R433" s="147"/>
      <c r="S433" s="147"/>
      <c r="T433" s="147"/>
      <c r="U433" s="147"/>
      <c r="V433" s="147"/>
      <c r="W433" s="147"/>
      <c r="X433" s="147"/>
      <c r="Y433" s="147"/>
      <c r="Z433" s="147"/>
    </row>
    <row r="434">
      <c r="A434" s="147"/>
      <c r="B434" s="147"/>
      <c r="C434" s="147"/>
      <c r="D434" s="147"/>
      <c r="E434" s="147"/>
      <c r="F434" s="147"/>
      <c r="G434" s="147"/>
      <c r="H434" s="147"/>
      <c r="I434" s="190"/>
      <c r="J434" s="147"/>
      <c r="K434" s="147"/>
      <c r="L434" s="147"/>
      <c r="M434" s="147"/>
      <c r="N434" s="147"/>
      <c r="O434" s="147"/>
      <c r="P434" s="147"/>
      <c r="Q434" s="147"/>
      <c r="R434" s="147"/>
      <c r="S434" s="147"/>
      <c r="T434" s="147"/>
      <c r="U434" s="147"/>
      <c r="V434" s="147"/>
      <c r="W434" s="147"/>
      <c r="X434" s="147"/>
      <c r="Y434" s="147"/>
      <c r="Z434" s="147"/>
    </row>
    <row r="435">
      <c r="A435" s="147"/>
      <c r="B435" s="147"/>
      <c r="C435" s="147"/>
      <c r="D435" s="147"/>
      <c r="E435" s="147"/>
      <c r="F435" s="147"/>
      <c r="G435" s="147"/>
      <c r="H435" s="147"/>
      <c r="I435" s="190"/>
      <c r="J435" s="147"/>
      <c r="K435" s="147"/>
      <c r="L435" s="147"/>
      <c r="M435" s="147"/>
      <c r="N435" s="147"/>
      <c r="O435" s="147"/>
      <c r="P435" s="147"/>
      <c r="Q435" s="147"/>
      <c r="R435" s="147"/>
      <c r="S435" s="147"/>
      <c r="T435" s="147"/>
      <c r="U435" s="147"/>
      <c r="V435" s="147"/>
      <c r="W435" s="147"/>
      <c r="X435" s="147"/>
      <c r="Y435" s="147"/>
      <c r="Z435" s="147"/>
    </row>
    <row r="436">
      <c r="A436" s="147"/>
      <c r="B436" s="147"/>
      <c r="C436" s="147"/>
      <c r="D436" s="147"/>
      <c r="E436" s="147"/>
      <c r="F436" s="147"/>
      <c r="G436" s="147"/>
      <c r="H436" s="147"/>
      <c r="I436" s="190"/>
      <c r="J436" s="147"/>
      <c r="K436" s="147"/>
      <c r="L436" s="147"/>
      <c r="M436" s="147"/>
      <c r="N436" s="147"/>
      <c r="O436" s="147"/>
      <c r="P436" s="147"/>
      <c r="Q436" s="147"/>
      <c r="R436" s="147"/>
      <c r="S436" s="147"/>
      <c r="T436" s="147"/>
      <c r="U436" s="147"/>
      <c r="V436" s="147"/>
      <c r="W436" s="147"/>
      <c r="X436" s="147"/>
      <c r="Y436" s="147"/>
      <c r="Z436" s="147"/>
    </row>
    <row r="437">
      <c r="A437" s="147"/>
      <c r="B437" s="147"/>
      <c r="C437" s="147"/>
      <c r="D437" s="147"/>
      <c r="E437" s="147"/>
      <c r="F437" s="147"/>
      <c r="G437" s="147"/>
      <c r="H437" s="147"/>
      <c r="I437" s="190"/>
      <c r="J437" s="147"/>
      <c r="K437" s="147"/>
      <c r="L437" s="147"/>
      <c r="M437" s="147"/>
      <c r="N437" s="147"/>
      <c r="O437" s="147"/>
      <c r="P437" s="147"/>
      <c r="Q437" s="147"/>
      <c r="R437" s="147"/>
      <c r="S437" s="147"/>
      <c r="T437" s="147"/>
      <c r="U437" s="147"/>
      <c r="V437" s="147"/>
      <c r="W437" s="147"/>
      <c r="X437" s="147"/>
      <c r="Y437" s="147"/>
      <c r="Z437" s="147"/>
    </row>
    <row r="438">
      <c r="A438" s="147"/>
      <c r="B438" s="147"/>
      <c r="C438" s="147"/>
      <c r="D438" s="147"/>
      <c r="E438" s="147"/>
      <c r="F438" s="147"/>
      <c r="G438" s="147"/>
      <c r="H438" s="147"/>
      <c r="I438" s="190"/>
      <c r="J438" s="147"/>
      <c r="K438" s="147"/>
      <c r="L438" s="147"/>
      <c r="M438" s="147"/>
      <c r="N438" s="147"/>
      <c r="O438" s="147"/>
      <c r="P438" s="147"/>
      <c r="Q438" s="147"/>
      <c r="R438" s="147"/>
      <c r="S438" s="147"/>
      <c r="T438" s="147"/>
      <c r="U438" s="147"/>
      <c r="V438" s="147"/>
      <c r="W438" s="147"/>
      <c r="X438" s="147"/>
      <c r="Y438" s="147"/>
      <c r="Z438" s="147"/>
    </row>
    <row r="439">
      <c r="A439" s="147"/>
      <c r="B439" s="147"/>
      <c r="C439" s="147"/>
      <c r="D439" s="147"/>
      <c r="E439" s="147"/>
      <c r="F439" s="147"/>
      <c r="G439" s="147"/>
      <c r="H439" s="147"/>
      <c r="I439" s="190"/>
      <c r="J439" s="147"/>
      <c r="K439" s="147"/>
      <c r="L439" s="147"/>
      <c r="M439" s="147"/>
      <c r="N439" s="147"/>
      <c r="O439" s="147"/>
      <c r="P439" s="147"/>
      <c r="Q439" s="147"/>
      <c r="R439" s="147"/>
      <c r="S439" s="147"/>
      <c r="T439" s="147"/>
      <c r="U439" s="147"/>
      <c r="V439" s="147"/>
      <c r="W439" s="147"/>
      <c r="X439" s="147"/>
      <c r="Y439" s="147"/>
      <c r="Z439" s="147"/>
    </row>
    <row r="440">
      <c r="A440" s="147"/>
      <c r="B440" s="147"/>
      <c r="C440" s="147"/>
      <c r="D440" s="147"/>
      <c r="E440" s="147"/>
      <c r="F440" s="147"/>
      <c r="G440" s="147"/>
      <c r="H440" s="147"/>
      <c r="I440" s="190"/>
      <c r="J440" s="147"/>
      <c r="K440" s="147"/>
      <c r="L440" s="147"/>
      <c r="M440" s="147"/>
      <c r="N440" s="147"/>
      <c r="O440" s="147"/>
      <c r="P440" s="147"/>
      <c r="Q440" s="147"/>
      <c r="R440" s="147"/>
      <c r="S440" s="147"/>
      <c r="T440" s="147"/>
      <c r="U440" s="147"/>
      <c r="V440" s="147"/>
      <c r="W440" s="147"/>
      <c r="X440" s="147"/>
      <c r="Y440" s="147"/>
      <c r="Z440" s="147"/>
    </row>
    <row r="441">
      <c r="A441" s="147"/>
      <c r="B441" s="147"/>
      <c r="C441" s="147"/>
      <c r="D441" s="147"/>
      <c r="E441" s="147"/>
      <c r="F441" s="147"/>
      <c r="G441" s="147"/>
      <c r="H441" s="147"/>
      <c r="I441" s="190"/>
      <c r="J441" s="147"/>
      <c r="K441" s="147"/>
      <c r="L441" s="147"/>
      <c r="M441" s="147"/>
      <c r="N441" s="147"/>
      <c r="O441" s="147"/>
      <c r="P441" s="147"/>
      <c r="Q441" s="147"/>
      <c r="R441" s="147"/>
      <c r="S441" s="147"/>
      <c r="T441" s="147"/>
      <c r="U441" s="147"/>
      <c r="V441" s="147"/>
      <c r="W441" s="147"/>
      <c r="X441" s="147"/>
      <c r="Y441" s="147"/>
      <c r="Z441" s="147"/>
    </row>
    <row r="442">
      <c r="A442" s="147"/>
      <c r="B442" s="147"/>
      <c r="C442" s="147"/>
      <c r="D442" s="147"/>
      <c r="E442" s="147"/>
      <c r="F442" s="147"/>
      <c r="G442" s="147"/>
      <c r="H442" s="147"/>
      <c r="I442" s="190"/>
      <c r="J442" s="147"/>
      <c r="K442" s="147"/>
      <c r="L442" s="147"/>
      <c r="M442" s="147"/>
      <c r="N442" s="147"/>
      <c r="O442" s="147"/>
      <c r="P442" s="147"/>
      <c r="Q442" s="147"/>
      <c r="R442" s="147"/>
      <c r="S442" s="147"/>
      <c r="T442" s="147"/>
      <c r="U442" s="147"/>
      <c r="V442" s="147"/>
      <c r="W442" s="147"/>
      <c r="X442" s="147"/>
      <c r="Y442" s="147"/>
      <c r="Z442" s="147"/>
    </row>
    <row r="443">
      <c r="A443" s="147"/>
      <c r="B443" s="147"/>
      <c r="C443" s="147"/>
      <c r="D443" s="147"/>
      <c r="E443" s="147"/>
      <c r="F443" s="147"/>
      <c r="G443" s="147"/>
      <c r="H443" s="147"/>
      <c r="I443" s="190"/>
      <c r="J443" s="147"/>
      <c r="K443" s="147"/>
      <c r="L443" s="147"/>
      <c r="M443" s="147"/>
      <c r="N443" s="147"/>
      <c r="O443" s="147"/>
      <c r="P443" s="147"/>
      <c r="Q443" s="147"/>
      <c r="R443" s="147"/>
      <c r="S443" s="147"/>
      <c r="T443" s="147"/>
      <c r="U443" s="147"/>
      <c r="V443" s="147"/>
      <c r="W443" s="147"/>
      <c r="X443" s="147"/>
      <c r="Y443" s="147"/>
      <c r="Z443" s="147"/>
    </row>
    <row r="444">
      <c r="A444" s="147"/>
      <c r="B444" s="147"/>
      <c r="C444" s="147"/>
      <c r="D444" s="147"/>
      <c r="E444" s="147"/>
      <c r="F444" s="147"/>
      <c r="G444" s="147"/>
      <c r="H444" s="147"/>
      <c r="I444" s="190"/>
      <c r="J444" s="147"/>
      <c r="K444" s="147"/>
      <c r="L444" s="147"/>
      <c r="M444" s="147"/>
      <c r="N444" s="147"/>
      <c r="O444" s="147"/>
      <c r="P444" s="147"/>
      <c r="Q444" s="147"/>
      <c r="R444" s="147"/>
      <c r="S444" s="147"/>
      <c r="T444" s="147"/>
      <c r="U444" s="147"/>
      <c r="V444" s="147"/>
      <c r="W444" s="147"/>
      <c r="X444" s="147"/>
      <c r="Y444" s="147"/>
      <c r="Z444" s="147"/>
    </row>
    <row r="445">
      <c r="A445" s="147"/>
      <c r="B445" s="147"/>
      <c r="C445" s="147"/>
      <c r="D445" s="147"/>
      <c r="E445" s="147"/>
      <c r="F445" s="147"/>
      <c r="G445" s="147"/>
      <c r="H445" s="147"/>
      <c r="I445" s="190"/>
      <c r="J445" s="147"/>
      <c r="K445" s="147"/>
      <c r="L445" s="147"/>
      <c r="M445" s="147"/>
      <c r="N445" s="147"/>
      <c r="O445" s="147"/>
      <c r="P445" s="147"/>
      <c r="Q445" s="147"/>
      <c r="R445" s="147"/>
      <c r="S445" s="147"/>
      <c r="T445" s="147"/>
      <c r="U445" s="147"/>
      <c r="V445" s="147"/>
      <c r="W445" s="147"/>
      <c r="X445" s="147"/>
      <c r="Y445" s="147"/>
      <c r="Z445" s="147"/>
    </row>
    <row r="446">
      <c r="A446" s="147"/>
      <c r="B446" s="147"/>
      <c r="C446" s="147"/>
      <c r="D446" s="147"/>
      <c r="E446" s="147"/>
      <c r="F446" s="147"/>
      <c r="G446" s="147"/>
      <c r="H446" s="147"/>
      <c r="I446" s="190"/>
      <c r="J446" s="147"/>
      <c r="K446" s="147"/>
      <c r="L446" s="147"/>
      <c r="M446" s="147"/>
      <c r="N446" s="147"/>
      <c r="O446" s="147"/>
      <c r="P446" s="147"/>
      <c r="Q446" s="147"/>
      <c r="R446" s="147"/>
      <c r="S446" s="147"/>
      <c r="T446" s="147"/>
      <c r="U446" s="147"/>
      <c r="V446" s="147"/>
      <c r="W446" s="147"/>
      <c r="X446" s="147"/>
      <c r="Y446" s="147"/>
      <c r="Z446" s="147"/>
    </row>
    <row r="447">
      <c r="A447" s="147"/>
      <c r="B447" s="147"/>
      <c r="C447" s="147"/>
      <c r="D447" s="147"/>
      <c r="E447" s="147"/>
      <c r="F447" s="147"/>
      <c r="G447" s="147"/>
      <c r="H447" s="147"/>
      <c r="I447" s="190"/>
      <c r="J447" s="147"/>
      <c r="K447" s="147"/>
      <c r="L447" s="147"/>
      <c r="M447" s="147"/>
      <c r="N447" s="147"/>
      <c r="O447" s="147"/>
      <c r="P447" s="147"/>
      <c r="Q447" s="147"/>
      <c r="R447" s="147"/>
      <c r="S447" s="147"/>
      <c r="T447" s="147"/>
      <c r="U447" s="147"/>
      <c r="V447" s="147"/>
      <c r="W447" s="147"/>
      <c r="X447" s="147"/>
      <c r="Y447" s="147"/>
      <c r="Z447" s="147"/>
    </row>
    <row r="448">
      <c r="A448" s="147"/>
      <c r="B448" s="147"/>
      <c r="C448" s="147"/>
      <c r="D448" s="147"/>
      <c r="E448" s="147"/>
      <c r="F448" s="147"/>
      <c r="G448" s="147"/>
      <c r="H448" s="147"/>
      <c r="I448" s="190"/>
      <c r="J448" s="147"/>
      <c r="K448" s="147"/>
      <c r="L448" s="147"/>
      <c r="M448" s="147"/>
      <c r="N448" s="147"/>
      <c r="O448" s="147"/>
      <c r="P448" s="147"/>
      <c r="Q448" s="147"/>
      <c r="R448" s="147"/>
      <c r="S448" s="147"/>
      <c r="T448" s="147"/>
      <c r="U448" s="147"/>
      <c r="V448" s="147"/>
      <c r="W448" s="147"/>
      <c r="X448" s="147"/>
      <c r="Y448" s="147"/>
      <c r="Z448" s="147"/>
    </row>
    <row r="449">
      <c r="A449" s="147"/>
      <c r="B449" s="147"/>
      <c r="C449" s="147"/>
      <c r="D449" s="147"/>
      <c r="E449" s="147"/>
      <c r="F449" s="147"/>
      <c r="G449" s="147"/>
      <c r="H449" s="147"/>
      <c r="I449" s="190"/>
      <c r="J449" s="147"/>
      <c r="K449" s="147"/>
      <c r="L449" s="147"/>
      <c r="M449" s="147"/>
      <c r="N449" s="147"/>
      <c r="O449" s="147"/>
      <c r="P449" s="147"/>
      <c r="Q449" s="147"/>
      <c r="R449" s="147"/>
      <c r="S449" s="147"/>
      <c r="T449" s="147"/>
      <c r="U449" s="147"/>
      <c r="V449" s="147"/>
      <c r="W449" s="147"/>
      <c r="X449" s="147"/>
      <c r="Y449" s="147"/>
      <c r="Z449" s="147"/>
    </row>
    <row r="450">
      <c r="A450" s="147"/>
      <c r="B450" s="147"/>
      <c r="C450" s="147"/>
      <c r="D450" s="147"/>
      <c r="E450" s="147"/>
      <c r="F450" s="147"/>
      <c r="G450" s="147"/>
      <c r="H450" s="147"/>
      <c r="I450" s="190"/>
      <c r="J450" s="147"/>
      <c r="K450" s="147"/>
      <c r="L450" s="147"/>
      <c r="M450" s="147"/>
      <c r="N450" s="147"/>
      <c r="O450" s="147"/>
      <c r="P450" s="147"/>
      <c r="Q450" s="147"/>
      <c r="R450" s="147"/>
      <c r="S450" s="147"/>
      <c r="T450" s="147"/>
      <c r="U450" s="147"/>
      <c r="V450" s="147"/>
      <c r="W450" s="147"/>
      <c r="X450" s="147"/>
      <c r="Y450" s="147"/>
      <c r="Z450" s="147"/>
    </row>
    <row r="451">
      <c r="A451" s="147"/>
      <c r="B451" s="147"/>
      <c r="C451" s="147"/>
      <c r="D451" s="147"/>
      <c r="E451" s="147"/>
      <c r="F451" s="147"/>
      <c r="G451" s="147"/>
      <c r="H451" s="147"/>
      <c r="I451" s="190"/>
      <c r="J451" s="147"/>
      <c r="K451" s="147"/>
      <c r="L451" s="147"/>
      <c r="M451" s="147"/>
      <c r="N451" s="147"/>
      <c r="O451" s="147"/>
      <c r="P451" s="147"/>
      <c r="Q451" s="147"/>
      <c r="R451" s="147"/>
      <c r="S451" s="147"/>
      <c r="T451" s="147"/>
      <c r="U451" s="147"/>
      <c r="V451" s="147"/>
      <c r="W451" s="147"/>
      <c r="X451" s="147"/>
      <c r="Y451" s="147"/>
      <c r="Z451" s="147"/>
    </row>
    <row r="452">
      <c r="A452" s="147"/>
      <c r="B452" s="147"/>
      <c r="C452" s="147"/>
      <c r="D452" s="147"/>
      <c r="E452" s="147"/>
      <c r="F452" s="147"/>
      <c r="G452" s="147"/>
      <c r="H452" s="147"/>
      <c r="I452" s="190"/>
      <c r="J452" s="147"/>
      <c r="K452" s="147"/>
      <c r="L452" s="147"/>
      <c r="M452" s="147"/>
      <c r="N452" s="147"/>
      <c r="O452" s="147"/>
      <c r="P452" s="147"/>
      <c r="Q452" s="147"/>
      <c r="R452" s="147"/>
      <c r="S452" s="147"/>
      <c r="T452" s="147"/>
      <c r="U452" s="147"/>
      <c r="V452" s="147"/>
      <c r="W452" s="147"/>
      <c r="X452" s="147"/>
      <c r="Y452" s="147"/>
      <c r="Z452" s="147"/>
    </row>
    <row r="453">
      <c r="A453" s="147"/>
      <c r="B453" s="147"/>
      <c r="C453" s="147"/>
      <c r="D453" s="147"/>
      <c r="E453" s="147"/>
      <c r="F453" s="147"/>
      <c r="G453" s="147"/>
      <c r="H453" s="147"/>
      <c r="I453" s="190"/>
      <c r="J453" s="147"/>
      <c r="K453" s="147"/>
      <c r="L453" s="147"/>
      <c r="M453" s="147"/>
      <c r="N453" s="147"/>
      <c r="O453" s="147"/>
      <c r="P453" s="147"/>
      <c r="Q453" s="147"/>
      <c r="R453" s="147"/>
      <c r="S453" s="147"/>
      <c r="T453" s="147"/>
      <c r="U453" s="147"/>
      <c r="V453" s="147"/>
      <c r="W453" s="147"/>
      <c r="X453" s="147"/>
      <c r="Y453" s="147"/>
      <c r="Z453" s="147"/>
    </row>
    <row r="454">
      <c r="A454" s="147"/>
      <c r="B454" s="147"/>
      <c r="C454" s="147"/>
      <c r="D454" s="147"/>
      <c r="E454" s="147"/>
      <c r="F454" s="147"/>
      <c r="G454" s="147"/>
      <c r="H454" s="147"/>
      <c r="I454" s="190"/>
      <c r="J454" s="147"/>
      <c r="K454" s="147"/>
      <c r="L454" s="147"/>
      <c r="M454" s="147"/>
      <c r="N454" s="147"/>
      <c r="O454" s="147"/>
      <c r="P454" s="147"/>
      <c r="Q454" s="147"/>
      <c r="R454" s="147"/>
      <c r="S454" s="147"/>
      <c r="T454" s="147"/>
      <c r="U454" s="147"/>
      <c r="V454" s="147"/>
      <c r="W454" s="147"/>
      <c r="X454" s="147"/>
      <c r="Y454" s="147"/>
      <c r="Z454" s="147"/>
    </row>
    <row r="455">
      <c r="A455" s="147"/>
      <c r="B455" s="147"/>
      <c r="C455" s="147"/>
      <c r="D455" s="147"/>
      <c r="E455" s="147"/>
      <c r="F455" s="147"/>
      <c r="G455" s="147"/>
      <c r="H455" s="147"/>
      <c r="I455" s="190"/>
      <c r="J455" s="147"/>
      <c r="K455" s="147"/>
      <c r="L455" s="147"/>
      <c r="M455" s="147"/>
      <c r="N455" s="147"/>
      <c r="O455" s="147"/>
      <c r="P455" s="147"/>
      <c r="Q455" s="147"/>
      <c r="R455" s="147"/>
      <c r="S455" s="147"/>
      <c r="T455" s="147"/>
      <c r="U455" s="147"/>
      <c r="V455" s="147"/>
      <c r="W455" s="147"/>
      <c r="X455" s="147"/>
      <c r="Y455" s="147"/>
      <c r="Z455" s="147"/>
    </row>
    <row r="456">
      <c r="A456" s="147"/>
      <c r="B456" s="147"/>
      <c r="C456" s="147"/>
      <c r="D456" s="147"/>
      <c r="E456" s="147"/>
      <c r="F456" s="147"/>
      <c r="G456" s="147"/>
      <c r="H456" s="147"/>
      <c r="I456" s="190"/>
      <c r="J456" s="147"/>
      <c r="K456" s="147"/>
      <c r="L456" s="147"/>
      <c r="M456" s="147"/>
      <c r="N456" s="147"/>
      <c r="O456" s="147"/>
      <c r="P456" s="147"/>
      <c r="Q456" s="147"/>
      <c r="R456" s="147"/>
      <c r="S456" s="147"/>
      <c r="T456" s="147"/>
      <c r="U456" s="147"/>
      <c r="V456" s="147"/>
      <c r="W456" s="147"/>
      <c r="X456" s="147"/>
      <c r="Y456" s="147"/>
      <c r="Z456" s="147"/>
    </row>
    <row r="457">
      <c r="A457" s="147"/>
      <c r="B457" s="147"/>
      <c r="C457" s="147"/>
      <c r="D457" s="147"/>
      <c r="E457" s="147"/>
      <c r="F457" s="147"/>
      <c r="G457" s="147"/>
      <c r="H457" s="147"/>
      <c r="I457" s="190"/>
      <c r="J457" s="147"/>
      <c r="K457" s="147"/>
      <c r="L457" s="147"/>
      <c r="M457" s="147"/>
      <c r="N457" s="147"/>
      <c r="O457" s="147"/>
      <c r="P457" s="147"/>
      <c r="Q457" s="147"/>
      <c r="R457" s="147"/>
      <c r="S457" s="147"/>
      <c r="T457" s="147"/>
      <c r="U457" s="147"/>
      <c r="V457" s="147"/>
      <c r="W457" s="147"/>
      <c r="X457" s="147"/>
      <c r="Y457" s="147"/>
      <c r="Z457" s="147"/>
    </row>
    <row r="458">
      <c r="A458" s="147"/>
      <c r="B458" s="147"/>
      <c r="C458" s="147"/>
      <c r="D458" s="147"/>
      <c r="E458" s="147"/>
      <c r="F458" s="147"/>
      <c r="G458" s="147"/>
      <c r="H458" s="147"/>
      <c r="I458" s="190"/>
      <c r="J458" s="147"/>
      <c r="K458" s="147"/>
      <c r="L458" s="147"/>
      <c r="M458" s="147"/>
      <c r="N458" s="147"/>
      <c r="O458" s="147"/>
      <c r="P458" s="147"/>
      <c r="Q458" s="147"/>
      <c r="R458" s="147"/>
      <c r="S458" s="147"/>
      <c r="T458" s="147"/>
      <c r="U458" s="147"/>
      <c r="V458" s="147"/>
      <c r="W458" s="147"/>
      <c r="X458" s="147"/>
      <c r="Y458" s="147"/>
      <c r="Z458" s="147"/>
    </row>
    <row r="459">
      <c r="A459" s="147"/>
      <c r="B459" s="147"/>
      <c r="C459" s="147"/>
      <c r="D459" s="147"/>
      <c r="E459" s="147"/>
      <c r="F459" s="147"/>
      <c r="G459" s="147"/>
      <c r="H459" s="147"/>
      <c r="I459" s="190"/>
      <c r="J459" s="147"/>
      <c r="K459" s="147"/>
      <c r="L459" s="147"/>
      <c r="M459" s="147"/>
      <c r="N459" s="147"/>
      <c r="O459" s="147"/>
      <c r="P459" s="147"/>
      <c r="Q459" s="147"/>
      <c r="R459" s="147"/>
      <c r="S459" s="147"/>
      <c r="T459" s="147"/>
      <c r="U459" s="147"/>
      <c r="V459" s="147"/>
      <c r="W459" s="147"/>
      <c r="X459" s="147"/>
      <c r="Y459" s="147"/>
      <c r="Z459" s="147"/>
    </row>
    <row r="460">
      <c r="A460" s="147"/>
      <c r="B460" s="147"/>
      <c r="C460" s="147"/>
      <c r="D460" s="147"/>
      <c r="E460" s="147"/>
      <c r="F460" s="147"/>
      <c r="G460" s="147"/>
      <c r="H460" s="147"/>
      <c r="I460" s="190"/>
      <c r="J460" s="147"/>
      <c r="K460" s="147"/>
      <c r="L460" s="147"/>
      <c r="M460" s="147"/>
      <c r="N460" s="147"/>
      <c r="O460" s="147"/>
      <c r="P460" s="147"/>
      <c r="Q460" s="147"/>
      <c r="R460" s="147"/>
      <c r="S460" s="147"/>
      <c r="T460" s="147"/>
      <c r="U460" s="147"/>
      <c r="V460" s="147"/>
      <c r="W460" s="147"/>
      <c r="X460" s="147"/>
      <c r="Y460" s="147"/>
      <c r="Z460" s="147"/>
    </row>
    <row r="461">
      <c r="A461" s="147"/>
      <c r="B461" s="147"/>
      <c r="C461" s="147"/>
      <c r="D461" s="147"/>
      <c r="E461" s="147"/>
      <c r="F461" s="147"/>
      <c r="G461" s="147"/>
      <c r="H461" s="147"/>
      <c r="I461" s="190"/>
      <c r="J461" s="147"/>
      <c r="K461" s="147"/>
      <c r="L461" s="147"/>
      <c r="M461" s="147"/>
      <c r="N461" s="147"/>
      <c r="O461" s="147"/>
      <c r="P461" s="147"/>
      <c r="Q461" s="147"/>
      <c r="R461" s="147"/>
      <c r="S461" s="147"/>
      <c r="T461" s="147"/>
      <c r="U461" s="147"/>
      <c r="V461" s="147"/>
      <c r="W461" s="147"/>
      <c r="X461" s="147"/>
      <c r="Y461" s="147"/>
      <c r="Z461" s="147"/>
    </row>
    <row r="462">
      <c r="A462" s="147"/>
      <c r="B462" s="147"/>
      <c r="C462" s="147"/>
      <c r="D462" s="147"/>
      <c r="E462" s="147"/>
      <c r="F462" s="147"/>
      <c r="G462" s="147"/>
      <c r="H462" s="147"/>
      <c r="I462" s="190"/>
      <c r="J462" s="147"/>
      <c r="K462" s="147"/>
      <c r="L462" s="147"/>
      <c r="M462" s="147"/>
      <c r="N462" s="147"/>
      <c r="O462" s="147"/>
      <c r="P462" s="147"/>
      <c r="Q462" s="147"/>
      <c r="R462" s="147"/>
      <c r="S462" s="147"/>
      <c r="T462" s="147"/>
      <c r="U462" s="147"/>
      <c r="V462" s="147"/>
      <c r="W462" s="147"/>
      <c r="X462" s="147"/>
      <c r="Y462" s="147"/>
      <c r="Z462" s="147"/>
    </row>
    <row r="463">
      <c r="A463" s="147"/>
      <c r="B463" s="147"/>
      <c r="C463" s="147"/>
      <c r="D463" s="147"/>
      <c r="E463" s="147"/>
      <c r="F463" s="147"/>
      <c r="G463" s="147"/>
      <c r="H463" s="147"/>
      <c r="I463" s="190"/>
      <c r="J463" s="147"/>
      <c r="K463" s="147"/>
      <c r="L463" s="147"/>
      <c r="M463" s="147"/>
      <c r="N463" s="147"/>
      <c r="O463" s="147"/>
      <c r="P463" s="147"/>
      <c r="Q463" s="147"/>
      <c r="R463" s="147"/>
      <c r="S463" s="147"/>
      <c r="T463" s="147"/>
      <c r="U463" s="147"/>
      <c r="V463" s="147"/>
      <c r="W463" s="147"/>
      <c r="X463" s="147"/>
      <c r="Y463" s="147"/>
      <c r="Z463" s="147"/>
    </row>
    <row r="464">
      <c r="A464" s="147"/>
      <c r="B464" s="147"/>
      <c r="C464" s="147"/>
      <c r="D464" s="147"/>
      <c r="E464" s="147"/>
      <c r="F464" s="147"/>
      <c r="G464" s="147"/>
      <c r="H464" s="147"/>
      <c r="I464" s="190"/>
      <c r="J464" s="147"/>
      <c r="K464" s="147"/>
      <c r="L464" s="147"/>
      <c r="M464" s="147"/>
      <c r="N464" s="147"/>
      <c r="O464" s="147"/>
      <c r="P464" s="147"/>
      <c r="Q464" s="147"/>
      <c r="R464" s="147"/>
      <c r="S464" s="147"/>
      <c r="T464" s="147"/>
      <c r="U464" s="147"/>
      <c r="V464" s="147"/>
      <c r="W464" s="147"/>
      <c r="X464" s="147"/>
      <c r="Y464" s="147"/>
      <c r="Z464" s="147"/>
    </row>
    <row r="465">
      <c r="A465" s="147"/>
      <c r="B465" s="147"/>
      <c r="C465" s="147"/>
      <c r="D465" s="147"/>
      <c r="E465" s="147"/>
      <c r="F465" s="147"/>
      <c r="G465" s="147"/>
      <c r="H465" s="147"/>
      <c r="I465" s="190"/>
      <c r="J465" s="147"/>
      <c r="K465" s="147"/>
      <c r="L465" s="147"/>
      <c r="M465" s="147"/>
      <c r="N465" s="147"/>
      <c r="O465" s="147"/>
      <c r="P465" s="147"/>
      <c r="Q465" s="147"/>
      <c r="R465" s="147"/>
      <c r="S465" s="147"/>
      <c r="T465" s="147"/>
      <c r="U465" s="147"/>
      <c r="V465" s="147"/>
      <c r="W465" s="147"/>
      <c r="X465" s="147"/>
      <c r="Y465" s="147"/>
      <c r="Z465" s="147"/>
    </row>
    <row r="466">
      <c r="A466" s="147"/>
      <c r="B466" s="147"/>
      <c r="C466" s="147"/>
      <c r="D466" s="147"/>
      <c r="E466" s="147"/>
      <c r="F466" s="147"/>
      <c r="G466" s="147"/>
      <c r="H466" s="147"/>
      <c r="I466" s="190"/>
      <c r="J466" s="147"/>
      <c r="K466" s="147"/>
      <c r="L466" s="147"/>
      <c r="M466" s="147"/>
      <c r="N466" s="147"/>
      <c r="O466" s="147"/>
      <c r="P466" s="147"/>
      <c r="Q466" s="147"/>
      <c r="R466" s="147"/>
      <c r="S466" s="147"/>
      <c r="T466" s="147"/>
      <c r="U466" s="147"/>
      <c r="V466" s="147"/>
      <c r="W466" s="147"/>
      <c r="X466" s="147"/>
      <c r="Y466" s="147"/>
      <c r="Z466" s="147"/>
    </row>
    <row r="467">
      <c r="A467" s="147"/>
      <c r="B467" s="147"/>
      <c r="C467" s="147"/>
      <c r="D467" s="147"/>
      <c r="E467" s="147"/>
      <c r="F467" s="147"/>
      <c r="G467" s="147"/>
      <c r="H467" s="147"/>
      <c r="I467" s="190"/>
      <c r="J467" s="147"/>
      <c r="K467" s="147"/>
      <c r="L467" s="147"/>
      <c r="M467" s="147"/>
      <c r="N467" s="147"/>
      <c r="O467" s="147"/>
      <c r="P467" s="147"/>
      <c r="Q467" s="147"/>
      <c r="R467" s="147"/>
      <c r="S467" s="147"/>
      <c r="T467" s="147"/>
      <c r="U467" s="147"/>
      <c r="V467" s="147"/>
      <c r="W467" s="147"/>
      <c r="X467" s="147"/>
      <c r="Y467" s="147"/>
      <c r="Z467" s="147"/>
    </row>
    <row r="468">
      <c r="A468" s="147"/>
      <c r="B468" s="147"/>
      <c r="C468" s="147"/>
      <c r="D468" s="147"/>
      <c r="E468" s="147"/>
      <c r="F468" s="147"/>
      <c r="G468" s="147"/>
      <c r="H468" s="147"/>
      <c r="I468" s="190"/>
      <c r="J468" s="147"/>
      <c r="K468" s="147"/>
      <c r="L468" s="147"/>
      <c r="M468" s="147"/>
      <c r="N468" s="147"/>
      <c r="O468" s="147"/>
      <c r="P468" s="147"/>
      <c r="Q468" s="147"/>
      <c r="R468" s="147"/>
      <c r="S468" s="147"/>
      <c r="T468" s="147"/>
      <c r="U468" s="147"/>
      <c r="V468" s="147"/>
      <c r="W468" s="147"/>
      <c r="X468" s="147"/>
      <c r="Y468" s="147"/>
      <c r="Z468" s="147"/>
    </row>
    <row r="469">
      <c r="A469" s="147"/>
      <c r="B469" s="147"/>
      <c r="C469" s="147"/>
      <c r="D469" s="147"/>
      <c r="E469" s="147"/>
      <c r="F469" s="147"/>
      <c r="G469" s="147"/>
      <c r="H469" s="147"/>
      <c r="I469" s="190"/>
      <c r="J469" s="147"/>
      <c r="K469" s="147"/>
      <c r="L469" s="147"/>
      <c r="M469" s="147"/>
      <c r="N469" s="147"/>
      <c r="O469" s="147"/>
      <c r="P469" s="147"/>
      <c r="Q469" s="147"/>
      <c r="R469" s="147"/>
      <c r="S469" s="147"/>
      <c r="T469" s="147"/>
      <c r="U469" s="147"/>
      <c r="V469" s="147"/>
      <c r="W469" s="147"/>
      <c r="X469" s="147"/>
      <c r="Y469" s="147"/>
      <c r="Z469" s="147"/>
    </row>
    <row r="470">
      <c r="A470" s="147"/>
      <c r="B470" s="147"/>
      <c r="C470" s="147"/>
      <c r="D470" s="147"/>
      <c r="E470" s="147"/>
      <c r="F470" s="147"/>
      <c r="G470" s="147"/>
      <c r="H470" s="147"/>
      <c r="I470" s="190"/>
      <c r="J470" s="147"/>
      <c r="K470" s="147"/>
      <c r="L470" s="147"/>
      <c r="M470" s="147"/>
      <c r="N470" s="147"/>
      <c r="O470" s="147"/>
      <c r="P470" s="147"/>
      <c r="Q470" s="147"/>
      <c r="R470" s="147"/>
      <c r="S470" s="147"/>
      <c r="T470" s="147"/>
      <c r="U470" s="147"/>
      <c r="V470" s="147"/>
      <c r="W470" s="147"/>
      <c r="X470" s="147"/>
      <c r="Y470" s="147"/>
      <c r="Z470" s="147"/>
    </row>
    <row r="471">
      <c r="A471" s="147"/>
      <c r="B471" s="147"/>
      <c r="C471" s="147"/>
      <c r="D471" s="147"/>
      <c r="E471" s="147"/>
      <c r="F471" s="147"/>
      <c r="G471" s="147"/>
      <c r="H471" s="147"/>
      <c r="I471" s="190"/>
      <c r="J471" s="147"/>
      <c r="K471" s="147"/>
      <c r="L471" s="147"/>
      <c r="M471" s="147"/>
      <c r="N471" s="147"/>
      <c r="O471" s="147"/>
      <c r="P471" s="147"/>
      <c r="Q471" s="147"/>
      <c r="R471" s="147"/>
      <c r="S471" s="147"/>
      <c r="T471" s="147"/>
      <c r="U471" s="147"/>
      <c r="V471" s="147"/>
      <c r="W471" s="147"/>
      <c r="X471" s="147"/>
      <c r="Y471" s="147"/>
      <c r="Z471" s="147"/>
    </row>
    <row r="472">
      <c r="A472" s="147"/>
      <c r="B472" s="147"/>
      <c r="C472" s="147"/>
      <c r="D472" s="147"/>
      <c r="E472" s="147"/>
      <c r="F472" s="147"/>
      <c r="G472" s="147"/>
      <c r="H472" s="147"/>
      <c r="I472" s="190"/>
      <c r="J472" s="147"/>
      <c r="K472" s="147"/>
      <c r="L472" s="147"/>
      <c r="M472" s="147"/>
      <c r="N472" s="147"/>
      <c r="O472" s="147"/>
      <c r="P472" s="147"/>
      <c r="Q472" s="147"/>
      <c r="R472" s="147"/>
      <c r="S472" s="147"/>
      <c r="T472" s="147"/>
      <c r="U472" s="147"/>
      <c r="V472" s="147"/>
      <c r="W472" s="147"/>
      <c r="X472" s="147"/>
      <c r="Y472" s="147"/>
      <c r="Z472" s="147"/>
    </row>
    <row r="473">
      <c r="A473" s="147"/>
      <c r="B473" s="147"/>
      <c r="C473" s="147"/>
      <c r="D473" s="147"/>
      <c r="E473" s="147"/>
      <c r="F473" s="147"/>
      <c r="G473" s="147"/>
      <c r="H473" s="147"/>
      <c r="I473" s="190"/>
      <c r="J473" s="147"/>
      <c r="K473" s="147"/>
      <c r="L473" s="147"/>
      <c r="M473" s="147"/>
      <c r="N473" s="147"/>
      <c r="O473" s="147"/>
      <c r="P473" s="147"/>
      <c r="Q473" s="147"/>
      <c r="R473" s="147"/>
      <c r="S473" s="147"/>
      <c r="T473" s="147"/>
      <c r="U473" s="147"/>
      <c r="V473" s="147"/>
      <c r="W473" s="147"/>
      <c r="X473" s="147"/>
      <c r="Y473" s="147"/>
      <c r="Z473" s="147"/>
    </row>
    <row r="474">
      <c r="A474" s="147"/>
      <c r="B474" s="147"/>
      <c r="C474" s="147"/>
      <c r="D474" s="147"/>
      <c r="E474" s="147"/>
      <c r="F474" s="147"/>
      <c r="G474" s="147"/>
      <c r="H474" s="147"/>
      <c r="I474" s="190"/>
      <c r="J474" s="147"/>
      <c r="K474" s="147"/>
      <c r="L474" s="147"/>
      <c r="M474" s="147"/>
      <c r="N474" s="147"/>
      <c r="O474" s="147"/>
      <c r="P474" s="147"/>
      <c r="Q474" s="147"/>
      <c r="R474" s="147"/>
      <c r="S474" s="147"/>
      <c r="T474" s="147"/>
      <c r="U474" s="147"/>
      <c r="V474" s="147"/>
      <c r="W474" s="147"/>
      <c r="X474" s="147"/>
      <c r="Y474" s="147"/>
      <c r="Z474" s="147"/>
    </row>
    <row r="475">
      <c r="A475" s="147"/>
      <c r="B475" s="147"/>
      <c r="C475" s="147"/>
      <c r="D475" s="147"/>
      <c r="E475" s="147"/>
      <c r="F475" s="147"/>
      <c r="G475" s="147"/>
      <c r="H475" s="147"/>
      <c r="I475" s="190"/>
      <c r="J475" s="147"/>
      <c r="K475" s="147"/>
      <c r="L475" s="147"/>
      <c r="M475" s="147"/>
      <c r="N475" s="147"/>
      <c r="O475" s="147"/>
      <c r="P475" s="147"/>
      <c r="Q475" s="147"/>
      <c r="R475" s="147"/>
      <c r="S475" s="147"/>
      <c r="T475" s="147"/>
      <c r="U475" s="147"/>
      <c r="V475" s="147"/>
      <c r="W475" s="147"/>
      <c r="X475" s="147"/>
      <c r="Y475" s="147"/>
      <c r="Z475" s="147"/>
    </row>
    <row r="476">
      <c r="A476" s="147"/>
      <c r="B476" s="147"/>
      <c r="C476" s="147"/>
      <c r="D476" s="147"/>
      <c r="E476" s="147"/>
      <c r="F476" s="147"/>
      <c r="G476" s="147"/>
      <c r="H476" s="147"/>
      <c r="I476" s="190"/>
      <c r="J476" s="147"/>
      <c r="K476" s="147"/>
      <c r="L476" s="147"/>
      <c r="M476" s="147"/>
      <c r="N476" s="147"/>
      <c r="O476" s="147"/>
      <c r="P476" s="147"/>
      <c r="Q476" s="147"/>
      <c r="R476" s="147"/>
      <c r="S476" s="147"/>
      <c r="T476" s="147"/>
      <c r="U476" s="147"/>
      <c r="V476" s="147"/>
      <c r="W476" s="147"/>
      <c r="X476" s="147"/>
      <c r="Y476" s="147"/>
      <c r="Z476" s="147"/>
    </row>
    <row r="477">
      <c r="A477" s="147"/>
      <c r="B477" s="147"/>
      <c r="C477" s="147"/>
      <c r="D477" s="147"/>
      <c r="E477" s="147"/>
      <c r="F477" s="147"/>
      <c r="G477" s="147"/>
      <c r="H477" s="147"/>
      <c r="I477" s="190"/>
      <c r="J477" s="147"/>
      <c r="K477" s="147"/>
      <c r="L477" s="147"/>
      <c r="M477" s="147"/>
      <c r="N477" s="147"/>
      <c r="O477" s="147"/>
      <c r="P477" s="147"/>
      <c r="Q477" s="147"/>
      <c r="R477" s="147"/>
      <c r="S477" s="147"/>
      <c r="T477" s="147"/>
      <c r="U477" s="147"/>
      <c r="V477" s="147"/>
      <c r="W477" s="147"/>
      <c r="X477" s="147"/>
      <c r="Y477" s="147"/>
      <c r="Z477" s="147"/>
    </row>
    <row r="478">
      <c r="A478" s="147"/>
      <c r="B478" s="147"/>
      <c r="C478" s="147"/>
      <c r="D478" s="147"/>
      <c r="E478" s="147"/>
      <c r="F478" s="147"/>
      <c r="G478" s="147"/>
      <c r="H478" s="147"/>
      <c r="I478" s="190"/>
      <c r="J478" s="147"/>
      <c r="K478" s="147"/>
      <c r="L478" s="147"/>
      <c r="M478" s="147"/>
      <c r="N478" s="147"/>
      <c r="O478" s="147"/>
      <c r="P478" s="147"/>
      <c r="Q478" s="147"/>
      <c r="R478" s="147"/>
      <c r="S478" s="147"/>
      <c r="T478" s="147"/>
      <c r="U478" s="147"/>
      <c r="V478" s="147"/>
      <c r="W478" s="147"/>
      <c r="X478" s="147"/>
      <c r="Y478" s="147"/>
      <c r="Z478" s="147"/>
    </row>
    <row r="479">
      <c r="A479" s="147"/>
      <c r="B479" s="147"/>
      <c r="C479" s="147"/>
      <c r="D479" s="147"/>
      <c r="E479" s="147"/>
      <c r="F479" s="147"/>
      <c r="G479" s="147"/>
      <c r="H479" s="147"/>
      <c r="I479" s="190"/>
      <c r="J479" s="147"/>
      <c r="K479" s="147"/>
      <c r="L479" s="147"/>
      <c r="M479" s="147"/>
      <c r="N479" s="147"/>
      <c r="O479" s="147"/>
      <c r="P479" s="147"/>
      <c r="Q479" s="147"/>
      <c r="R479" s="147"/>
      <c r="S479" s="147"/>
      <c r="T479" s="147"/>
      <c r="U479" s="147"/>
      <c r="V479" s="147"/>
      <c r="W479" s="147"/>
      <c r="X479" s="147"/>
      <c r="Y479" s="147"/>
      <c r="Z479" s="147"/>
    </row>
    <row r="480">
      <c r="A480" s="147"/>
      <c r="B480" s="147"/>
      <c r="C480" s="147"/>
      <c r="D480" s="147"/>
      <c r="E480" s="147"/>
      <c r="F480" s="147"/>
      <c r="G480" s="147"/>
      <c r="H480" s="147"/>
      <c r="I480" s="190"/>
      <c r="J480" s="147"/>
      <c r="K480" s="147"/>
      <c r="L480" s="147"/>
      <c r="M480" s="147"/>
      <c r="N480" s="147"/>
      <c r="O480" s="147"/>
      <c r="P480" s="147"/>
      <c r="Q480" s="147"/>
      <c r="R480" s="147"/>
      <c r="S480" s="147"/>
      <c r="T480" s="147"/>
      <c r="U480" s="147"/>
      <c r="V480" s="147"/>
      <c r="W480" s="147"/>
      <c r="X480" s="147"/>
      <c r="Y480" s="147"/>
      <c r="Z480" s="147"/>
    </row>
    <row r="481">
      <c r="A481" s="147"/>
      <c r="B481" s="147"/>
      <c r="C481" s="147"/>
      <c r="D481" s="147"/>
      <c r="E481" s="147"/>
      <c r="F481" s="147"/>
      <c r="G481" s="147"/>
      <c r="H481" s="147"/>
      <c r="I481" s="190"/>
      <c r="J481" s="147"/>
      <c r="K481" s="147"/>
      <c r="L481" s="147"/>
      <c r="M481" s="147"/>
      <c r="N481" s="147"/>
      <c r="O481" s="147"/>
      <c r="P481" s="147"/>
      <c r="Q481" s="147"/>
      <c r="R481" s="147"/>
      <c r="S481" s="147"/>
      <c r="T481" s="147"/>
      <c r="U481" s="147"/>
      <c r="V481" s="147"/>
      <c r="W481" s="147"/>
      <c r="X481" s="147"/>
      <c r="Y481" s="147"/>
      <c r="Z481" s="147"/>
    </row>
    <row r="482">
      <c r="A482" s="147"/>
      <c r="B482" s="147"/>
      <c r="C482" s="147"/>
      <c r="D482" s="147"/>
      <c r="E482" s="147"/>
      <c r="F482" s="147"/>
      <c r="G482" s="147"/>
      <c r="H482" s="147"/>
      <c r="I482" s="190"/>
      <c r="J482" s="147"/>
      <c r="K482" s="147"/>
      <c r="L482" s="147"/>
      <c r="M482" s="147"/>
      <c r="N482" s="147"/>
      <c r="O482" s="147"/>
      <c r="P482" s="147"/>
      <c r="Q482" s="147"/>
      <c r="R482" s="147"/>
      <c r="S482" s="147"/>
      <c r="T482" s="147"/>
      <c r="U482" s="147"/>
      <c r="V482" s="147"/>
      <c r="W482" s="147"/>
      <c r="X482" s="147"/>
      <c r="Y482" s="147"/>
      <c r="Z482" s="147"/>
    </row>
    <row r="483">
      <c r="A483" s="147"/>
      <c r="B483" s="147"/>
      <c r="C483" s="147"/>
      <c r="D483" s="147"/>
      <c r="E483" s="147"/>
      <c r="F483" s="147"/>
      <c r="G483" s="147"/>
      <c r="H483" s="147"/>
      <c r="I483" s="190"/>
      <c r="J483" s="147"/>
      <c r="K483" s="147"/>
      <c r="L483" s="147"/>
      <c r="M483" s="147"/>
      <c r="N483" s="147"/>
      <c r="O483" s="147"/>
      <c r="P483" s="147"/>
      <c r="Q483" s="147"/>
      <c r="R483" s="147"/>
      <c r="S483" s="147"/>
      <c r="T483" s="147"/>
      <c r="U483" s="147"/>
      <c r="V483" s="147"/>
      <c r="W483" s="147"/>
      <c r="X483" s="147"/>
      <c r="Y483" s="147"/>
      <c r="Z483" s="147"/>
    </row>
    <row r="484">
      <c r="A484" s="147"/>
      <c r="B484" s="147"/>
      <c r="C484" s="147"/>
      <c r="D484" s="147"/>
      <c r="E484" s="147"/>
      <c r="F484" s="147"/>
      <c r="G484" s="147"/>
      <c r="H484" s="147"/>
      <c r="I484" s="190"/>
      <c r="J484" s="147"/>
      <c r="K484" s="147"/>
      <c r="L484" s="147"/>
      <c r="M484" s="147"/>
      <c r="N484" s="147"/>
      <c r="O484" s="147"/>
      <c r="P484" s="147"/>
      <c r="Q484" s="147"/>
      <c r="R484" s="147"/>
      <c r="S484" s="147"/>
      <c r="T484" s="147"/>
      <c r="U484" s="147"/>
      <c r="V484" s="147"/>
      <c r="W484" s="147"/>
      <c r="X484" s="147"/>
      <c r="Y484" s="147"/>
      <c r="Z484" s="147"/>
    </row>
    <row r="485">
      <c r="A485" s="147"/>
      <c r="B485" s="147"/>
      <c r="C485" s="147"/>
      <c r="D485" s="147"/>
      <c r="E485" s="147"/>
      <c r="F485" s="147"/>
      <c r="G485" s="147"/>
      <c r="H485" s="147"/>
      <c r="I485" s="190"/>
      <c r="J485" s="147"/>
      <c r="K485" s="147"/>
      <c r="L485" s="147"/>
      <c r="M485" s="147"/>
      <c r="N485" s="147"/>
      <c r="O485" s="147"/>
      <c r="P485" s="147"/>
      <c r="Q485" s="147"/>
      <c r="R485" s="147"/>
      <c r="S485" s="147"/>
      <c r="T485" s="147"/>
      <c r="U485" s="147"/>
      <c r="V485" s="147"/>
      <c r="W485" s="147"/>
      <c r="X485" s="147"/>
      <c r="Y485" s="147"/>
      <c r="Z485" s="147"/>
    </row>
    <row r="486">
      <c r="A486" s="147"/>
      <c r="B486" s="147"/>
      <c r="C486" s="147"/>
      <c r="D486" s="147"/>
      <c r="E486" s="147"/>
      <c r="F486" s="147"/>
      <c r="G486" s="147"/>
      <c r="H486" s="147"/>
      <c r="I486" s="190"/>
      <c r="J486" s="147"/>
      <c r="K486" s="147"/>
      <c r="L486" s="147"/>
      <c r="M486" s="147"/>
      <c r="N486" s="147"/>
      <c r="O486" s="147"/>
      <c r="P486" s="147"/>
      <c r="Q486" s="147"/>
      <c r="R486" s="147"/>
      <c r="S486" s="147"/>
      <c r="T486" s="147"/>
      <c r="U486" s="147"/>
      <c r="V486" s="147"/>
      <c r="W486" s="147"/>
      <c r="X486" s="147"/>
      <c r="Y486" s="147"/>
      <c r="Z486" s="147"/>
    </row>
    <row r="487">
      <c r="A487" s="147"/>
      <c r="B487" s="147"/>
      <c r="C487" s="147"/>
      <c r="D487" s="147"/>
      <c r="E487" s="147"/>
      <c r="F487" s="147"/>
      <c r="G487" s="147"/>
      <c r="H487" s="147"/>
      <c r="I487" s="190"/>
      <c r="J487" s="147"/>
      <c r="K487" s="147"/>
      <c r="L487" s="147"/>
      <c r="M487" s="147"/>
      <c r="N487" s="147"/>
      <c r="O487" s="147"/>
      <c r="P487" s="147"/>
      <c r="Q487" s="147"/>
      <c r="R487" s="147"/>
      <c r="S487" s="147"/>
      <c r="T487" s="147"/>
      <c r="U487" s="147"/>
      <c r="V487" s="147"/>
      <c r="W487" s="147"/>
      <c r="X487" s="147"/>
      <c r="Y487" s="147"/>
      <c r="Z487" s="147"/>
    </row>
    <row r="488">
      <c r="A488" s="147"/>
      <c r="B488" s="147"/>
      <c r="C488" s="147"/>
      <c r="D488" s="147"/>
      <c r="E488" s="147"/>
      <c r="F488" s="147"/>
      <c r="G488" s="147"/>
      <c r="H488" s="147"/>
      <c r="I488" s="190"/>
      <c r="J488" s="147"/>
      <c r="K488" s="147"/>
      <c r="L488" s="147"/>
      <c r="M488" s="147"/>
      <c r="N488" s="147"/>
      <c r="O488" s="147"/>
      <c r="P488" s="147"/>
      <c r="Q488" s="147"/>
      <c r="R488" s="147"/>
      <c r="S488" s="147"/>
      <c r="T488" s="147"/>
      <c r="U488" s="147"/>
      <c r="V488" s="147"/>
      <c r="W488" s="147"/>
      <c r="X488" s="147"/>
      <c r="Y488" s="147"/>
      <c r="Z488" s="147"/>
    </row>
    <row r="489">
      <c r="A489" s="147"/>
      <c r="B489" s="147"/>
      <c r="C489" s="147"/>
      <c r="D489" s="147"/>
      <c r="E489" s="147"/>
      <c r="F489" s="147"/>
      <c r="G489" s="147"/>
      <c r="H489" s="147"/>
      <c r="I489" s="190"/>
      <c r="J489" s="147"/>
      <c r="K489" s="147"/>
      <c r="L489" s="147"/>
      <c r="M489" s="147"/>
      <c r="N489" s="147"/>
      <c r="O489" s="147"/>
      <c r="P489" s="147"/>
      <c r="Q489" s="147"/>
      <c r="R489" s="147"/>
      <c r="S489" s="147"/>
      <c r="T489" s="147"/>
      <c r="U489" s="147"/>
      <c r="V489" s="147"/>
      <c r="W489" s="147"/>
      <c r="X489" s="147"/>
      <c r="Y489" s="147"/>
      <c r="Z489" s="147"/>
    </row>
    <row r="490">
      <c r="A490" s="147"/>
      <c r="B490" s="147"/>
      <c r="C490" s="147"/>
      <c r="D490" s="147"/>
      <c r="E490" s="147"/>
      <c r="F490" s="147"/>
      <c r="G490" s="147"/>
      <c r="H490" s="147"/>
      <c r="I490" s="190"/>
      <c r="J490" s="147"/>
      <c r="K490" s="147"/>
      <c r="L490" s="147"/>
      <c r="M490" s="147"/>
      <c r="N490" s="147"/>
      <c r="O490" s="147"/>
      <c r="P490" s="147"/>
      <c r="Q490" s="147"/>
      <c r="R490" s="147"/>
      <c r="S490" s="147"/>
      <c r="T490" s="147"/>
      <c r="U490" s="147"/>
      <c r="V490" s="147"/>
      <c r="W490" s="147"/>
      <c r="X490" s="147"/>
      <c r="Y490" s="147"/>
      <c r="Z490" s="147"/>
    </row>
    <row r="491">
      <c r="A491" s="147"/>
      <c r="B491" s="147"/>
      <c r="C491" s="147"/>
      <c r="D491" s="147"/>
      <c r="E491" s="147"/>
      <c r="F491" s="147"/>
      <c r="G491" s="147"/>
      <c r="H491" s="147"/>
      <c r="I491" s="190"/>
      <c r="J491" s="147"/>
      <c r="K491" s="147"/>
      <c r="L491" s="147"/>
      <c r="M491" s="147"/>
      <c r="N491" s="147"/>
      <c r="O491" s="147"/>
      <c r="P491" s="147"/>
      <c r="Q491" s="147"/>
      <c r="R491" s="147"/>
      <c r="S491" s="147"/>
      <c r="T491" s="147"/>
      <c r="U491" s="147"/>
      <c r="V491" s="147"/>
      <c r="W491" s="147"/>
      <c r="X491" s="147"/>
      <c r="Y491" s="147"/>
      <c r="Z491" s="147"/>
    </row>
    <row r="492">
      <c r="A492" s="147"/>
      <c r="B492" s="147"/>
      <c r="C492" s="147"/>
      <c r="D492" s="147"/>
      <c r="E492" s="147"/>
      <c r="F492" s="147"/>
      <c r="G492" s="147"/>
      <c r="H492" s="147"/>
      <c r="I492" s="190"/>
      <c r="J492" s="147"/>
      <c r="K492" s="147"/>
      <c r="L492" s="147"/>
      <c r="M492" s="147"/>
      <c r="N492" s="147"/>
      <c r="O492" s="147"/>
      <c r="P492" s="147"/>
      <c r="Q492" s="147"/>
      <c r="R492" s="147"/>
      <c r="S492" s="147"/>
      <c r="T492" s="147"/>
      <c r="U492" s="147"/>
      <c r="V492" s="147"/>
      <c r="W492" s="147"/>
      <c r="X492" s="147"/>
      <c r="Y492" s="147"/>
      <c r="Z492" s="147"/>
    </row>
    <row r="493">
      <c r="A493" s="147"/>
      <c r="B493" s="147"/>
      <c r="C493" s="147"/>
      <c r="D493" s="147"/>
      <c r="E493" s="147"/>
      <c r="F493" s="147"/>
      <c r="G493" s="147"/>
      <c r="H493" s="147"/>
      <c r="I493" s="190"/>
      <c r="J493" s="147"/>
      <c r="K493" s="147"/>
      <c r="L493" s="147"/>
      <c r="M493" s="147"/>
      <c r="N493" s="147"/>
      <c r="O493" s="147"/>
      <c r="P493" s="147"/>
      <c r="Q493" s="147"/>
      <c r="R493" s="147"/>
      <c r="S493" s="147"/>
      <c r="T493" s="147"/>
      <c r="U493" s="147"/>
      <c r="V493" s="147"/>
      <c r="W493" s="147"/>
      <c r="X493" s="147"/>
      <c r="Y493" s="147"/>
      <c r="Z493" s="147"/>
    </row>
    <row r="494">
      <c r="A494" s="147"/>
      <c r="B494" s="147"/>
      <c r="C494" s="147"/>
      <c r="D494" s="147"/>
      <c r="E494" s="147"/>
      <c r="F494" s="147"/>
      <c r="G494" s="147"/>
      <c r="H494" s="147"/>
      <c r="I494" s="190"/>
      <c r="J494" s="147"/>
      <c r="K494" s="147"/>
      <c r="L494" s="147"/>
      <c r="M494" s="147"/>
      <c r="N494" s="147"/>
      <c r="O494" s="147"/>
      <c r="P494" s="147"/>
      <c r="Q494" s="147"/>
      <c r="R494" s="147"/>
      <c r="S494" s="147"/>
      <c r="T494" s="147"/>
      <c r="U494" s="147"/>
      <c r="V494" s="147"/>
      <c r="W494" s="147"/>
      <c r="X494" s="147"/>
      <c r="Y494" s="147"/>
      <c r="Z494" s="147"/>
    </row>
    <row r="495">
      <c r="A495" s="147"/>
      <c r="B495" s="147"/>
      <c r="C495" s="147"/>
      <c r="D495" s="147"/>
      <c r="E495" s="147"/>
      <c r="F495" s="147"/>
      <c r="G495" s="147"/>
      <c r="H495" s="147"/>
      <c r="I495" s="190"/>
      <c r="J495" s="147"/>
      <c r="K495" s="147"/>
      <c r="L495" s="147"/>
      <c r="M495" s="147"/>
      <c r="N495" s="147"/>
      <c r="O495" s="147"/>
      <c r="P495" s="147"/>
      <c r="Q495" s="147"/>
      <c r="R495" s="147"/>
      <c r="S495" s="147"/>
      <c r="T495" s="147"/>
      <c r="U495" s="147"/>
      <c r="V495" s="147"/>
      <c r="W495" s="147"/>
      <c r="X495" s="147"/>
      <c r="Y495" s="147"/>
      <c r="Z495" s="147"/>
    </row>
    <row r="496">
      <c r="A496" s="147"/>
      <c r="B496" s="147"/>
      <c r="C496" s="147"/>
      <c r="D496" s="147"/>
      <c r="E496" s="147"/>
      <c r="F496" s="147"/>
      <c r="G496" s="147"/>
      <c r="H496" s="147"/>
      <c r="I496" s="190"/>
      <c r="J496" s="147"/>
      <c r="K496" s="147"/>
      <c r="L496" s="147"/>
      <c r="M496" s="147"/>
      <c r="N496" s="147"/>
      <c r="O496" s="147"/>
      <c r="P496" s="147"/>
      <c r="Q496" s="147"/>
      <c r="R496" s="147"/>
      <c r="S496" s="147"/>
      <c r="T496" s="147"/>
      <c r="U496" s="147"/>
      <c r="V496" s="147"/>
      <c r="W496" s="147"/>
      <c r="X496" s="147"/>
      <c r="Y496" s="147"/>
      <c r="Z496" s="147"/>
    </row>
    <row r="497">
      <c r="A497" s="147"/>
      <c r="B497" s="147"/>
      <c r="C497" s="147"/>
      <c r="D497" s="147"/>
      <c r="E497" s="147"/>
      <c r="F497" s="147"/>
      <c r="G497" s="147"/>
      <c r="H497" s="147"/>
      <c r="I497" s="190"/>
      <c r="J497" s="147"/>
      <c r="K497" s="147"/>
      <c r="L497" s="147"/>
      <c r="M497" s="147"/>
      <c r="N497" s="147"/>
      <c r="O497" s="147"/>
      <c r="P497" s="147"/>
      <c r="Q497" s="147"/>
      <c r="R497" s="147"/>
      <c r="S497" s="147"/>
      <c r="T497" s="147"/>
      <c r="U497" s="147"/>
      <c r="V497" s="147"/>
      <c r="W497" s="147"/>
      <c r="X497" s="147"/>
      <c r="Y497" s="147"/>
      <c r="Z497" s="147"/>
    </row>
    <row r="498">
      <c r="A498" s="147"/>
      <c r="B498" s="147"/>
      <c r="C498" s="147"/>
      <c r="D498" s="147"/>
      <c r="E498" s="147"/>
      <c r="F498" s="147"/>
      <c r="G498" s="147"/>
      <c r="H498" s="147"/>
      <c r="I498" s="190"/>
      <c r="J498" s="147"/>
      <c r="K498" s="147"/>
      <c r="L498" s="147"/>
      <c r="M498" s="147"/>
      <c r="N498" s="147"/>
      <c r="O498" s="147"/>
      <c r="P498" s="147"/>
      <c r="Q498" s="147"/>
      <c r="R498" s="147"/>
      <c r="S498" s="147"/>
      <c r="T498" s="147"/>
      <c r="U498" s="147"/>
      <c r="V498" s="147"/>
      <c r="W498" s="147"/>
      <c r="X498" s="147"/>
      <c r="Y498" s="147"/>
      <c r="Z498" s="147"/>
    </row>
    <row r="499">
      <c r="A499" s="147"/>
      <c r="B499" s="147"/>
      <c r="C499" s="147"/>
      <c r="D499" s="147"/>
      <c r="E499" s="147"/>
      <c r="F499" s="147"/>
      <c r="G499" s="147"/>
      <c r="H499" s="147"/>
      <c r="I499" s="190"/>
      <c r="J499" s="147"/>
      <c r="K499" s="147"/>
      <c r="L499" s="147"/>
      <c r="M499" s="147"/>
      <c r="N499" s="147"/>
      <c r="O499" s="147"/>
      <c r="P499" s="147"/>
      <c r="Q499" s="147"/>
      <c r="R499" s="147"/>
      <c r="S499" s="147"/>
      <c r="T499" s="147"/>
      <c r="U499" s="147"/>
      <c r="V499" s="147"/>
      <c r="W499" s="147"/>
      <c r="X499" s="147"/>
      <c r="Y499" s="147"/>
      <c r="Z499" s="147"/>
    </row>
    <row r="500">
      <c r="A500" s="147"/>
      <c r="B500" s="147"/>
      <c r="C500" s="147"/>
      <c r="D500" s="147"/>
      <c r="E500" s="147"/>
      <c r="F500" s="147"/>
      <c r="G500" s="147"/>
      <c r="H500" s="147"/>
      <c r="I500" s="190"/>
      <c r="J500" s="147"/>
      <c r="K500" s="147"/>
      <c r="L500" s="147"/>
      <c r="M500" s="147"/>
      <c r="N500" s="147"/>
      <c r="O500" s="147"/>
      <c r="P500" s="147"/>
      <c r="Q500" s="147"/>
      <c r="R500" s="147"/>
      <c r="S500" s="147"/>
      <c r="T500" s="147"/>
      <c r="U500" s="147"/>
      <c r="V500" s="147"/>
      <c r="W500" s="147"/>
      <c r="X500" s="147"/>
      <c r="Y500" s="147"/>
      <c r="Z500" s="147"/>
    </row>
    <row r="501">
      <c r="A501" s="147"/>
      <c r="B501" s="147"/>
      <c r="C501" s="147"/>
      <c r="D501" s="147"/>
      <c r="E501" s="147"/>
      <c r="F501" s="147"/>
      <c r="G501" s="147"/>
      <c r="H501" s="147"/>
      <c r="I501" s="190"/>
      <c r="J501" s="147"/>
      <c r="K501" s="147"/>
      <c r="L501" s="147"/>
      <c r="M501" s="147"/>
      <c r="N501" s="147"/>
      <c r="O501" s="147"/>
      <c r="P501" s="147"/>
      <c r="Q501" s="147"/>
      <c r="R501" s="147"/>
      <c r="S501" s="147"/>
      <c r="T501" s="147"/>
      <c r="U501" s="147"/>
      <c r="V501" s="147"/>
      <c r="W501" s="147"/>
      <c r="X501" s="147"/>
      <c r="Y501" s="147"/>
      <c r="Z501" s="147"/>
    </row>
    <row r="502">
      <c r="A502" s="147"/>
      <c r="B502" s="147"/>
      <c r="C502" s="147"/>
      <c r="D502" s="147"/>
      <c r="E502" s="147"/>
      <c r="F502" s="147"/>
      <c r="G502" s="147"/>
      <c r="H502" s="147"/>
      <c r="I502" s="190"/>
      <c r="J502" s="147"/>
      <c r="K502" s="147"/>
      <c r="L502" s="147"/>
      <c r="M502" s="147"/>
      <c r="N502" s="147"/>
      <c r="O502" s="147"/>
      <c r="P502" s="147"/>
      <c r="Q502" s="147"/>
      <c r="R502" s="147"/>
      <c r="S502" s="147"/>
      <c r="T502" s="147"/>
      <c r="U502" s="147"/>
      <c r="V502" s="147"/>
      <c r="W502" s="147"/>
      <c r="X502" s="147"/>
      <c r="Y502" s="147"/>
      <c r="Z502" s="147"/>
    </row>
    <row r="503">
      <c r="A503" s="147"/>
      <c r="B503" s="147"/>
      <c r="C503" s="147"/>
      <c r="D503" s="147"/>
      <c r="E503" s="147"/>
      <c r="F503" s="147"/>
      <c r="G503" s="147"/>
      <c r="H503" s="147"/>
      <c r="I503" s="190"/>
      <c r="J503" s="147"/>
      <c r="K503" s="147"/>
      <c r="L503" s="147"/>
      <c r="M503" s="147"/>
      <c r="N503" s="147"/>
      <c r="O503" s="147"/>
      <c r="P503" s="147"/>
      <c r="Q503" s="147"/>
      <c r="R503" s="147"/>
      <c r="S503" s="147"/>
      <c r="T503" s="147"/>
      <c r="U503" s="147"/>
      <c r="V503" s="147"/>
      <c r="W503" s="147"/>
      <c r="X503" s="147"/>
      <c r="Y503" s="147"/>
      <c r="Z503" s="147"/>
    </row>
    <row r="504">
      <c r="A504" s="147"/>
      <c r="B504" s="147"/>
      <c r="C504" s="147"/>
      <c r="D504" s="147"/>
      <c r="E504" s="147"/>
      <c r="F504" s="147"/>
      <c r="G504" s="147"/>
      <c r="H504" s="147"/>
      <c r="I504" s="190"/>
      <c r="J504" s="147"/>
      <c r="K504" s="147"/>
      <c r="L504" s="147"/>
      <c r="M504" s="147"/>
      <c r="N504" s="147"/>
      <c r="O504" s="147"/>
      <c r="P504" s="147"/>
      <c r="Q504" s="147"/>
      <c r="R504" s="147"/>
      <c r="S504" s="147"/>
      <c r="T504" s="147"/>
      <c r="U504" s="147"/>
      <c r="V504" s="147"/>
      <c r="W504" s="147"/>
      <c r="X504" s="147"/>
      <c r="Y504" s="147"/>
      <c r="Z504" s="147"/>
    </row>
    <row r="505">
      <c r="A505" s="147"/>
      <c r="B505" s="147"/>
      <c r="C505" s="147"/>
      <c r="D505" s="147"/>
      <c r="E505" s="147"/>
      <c r="F505" s="147"/>
      <c r="G505" s="147"/>
      <c r="H505" s="147"/>
      <c r="I505" s="190"/>
      <c r="J505" s="147"/>
      <c r="K505" s="147"/>
      <c r="L505" s="147"/>
      <c r="M505" s="147"/>
      <c r="N505" s="147"/>
      <c r="O505" s="147"/>
      <c r="P505" s="147"/>
      <c r="Q505" s="147"/>
      <c r="R505" s="147"/>
      <c r="S505" s="147"/>
      <c r="T505" s="147"/>
      <c r="U505" s="147"/>
      <c r="V505" s="147"/>
      <c r="W505" s="147"/>
      <c r="X505" s="147"/>
      <c r="Y505" s="147"/>
      <c r="Z505" s="147"/>
    </row>
    <row r="506">
      <c r="A506" s="147"/>
      <c r="B506" s="147"/>
      <c r="C506" s="147"/>
      <c r="D506" s="147"/>
      <c r="E506" s="147"/>
      <c r="F506" s="147"/>
      <c r="G506" s="147"/>
      <c r="H506" s="147"/>
      <c r="I506" s="190"/>
      <c r="J506" s="147"/>
      <c r="K506" s="147"/>
      <c r="L506" s="147"/>
      <c r="M506" s="147"/>
      <c r="N506" s="147"/>
      <c r="O506" s="147"/>
      <c r="P506" s="147"/>
      <c r="Q506" s="147"/>
      <c r="R506" s="147"/>
      <c r="S506" s="147"/>
      <c r="T506" s="147"/>
      <c r="U506" s="147"/>
      <c r="V506" s="147"/>
      <c r="W506" s="147"/>
      <c r="X506" s="147"/>
      <c r="Y506" s="147"/>
      <c r="Z506" s="147"/>
    </row>
    <row r="507">
      <c r="A507" s="147"/>
      <c r="B507" s="147"/>
      <c r="C507" s="147"/>
      <c r="D507" s="147"/>
      <c r="E507" s="147"/>
      <c r="F507" s="147"/>
      <c r="G507" s="147"/>
      <c r="H507" s="147"/>
      <c r="I507" s="190"/>
      <c r="J507" s="147"/>
      <c r="K507" s="147"/>
      <c r="L507" s="147"/>
      <c r="M507" s="147"/>
      <c r="N507" s="147"/>
      <c r="O507" s="147"/>
      <c r="P507" s="147"/>
      <c r="Q507" s="147"/>
      <c r="R507" s="147"/>
      <c r="S507" s="147"/>
      <c r="T507" s="147"/>
      <c r="U507" s="147"/>
      <c r="V507" s="147"/>
      <c r="W507" s="147"/>
      <c r="X507" s="147"/>
      <c r="Y507" s="147"/>
      <c r="Z507" s="147"/>
    </row>
    <row r="508">
      <c r="A508" s="147"/>
      <c r="B508" s="147"/>
      <c r="C508" s="147"/>
      <c r="D508" s="147"/>
      <c r="E508" s="147"/>
      <c r="F508" s="147"/>
      <c r="G508" s="147"/>
      <c r="H508" s="147"/>
      <c r="I508" s="190"/>
      <c r="J508" s="147"/>
      <c r="K508" s="147"/>
      <c r="L508" s="147"/>
      <c r="M508" s="147"/>
      <c r="N508" s="147"/>
      <c r="O508" s="147"/>
      <c r="P508" s="147"/>
      <c r="Q508" s="147"/>
      <c r="R508" s="147"/>
      <c r="S508" s="147"/>
      <c r="T508" s="147"/>
      <c r="U508" s="147"/>
      <c r="V508" s="147"/>
      <c r="W508" s="147"/>
      <c r="X508" s="147"/>
      <c r="Y508" s="147"/>
      <c r="Z508" s="147"/>
    </row>
    <row r="509">
      <c r="A509" s="147"/>
      <c r="B509" s="147"/>
      <c r="C509" s="147"/>
      <c r="D509" s="147"/>
      <c r="E509" s="147"/>
      <c r="F509" s="147"/>
      <c r="G509" s="147"/>
      <c r="H509" s="147"/>
      <c r="I509" s="190"/>
      <c r="J509" s="147"/>
      <c r="K509" s="147"/>
      <c r="L509" s="147"/>
      <c r="M509" s="147"/>
      <c r="N509" s="147"/>
      <c r="O509" s="147"/>
      <c r="P509" s="147"/>
      <c r="Q509" s="147"/>
      <c r="R509" s="147"/>
      <c r="S509" s="147"/>
      <c r="T509" s="147"/>
      <c r="U509" s="147"/>
      <c r="V509" s="147"/>
      <c r="W509" s="147"/>
      <c r="X509" s="147"/>
      <c r="Y509" s="147"/>
      <c r="Z509" s="147"/>
    </row>
    <row r="510">
      <c r="A510" s="147"/>
      <c r="B510" s="147"/>
      <c r="C510" s="147"/>
      <c r="D510" s="147"/>
      <c r="E510" s="147"/>
      <c r="F510" s="147"/>
      <c r="G510" s="147"/>
      <c r="H510" s="147"/>
      <c r="I510" s="190"/>
      <c r="J510" s="147"/>
      <c r="K510" s="147"/>
      <c r="L510" s="147"/>
      <c r="M510" s="147"/>
      <c r="N510" s="147"/>
      <c r="O510" s="147"/>
      <c r="P510" s="147"/>
      <c r="Q510" s="147"/>
      <c r="R510" s="147"/>
      <c r="S510" s="147"/>
      <c r="T510" s="147"/>
      <c r="U510" s="147"/>
      <c r="V510" s="147"/>
      <c r="W510" s="147"/>
      <c r="X510" s="147"/>
      <c r="Y510" s="147"/>
      <c r="Z510" s="147"/>
    </row>
    <row r="511">
      <c r="A511" s="147"/>
      <c r="B511" s="147"/>
      <c r="C511" s="147"/>
      <c r="D511" s="147"/>
      <c r="E511" s="147"/>
      <c r="F511" s="147"/>
      <c r="G511" s="147"/>
      <c r="H511" s="147"/>
      <c r="I511" s="190"/>
      <c r="J511" s="147"/>
      <c r="K511" s="147"/>
      <c r="L511" s="147"/>
      <c r="M511" s="147"/>
      <c r="N511" s="147"/>
      <c r="O511" s="147"/>
      <c r="P511" s="147"/>
      <c r="Q511" s="147"/>
      <c r="R511" s="147"/>
      <c r="S511" s="147"/>
      <c r="T511" s="147"/>
      <c r="U511" s="147"/>
      <c r="V511" s="147"/>
      <c r="W511" s="147"/>
      <c r="X511" s="147"/>
      <c r="Y511" s="147"/>
      <c r="Z511" s="147"/>
    </row>
    <row r="512">
      <c r="A512" s="147"/>
      <c r="B512" s="147"/>
      <c r="C512" s="147"/>
      <c r="D512" s="147"/>
      <c r="E512" s="147"/>
      <c r="F512" s="147"/>
      <c r="G512" s="147"/>
      <c r="H512" s="147"/>
      <c r="I512" s="190"/>
      <c r="J512" s="147"/>
      <c r="K512" s="147"/>
      <c r="L512" s="147"/>
      <c r="M512" s="147"/>
      <c r="N512" s="147"/>
      <c r="O512" s="147"/>
      <c r="P512" s="147"/>
      <c r="Q512" s="147"/>
      <c r="R512" s="147"/>
      <c r="S512" s="147"/>
      <c r="T512" s="147"/>
      <c r="U512" s="147"/>
      <c r="V512" s="147"/>
      <c r="W512" s="147"/>
      <c r="X512" s="147"/>
      <c r="Y512" s="147"/>
      <c r="Z512" s="147"/>
    </row>
    <row r="513">
      <c r="A513" s="147"/>
      <c r="B513" s="147"/>
      <c r="C513" s="147"/>
      <c r="D513" s="147"/>
      <c r="E513" s="147"/>
      <c r="F513" s="147"/>
      <c r="G513" s="147"/>
      <c r="H513" s="147"/>
      <c r="I513" s="190"/>
      <c r="J513" s="147"/>
      <c r="K513" s="147"/>
      <c r="L513" s="147"/>
      <c r="M513" s="147"/>
      <c r="N513" s="147"/>
      <c r="O513" s="147"/>
      <c r="P513" s="147"/>
      <c r="Q513" s="147"/>
      <c r="R513" s="147"/>
      <c r="S513" s="147"/>
      <c r="T513" s="147"/>
      <c r="U513" s="147"/>
      <c r="V513" s="147"/>
      <c r="W513" s="147"/>
      <c r="X513" s="147"/>
      <c r="Y513" s="147"/>
      <c r="Z513" s="147"/>
    </row>
    <row r="514">
      <c r="A514" s="147"/>
      <c r="B514" s="147"/>
      <c r="C514" s="147"/>
      <c r="D514" s="147"/>
      <c r="E514" s="147"/>
      <c r="F514" s="147"/>
      <c r="G514" s="147"/>
      <c r="H514" s="147"/>
      <c r="I514" s="190"/>
      <c r="J514" s="147"/>
      <c r="K514" s="147"/>
      <c r="L514" s="147"/>
      <c r="M514" s="147"/>
      <c r="N514" s="147"/>
      <c r="O514" s="147"/>
      <c r="P514" s="147"/>
      <c r="Q514" s="147"/>
      <c r="R514" s="147"/>
      <c r="S514" s="147"/>
      <c r="T514" s="147"/>
      <c r="U514" s="147"/>
      <c r="V514" s="147"/>
      <c r="W514" s="147"/>
      <c r="X514" s="147"/>
      <c r="Y514" s="147"/>
      <c r="Z514" s="147"/>
    </row>
    <row r="515">
      <c r="A515" s="147"/>
      <c r="B515" s="147"/>
      <c r="C515" s="147"/>
      <c r="D515" s="147"/>
      <c r="E515" s="147"/>
      <c r="F515" s="147"/>
      <c r="G515" s="147"/>
      <c r="H515" s="147"/>
      <c r="I515" s="190"/>
      <c r="J515" s="147"/>
      <c r="K515" s="147"/>
      <c r="L515" s="147"/>
      <c r="M515" s="147"/>
      <c r="N515" s="147"/>
      <c r="O515" s="147"/>
      <c r="P515" s="147"/>
      <c r="Q515" s="147"/>
      <c r="R515" s="147"/>
      <c r="S515" s="147"/>
      <c r="T515" s="147"/>
      <c r="U515" s="147"/>
      <c r="V515" s="147"/>
      <c r="W515" s="147"/>
      <c r="X515" s="147"/>
      <c r="Y515" s="147"/>
      <c r="Z515" s="147"/>
    </row>
    <row r="516">
      <c r="A516" s="147"/>
      <c r="B516" s="147"/>
      <c r="C516" s="147"/>
      <c r="D516" s="147"/>
      <c r="E516" s="147"/>
      <c r="F516" s="147"/>
      <c r="G516" s="147"/>
      <c r="H516" s="147"/>
      <c r="I516" s="190"/>
      <c r="J516" s="147"/>
      <c r="K516" s="147"/>
      <c r="L516" s="147"/>
      <c r="M516" s="147"/>
      <c r="N516" s="147"/>
      <c r="O516" s="147"/>
      <c r="P516" s="147"/>
      <c r="Q516" s="147"/>
      <c r="R516" s="147"/>
      <c r="S516" s="147"/>
      <c r="T516" s="147"/>
      <c r="U516" s="147"/>
      <c r="V516" s="147"/>
      <c r="W516" s="147"/>
      <c r="X516" s="147"/>
      <c r="Y516" s="147"/>
      <c r="Z516" s="147"/>
    </row>
    <row r="517">
      <c r="A517" s="147"/>
      <c r="B517" s="147"/>
      <c r="C517" s="147"/>
      <c r="D517" s="147"/>
      <c r="E517" s="147"/>
      <c r="F517" s="147"/>
      <c r="G517" s="147"/>
      <c r="H517" s="147"/>
      <c r="I517" s="190"/>
      <c r="J517" s="147"/>
      <c r="K517" s="147"/>
      <c r="L517" s="147"/>
      <c r="M517" s="147"/>
      <c r="N517" s="147"/>
      <c r="O517" s="147"/>
      <c r="P517" s="147"/>
      <c r="Q517" s="147"/>
      <c r="R517" s="147"/>
      <c r="S517" s="147"/>
      <c r="T517" s="147"/>
      <c r="U517" s="147"/>
      <c r="V517" s="147"/>
      <c r="W517" s="147"/>
      <c r="X517" s="147"/>
      <c r="Y517" s="147"/>
      <c r="Z517" s="147"/>
    </row>
    <row r="518">
      <c r="A518" s="147"/>
      <c r="B518" s="147"/>
      <c r="C518" s="147"/>
      <c r="D518" s="147"/>
      <c r="E518" s="147"/>
      <c r="F518" s="147"/>
      <c r="G518" s="147"/>
      <c r="H518" s="147"/>
      <c r="I518" s="190"/>
      <c r="J518" s="147"/>
      <c r="K518" s="147"/>
      <c r="L518" s="147"/>
      <c r="M518" s="147"/>
      <c r="N518" s="147"/>
      <c r="O518" s="147"/>
      <c r="P518" s="147"/>
      <c r="Q518" s="147"/>
      <c r="R518" s="147"/>
      <c r="S518" s="147"/>
      <c r="T518" s="147"/>
      <c r="U518" s="147"/>
      <c r="V518" s="147"/>
      <c r="W518" s="147"/>
      <c r="X518" s="147"/>
      <c r="Y518" s="147"/>
      <c r="Z518" s="147"/>
    </row>
    <row r="519">
      <c r="A519" s="147"/>
      <c r="B519" s="147"/>
      <c r="C519" s="147"/>
      <c r="D519" s="147"/>
      <c r="E519" s="147"/>
      <c r="F519" s="147"/>
      <c r="G519" s="147"/>
      <c r="H519" s="147"/>
      <c r="I519" s="190"/>
      <c r="J519" s="147"/>
      <c r="K519" s="147"/>
      <c r="L519" s="147"/>
      <c r="M519" s="147"/>
      <c r="N519" s="147"/>
      <c r="O519" s="147"/>
      <c r="P519" s="147"/>
      <c r="Q519" s="147"/>
      <c r="R519" s="147"/>
      <c r="S519" s="147"/>
      <c r="T519" s="147"/>
      <c r="U519" s="147"/>
      <c r="V519" s="147"/>
      <c r="W519" s="147"/>
      <c r="X519" s="147"/>
      <c r="Y519" s="147"/>
      <c r="Z519" s="147"/>
    </row>
    <row r="520">
      <c r="A520" s="147"/>
      <c r="B520" s="147"/>
      <c r="C520" s="147"/>
      <c r="D520" s="147"/>
      <c r="E520" s="147"/>
      <c r="F520" s="147"/>
      <c r="G520" s="147"/>
      <c r="H520" s="147"/>
      <c r="I520" s="190"/>
      <c r="J520" s="147"/>
      <c r="K520" s="147"/>
      <c r="L520" s="147"/>
      <c r="M520" s="147"/>
      <c r="N520" s="147"/>
      <c r="O520" s="147"/>
      <c r="P520" s="147"/>
      <c r="Q520" s="147"/>
      <c r="R520" s="147"/>
      <c r="S520" s="147"/>
      <c r="T520" s="147"/>
      <c r="U520" s="147"/>
      <c r="V520" s="147"/>
      <c r="W520" s="147"/>
      <c r="X520" s="147"/>
      <c r="Y520" s="147"/>
      <c r="Z520" s="147"/>
    </row>
    <row r="521">
      <c r="A521" s="147"/>
      <c r="B521" s="147"/>
      <c r="C521" s="147"/>
      <c r="D521" s="147"/>
      <c r="E521" s="147"/>
      <c r="F521" s="147"/>
      <c r="G521" s="147"/>
      <c r="H521" s="147"/>
      <c r="I521" s="190"/>
      <c r="J521" s="147"/>
      <c r="K521" s="147"/>
      <c r="L521" s="147"/>
      <c r="M521" s="147"/>
      <c r="N521" s="147"/>
      <c r="O521" s="147"/>
      <c r="P521" s="147"/>
      <c r="Q521" s="147"/>
      <c r="R521" s="147"/>
      <c r="S521" s="147"/>
      <c r="T521" s="147"/>
      <c r="U521" s="147"/>
      <c r="V521" s="147"/>
      <c r="W521" s="147"/>
      <c r="X521" s="147"/>
      <c r="Y521" s="147"/>
      <c r="Z521" s="147"/>
    </row>
    <row r="522">
      <c r="A522" s="147"/>
      <c r="B522" s="147"/>
      <c r="C522" s="147"/>
      <c r="D522" s="147"/>
      <c r="E522" s="147"/>
      <c r="F522" s="147"/>
      <c r="G522" s="147"/>
      <c r="H522" s="147"/>
      <c r="I522" s="190"/>
      <c r="J522" s="147"/>
      <c r="K522" s="147"/>
      <c r="L522" s="147"/>
      <c r="M522" s="147"/>
      <c r="N522" s="147"/>
      <c r="O522" s="147"/>
      <c r="P522" s="147"/>
      <c r="Q522" s="147"/>
      <c r="R522" s="147"/>
      <c r="S522" s="147"/>
      <c r="T522" s="147"/>
      <c r="U522" s="147"/>
      <c r="V522" s="147"/>
      <c r="W522" s="147"/>
      <c r="X522" s="147"/>
      <c r="Y522" s="147"/>
      <c r="Z522" s="147"/>
    </row>
    <row r="523">
      <c r="A523" s="147"/>
      <c r="B523" s="147"/>
      <c r="C523" s="147"/>
      <c r="D523" s="147"/>
      <c r="E523" s="147"/>
      <c r="F523" s="147"/>
      <c r="G523" s="147"/>
      <c r="H523" s="147"/>
      <c r="I523" s="190"/>
      <c r="J523" s="147"/>
      <c r="K523" s="147"/>
      <c r="L523" s="147"/>
      <c r="M523" s="147"/>
      <c r="N523" s="147"/>
      <c r="O523" s="147"/>
      <c r="P523" s="147"/>
      <c r="Q523" s="147"/>
      <c r="R523" s="147"/>
      <c r="S523" s="147"/>
      <c r="T523" s="147"/>
      <c r="U523" s="147"/>
      <c r="V523" s="147"/>
      <c r="W523" s="147"/>
      <c r="X523" s="147"/>
      <c r="Y523" s="147"/>
      <c r="Z523" s="147"/>
    </row>
    <row r="524">
      <c r="A524" s="147"/>
      <c r="B524" s="147"/>
      <c r="C524" s="147"/>
      <c r="D524" s="147"/>
      <c r="E524" s="147"/>
      <c r="F524" s="147"/>
      <c r="G524" s="147"/>
      <c r="H524" s="147"/>
      <c r="I524" s="190"/>
      <c r="J524" s="147"/>
      <c r="K524" s="147"/>
      <c r="L524" s="147"/>
      <c r="M524" s="147"/>
      <c r="N524" s="147"/>
      <c r="O524" s="147"/>
      <c r="P524" s="147"/>
      <c r="Q524" s="147"/>
      <c r="R524" s="147"/>
      <c r="S524" s="147"/>
      <c r="T524" s="147"/>
      <c r="U524" s="147"/>
      <c r="V524" s="147"/>
      <c r="W524" s="147"/>
      <c r="X524" s="147"/>
      <c r="Y524" s="147"/>
      <c r="Z524" s="147"/>
    </row>
    <row r="525">
      <c r="A525" s="147"/>
      <c r="B525" s="147"/>
      <c r="C525" s="147"/>
      <c r="D525" s="147"/>
      <c r="E525" s="147"/>
      <c r="F525" s="147"/>
      <c r="G525" s="147"/>
      <c r="H525" s="147"/>
      <c r="I525" s="190"/>
      <c r="J525" s="147"/>
      <c r="K525" s="147"/>
      <c r="L525" s="147"/>
      <c r="M525" s="147"/>
      <c r="N525" s="147"/>
      <c r="O525" s="147"/>
      <c r="P525" s="147"/>
      <c r="Q525" s="147"/>
      <c r="R525" s="147"/>
      <c r="S525" s="147"/>
      <c r="T525" s="147"/>
      <c r="U525" s="147"/>
      <c r="V525" s="147"/>
      <c r="W525" s="147"/>
      <c r="X525" s="147"/>
      <c r="Y525" s="147"/>
      <c r="Z525" s="147"/>
    </row>
    <row r="526">
      <c r="A526" s="147"/>
      <c r="B526" s="147"/>
      <c r="C526" s="147"/>
      <c r="D526" s="147"/>
      <c r="E526" s="147"/>
      <c r="F526" s="147"/>
      <c r="G526" s="147"/>
      <c r="H526" s="147"/>
      <c r="I526" s="190"/>
      <c r="J526" s="147"/>
      <c r="K526" s="147"/>
      <c r="L526" s="147"/>
      <c r="M526" s="147"/>
      <c r="N526" s="147"/>
      <c r="O526" s="147"/>
      <c r="P526" s="147"/>
      <c r="Q526" s="147"/>
      <c r="R526" s="147"/>
      <c r="S526" s="147"/>
      <c r="T526" s="147"/>
      <c r="U526" s="147"/>
      <c r="V526" s="147"/>
      <c r="W526" s="147"/>
      <c r="X526" s="147"/>
      <c r="Y526" s="147"/>
      <c r="Z526" s="147"/>
    </row>
    <row r="527">
      <c r="A527" s="147"/>
      <c r="B527" s="147"/>
      <c r="C527" s="147"/>
      <c r="D527" s="147"/>
      <c r="E527" s="147"/>
      <c r="F527" s="147"/>
      <c r="G527" s="147"/>
      <c r="H527" s="147"/>
      <c r="I527" s="190"/>
      <c r="J527" s="147"/>
      <c r="K527" s="147"/>
      <c r="L527" s="147"/>
      <c r="M527" s="147"/>
      <c r="N527" s="147"/>
      <c r="O527" s="147"/>
      <c r="P527" s="147"/>
      <c r="Q527" s="147"/>
      <c r="R527" s="147"/>
      <c r="S527" s="147"/>
      <c r="T527" s="147"/>
      <c r="U527" s="147"/>
      <c r="V527" s="147"/>
      <c r="W527" s="147"/>
      <c r="X527" s="147"/>
      <c r="Y527" s="147"/>
      <c r="Z527" s="147"/>
    </row>
    <row r="528">
      <c r="A528" s="147"/>
      <c r="B528" s="147"/>
      <c r="C528" s="147"/>
      <c r="D528" s="147"/>
      <c r="E528" s="147"/>
      <c r="F528" s="147"/>
      <c r="G528" s="147"/>
      <c r="H528" s="147"/>
      <c r="I528" s="190"/>
      <c r="J528" s="147"/>
      <c r="K528" s="147"/>
      <c r="L528" s="147"/>
      <c r="M528" s="147"/>
      <c r="N528" s="147"/>
      <c r="O528" s="147"/>
      <c r="P528" s="147"/>
      <c r="Q528" s="147"/>
      <c r="R528" s="147"/>
      <c r="S528" s="147"/>
      <c r="T528" s="147"/>
      <c r="U528" s="147"/>
      <c r="V528" s="147"/>
      <c r="W528" s="147"/>
      <c r="X528" s="147"/>
      <c r="Y528" s="147"/>
      <c r="Z528" s="147"/>
    </row>
    <row r="529">
      <c r="A529" s="147"/>
      <c r="B529" s="147"/>
      <c r="C529" s="147"/>
      <c r="D529" s="147"/>
      <c r="E529" s="147"/>
      <c r="F529" s="147"/>
      <c r="G529" s="147"/>
      <c r="H529" s="147"/>
      <c r="I529" s="190"/>
      <c r="J529" s="147"/>
      <c r="K529" s="147"/>
      <c r="L529" s="147"/>
      <c r="M529" s="147"/>
      <c r="N529" s="147"/>
      <c r="O529" s="147"/>
      <c r="P529" s="147"/>
      <c r="Q529" s="147"/>
      <c r="R529" s="147"/>
      <c r="S529" s="147"/>
      <c r="T529" s="147"/>
      <c r="U529" s="147"/>
      <c r="V529" s="147"/>
      <c r="W529" s="147"/>
      <c r="X529" s="147"/>
      <c r="Y529" s="147"/>
      <c r="Z529" s="147"/>
    </row>
    <row r="530">
      <c r="A530" s="147"/>
      <c r="B530" s="147"/>
      <c r="C530" s="147"/>
      <c r="D530" s="147"/>
      <c r="E530" s="147"/>
      <c r="F530" s="147"/>
      <c r="G530" s="147"/>
      <c r="H530" s="147"/>
      <c r="I530" s="190"/>
      <c r="J530" s="147"/>
      <c r="K530" s="147"/>
      <c r="L530" s="147"/>
      <c r="M530" s="147"/>
      <c r="N530" s="147"/>
      <c r="O530" s="147"/>
      <c r="P530" s="147"/>
      <c r="Q530" s="147"/>
      <c r="R530" s="147"/>
      <c r="S530" s="147"/>
      <c r="T530" s="147"/>
      <c r="U530" s="147"/>
      <c r="V530" s="147"/>
      <c r="W530" s="147"/>
      <c r="X530" s="147"/>
      <c r="Y530" s="147"/>
      <c r="Z530" s="147"/>
    </row>
    <row r="531">
      <c r="A531" s="147"/>
      <c r="B531" s="147"/>
      <c r="C531" s="147"/>
      <c r="D531" s="147"/>
      <c r="E531" s="147"/>
      <c r="F531" s="147"/>
      <c r="G531" s="147"/>
      <c r="H531" s="147"/>
      <c r="I531" s="190"/>
      <c r="J531" s="147"/>
      <c r="K531" s="147"/>
      <c r="L531" s="147"/>
      <c r="M531" s="147"/>
      <c r="N531" s="147"/>
      <c r="O531" s="147"/>
      <c r="P531" s="147"/>
      <c r="Q531" s="147"/>
      <c r="R531" s="147"/>
      <c r="S531" s="147"/>
      <c r="T531" s="147"/>
      <c r="U531" s="147"/>
      <c r="V531" s="147"/>
      <c r="W531" s="147"/>
      <c r="X531" s="147"/>
      <c r="Y531" s="147"/>
      <c r="Z531" s="147"/>
    </row>
    <row r="532">
      <c r="A532" s="147"/>
      <c r="B532" s="147"/>
      <c r="C532" s="147"/>
      <c r="D532" s="147"/>
      <c r="E532" s="147"/>
      <c r="F532" s="147"/>
      <c r="G532" s="147"/>
      <c r="H532" s="147"/>
      <c r="I532" s="190"/>
      <c r="J532" s="147"/>
      <c r="K532" s="147"/>
      <c r="L532" s="147"/>
      <c r="M532" s="147"/>
      <c r="N532" s="147"/>
      <c r="O532" s="147"/>
      <c r="P532" s="147"/>
      <c r="Q532" s="147"/>
      <c r="R532" s="147"/>
      <c r="S532" s="147"/>
      <c r="T532" s="147"/>
      <c r="U532" s="147"/>
      <c r="V532" s="147"/>
      <c r="W532" s="147"/>
      <c r="X532" s="147"/>
      <c r="Y532" s="147"/>
      <c r="Z532" s="147"/>
    </row>
    <row r="533">
      <c r="A533" s="147"/>
      <c r="B533" s="147"/>
      <c r="C533" s="147"/>
      <c r="D533" s="147"/>
      <c r="E533" s="147"/>
      <c r="F533" s="147"/>
      <c r="G533" s="147"/>
      <c r="H533" s="147"/>
      <c r="I533" s="190"/>
      <c r="J533" s="147"/>
      <c r="K533" s="147"/>
      <c r="L533" s="147"/>
      <c r="M533" s="147"/>
      <c r="N533" s="147"/>
      <c r="O533" s="147"/>
      <c r="P533" s="147"/>
      <c r="Q533" s="147"/>
      <c r="R533" s="147"/>
      <c r="S533" s="147"/>
      <c r="T533" s="147"/>
      <c r="U533" s="147"/>
      <c r="V533" s="147"/>
      <c r="W533" s="147"/>
      <c r="X533" s="147"/>
      <c r="Y533" s="147"/>
      <c r="Z533" s="147"/>
    </row>
    <row r="534">
      <c r="A534" s="147"/>
      <c r="B534" s="147"/>
      <c r="C534" s="147"/>
      <c r="D534" s="147"/>
      <c r="E534" s="147"/>
      <c r="F534" s="147"/>
      <c r="G534" s="147"/>
      <c r="H534" s="147"/>
      <c r="I534" s="190"/>
      <c r="J534" s="147"/>
      <c r="K534" s="147"/>
      <c r="L534" s="147"/>
      <c r="M534" s="147"/>
      <c r="N534" s="147"/>
      <c r="O534" s="147"/>
      <c r="P534" s="147"/>
      <c r="Q534" s="147"/>
      <c r="R534" s="147"/>
      <c r="S534" s="147"/>
      <c r="T534" s="147"/>
      <c r="U534" s="147"/>
      <c r="V534" s="147"/>
      <c r="W534" s="147"/>
      <c r="X534" s="147"/>
      <c r="Y534" s="147"/>
      <c r="Z534" s="147"/>
    </row>
    <row r="535">
      <c r="A535" s="147"/>
      <c r="B535" s="147"/>
      <c r="C535" s="147"/>
      <c r="D535" s="147"/>
      <c r="E535" s="147"/>
      <c r="F535" s="147"/>
      <c r="G535" s="147"/>
      <c r="H535" s="147"/>
      <c r="I535" s="190"/>
      <c r="J535" s="147"/>
      <c r="K535" s="147"/>
      <c r="L535" s="147"/>
      <c r="M535" s="147"/>
      <c r="N535" s="147"/>
      <c r="O535" s="147"/>
      <c r="P535" s="147"/>
      <c r="Q535" s="147"/>
      <c r="R535" s="147"/>
      <c r="S535" s="147"/>
      <c r="T535" s="147"/>
      <c r="U535" s="147"/>
      <c r="V535" s="147"/>
      <c r="W535" s="147"/>
      <c r="X535" s="147"/>
      <c r="Y535" s="147"/>
      <c r="Z535" s="147"/>
    </row>
    <row r="536">
      <c r="A536" s="147"/>
      <c r="B536" s="147"/>
      <c r="C536" s="147"/>
      <c r="D536" s="147"/>
      <c r="E536" s="147"/>
      <c r="F536" s="147"/>
      <c r="G536" s="147"/>
      <c r="H536" s="147"/>
      <c r="I536" s="190"/>
      <c r="J536" s="147"/>
      <c r="K536" s="147"/>
      <c r="L536" s="147"/>
      <c r="M536" s="147"/>
      <c r="N536" s="147"/>
      <c r="O536" s="147"/>
      <c r="P536" s="147"/>
      <c r="Q536" s="147"/>
      <c r="R536" s="147"/>
      <c r="S536" s="147"/>
      <c r="T536" s="147"/>
      <c r="U536" s="147"/>
      <c r="V536" s="147"/>
      <c r="W536" s="147"/>
      <c r="X536" s="147"/>
      <c r="Y536" s="147"/>
      <c r="Z536" s="147"/>
    </row>
    <row r="537">
      <c r="A537" s="147"/>
      <c r="B537" s="147"/>
      <c r="C537" s="147"/>
      <c r="D537" s="147"/>
      <c r="E537" s="147"/>
      <c r="F537" s="147"/>
      <c r="G537" s="147"/>
      <c r="H537" s="147"/>
      <c r="I537" s="190"/>
      <c r="J537" s="147"/>
      <c r="K537" s="147"/>
      <c r="L537" s="147"/>
      <c r="M537" s="147"/>
      <c r="N537" s="147"/>
      <c r="O537" s="147"/>
      <c r="P537" s="147"/>
      <c r="Q537" s="147"/>
      <c r="R537" s="147"/>
      <c r="S537" s="147"/>
      <c r="T537" s="147"/>
      <c r="U537" s="147"/>
      <c r="V537" s="147"/>
      <c r="W537" s="147"/>
      <c r="X537" s="147"/>
      <c r="Y537" s="147"/>
      <c r="Z537" s="147"/>
    </row>
    <row r="538">
      <c r="A538" s="147"/>
      <c r="B538" s="147"/>
      <c r="C538" s="147"/>
      <c r="D538" s="147"/>
      <c r="E538" s="147"/>
      <c r="F538" s="147"/>
      <c r="G538" s="147"/>
      <c r="H538" s="147"/>
      <c r="I538" s="190"/>
      <c r="J538" s="147"/>
      <c r="K538" s="147"/>
      <c r="L538" s="147"/>
      <c r="M538" s="147"/>
      <c r="N538" s="147"/>
      <c r="O538" s="147"/>
      <c r="P538" s="147"/>
      <c r="Q538" s="147"/>
      <c r="R538" s="147"/>
      <c r="S538" s="147"/>
      <c r="T538" s="147"/>
      <c r="U538" s="147"/>
      <c r="V538" s="147"/>
      <c r="W538" s="147"/>
      <c r="X538" s="147"/>
      <c r="Y538" s="147"/>
      <c r="Z538" s="147"/>
    </row>
    <row r="539">
      <c r="A539" s="147"/>
      <c r="B539" s="147"/>
      <c r="C539" s="147"/>
      <c r="D539" s="147"/>
      <c r="E539" s="147"/>
      <c r="F539" s="147"/>
      <c r="G539" s="147"/>
      <c r="H539" s="147"/>
      <c r="I539" s="190"/>
      <c r="J539" s="147"/>
      <c r="K539" s="147"/>
      <c r="L539" s="147"/>
      <c r="M539" s="147"/>
      <c r="N539" s="147"/>
      <c r="O539" s="147"/>
      <c r="P539" s="147"/>
      <c r="Q539" s="147"/>
      <c r="R539" s="147"/>
      <c r="S539" s="147"/>
      <c r="T539" s="147"/>
      <c r="U539" s="147"/>
      <c r="V539" s="147"/>
      <c r="W539" s="147"/>
      <c r="X539" s="147"/>
      <c r="Y539" s="147"/>
      <c r="Z539" s="147"/>
    </row>
    <row r="540">
      <c r="A540" s="147"/>
      <c r="B540" s="147"/>
      <c r="C540" s="147"/>
      <c r="D540" s="147"/>
      <c r="E540" s="147"/>
      <c r="F540" s="147"/>
      <c r="G540" s="147"/>
      <c r="H540" s="147"/>
      <c r="I540" s="190"/>
      <c r="J540" s="147"/>
      <c r="K540" s="147"/>
      <c r="L540" s="147"/>
      <c r="M540" s="147"/>
      <c r="N540" s="147"/>
      <c r="O540" s="147"/>
      <c r="P540" s="147"/>
      <c r="Q540" s="147"/>
      <c r="R540" s="147"/>
      <c r="S540" s="147"/>
      <c r="T540" s="147"/>
      <c r="U540" s="147"/>
      <c r="V540" s="147"/>
      <c r="W540" s="147"/>
      <c r="X540" s="147"/>
      <c r="Y540" s="147"/>
      <c r="Z540" s="147"/>
    </row>
    <row r="541">
      <c r="A541" s="147"/>
      <c r="B541" s="147"/>
      <c r="C541" s="147"/>
      <c r="D541" s="147"/>
      <c r="E541" s="147"/>
      <c r="F541" s="147"/>
      <c r="G541" s="147"/>
      <c r="H541" s="147"/>
      <c r="I541" s="190"/>
      <c r="J541" s="147"/>
      <c r="K541" s="147"/>
      <c r="L541" s="147"/>
      <c r="M541" s="147"/>
      <c r="N541" s="147"/>
      <c r="O541" s="147"/>
      <c r="P541" s="147"/>
      <c r="Q541" s="147"/>
      <c r="R541" s="147"/>
      <c r="S541" s="147"/>
      <c r="T541" s="147"/>
      <c r="U541" s="147"/>
      <c r="V541" s="147"/>
      <c r="W541" s="147"/>
      <c r="X541" s="147"/>
      <c r="Y541" s="147"/>
      <c r="Z541" s="147"/>
    </row>
    <row r="542">
      <c r="A542" s="147"/>
      <c r="B542" s="147"/>
      <c r="C542" s="147"/>
      <c r="D542" s="147"/>
      <c r="E542" s="147"/>
      <c r="F542" s="147"/>
      <c r="G542" s="147"/>
      <c r="H542" s="147"/>
      <c r="I542" s="190"/>
      <c r="J542" s="147"/>
      <c r="K542" s="147"/>
      <c r="L542" s="147"/>
      <c r="M542" s="147"/>
      <c r="N542" s="147"/>
      <c r="O542" s="147"/>
      <c r="P542" s="147"/>
      <c r="Q542" s="147"/>
      <c r="R542" s="147"/>
      <c r="S542" s="147"/>
      <c r="T542" s="147"/>
      <c r="U542" s="147"/>
      <c r="V542" s="147"/>
      <c r="W542" s="147"/>
      <c r="X542" s="147"/>
      <c r="Y542" s="147"/>
      <c r="Z542" s="147"/>
    </row>
    <row r="543">
      <c r="A543" s="147"/>
      <c r="B543" s="147"/>
      <c r="C543" s="147"/>
      <c r="D543" s="147"/>
      <c r="E543" s="147"/>
      <c r="F543" s="147"/>
      <c r="G543" s="147"/>
      <c r="H543" s="147"/>
      <c r="I543" s="190"/>
      <c r="J543" s="147"/>
      <c r="K543" s="147"/>
      <c r="L543" s="147"/>
      <c r="M543" s="147"/>
      <c r="N543" s="147"/>
      <c r="O543" s="147"/>
      <c r="P543" s="147"/>
      <c r="Q543" s="147"/>
      <c r="R543" s="147"/>
      <c r="S543" s="147"/>
      <c r="T543" s="147"/>
      <c r="U543" s="147"/>
      <c r="V543" s="147"/>
      <c r="W543" s="147"/>
      <c r="X543" s="147"/>
      <c r="Y543" s="147"/>
      <c r="Z543" s="147"/>
    </row>
    <row r="544">
      <c r="A544" s="147"/>
      <c r="B544" s="147"/>
      <c r="C544" s="147"/>
      <c r="D544" s="147"/>
      <c r="E544" s="147"/>
      <c r="F544" s="147"/>
      <c r="G544" s="147"/>
      <c r="H544" s="147"/>
      <c r="I544" s="190"/>
      <c r="J544" s="147"/>
      <c r="K544" s="147"/>
      <c r="L544" s="147"/>
      <c r="M544" s="147"/>
      <c r="N544" s="147"/>
      <c r="O544" s="147"/>
      <c r="P544" s="147"/>
      <c r="Q544" s="147"/>
      <c r="R544" s="147"/>
      <c r="S544" s="147"/>
      <c r="T544" s="147"/>
      <c r="U544" s="147"/>
      <c r="V544" s="147"/>
      <c r="W544" s="147"/>
      <c r="X544" s="147"/>
      <c r="Y544" s="147"/>
      <c r="Z544" s="147"/>
    </row>
    <row r="545">
      <c r="A545" s="147"/>
      <c r="B545" s="147"/>
      <c r="C545" s="147"/>
      <c r="D545" s="147"/>
      <c r="E545" s="147"/>
      <c r="F545" s="147"/>
      <c r="G545" s="147"/>
      <c r="H545" s="147"/>
      <c r="I545" s="190"/>
      <c r="J545" s="147"/>
      <c r="K545" s="147"/>
      <c r="L545" s="147"/>
      <c r="M545" s="147"/>
      <c r="N545" s="147"/>
      <c r="O545" s="147"/>
      <c r="P545" s="147"/>
      <c r="Q545" s="147"/>
      <c r="R545" s="147"/>
      <c r="S545" s="147"/>
      <c r="T545" s="147"/>
      <c r="U545" s="147"/>
      <c r="V545" s="147"/>
      <c r="W545" s="147"/>
      <c r="X545" s="147"/>
      <c r="Y545" s="147"/>
      <c r="Z545" s="147"/>
    </row>
    <row r="546">
      <c r="A546" s="147"/>
      <c r="B546" s="147"/>
      <c r="C546" s="147"/>
      <c r="D546" s="147"/>
      <c r="E546" s="147"/>
      <c r="F546" s="147"/>
      <c r="G546" s="147"/>
      <c r="H546" s="147"/>
      <c r="I546" s="190"/>
      <c r="J546" s="147"/>
      <c r="K546" s="147"/>
      <c r="L546" s="147"/>
      <c r="M546" s="147"/>
      <c r="N546" s="147"/>
      <c r="O546" s="147"/>
      <c r="P546" s="147"/>
      <c r="Q546" s="147"/>
      <c r="R546" s="147"/>
      <c r="S546" s="147"/>
      <c r="T546" s="147"/>
      <c r="U546" s="147"/>
      <c r="V546" s="147"/>
      <c r="W546" s="147"/>
      <c r="X546" s="147"/>
      <c r="Y546" s="147"/>
      <c r="Z546" s="147"/>
    </row>
    <row r="547">
      <c r="A547" s="147"/>
      <c r="B547" s="147"/>
      <c r="C547" s="147"/>
      <c r="D547" s="147"/>
      <c r="E547" s="147"/>
      <c r="F547" s="147"/>
      <c r="G547" s="147"/>
      <c r="H547" s="147"/>
      <c r="I547" s="190"/>
      <c r="J547" s="147"/>
      <c r="K547" s="147"/>
      <c r="L547" s="147"/>
      <c r="M547" s="147"/>
      <c r="N547" s="147"/>
      <c r="O547" s="147"/>
      <c r="P547" s="147"/>
      <c r="Q547" s="147"/>
      <c r="R547" s="147"/>
      <c r="S547" s="147"/>
      <c r="T547" s="147"/>
      <c r="U547" s="147"/>
      <c r="V547" s="147"/>
      <c r="W547" s="147"/>
      <c r="X547" s="147"/>
      <c r="Y547" s="147"/>
      <c r="Z547" s="147"/>
    </row>
    <row r="548">
      <c r="A548" s="147"/>
      <c r="B548" s="147"/>
      <c r="C548" s="147"/>
      <c r="D548" s="147"/>
      <c r="E548" s="147"/>
      <c r="F548" s="147"/>
      <c r="G548" s="147"/>
      <c r="H548" s="147"/>
      <c r="I548" s="190"/>
      <c r="J548" s="147"/>
      <c r="K548" s="147"/>
      <c r="L548" s="147"/>
      <c r="M548" s="147"/>
      <c r="N548" s="147"/>
      <c r="O548" s="147"/>
      <c r="P548" s="147"/>
      <c r="Q548" s="147"/>
      <c r="R548" s="147"/>
      <c r="S548" s="147"/>
      <c r="T548" s="147"/>
      <c r="U548" s="147"/>
      <c r="V548" s="147"/>
      <c r="W548" s="147"/>
      <c r="X548" s="147"/>
      <c r="Y548" s="147"/>
      <c r="Z548" s="147"/>
    </row>
    <row r="549">
      <c r="A549" s="147"/>
      <c r="B549" s="147"/>
      <c r="C549" s="147"/>
      <c r="D549" s="147"/>
      <c r="E549" s="147"/>
      <c r="F549" s="147"/>
      <c r="G549" s="147"/>
      <c r="H549" s="147"/>
      <c r="I549" s="190"/>
      <c r="J549" s="147"/>
      <c r="K549" s="147"/>
      <c r="L549" s="147"/>
      <c r="M549" s="147"/>
      <c r="N549" s="147"/>
      <c r="O549" s="147"/>
      <c r="P549" s="147"/>
      <c r="Q549" s="147"/>
      <c r="R549" s="147"/>
      <c r="S549" s="147"/>
      <c r="T549" s="147"/>
      <c r="U549" s="147"/>
      <c r="V549" s="147"/>
      <c r="W549" s="147"/>
      <c r="X549" s="147"/>
      <c r="Y549" s="147"/>
      <c r="Z549" s="147"/>
    </row>
    <row r="550">
      <c r="A550" s="147"/>
      <c r="B550" s="147"/>
      <c r="C550" s="147"/>
      <c r="D550" s="147"/>
      <c r="E550" s="147"/>
      <c r="F550" s="147"/>
      <c r="G550" s="147"/>
      <c r="H550" s="147"/>
      <c r="I550" s="190"/>
      <c r="J550" s="147"/>
      <c r="K550" s="147"/>
      <c r="L550" s="147"/>
      <c r="M550" s="147"/>
      <c r="N550" s="147"/>
      <c r="O550" s="147"/>
      <c r="P550" s="147"/>
      <c r="Q550" s="147"/>
      <c r="R550" s="147"/>
      <c r="S550" s="147"/>
      <c r="T550" s="147"/>
      <c r="U550" s="147"/>
      <c r="V550" s="147"/>
      <c r="W550" s="147"/>
      <c r="X550" s="147"/>
      <c r="Y550" s="147"/>
      <c r="Z550" s="147"/>
    </row>
    <row r="551">
      <c r="A551" s="147"/>
      <c r="B551" s="147"/>
      <c r="C551" s="147"/>
      <c r="D551" s="147"/>
      <c r="E551" s="147"/>
      <c r="F551" s="147"/>
      <c r="G551" s="147"/>
      <c r="H551" s="147"/>
      <c r="I551" s="190"/>
      <c r="J551" s="147"/>
      <c r="K551" s="147"/>
      <c r="L551" s="147"/>
      <c r="M551" s="147"/>
      <c r="N551" s="147"/>
      <c r="O551" s="147"/>
      <c r="P551" s="147"/>
      <c r="Q551" s="147"/>
      <c r="R551" s="147"/>
      <c r="S551" s="147"/>
      <c r="T551" s="147"/>
      <c r="U551" s="147"/>
      <c r="V551" s="147"/>
      <c r="W551" s="147"/>
      <c r="X551" s="147"/>
      <c r="Y551" s="147"/>
      <c r="Z551" s="147"/>
    </row>
    <row r="552">
      <c r="A552" s="147"/>
      <c r="B552" s="147"/>
      <c r="C552" s="147"/>
      <c r="D552" s="147"/>
      <c r="E552" s="147"/>
      <c r="F552" s="147"/>
      <c r="G552" s="147"/>
      <c r="H552" s="147"/>
      <c r="I552" s="190"/>
      <c r="J552" s="147"/>
      <c r="K552" s="147"/>
      <c r="L552" s="147"/>
      <c r="M552" s="147"/>
      <c r="N552" s="147"/>
      <c r="O552" s="147"/>
      <c r="P552" s="147"/>
      <c r="Q552" s="147"/>
      <c r="R552" s="147"/>
      <c r="S552" s="147"/>
      <c r="T552" s="147"/>
      <c r="U552" s="147"/>
      <c r="V552" s="147"/>
      <c r="W552" s="147"/>
      <c r="X552" s="147"/>
      <c r="Y552" s="147"/>
      <c r="Z552" s="147"/>
    </row>
    <row r="553">
      <c r="A553" s="147"/>
      <c r="B553" s="147"/>
      <c r="C553" s="147"/>
      <c r="D553" s="147"/>
      <c r="E553" s="147"/>
      <c r="F553" s="147"/>
      <c r="G553" s="147"/>
      <c r="H553" s="147"/>
      <c r="I553" s="190"/>
      <c r="J553" s="147"/>
      <c r="K553" s="147"/>
      <c r="L553" s="147"/>
      <c r="M553" s="147"/>
      <c r="N553" s="147"/>
      <c r="O553" s="147"/>
      <c r="P553" s="147"/>
      <c r="Q553" s="147"/>
      <c r="R553" s="147"/>
      <c r="S553" s="147"/>
      <c r="T553" s="147"/>
      <c r="U553" s="147"/>
      <c r="V553" s="147"/>
      <c r="W553" s="147"/>
      <c r="X553" s="147"/>
      <c r="Y553" s="147"/>
      <c r="Z553" s="147"/>
    </row>
    <row r="554">
      <c r="A554" s="147"/>
      <c r="B554" s="147"/>
      <c r="C554" s="147"/>
      <c r="D554" s="147"/>
      <c r="E554" s="147"/>
      <c r="F554" s="147"/>
      <c r="G554" s="147"/>
      <c r="H554" s="147"/>
      <c r="I554" s="190"/>
      <c r="J554" s="147"/>
      <c r="K554" s="147"/>
      <c r="L554" s="147"/>
      <c r="M554" s="147"/>
      <c r="N554" s="147"/>
      <c r="O554" s="147"/>
      <c r="P554" s="147"/>
      <c r="Q554" s="147"/>
      <c r="R554" s="147"/>
      <c r="S554" s="147"/>
      <c r="T554" s="147"/>
      <c r="U554" s="147"/>
      <c r="V554" s="147"/>
      <c r="W554" s="147"/>
      <c r="X554" s="147"/>
      <c r="Y554" s="147"/>
      <c r="Z554" s="147"/>
    </row>
    <row r="555">
      <c r="A555" s="147"/>
      <c r="B555" s="147"/>
      <c r="C555" s="147"/>
      <c r="D555" s="147"/>
      <c r="E555" s="147"/>
      <c r="F555" s="147"/>
      <c r="G555" s="147"/>
      <c r="H555" s="147"/>
      <c r="I555" s="190"/>
      <c r="J555" s="147"/>
      <c r="K555" s="147"/>
      <c r="L555" s="147"/>
      <c r="M555" s="147"/>
      <c r="N555" s="147"/>
      <c r="O555" s="147"/>
      <c r="P555" s="147"/>
      <c r="Q555" s="147"/>
      <c r="R555" s="147"/>
      <c r="S555" s="147"/>
      <c r="T555" s="147"/>
      <c r="U555" s="147"/>
      <c r="V555" s="147"/>
      <c r="W555" s="147"/>
      <c r="X555" s="147"/>
      <c r="Y555" s="147"/>
      <c r="Z555" s="147"/>
    </row>
    <row r="556">
      <c r="A556" s="147"/>
      <c r="B556" s="147"/>
      <c r="C556" s="147"/>
      <c r="D556" s="147"/>
      <c r="E556" s="147"/>
      <c r="F556" s="147"/>
      <c r="G556" s="147"/>
      <c r="H556" s="147"/>
      <c r="I556" s="190"/>
      <c r="J556" s="147"/>
      <c r="K556" s="147"/>
      <c r="L556" s="147"/>
      <c r="M556" s="147"/>
      <c r="N556" s="147"/>
      <c r="O556" s="147"/>
      <c r="P556" s="147"/>
      <c r="Q556" s="147"/>
      <c r="R556" s="147"/>
      <c r="S556" s="147"/>
      <c r="T556" s="147"/>
      <c r="U556" s="147"/>
      <c r="V556" s="147"/>
      <c r="W556" s="147"/>
      <c r="X556" s="147"/>
      <c r="Y556" s="147"/>
      <c r="Z556" s="147"/>
    </row>
    <row r="557">
      <c r="A557" s="147"/>
      <c r="B557" s="147"/>
      <c r="C557" s="147"/>
      <c r="D557" s="147"/>
      <c r="E557" s="147"/>
      <c r="F557" s="147"/>
      <c r="G557" s="147"/>
      <c r="H557" s="147"/>
      <c r="I557" s="190"/>
      <c r="J557" s="147"/>
      <c r="K557" s="147"/>
      <c r="L557" s="147"/>
      <c r="M557" s="147"/>
      <c r="N557" s="147"/>
      <c r="O557" s="147"/>
      <c r="P557" s="147"/>
      <c r="Q557" s="147"/>
      <c r="R557" s="147"/>
      <c r="S557" s="147"/>
      <c r="T557" s="147"/>
      <c r="U557" s="147"/>
      <c r="V557" s="147"/>
      <c r="W557" s="147"/>
      <c r="X557" s="147"/>
      <c r="Y557" s="147"/>
      <c r="Z557" s="147"/>
    </row>
    <row r="558">
      <c r="A558" s="147"/>
      <c r="B558" s="147"/>
      <c r="C558" s="147"/>
      <c r="D558" s="147"/>
      <c r="E558" s="147"/>
      <c r="F558" s="147"/>
      <c r="G558" s="147"/>
      <c r="H558" s="147"/>
      <c r="I558" s="190"/>
      <c r="J558" s="147"/>
      <c r="K558" s="147"/>
      <c r="L558" s="147"/>
      <c r="M558" s="147"/>
      <c r="N558" s="147"/>
      <c r="O558" s="147"/>
      <c r="P558" s="147"/>
      <c r="Q558" s="147"/>
      <c r="R558" s="147"/>
      <c r="S558" s="147"/>
      <c r="T558" s="147"/>
      <c r="U558" s="147"/>
      <c r="V558" s="147"/>
      <c r="W558" s="147"/>
      <c r="X558" s="147"/>
      <c r="Y558" s="147"/>
      <c r="Z558" s="147"/>
    </row>
    <row r="559">
      <c r="A559" s="147"/>
      <c r="B559" s="147"/>
      <c r="C559" s="147"/>
      <c r="D559" s="147"/>
      <c r="E559" s="147"/>
      <c r="F559" s="147"/>
      <c r="G559" s="147"/>
      <c r="H559" s="147"/>
      <c r="I559" s="190"/>
      <c r="J559" s="147"/>
      <c r="K559" s="147"/>
      <c r="L559" s="147"/>
      <c r="M559" s="147"/>
      <c r="N559" s="147"/>
      <c r="O559" s="147"/>
      <c r="P559" s="147"/>
      <c r="Q559" s="147"/>
      <c r="R559" s="147"/>
      <c r="S559" s="147"/>
      <c r="T559" s="147"/>
      <c r="U559" s="147"/>
      <c r="V559" s="147"/>
      <c r="W559" s="147"/>
      <c r="X559" s="147"/>
      <c r="Y559" s="147"/>
      <c r="Z559" s="147"/>
    </row>
    <row r="560">
      <c r="A560" s="147"/>
      <c r="B560" s="147"/>
      <c r="C560" s="147"/>
      <c r="D560" s="147"/>
      <c r="E560" s="147"/>
      <c r="F560" s="147"/>
      <c r="G560" s="147"/>
      <c r="H560" s="147"/>
      <c r="I560" s="190"/>
      <c r="J560" s="147"/>
      <c r="K560" s="147"/>
      <c r="L560" s="147"/>
      <c r="M560" s="147"/>
      <c r="N560" s="147"/>
      <c r="O560" s="147"/>
      <c r="P560" s="147"/>
      <c r="Q560" s="147"/>
      <c r="R560" s="147"/>
      <c r="S560" s="147"/>
      <c r="T560" s="147"/>
      <c r="U560" s="147"/>
      <c r="V560" s="147"/>
      <c r="W560" s="147"/>
      <c r="X560" s="147"/>
      <c r="Y560" s="147"/>
      <c r="Z560" s="147"/>
    </row>
    <row r="561">
      <c r="A561" s="147"/>
      <c r="B561" s="147"/>
      <c r="C561" s="147"/>
      <c r="D561" s="147"/>
      <c r="E561" s="147"/>
      <c r="F561" s="147"/>
      <c r="G561" s="147"/>
      <c r="H561" s="147"/>
      <c r="I561" s="190"/>
      <c r="J561" s="147"/>
      <c r="K561" s="147"/>
      <c r="L561" s="147"/>
      <c r="M561" s="147"/>
      <c r="N561" s="147"/>
      <c r="O561" s="147"/>
      <c r="P561" s="147"/>
      <c r="Q561" s="147"/>
      <c r="R561" s="147"/>
      <c r="S561" s="147"/>
      <c r="T561" s="147"/>
      <c r="U561" s="147"/>
      <c r="V561" s="147"/>
      <c r="W561" s="147"/>
      <c r="X561" s="147"/>
      <c r="Y561" s="147"/>
      <c r="Z561" s="147"/>
    </row>
    <row r="562">
      <c r="A562" s="147"/>
      <c r="B562" s="147"/>
      <c r="C562" s="147"/>
      <c r="D562" s="147"/>
      <c r="E562" s="147"/>
      <c r="F562" s="147"/>
      <c r="G562" s="147"/>
      <c r="H562" s="147"/>
      <c r="I562" s="190"/>
      <c r="J562" s="147"/>
      <c r="K562" s="147"/>
      <c r="L562" s="147"/>
      <c r="M562" s="147"/>
      <c r="N562" s="147"/>
      <c r="O562" s="147"/>
      <c r="P562" s="147"/>
      <c r="Q562" s="147"/>
      <c r="R562" s="147"/>
      <c r="S562" s="147"/>
      <c r="T562" s="147"/>
      <c r="U562" s="147"/>
      <c r="V562" s="147"/>
      <c r="W562" s="147"/>
      <c r="X562" s="147"/>
      <c r="Y562" s="147"/>
      <c r="Z562" s="147"/>
    </row>
    <row r="563">
      <c r="A563" s="147"/>
      <c r="B563" s="147"/>
      <c r="C563" s="147"/>
      <c r="D563" s="147"/>
      <c r="E563" s="147"/>
      <c r="F563" s="147"/>
      <c r="G563" s="147"/>
      <c r="H563" s="147"/>
      <c r="I563" s="190"/>
      <c r="J563" s="147"/>
      <c r="K563" s="147"/>
      <c r="L563" s="147"/>
      <c r="M563" s="147"/>
      <c r="N563" s="147"/>
      <c r="O563" s="147"/>
      <c r="P563" s="147"/>
      <c r="Q563" s="147"/>
      <c r="R563" s="147"/>
      <c r="S563" s="147"/>
      <c r="T563" s="147"/>
      <c r="U563" s="147"/>
      <c r="V563" s="147"/>
      <c r="W563" s="147"/>
      <c r="X563" s="147"/>
      <c r="Y563" s="147"/>
      <c r="Z563" s="147"/>
    </row>
    <row r="564">
      <c r="A564" s="147"/>
      <c r="B564" s="147"/>
      <c r="C564" s="147"/>
      <c r="D564" s="147"/>
      <c r="E564" s="147"/>
      <c r="F564" s="147"/>
      <c r="G564" s="147"/>
      <c r="H564" s="147"/>
      <c r="I564" s="190"/>
      <c r="J564" s="147"/>
      <c r="K564" s="147"/>
      <c r="L564" s="147"/>
      <c r="M564" s="147"/>
      <c r="N564" s="147"/>
      <c r="O564" s="147"/>
      <c r="P564" s="147"/>
      <c r="Q564" s="147"/>
      <c r="R564" s="147"/>
      <c r="S564" s="147"/>
      <c r="T564" s="147"/>
      <c r="U564" s="147"/>
      <c r="V564" s="147"/>
      <c r="W564" s="147"/>
      <c r="X564" s="147"/>
      <c r="Y564" s="147"/>
      <c r="Z564" s="147"/>
    </row>
    <row r="565">
      <c r="A565" s="147"/>
      <c r="B565" s="147"/>
      <c r="C565" s="147"/>
      <c r="D565" s="147"/>
      <c r="E565" s="147"/>
      <c r="F565" s="147"/>
      <c r="G565" s="147"/>
      <c r="H565" s="147"/>
      <c r="I565" s="190"/>
      <c r="J565" s="147"/>
      <c r="K565" s="147"/>
      <c r="L565" s="147"/>
      <c r="M565" s="147"/>
      <c r="N565" s="147"/>
      <c r="O565" s="147"/>
      <c r="P565" s="147"/>
      <c r="Q565" s="147"/>
      <c r="R565" s="147"/>
      <c r="S565" s="147"/>
      <c r="T565" s="147"/>
      <c r="U565" s="147"/>
      <c r="V565" s="147"/>
      <c r="W565" s="147"/>
      <c r="X565" s="147"/>
      <c r="Y565" s="147"/>
      <c r="Z565" s="147"/>
    </row>
    <row r="566">
      <c r="A566" s="147"/>
      <c r="B566" s="147"/>
      <c r="C566" s="147"/>
      <c r="D566" s="147"/>
      <c r="E566" s="147"/>
      <c r="F566" s="147"/>
      <c r="G566" s="147"/>
      <c r="H566" s="147"/>
      <c r="I566" s="190"/>
      <c r="J566" s="147"/>
      <c r="K566" s="147"/>
      <c r="L566" s="147"/>
      <c r="M566" s="147"/>
      <c r="N566" s="147"/>
      <c r="O566" s="147"/>
      <c r="P566" s="147"/>
      <c r="Q566" s="147"/>
      <c r="R566" s="147"/>
      <c r="S566" s="147"/>
      <c r="T566" s="147"/>
      <c r="U566" s="147"/>
      <c r="V566" s="147"/>
      <c r="W566" s="147"/>
      <c r="X566" s="147"/>
      <c r="Y566" s="147"/>
      <c r="Z566" s="147"/>
    </row>
    <row r="567">
      <c r="A567" s="147"/>
      <c r="B567" s="147"/>
      <c r="C567" s="147"/>
      <c r="D567" s="147"/>
      <c r="E567" s="147"/>
      <c r="F567" s="147"/>
      <c r="G567" s="147"/>
      <c r="H567" s="147"/>
      <c r="I567" s="190"/>
      <c r="J567" s="147"/>
      <c r="K567" s="147"/>
      <c r="L567" s="147"/>
      <c r="M567" s="147"/>
      <c r="N567" s="147"/>
      <c r="O567" s="147"/>
      <c r="P567" s="147"/>
      <c r="Q567" s="147"/>
      <c r="R567" s="147"/>
      <c r="S567" s="147"/>
      <c r="T567" s="147"/>
      <c r="U567" s="147"/>
      <c r="V567" s="147"/>
      <c r="W567" s="147"/>
      <c r="X567" s="147"/>
      <c r="Y567" s="147"/>
      <c r="Z567" s="147"/>
    </row>
    <row r="568">
      <c r="A568" s="147"/>
      <c r="B568" s="147"/>
      <c r="C568" s="147"/>
      <c r="D568" s="147"/>
      <c r="E568" s="147"/>
      <c r="F568" s="147"/>
      <c r="G568" s="147"/>
      <c r="H568" s="147"/>
      <c r="I568" s="190"/>
      <c r="J568" s="147"/>
      <c r="K568" s="147"/>
      <c r="L568" s="147"/>
      <c r="M568" s="147"/>
      <c r="N568" s="147"/>
      <c r="O568" s="147"/>
      <c r="P568" s="147"/>
      <c r="Q568" s="147"/>
      <c r="R568" s="147"/>
      <c r="S568" s="147"/>
      <c r="T568" s="147"/>
      <c r="U568" s="147"/>
      <c r="V568" s="147"/>
      <c r="W568" s="147"/>
      <c r="X568" s="147"/>
      <c r="Y568" s="147"/>
      <c r="Z568" s="147"/>
    </row>
    <row r="569">
      <c r="A569" s="147"/>
      <c r="B569" s="147"/>
      <c r="C569" s="147"/>
      <c r="D569" s="147"/>
      <c r="E569" s="147"/>
      <c r="F569" s="147"/>
      <c r="G569" s="147"/>
      <c r="H569" s="147"/>
      <c r="I569" s="190"/>
      <c r="J569" s="147"/>
      <c r="K569" s="147"/>
      <c r="L569" s="147"/>
      <c r="M569" s="147"/>
      <c r="N569" s="147"/>
      <c r="O569" s="147"/>
      <c r="P569" s="147"/>
      <c r="Q569" s="147"/>
      <c r="R569" s="147"/>
      <c r="S569" s="147"/>
      <c r="T569" s="147"/>
      <c r="U569" s="147"/>
      <c r="V569" s="147"/>
      <c r="W569" s="147"/>
      <c r="X569" s="147"/>
      <c r="Y569" s="147"/>
      <c r="Z569" s="147"/>
    </row>
    <row r="570">
      <c r="A570" s="147"/>
      <c r="B570" s="147"/>
      <c r="C570" s="147"/>
      <c r="D570" s="147"/>
      <c r="E570" s="147"/>
      <c r="F570" s="147"/>
      <c r="G570" s="147"/>
      <c r="H570" s="147"/>
      <c r="I570" s="190"/>
      <c r="J570" s="147"/>
      <c r="K570" s="147"/>
      <c r="L570" s="147"/>
      <c r="M570" s="147"/>
      <c r="N570" s="147"/>
      <c r="O570" s="147"/>
      <c r="P570" s="147"/>
      <c r="Q570" s="147"/>
      <c r="R570" s="147"/>
      <c r="S570" s="147"/>
      <c r="T570" s="147"/>
      <c r="U570" s="147"/>
      <c r="V570" s="147"/>
      <c r="W570" s="147"/>
      <c r="X570" s="147"/>
      <c r="Y570" s="147"/>
      <c r="Z570" s="147"/>
    </row>
    <row r="571">
      <c r="A571" s="147"/>
      <c r="B571" s="147"/>
      <c r="C571" s="147"/>
      <c r="D571" s="147"/>
      <c r="E571" s="147"/>
      <c r="F571" s="147"/>
      <c r="G571" s="147"/>
      <c r="H571" s="147"/>
      <c r="I571" s="190"/>
      <c r="J571" s="147"/>
      <c r="K571" s="147"/>
      <c r="L571" s="147"/>
      <c r="M571" s="147"/>
      <c r="N571" s="147"/>
      <c r="O571" s="147"/>
      <c r="P571" s="147"/>
      <c r="Q571" s="147"/>
      <c r="R571" s="147"/>
      <c r="S571" s="147"/>
      <c r="T571" s="147"/>
      <c r="U571" s="147"/>
      <c r="V571" s="147"/>
      <c r="W571" s="147"/>
      <c r="X571" s="147"/>
      <c r="Y571" s="147"/>
      <c r="Z571" s="147"/>
    </row>
    <row r="572">
      <c r="A572" s="147"/>
      <c r="B572" s="147"/>
      <c r="C572" s="147"/>
      <c r="D572" s="147"/>
      <c r="E572" s="147"/>
      <c r="F572" s="147"/>
      <c r="G572" s="147"/>
      <c r="H572" s="147"/>
      <c r="I572" s="190"/>
      <c r="J572" s="147"/>
      <c r="K572" s="147"/>
      <c r="L572" s="147"/>
      <c r="M572" s="147"/>
      <c r="N572" s="147"/>
      <c r="O572" s="147"/>
      <c r="P572" s="147"/>
      <c r="Q572" s="147"/>
      <c r="R572" s="147"/>
      <c r="S572" s="147"/>
      <c r="T572" s="147"/>
      <c r="U572" s="147"/>
      <c r="V572" s="147"/>
      <c r="W572" s="147"/>
      <c r="X572" s="147"/>
      <c r="Y572" s="147"/>
      <c r="Z572" s="147"/>
    </row>
    <row r="573">
      <c r="A573" s="147"/>
      <c r="B573" s="147"/>
      <c r="C573" s="147"/>
      <c r="D573" s="147"/>
      <c r="E573" s="147"/>
      <c r="F573" s="147"/>
      <c r="G573" s="147"/>
      <c r="H573" s="147"/>
      <c r="I573" s="190"/>
      <c r="J573" s="147"/>
      <c r="K573" s="147"/>
      <c r="L573" s="147"/>
      <c r="M573" s="147"/>
      <c r="N573" s="147"/>
      <c r="O573" s="147"/>
      <c r="P573" s="147"/>
      <c r="Q573" s="147"/>
      <c r="R573" s="147"/>
      <c r="S573" s="147"/>
      <c r="T573" s="147"/>
      <c r="U573" s="147"/>
      <c r="V573" s="147"/>
      <c r="W573" s="147"/>
      <c r="X573" s="147"/>
      <c r="Y573" s="147"/>
      <c r="Z573" s="147"/>
    </row>
    <row r="574">
      <c r="A574" s="147"/>
      <c r="B574" s="147"/>
      <c r="C574" s="147"/>
      <c r="D574" s="147"/>
      <c r="E574" s="147"/>
      <c r="F574" s="147"/>
      <c r="G574" s="147"/>
      <c r="H574" s="147"/>
      <c r="I574" s="190"/>
      <c r="J574" s="147"/>
      <c r="K574" s="147"/>
      <c r="L574" s="147"/>
      <c r="M574" s="147"/>
      <c r="N574" s="147"/>
      <c r="O574" s="147"/>
      <c r="P574" s="147"/>
      <c r="Q574" s="147"/>
      <c r="R574" s="147"/>
      <c r="S574" s="147"/>
      <c r="T574" s="147"/>
      <c r="U574" s="147"/>
      <c r="V574" s="147"/>
      <c r="W574" s="147"/>
      <c r="X574" s="147"/>
      <c r="Y574" s="147"/>
      <c r="Z574" s="147"/>
    </row>
    <row r="575">
      <c r="A575" s="147"/>
      <c r="B575" s="147"/>
      <c r="C575" s="147"/>
      <c r="D575" s="147"/>
      <c r="E575" s="147"/>
      <c r="F575" s="147"/>
      <c r="G575" s="147"/>
      <c r="H575" s="147"/>
      <c r="I575" s="190"/>
      <c r="J575" s="147"/>
      <c r="K575" s="147"/>
      <c r="L575" s="147"/>
      <c r="M575" s="147"/>
      <c r="N575" s="147"/>
      <c r="O575" s="147"/>
      <c r="P575" s="147"/>
      <c r="Q575" s="147"/>
      <c r="R575" s="147"/>
      <c r="S575" s="147"/>
      <c r="T575" s="147"/>
      <c r="U575" s="147"/>
      <c r="V575" s="147"/>
      <c r="W575" s="147"/>
      <c r="X575" s="147"/>
      <c r="Y575" s="147"/>
      <c r="Z575" s="147"/>
    </row>
    <row r="576">
      <c r="A576" s="147"/>
      <c r="B576" s="147"/>
      <c r="C576" s="147"/>
      <c r="D576" s="147"/>
      <c r="E576" s="147"/>
      <c r="F576" s="147"/>
      <c r="G576" s="147"/>
      <c r="H576" s="147"/>
      <c r="I576" s="190"/>
      <c r="J576" s="147"/>
      <c r="K576" s="147"/>
      <c r="L576" s="147"/>
      <c r="M576" s="147"/>
      <c r="N576" s="147"/>
      <c r="O576" s="147"/>
      <c r="P576" s="147"/>
      <c r="Q576" s="147"/>
      <c r="R576" s="147"/>
      <c r="S576" s="147"/>
      <c r="T576" s="147"/>
      <c r="U576" s="147"/>
      <c r="V576" s="147"/>
      <c r="W576" s="147"/>
      <c r="X576" s="147"/>
      <c r="Y576" s="147"/>
      <c r="Z576" s="147"/>
    </row>
    <row r="577">
      <c r="A577" s="147"/>
      <c r="B577" s="147"/>
      <c r="C577" s="147"/>
      <c r="D577" s="147"/>
      <c r="E577" s="147"/>
      <c r="F577" s="147"/>
      <c r="G577" s="147"/>
      <c r="H577" s="147"/>
      <c r="I577" s="190"/>
      <c r="J577" s="147"/>
      <c r="K577" s="147"/>
      <c r="L577" s="147"/>
      <c r="M577" s="147"/>
      <c r="N577" s="147"/>
      <c r="O577" s="147"/>
      <c r="P577" s="147"/>
      <c r="Q577" s="147"/>
      <c r="R577" s="147"/>
      <c r="S577" s="147"/>
      <c r="T577" s="147"/>
      <c r="U577" s="147"/>
      <c r="V577" s="147"/>
      <c r="W577" s="147"/>
      <c r="X577" s="147"/>
      <c r="Y577" s="147"/>
      <c r="Z577" s="147"/>
    </row>
    <row r="578">
      <c r="A578" s="147"/>
      <c r="B578" s="147"/>
      <c r="C578" s="147"/>
      <c r="D578" s="147"/>
      <c r="E578" s="147"/>
      <c r="F578" s="147"/>
      <c r="G578" s="147"/>
      <c r="H578" s="147"/>
      <c r="I578" s="190"/>
      <c r="J578" s="147"/>
      <c r="K578" s="147"/>
      <c r="L578" s="147"/>
      <c r="M578" s="147"/>
      <c r="N578" s="147"/>
      <c r="O578" s="147"/>
      <c r="P578" s="147"/>
      <c r="Q578" s="147"/>
      <c r="R578" s="147"/>
      <c r="S578" s="147"/>
      <c r="T578" s="147"/>
      <c r="U578" s="147"/>
      <c r="V578" s="147"/>
      <c r="W578" s="147"/>
      <c r="X578" s="147"/>
      <c r="Y578" s="147"/>
      <c r="Z578" s="147"/>
    </row>
    <row r="579">
      <c r="A579" s="147"/>
      <c r="B579" s="147"/>
      <c r="C579" s="147"/>
      <c r="D579" s="147"/>
      <c r="E579" s="147"/>
      <c r="F579" s="147"/>
      <c r="G579" s="147"/>
      <c r="H579" s="147"/>
      <c r="I579" s="190"/>
      <c r="J579" s="147"/>
      <c r="K579" s="147"/>
      <c r="L579" s="147"/>
      <c r="M579" s="147"/>
      <c r="N579" s="147"/>
      <c r="O579" s="147"/>
      <c r="P579" s="147"/>
      <c r="Q579" s="147"/>
      <c r="R579" s="147"/>
      <c r="S579" s="147"/>
      <c r="T579" s="147"/>
      <c r="U579" s="147"/>
      <c r="V579" s="147"/>
      <c r="W579" s="147"/>
      <c r="X579" s="147"/>
      <c r="Y579" s="147"/>
      <c r="Z579" s="147"/>
    </row>
    <row r="580">
      <c r="A580" s="147"/>
      <c r="B580" s="147"/>
      <c r="C580" s="147"/>
      <c r="D580" s="147"/>
      <c r="E580" s="147"/>
      <c r="F580" s="147"/>
      <c r="G580" s="147"/>
      <c r="H580" s="147"/>
      <c r="I580" s="190"/>
      <c r="J580" s="147"/>
      <c r="K580" s="147"/>
      <c r="L580" s="147"/>
      <c r="M580" s="147"/>
      <c r="N580" s="147"/>
      <c r="O580" s="147"/>
      <c r="P580" s="147"/>
      <c r="Q580" s="147"/>
      <c r="R580" s="147"/>
      <c r="S580" s="147"/>
      <c r="T580" s="147"/>
      <c r="U580" s="147"/>
      <c r="V580" s="147"/>
      <c r="W580" s="147"/>
      <c r="X580" s="147"/>
      <c r="Y580" s="147"/>
      <c r="Z580" s="147"/>
    </row>
    <row r="581">
      <c r="A581" s="147"/>
      <c r="B581" s="147"/>
      <c r="C581" s="147"/>
      <c r="D581" s="147"/>
      <c r="E581" s="147"/>
      <c r="F581" s="147"/>
      <c r="G581" s="147"/>
      <c r="H581" s="147"/>
      <c r="I581" s="190"/>
      <c r="J581" s="147"/>
      <c r="K581" s="147"/>
      <c r="L581" s="147"/>
      <c r="M581" s="147"/>
      <c r="N581" s="147"/>
      <c r="O581" s="147"/>
      <c r="P581" s="147"/>
      <c r="Q581" s="147"/>
      <c r="R581" s="147"/>
      <c r="S581" s="147"/>
      <c r="T581" s="147"/>
      <c r="U581" s="147"/>
      <c r="V581" s="147"/>
      <c r="W581" s="147"/>
      <c r="X581" s="147"/>
      <c r="Y581" s="147"/>
      <c r="Z581" s="147"/>
    </row>
    <row r="582">
      <c r="A582" s="147"/>
      <c r="B582" s="147"/>
      <c r="C582" s="147"/>
      <c r="D582" s="147"/>
      <c r="E582" s="147"/>
      <c r="F582" s="147"/>
      <c r="G582" s="147"/>
      <c r="H582" s="147"/>
      <c r="I582" s="190"/>
      <c r="J582" s="147"/>
      <c r="K582" s="147"/>
      <c r="L582" s="147"/>
      <c r="M582" s="147"/>
      <c r="N582" s="147"/>
      <c r="O582" s="147"/>
      <c r="P582" s="147"/>
      <c r="Q582" s="147"/>
      <c r="R582" s="147"/>
      <c r="S582" s="147"/>
      <c r="T582" s="147"/>
      <c r="U582" s="147"/>
      <c r="V582" s="147"/>
      <c r="W582" s="147"/>
      <c r="X582" s="147"/>
      <c r="Y582" s="147"/>
      <c r="Z582" s="147"/>
    </row>
    <row r="583">
      <c r="A583" s="147"/>
      <c r="B583" s="147"/>
      <c r="C583" s="147"/>
      <c r="D583" s="147"/>
      <c r="E583" s="147"/>
      <c r="F583" s="147"/>
      <c r="G583" s="147"/>
      <c r="H583" s="147"/>
      <c r="I583" s="190"/>
      <c r="J583" s="147"/>
      <c r="K583" s="147"/>
      <c r="L583" s="147"/>
      <c r="M583" s="147"/>
      <c r="N583" s="147"/>
      <c r="O583" s="147"/>
      <c r="P583" s="147"/>
      <c r="Q583" s="147"/>
      <c r="R583" s="147"/>
      <c r="S583" s="147"/>
      <c r="T583" s="147"/>
      <c r="U583" s="147"/>
      <c r="V583" s="147"/>
      <c r="W583" s="147"/>
      <c r="X583" s="147"/>
      <c r="Y583" s="147"/>
      <c r="Z583" s="147"/>
    </row>
    <row r="584">
      <c r="A584" s="147"/>
      <c r="B584" s="147"/>
      <c r="C584" s="147"/>
      <c r="D584" s="147"/>
      <c r="E584" s="147"/>
      <c r="F584" s="147"/>
      <c r="G584" s="147"/>
      <c r="H584" s="147"/>
      <c r="I584" s="190"/>
      <c r="J584" s="147"/>
      <c r="K584" s="147"/>
      <c r="L584" s="147"/>
      <c r="M584" s="147"/>
      <c r="N584" s="147"/>
      <c r="O584" s="147"/>
      <c r="P584" s="147"/>
      <c r="Q584" s="147"/>
      <c r="R584" s="147"/>
      <c r="S584" s="147"/>
      <c r="T584" s="147"/>
      <c r="U584" s="147"/>
      <c r="V584" s="147"/>
      <c r="W584" s="147"/>
      <c r="X584" s="147"/>
      <c r="Y584" s="147"/>
      <c r="Z584" s="147"/>
    </row>
    <row r="585">
      <c r="A585" s="147"/>
      <c r="B585" s="147"/>
      <c r="C585" s="147"/>
      <c r="D585" s="147"/>
      <c r="E585" s="147"/>
      <c r="F585" s="147"/>
      <c r="G585" s="147"/>
      <c r="H585" s="147"/>
      <c r="I585" s="190"/>
      <c r="J585" s="147"/>
      <c r="K585" s="147"/>
      <c r="L585" s="147"/>
      <c r="M585" s="147"/>
      <c r="N585" s="147"/>
      <c r="O585" s="147"/>
      <c r="P585" s="147"/>
      <c r="Q585" s="147"/>
      <c r="R585" s="147"/>
      <c r="S585" s="147"/>
      <c r="T585" s="147"/>
      <c r="U585" s="147"/>
      <c r="V585" s="147"/>
      <c r="W585" s="147"/>
      <c r="X585" s="147"/>
      <c r="Y585" s="147"/>
      <c r="Z585" s="147"/>
    </row>
    <row r="586">
      <c r="A586" s="147"/>
      <c r="B586" s="147"/>
      <c r="C586" s="147"/>
      <c r="D586" s="147"/>
      <c r="E586" s="147"/>
      <c r="F586" s="147"/>
      <c r="G586" s="147"/>
      <c r="H586" s="147"/>
      <c r="I586" s="190"/>
      <c r="J586" s="147"/>
      <c r="K586" s="147"/>
      <c r="L586" s="147"/>
      <c r="M586" s="147"/>
      <c r="N586" s="147"/>
      <c r="O586" s="147"/>
      <c r="P586" s="147"/>
      <c r="Q586" s="147"/>
      <c r="R586" s="147"/>
      <c r="S586" s="147"/>
      <c r="T586" s="147"/>
      <c r="U586" s="147"/>
      <c r="V586" s="147"/>
      <c r="W586" s="147"/>
      <c r="X586" s="147"/>
      <c r="Y586" s="147"/>
      <c r="Z586" s="147"/>
    </row>
    <row r="587">
      <c r="A587" s="147"/>
      <c r="B587" s="147"/>
      <c r="C587" s="147"/>
      <c r="D587" s="147"/>
      <c r="E587" s="147"/>
      <c r="F587" s="147"/>
      <c r="G587" s="147"/>
      <c r="H587" s="147"/>
      <c r="I587" s="190"/>
      <c r="J587" s="147"/>
      <c r="K587" s="147"/>
      <c r="L587" s="147"/>
      <c r="M587" s="147"/>
      <c r="N587" s="147"/>
      <c r="O587" s="147"/>
      <c r="P587" s="147"/>
      <c r="Q587" s="147"/>
      <c r="R587" s="147"/>
      <c r="S587" s="147"/>
      <c r="T587" s="147"/>
      <c r="U587" s="147"/>
      <c r="V587" s="147"/>
      <c r="W587" s="147"/>
      <c r="X587" s="147"/>
      <c r="Y587" s="147"/>
      <c r="Z587" s="147"/>
    </row>
    <row r="588">
      <c r="A588" s="147"/>
      <c r="B588" s="147"/>
      <c r="C588" s="147"/>
      <c r="D588" s="147"/>
      <c r="E588" s="147"/>
      <c r="F588" s="147"/>
      <c r="G588" s="147"/>
      <c r="H588" s="147"/>
      <c r="I588" s="190"/>
      <c r="J588" s="147"/>
      <c r="K588" s="147"/>
      <c r="L588" s="147"/>
      <c r="M588" s="147"/>
      <c r="N588" s="147"/>
      <c r="O588" s="147"/>
      <c r="P588" s="147"/>
      <c r="Q588" s="147"/>
      <c r="R588" s="147"/>
      <c r="S588" s="147"/>
      <c r="T588" s="147"/>
      <c r="U588" s="147"/>
      <c r="V588" s="147"/>
      <c r="W588" s="147"/>
      <c r="X588" s="147"/>
      <c r="Y588" s="147"/>
      <c r="Z588" s="147"/>
    </row>
    <row r="589">
      <c r="A589" s="147"/>
      <c r="B589" s="147"/>
      <c r="C589" s="147"/>
      <c r="D589" s="147"/>
      <c r="E589" s="147"/>
      <c r="F589" s="147"/>
      <c r="G589" s="147"/>
      <c r="H589" s="147"/>
      <c r="I589" s="190"/>
      <c r="J589" s="147"/>
      <c r="K589" s="147"/>
      <c r="L589" s="147"/>
      <c r="M589" s="147"/>
      <c r="N589" s="147"/>
      <c r="O589" s="147"/>
      <c r="P589" s="147"/>
      <c r="Q589" s="147"/>
      <c r="R589" s="147"/>
      <c r="S589" s="147"/>
      <c r="T589" s="147"/>
      <c r="U589" s="147"/>
      <c r="V589" s="147"/>
      <c r="W589" s="147"/>
      <c r="X589" s="147"/>
      <c r="Y589" s="147"/>
      <c r="Z589" s="147"/>
    </row>
    <row r="590">
      <c r="A590" s="147"/>
      <c r="B590" s="147"/>
      <c r="C590" s="147"/>
      <c r="D590" s="147"/>
      <c r="E590" s="147"/>
      <c r="F590" s="147"/>
      <c r="G590" s="147"/>
      <c r="H590" s="147"/>
      <c r="I590" s="190"/>
      <c r="J590" s="147"/>
      <c r="K590" s="147"/>
      <c r="L590" s="147"/>
      <c r="M590" s="147"/>
      <c r="N590" s="147"/>
      <c r="O590" s="147"/>
      <c r="P590" s="147"/>
      <c r="Q590" s="147"/>
      <c r="R590" s="147"/>
      <c r="S590" s="147"/>
      <c r="T590" s="147"/>
      <c r="U590" s="147"/>
      <c r="V590" s="147"/>
      <c r="W590" s="147"/>
      <c r="X590" s="147"/>
      <c r="Y590" s="147"/>
      <c r="Z590" s="147"/>
    </row>
    <row r="591">
      <c r="A591" s="147"/>
      <c r="B591" s="147"/>
      <c r="C591" s="147"/>
      <c r="D591" s="147"/>
      <c r="E591" s="147"/>
      <c r="F591" s="147"/>
      <c r="G591" s="147"/>
      <c r="H591" s="147"/>
      <c r="I591" s="190"/>
      <c r="J591" s="147"/>
      <c r="K591" s="147"/>
      <c r="L591" s="147"/>
      <c r="M591" s="147"/>
      <c r="N591" s="147"/>
      <c r="O591" s="147"/>
      <c r="P591" s="147"/>
      <c r="Q591" s="147"/>
      <c r="R591" s="147"/>
      <c r="S591" s="147"/>
      <c r="T591" s="147"/>
      <c r="U591" s="147"/>
      <c r="V591" s="147"/>
      <c r="W591" s="147"/>
      <c r="X591" s="147"/>
      <c r="Y591" s="147"/>
      <c r="Z591" s="147"/>
    </row>
    <row r="592">
      <c r="A592" s="147"/>
      <c r="B592" s="147"/>
      <c r="C592" s="147"/>
      <c r="D592" s="147"/>
      <c r="E592" s="147"/>
      <c r="F592" s="147"/>
      <c r="G592" s="147"/>
      <c r="H592" s="147"/>
      <c r="I592" s="190"/>
      <c r="J592" s="147"/>
      <c r="K592" s="147"/>
      <c r="L592" s="147"/>
      <c r="M592" s="147"/>
      <c r="N592" s="147"/>
      <c r="O592" s="147"/>
      <c r="P592" s="147"/>
      <c r="Q592" s="147"/>
      <c r="R592" s="147"/>
      <c r="S592" s="147"/>
      <c r="T592" s="147"/>
      <c r="U592" s="147"/>
      <c r="V592" s="147"/>
      <c r="W592" s="147"/>
      <c r="X592" s="147"/>
      <c r="Y592" s="147"/>
      <c r="Z592" s="147"/>
    </row>
    <row r="593">
      <c r="A593" s="147"/>
      <c r="B593" s="147"/>
      <c r="C593" s="147"/>
      <c r="D593" s="147"/>
      <c r="E593" s="147"/>
      <c r="F593" s="147"/>
      <c r="G593" s="147"/>
      <c r="H593" s="147"/>
      <c r="I593" s="190"/>
      <c r="J593" s="147"/>
      <c r="K593" s="147"/>
      <c r="L593" s="147"/>
      <c r="M593" s="147"/>
      <c r="N593" s="147"/>
      <c r="O593" s="147"/>
      <c r="P593" s="147"/>
      <c r="Q593" s="147"/>
      <c r="R593" s="147"/>
      <c r="S593" s="147"/>
      <c r="T593" s="147"/>
      <c r="U593" s="147"/>
      <c r="V593" s="147"/>
      <c r="W593" s="147"/>
      <c r="X593" s="147"/>
      <c r="Y593" s="147"/>
      <c r="Z593" s="147"/>
    </row>
    <row r="594">
      <c r="A594" s="147"/>
      <c r="B594" s="147"/>
      <c r="C594" s="147"/>
      <c r="D594" s="147"/>
      <c r="E594" s="147"/>
      <c r="F594" s="147"/>
      <c r="G594" s="147"/>
      <c r="H594" s="147"/>
      <c r="I594" s="190"/>
      <c r="J594" s="147"/>
      <c r="K594" s="147"/>
      <c r="L594" s="147"/>
      <c r="M594" s="147"/>
      <c r="N594" s="147"/>
      <c r="O594" s="147"/>
      <c r="P594" s="147"/>
      <c r="Q594" s="147"/>
      <c r="R594" s="147"/>
      <c r="S594" s="147"/>
      <c r="T594" s="147"/>
      <c r="U594" s="147"/>
      <c r="V594" s="147"/>
      <c r="W594" s="147"/>
      <c r="X594" s="147"/>
      <c r="Y594" s="147"/>
      <c r="Z594" s="147"/>
    </row>
    <row r="595">
      <c r="A595" s="147"/>
      <c r="B595" s="147"/>
      <c r="C595" s="147"/>
      <c r="D595" s="147"/>
      <c r="E595" s="147"/>
      <c r="F595" s="147"/>
      <c r="G595" s="147"/>
      <c r="H595" s="147"/>
      <c r="I595" s="190"/>
      <c r="J595" s="147"/>
      <c r="K595" s="147"/>
      <c r="L595" s="147"/>
      <c r="M595" s="147"/>
      <c r="N595" s="147"/>
      <c r="O595" s="147"/>
      <c r="P595" s="147"/>
      <c r="Q595" s="147"/>
      <c r="R595" s="147"/>
      <c r="S595" s="147"/>
      <c r="T595" s="147"/>
      <c r="U595" s="147"/>
      <c r="V595" s="147"/>
      <c r="W595" s="147"/>
      <c r="X595" s="147"/>
      <c r="Y595" s="147"/>
      <c r="Z595" s="147"/>
    </row>
    <row r="596">
      <c r="A596" s="147"/>
      <c r="B596" s="147"/>
      <c r="C596" s="147"/>
      <c r="D596" s="147"/>
      <c r="E596" s="147"/>
      <c r="F596" s="147"/>
      <c r="G596" s="147"/>
      <c r="H596" s="147"/>
      <c r="I596" s="190"/>
      <c r="J596" s="147"/>
      <c r="K596" s="147"/>
      <c r="L596" s="147"/>
      <c r="M596" s="147"/>
      <c r="N596" s="147"/>
      <c r="O596" s="147"/>
      <c r="P596" s="147"/>
      <c r="Q596" s="147"/>
      <c r="R596" s="147"/>
      <c r="S596" s="147"/>
      <c r="T596" s="147"/>
      <c r="U596" s="147"/>
      <c r="V596" s="147"/>
      <c r="W596" s="147"/>
      <c r="X596" s="147"/>
      <c r="Y596" s="147"/>
      <c r="Z596" s="147"/>
    </row>
    <row r="597">
      <c r="A597" s="147"/>
      <c r="B597" s="147"/>
      <c r="C597" s="147"/>
      <c r="D597" s="147"/>
      <c r="E597" s="147"/>
      <c r="F597" s="147"/>
      <c r="G597" s="147"/>
      <c r="H597" s="147"/>
      <c r="I597" s="190"/>
      <c r="J597" s="147"/>
      <c r="K597" s="147"/>
      <c r="L597" s="147"/>
      <c r="M597" s="147"/>
      <c r="N597" s="147"/>
      <c r="O597" s="147"/>
      <c r="P597" s="147"/>
      <c r="Q597" s="147"/>
      <c r="R597" s="147"/>
      <c r="S597" s="147"/>
      <c r="T597" s="147"/>
      <c r="U597" s="147"/>
      <c r="V597" s="147"/>
      <c r="W597" s="147"/>
      <c r="X597" s="147"/>
      <c r="Y597" s="147"/>
      <c r="Z597" s="147"/>
    </row>
    <row r="598">
      <c r="A598" s="147"/>
      <c r="B598" s="147"/>
      <c r="C598" s="147"/>
      <c r="D598" s="147"/>
      <c r="E598" s="147"/>
      <c r="F598" s="147"/>
      <c r="G598" s="147"/>
      <c r="H598" s="147"/>
      <c r="I598" s="190"/>
      <c r="J598" s="147"/>
      <c r="K598" s="147"/>
      <c r="L598" s="147"/>
      <c r="M598" s="147"/>
      <c r="N598" s="147"/>
      <c r="O598" s="147"/>
      <c r="P598" s="147"/>
      <c r="Q598" s="147"/>
      <c r="R598" s="147"/>
      <c r="S598" s="147"/>
      <c r="T598" s="147"/>
      <c r="U598" s="147"/>
      <c r="V598" s="147"/>
      <c r="W598" s="147"/>
      <c r="X598" s="147"/>
      <c r="Y598" s="147"/>
      <c r="Z598" s="147"/>
    </row>
    <row r="599">
      <c r="A599" s="147"/>
      <c r="B599" s="147"/>
      <c r="C599" s="147"/>
      <c r="D599" s="147"/>
      <c r="E599" s="147"/>
      <c r="F599" s="147"/>
      <c r="G599" s="147"/>
      <c r="H599" s="147"/>
      <c r="I599" s="190"/>
      <c r="J599" s="147"/>
      <c r="K599" s="147"/>
      <c r="L599" s="147"/>
      <c r="M599" s="147"/>
      <c r="N599" s="147"/>
      <c r="O599" s="147"/>
      <c r="P599" s="147"/>
      <c r="Q599" s="147"/>
      <c r="R599" s="147"/>
      <c r="S599" s="147"/>
      <c r="T599" s="147"/>
      <c r="U599" s="147"/>
      <c r="V599" s="147"/>
      <c r="W599" s="147"/>
      <c r="X599" s="147"/>
      <c r="Y599" s="147"/>
      <c r="Z599" s="147"/>
    </row>
    <row r="600">
      <c r="A600" s="147"/>
      <c r="B600" s="147"/>
      <c r="C600" s="147"/>
      <c r="D600" s="147"/>
      <c r="E600" s="147"/>
      <c r="F600" s="147"/>
      <c r="G600" s="147"/>
      <c r="H600" s="147"/>
      <c r="I600" s="190"/>
      <c r="J600" s="147"/>
      <c r="K600" s="147"/>
      <c r="L600" s="147"/>
      <c r="M600" s="147"/>
      <c r="N600" s="147"/>
      <c r="O600" s="147"/>
      <c r="P600" s="147"/>
      <c r="Q600" s="147"/>
      <c r="R600" s="147"/>
      <c r="S600" s="147"/>
      <c r="T600" s="147"/>
      <c r="U600" s="147"/>
      <c r="V600" s="147"/>
      <c r="W600" s="147"/>
      <c r="X600" s="147"/>
      <c r="Y600" s="147"/>
      <c r="Z600" s="147"/>
    </row>
    <row r="601">
      <c r="A601" s="147"/>
      <c r="B601" s="147"/>
      <c r="C601" s="147"/>
      <c r="D601" s="147"/>
      <c r="E601" s="147"/>
      <c r="F601" s="147"/>
      <c r="G601" s="147"/>
      <c r="H601" s="147"/>
      <c r="I601" s="190"/>
      <c r="J601" s="147"/>
      <c r="K601" s="147"/>
      <c r="L601" s="147"/>
      <c r="M601" s="147"/>
      <c r="N601" s="147"/>
      <c r="O601" s="147"/>
      <c r="P601" s="147"/>
      <c r="Q601" s="147"/>
      <c r="R601" s="147"/>
      <c r="S601" s="147"/>
      <c r="T601" s="147"/>
      <c r="U601" s="147"/>
      <c r="V601" s="147"/>
      <c r="W601" s="147"/>
      <c r="X601" s="147"/>
      <c r="Y601" s="147"/>
      <c r="Z601" s="147"/>
    </row>
    <row r="602">
      <c r="A602" s="147"/>
      <c r="B602" s="147"/>
      <c r="C602" s="147"/>
      <c r="D602" s="147"/>
      <c r="E602" s="147"/>
      <c r="F602" s="147"/>
      <c r="G602" s="147"/>
      <c r="H602" s="147"/>
      <c r="I602" s="190"/>
      <c r="J602" s="147"/>
      <c r="K602" s="147"/>
      <c r="L602" s="147"/>
      <c r="M602" s="147"/>
      <c r="N602" s="147"/>
      <c r="O602" s="147"/>
      <c r="P602" s="147"/>
      <c r="Q602" s="147"/>
      <c r="R602" s="147"/>
      <c r="S602" s="147"/>
      <c r="T602" s="147"/>
      <c r="U602" s="147"/>
      <c r="V602" s="147"/>
      <c r="W602" s="147"/>
      <c r="X602" s="147"/>
      <c r="Y602" s="147"/>
      <c r="Z602" s="147"/>
    </row>
    <row r="603">
      <c r="A603" s="147"/>
      <c r="B603" s="147"/>
      <c r="C603" s="147"/>
      <c r="D603" s="147"/>
      <c r="E603" s="147"/>
      <c r="F603" s="147"/>
      <c r="G603" s="147"/>
      <c r="H603" s="147"/>
      <c r="I603" s="190"/>
      <c r="J603" s="147"/>
      <c r="K603" s="147"/>
      <c r="L603" s="147"/>
      <c r="M603" s="147"/>
      <c r="N603" s="147"/>
      <c r="O603" s="147"/>
      <c r="P603" s="147"/>
      <c r="Q603" s="147"/>
      <c r="R603" s="147"/>
      <c r="S603" s="147"/>
      <c r="T603" s="147"/>
      <c r="U603" s="147"/>
      <c r="V603" s="147"/>
      <c r="W603" s="147"/>
      <c r="X603" s="147"/>
      <c r="Y603" s="147"/>
      <c r="Z603" s="147"/>
    </row>
    <row r="604">
      <c r="A604" s="147"/>
      <c r="B604" s="147"/>
      <c r="C604" s="147"/>
      <c r="D604" s="147"/>
      <c r="E604" s="147"/>
      <c r="F604" s="147"/>
      <c r="G604" s="147"/>
      <c r="H604" s="147"/>
      <c r="I604" s="190"/>
      <c r="J604" s="147"/>
      <c r="K604" s="147"/>
      <c r="L604" s="147"/>
      <c r="M604" s="147"/>
      <c r="N604" s="147"/>
      <c r="O604" s="147"/>
      <c r="P604" s="147"/>
      <c r="Q604" s="147"/>
      <c r="R604" s="147"/>
      <c r="S604" s="147"/>
      <c r="T604" s="147"/>
      <c r="U604" s="147"/>
      <c r="V604" s="147"/>
      <c r="W604" s="147"/>
      <c r="X604" s="147"/>
      <c r="Y604" s="147"/>
      <c r="Z604" s="147"/>
    </row>
    <row r="605">
      <c r="A605" s="147"/>
      <c r="B605" s="147"/>
      <c r="C605" s="147"/>
      <c r="D605" s="147"/>
      <c r="E605" s="147"/>
      <c r="F605" s="147"/>
      <c r="G605" s="147"/>
      <c r="H605" s="147"/>
      <c r="I605" s="190"/>
      <c r="J605" s="147"/>
      <c r="K605" s="147"/>
      <c r="L605" s="147"/>
      <c r="M605" s="147"/>
      <c r="N605" s="147"/>
      <c r="O605" s="147"/>
      <c r="P605" s="147"/>
      <c r="Q605" s="147"/>
      <c r="R605" s="147"/>
      <c r="S605" s="147"/>
      <c r="T605" s="147"/>
      <c r="U605" s="147"/>
      <c r="V605" s="147"/>
      <c r="W605" s="147"/>
      <c r="X605" s="147"/>
      <c r="Y605" s="147"/>
      <c r="Z605" s="147"/>
    </row>
    <row r="606">
      <c r="A606" s="147"/>
      <c r="B606" s="147"/>
      <c r="C606" s="147"/>
      <c r="D606" s="147"/>
      <c r="E606" s="147"/>
      <c r="F606" s="147"/>
      <c r="G606" s="147"/>
      <c r="H606" s="147"/>
      <c r="I606" s="190"/>
      <c r="J606" s="147"/>
      <c r="K606" s="147"/>
      <c r="L606" s="147"/>
      <c r="M606" s="147"/>
      <c r="N606" s="147"/>
      <c r="O606" s="147"/>
      <c r="P606" s="147"/>
      <c r="Q606" s="147"/>
      <c r="R606" s="147"/>
      <c r="S606" s="147"/>
      <c r="T606" s="147"/>
      <c r="U606" s="147"/>
      <c r="V606" s="147"/>
      <c r="W606" s="147"/>
      <c r="X606" s="147"/>
      <c r="Y606" s="147"/>
      <c r="Z606" s="147"/>
    </row>
    <row r="607">
      <c r="A607" s="147"/>
      <c r="B607" s="147"/>
      <c r="C607" s="147"/>
      <c r="D607" s="147"/>
      <c r="E607" s="147"/>
      <c r="F607" s="147"/>
      <c r="G607" s="147"/>
      <c r="H607" s="147"/>
      <c r="I607" s="190"/>
      <c r="J607" s="147"/>
      <c r="K607" s="147"/>
      <c r="L607" s="147"/>
      <c r="M607" s="147"/>
      <c r="N607" s="147"/>
      <c r="O607" s="147"/>
      <c r="P607" s="147"/>
      <c r="Q607" s="147"/>
      <c r="R607" s="147"/>
      <c r="S607" s="147"/>
      <c r="T607" s="147"/>
      <c r="U607" s="147"/>
      <c r="V607" s="147"/>
      <c r="W607" s="147"/>
      <c r="X607" s="147"/>
      <c r="Y607" s="147"/>
      <c r="Z607" s="147"/>
    </row>
    <row r="608">
      <c r="A608" s="147"/>
      <c r="B608" s="147"/>
      <c r="C608" s="147"/>
      <c r="D608" s="147"/>
      <c r="E608" s="147"/>
      <c r="F608" s="147"/>
      <c r="G608" s="147"/>
      <c r="H608" s="147"/>
      <c r="I608" s="190"/>
      <c r="J608" s="147"/>
      <c r="K608" s="147"/>
      <c r="L608" s="147"/>
      <c r="M608" s="147"/>
      <c r="N608" s="147"/>
      <c r="O608" s="147"/>
      <c r="P608" s="147"/>
      <c r="Q608" s="147"/>
      <c r="R608" s="147"/>
      <c r="S608" s="147"/>
      <c r="T608" s="147"/>
      <c r="U608" s="147"/>
      <c r="V608" s="147"/>
      <c r="W608" s="147"/>
      <c r="X608" s="147"/>
      <c r="Y608" s="147"/>
      <c r="Z608" s="147"/>
    </row>
    <row r="609">
      <c r="A609" s="147"/>
      <c r="B609" s="147"/>
      <c r="C609" s="147"/>
      <c r="D609" s="147"/>
      <c r="E609" s="147"/>
      <c r="F609" s="147"/>
      <c r="G609" s="147"/>
      <c r="H609" s="147"/>
      <c r="I609" s="190"/>
      <c r="J609" s="147"/>
      <c r="K609" s="147"/>
      <c r="L609" s="147"/>
      <c r="M609" s="147"/>
      <c r="N609" s="147"/>
      <c r="O609" s="147"/>
      <c r="P609" s="147"/>
      <c r="Q609" s="147"/>
      <c r="R609" s="147"/>
      <c r="S609" s="147"/>
      <c r="T609" s="147"/>
      <c r="U609" s="147"/>
      <c r="V609" s="147"/>
      <c r="W609" s="147"/>
      <c r="X609" s="147"/>
      <c r="Y609" s="147"/>
      <c r="Z609" s="147"/>
    </row>
    <row r="610">
      <c r="A610" s="147"/>
      <c r="B610" s="147"/>
      <c r="C610" s="147"/>
      <c r="D610" s="147"/>
      <c r="E610" s="147"/>
      <c r="F610" s="147"/>
      <c r="G610" s="147"/>
      <c r="H610" s="147"/>
      <c r="I610" s="190"/>
      <c r="J610" s="147"/>
      <c r="K610" s="147"/>
      <c r="L610" s="147"/>
      <c r="M610" s="147"/>
      <c r="N610" s="147"/>
      <c r="O610" s="147"/>
      <c r="P610" s="147"/>
      <c r="Q610" s="147"/>
      <c r="R610" s="147"/>
      <c r="S610" s="147"/>
      <c r="T610" s="147"/>
      <c r="U610" s="147"/>
      <c r="V610" s="147"/>
      <c r="W610" s="147"/>
      <c r="X610" s="147"/>
      <c r="Y610" s="147"/>
      <c r="Z610" s="147"/>
    </row>
    <row r="611">
      <c r="A611" s="147"/>
      <c r="B611" s="147"/>
      <c r="C611" s="147"/>
      <c r="D611" s="147"/>
      <c r="E611" s="147"/>
      <c r="F611" s="147"/>
      <c r="G611" s="147"/>
      <c r="H611" s="147"/>
      <c r="I611" s="190"/>
      <c r="J611" s="147"/>
      <c r="K611" s="147"/>
      <c r="L611" s="147"/>
      <c r="M611" s="147"/>
      <c r="N611" s="147"/>
      <c r="O611" s="147"/>
      <c r="P611" s="147"/>
      <c r="Q611" s="147"/>
      <c r="R611" s="147"/>
      <c r="S611" s="147"/>
      <c r="T611" s="147"/>
      <c r="U611" s="147"/>
      <c r="V611" s="147"/>
      <c r="W611" s="147"/>
      <c r="X611" s="147"/>
      <c r="Y611" s="147"/>
      <c r="Z611" s="147"/>
    </row>
    <row r="612">
      <c r="A612" s="147"/>
      <c r="B612" s="147"/>
      <c r="C612" s="147"/>
      <c r="D612" s="147"/>
      <c r="E612" s="147"/>
      <c r="F612" s="147"/>
      <c r="G612" s="147"/>
      <c r="H612" s="147"/>
      <c r="I612" s="190"/>
      <c r="J612" s="147"/>
      <c r="K612" s="147"/>
      <c r="L612" s="147"/>
      <c r="M612" s="147"/>
      <c r="N612" s="147"/>
      <c r="O612" s="147"/>
      <c r="P612" s="147"/>
      <c r="Q612" s="147"/>
      <c r="R612" s="147"/>
      <c r="S612" s="147"/>
      <c r="T612" s="147"/>
      <c r="U612" s="147"/>
      <c r="V612" s="147"/>
      <c r="W612" s="147"/>
      <c r="X612" s="147"/>
      <c r="Y612" s="147"/>
      <c r="Z612" s="147"/>
    </row>
    <row r="613">
      <c r="A613" s="147"/>
      <c r="B613" s="147"/>
      <c r="C613" s="147"/>
      <c r="D613" s="147"/>
      <c r="E613" s="147"/>
      <c r="F613" s="147"/>
      <c r="G613" s="147"/>
      <c r="H613" s="147"/>
      <c r="I613" s="190"/>
      <c r="J613" s="147"/>
      <c r="K613" s="147"/>
      <c r="L613" s="147"/>
      <c r="M613" s="147"/>
      <c r="N613" s="147"/>
      <c r="O613" s="147"/>
      <c r="P613" s="147"/>
      <c r="Q613" s="147"/>
      <c r="R613" s="147"/>
      <c r="S613" s="147"/>
      <c r="T613" s="147"/>
      <c r="U613" s="147"/>
      <c r="V613" s="147"/>
      <c r="W613" s="147"/>
      <c r="X613" s="147"/>
      <c r="Y613" s="147"/>
      <c r="Z613" s="147"/>
    </row>
    <row r="614">
      <c r="A614" s="147"/>
      <c r="B614" s="147"/>
      <c r="C614" s="147"/>
      <c r="D614" s="147"/>
      <c r="E614" s="147"/>
      <c r="F614" s="147"/>
      <c r="G614" s="147"/>
      <c r="H614" s="147"/>
      <c r="I614" s="190"/>
      <c r="J614" s="147"/>
      <c r="K614" s="147"/>
      <c r="L614" s="147"/>
      <c r="M614" s="147"/>
      <c r="N614" s="147"/>
      <c r="O614" s="147"/>
      <c r="P614" s="147"/>
      <c r="Q614" s="147"/>
      <c r="R614" s="147"/>
      <c r="S614" s="147"/>
      <c r="T614" s="147"/>
      <c r="U614" s="147"/>
      <c r="V614" s="147"/>
      <c r="W614" s="147"/>
      <c r="X614" s="147"/>
      <c r="Y614" s="147"/>
      <c r="Z614" s="147"/>
    </row>
    <row r="615">
      <c r="A615" s="147"/>
      <c r="B615" s="147"/>
      <c r="C615" s="147"/>
      <c r="D615" s="147"/>
      <c r="E615" s="147"/>
      <c r="F615" s="147"/>
      <c r="G615" s="147"/>
      <c r="H615" s="147"/>
      <c r="I615" s="190"/>
      <c r="J615" s="147"/>
      <c r="K615" s="147"/>
      <c r="L615" s="147"/>
      <c r="M615" s="147"/>
      <c r="N615" s="147"/>
      <c r="O615" s="147"/>
      <c r="P615" s="147"/>
      <c r="Q615" s="147"/>
      <c r="R615" s="147"/>
      <c r="S615" s="147"/>
      <c r="T615" s="147"/>
      <c r="U615" s="147"/>
      <c r="V615" s="147"/>
      <c r="W615" s="147"/>
      <c r="X615" s="147"/>
      <c r="Y615" s="147"/>
      <c r="Z615" s="147"/>
    </row>
    <row r="616">
      <c r="A616" s="147"/>
      <c r="B616" s="147"/>
      <c r="C616" s="147"/>
      <c r="D616" s="147"/>
      <c r="E616" s="147"/>
      <c r="F616" s="147"/>
      <c r="G616" s="147"/>
      <c r="H616" s="147"/>
      <c r="I616" s="190"/>
      <c r="J616" s="147"/>
      <c r="K616" s="147"/>
      <c r="L616" s="147"/>
      <c r="M616" s="147"/>
      <c r="N616" s="147"/>
      <c r="O616" s="147"/>
      <c r="P616" s="147"/>
      <c r="Q616" s="147"/>
      <c r="R616" s="147"/>
      <c r="S616" s="147"/>
      <c r="T616" s="147"/>
      <c r="U616" s="147"/>
      <c r="V616" s="147"/>
      <c r="W616" s="147"/>
      <c r="X616" s="147"/>
      <c r="Y616" s="147"/>
      <c r="Z616" s="147"/>
    </row>
    <row r="617">
      <c r="A617" s="147"/>
      <c r="B617" s="147"/>
      <c r="C617" s="147"/>
      <c r="D617" s="147"/>
      <c r="E617" s="147"/>
      <c r="F617" s="147"/>
      <c r="G617" s="147"/>
      <c r="H617" s="147"/>
      <c r="I617" s="190"/>
      <c r="J617" s="147"/>
      <c r="K617" s="147"/>
      <c r="L617" s="147"/>
      <c r="M617" s="147"/>
      <c r="N617" s="147"/>
      <c r="O617" s="147"/>
      <c r="P617" s="147"/>
      <c r="Q617" s="147"/>
      <c r="R617" s="147"/>
      <c r="S617" s="147"/>
      <c r="T617" s="147"/>
      <c r="U617" s="147"/>
      <c r="V617" s="147"/>
      <c r="W617" s="147"/>
      <c r="X617" s="147"/>
      <c r="Y617" s="147"/>
      <c r="Z617" s="147"/>
    </row>
    <row r="618">
      <c r="A618" s="147"/>
      <c r="B618" s="147"/>
      <c r="C618" s="147"/>
      <c r="D618" s="147"/>
      <c r="E618" s="147"/>
      <c r="F618" s="147"/>
      <c r="G618" s="147"/>
      <c r="H618" s="147"/>
      <c r="I618" s="190"/>
      <c r="J618" s="147"/>
      <c r="K618" s="147"/>
      <c r="L618" s="147"/>
      <c r="M618" s="147"/>
      <c r="N618" s="147"/>
      <c r="O618" s="147"/>
      <c r="P618" s="147"/>
      <c r="Q618" s="147"/>
      <c r="R618" s="147"/>
      <c r="S618" s="147"/>
      <c r="T618" s="147"/>
      <c r="U618" s="147"/>
      <c r="V618" s="147"/>
      <c r="W618" s="147"/>
      <c r="X618" s="147"/>
      <c r="Y618" s="147"/>
      <c r="Z618" s="147"/>
    </row>
    <row r="619">
      <c r="A619" s="147"/>
      <c r="B619" s="147"/>
      <c r="C619" s="147"/>
      <c r="D619" s="147"/>
      <c r="E619" s="147"/>
      <c r="F619" s="147"/>
      <c r="G619" s="147"/>
      <c r="H619" s="147"/>
      <c r="I619" s="190"/>
      <c r="J619" s="147"/>
      <c r="K619" s="147"/>
      <c r="L619" s="147"/>
      <c r="M619" s="147"/>
      <c r="N619" s="147"/>
      <c r="O619" s="147"/>
      <c r="P619" s="147"/>
      <c r="Q619" s="147"/>
      <c r="R619" s="147"/>
      <c r="S619" s="147"/>
      <c r="T619" s="147"/>
      <c r="U619" s="147"/>
      <c r="V619" s="147"/>
      <c r="W619" s="147"/>
      <c r="X619" s="147"/>
      <c r="Y619" s="147"/>
      <c r="Z619" s="147"/>
    </row>
    <row r="620">
      <c r="A620" s="147"/>
      <c r="B620" s="147"/>
      <c r="C620" s="147"/>
      <c r="D620" s="147"/>
      <c r="E620" s="147"/>
      <c r="F620" s="147"/>
      <c r="G620" s="147"/>
      <c r="H620" s="147"/>
      <c r="I620" s="190"/>
      <c r="J620" s="147"/>
      <c r="K620" s="147"/>
      <c r="L620" s="147"/>
      <c r="M620" s="147"/>
      <c r="N620" s="147"/>
      <c r="O620" s="147"/>
      <c r="P620" s="147"/>
      <c r="Q620" s="147"/>
      <c r="R620" s="147"/>
      <c r="S620" s="147"/>
      <c r="T620" s="147"/>
      <c r="U620" s="147"/>
      <c r="V620" s="147"/>
      <c r="W620" s="147"/>
      <c r="X620" s="147"/>
      <c r="Y620" s="147"/>
      <c r="Z620" s="147"/>
    </row>
    <row r="621">
      <c r="A621" s="147"/>
      <c r="B621" s="147"/>
      <c r="C621" s="147"/>
      <c r="D621" s="147"/>
      <c r="E621" s="147"/>
      <c r="F621" s="147"/>
      <c r="G621" s="147"/>
      <c r="H621" s="147"/>
      <c r="I621" s="190"/>
      <c r="J621" s="147"/>
      <c r="K621" s="147"/>
      <c r="L621" s="147"/>
      <c r="M621" s="147"/>
      <c r="N621" s="147"/>
      <c r="O621" s="147"/>
      <c r="P621" s="147"/>
      <c r="Q621" s="147"/>
      <c r="R621" s="147"/>
      <c r="S621" s="147"/>
      <c r="T621" s="147"/>
      <c r="U621" s="147"/>
      <c r="V621" s="147"/>
      <c r="W621" s="147"/>
      <c r="X621" s="147"/>
      <c r="Y621" s="147"/>
      <c r="Z621" s="147"/>
    </row>
    <row r="622">
      <c r="A622" s="147"/>
      <c r="B622" s="147"/>
      <c r="C622" s="147"/>
      <c r="D622" s="147"/>
      <c r="E622" s="147"/>
      <c r="F622" s="147"/>
      <c r="G622" s="147"/>
      <c r="H622" s="147"/>
      <c r="I622" s="190"/>
      <c r="J622" s="147"/>
      <c r="K622" s="147"/>
      <c r="L622" s="147"/>
      <c r="M622" s="147"/>
      <c r="N622" s="147"/>
      <c r="O622" s="147"/>
      <c r="P622" s="147"/>
      <c r="Q622" s="147"/>
      <c r="R622" s="147"/>
      <c r="S622" s="147"/>
      <c r="T622" s="147"/>
      <c r="U622" s="147"/>
      <c r="V622" s="147"/>
      <c r="W622" s="147"/>
      <c r="X622" s="147"/>
      <c r="Y622" s="147"/>
      <c r="Z622" s="147"/>
    </row>
    <row r="623">
      <c r="A623" s="147"/>
      <c r="B623" s="147"/>
      <c r="C623" s="147"/>
      <c r="D623" s="147"/>
      <c r="E623" s="147"/>
      <c r="F623" s="147"/>
      <c r="G623" s="147"/>
      <c r="H623" s="147"/>
      <c r="I623" s="190"/>
      <c r="J623" s="147"/>
      <c r="K623" s="147"/>
      <c r="L623" s="147"/>
      <c r="M623" s="147"/>
      <c r="N623" s="147"/>
      <c r="O623" s="147"/>
      <c r="P623" s="147"/>
      <c r="Q623" s="147"/>
      <c r="R623" s="147"/>
      <c r="S623" s="147"/>
      <c r="T623" s="147"/>
      <c r="U623" s="147"/>
      <c r="V623" s="147"/>
      <c r="W623" s="147"/>
      <c r="X623" s="147"/>
      <c r="Y623" s="147"/>
      <c r="Z623" s="147"/>
    </row>
    <row r="624">
      <c r="A624" s="147"/>
      <c r="B624" s="147"/>
      <c r="C624" s="147"/>
      <c r="D624" s="147"/>
      <c r="E624" s="147"/>
      <c r="F624" s="147"/>
      <c r="G624" s="147"/>
      <c r="H624" s="147"/>
      <c r="I624" s="190"/>
      <c r="J624" s="147"/>
      <c r="K624" s="147"/>
      <c r="L624" s="147"/>
      <c r="M624" s="147"/>
      <c r="N624" s="147"/>
      <c r="O624" s="147"/>
      <c r="P624" s="147"/>
      <c r="Q624" s="147"/>
      <c r="R624" s="147"/>
      <c r="S624" s="147"/>
      <c r="T624" s="147"/>
      <c r="U624" s="147"/>
      <c r="V624" s="147"/>
      <c r="W624" s="147"/>
      <c r="X624" s="147"/>
      <c r="Y624" s="147"/>
      <c r="Z624" s="147"/>
    </row>
    <row r="625">
      <c r="A625" s="147"/>
      <c r="B625" s="147"/>
      <c r="C625" s="147"/>
      <c r="D625" s="147"/>
      <c r="E625" s="147"/>
      <c r="F625" s="147"/>
      <c r="G625" s="147"/>
      <c r="H625" s="147"/>
      <c r="I625" s="190"/>
      <c r="J625" s="147"/>
      <c r="K625" s="147"/>
      <c r="L625" s="147"/>
      <c r="M625" s="147"/>
      <c r="N625" s="147"/>
      <c r="O625" s="147"/>
      <c r="P625" s="147"/>
      <c r="Q625" s="147"/>
      <c r="R625" s="147"/>
      <c r="S625" s="147"/>
      <c r="T625" s="147"/>
      <c r="U625" s="147"/>
      <c r="V625" s="147"/>
      <c r="W625" s="147"/>
      <c r="X625" s="147"/>
      <c r="Y625" s="147"/>
      <c r="Z625" s="147"/>
    </row>
    <row r="626">
      <c r="A626" s="147"/>
      <c r="B626" s="147"/>
      <c r="C626" s="147"/>
      <c r="D626" s="147"/>
      <c r="E626" s="147"/>
      <c r="F626" s="147"/>
      <c r="G626" s="147"/>
      <c r="H626" s="147"/>
      <c r="I626" s="190"/>
      <c r="J626" s="147"/>
      <c r="K626" s="147"/>
      <c r="L626" s="147"/>
      <c r="M626" s="147"/>
      <c r="N626" s="147"/>
      <c r="O626" s="147"/>
      <c r="P626" s="147"/>
      <c r="Q626" s="147"/>
      <c r="R626" s="147"/>
      <c r="S626" s="147"/>
      <c r="T626" s="147"/>
      <c r="U626" s="147"/>
      <c r="V626" s="147"/>
      <c r="W626" s="147"/>
      <c r="X626" s="147"/>
      <c r="Y626" s="147"/>
      <c r="Z626" s="147"/>
    </row>
    <row r="627">
      <c r="A627" s="147"/>
      <c r="B627" s="147"/>
      <c r="C627" s="147"/>
      <c r="D627" s="147"/>
      <c r="E627" s="147"/>
      <c r="F627" s="147"/>
      <c r="G627" s="147"/>
      <c r="H627" s="147"/>
      <c r="I627" s="190"/>
      <c r="J627" s="147"/>
      <c r="K627" s="147"/>
      <c r="L627" s="147"/>
      <c r="M627" s="147"/>
      <c r="N627" s="147"/>
      <c r="O627" s="147"/>
      <c r="P627" s="147"/>
      <c r="Q627" s="147"/>
      <c r="R627" s="147"/>
      <c r="S627" s="147"/>
      <c r="T627" s="147"/>
      <c r="U627" s="147"/>
      <c r="V627" s="147"/>
      <c r="W627" s="147"/>
      <c r="X627" s="147"/>
      <c r="Y627" s="147"/>
      <c r="Z627" s="147"/>
    </row>
    <row r="628">
      <c r="A628" s="147"/>
      <c r="B628" s="147"/>
      <c r="C628" s="147"/>
      <c r="D628" s="147"/>
      <c r="E628" s="147"/>
      <c r="F628" s="147"/>
      <c r="G628" s="147"/>
      <c r="H628" s="147"/>
      <c r="I628" s="190"/>
      <c r="J628" s="147"/>
      <c r="K628" s="147"/>
      <c r="L628" s="147"/>
      <c r="M628" s="147"/>
      <c r="N628" s="147"/>
      <c r="O628" s="147"/>
      <c r="P628" s="147"/>
      <c r="Q628" s="147"/>
      <c r="R628" s="147"/>
      <c r="S628" s="147"/>
      <c r="T628" s="147"/>
      <c r="U628" s="147"/>
      <c r="V628" s="147"/>
      <c r="W628" s="147"/>
      <c r="X628" s="147"/>
      <c r="Y628" s="147"/>
      <c r="Z628" s="147"/>
    </row>
    <row r="629">
      <c r="A629" s="147"/>
      <c r="B629" s="147"/>
      <c r="C629" s="147"/>
      <c r="D629" s="147"/>
      <c r="E629" s="147"/>
      <c r="F629" s="147"/>
      <c r="G629" s="147"/>
      <c r="H629" s="147"/>
      <c r="I629" s="190"/>
      <c r="J629" s="147"/>
      <c r="K629" s="147"/>
      <c r="L629" s="147"/>
      <c r="M629" s="147"/>
      <c r="N629" s="147"/>
      <c r="O629" s="147"/>
      <c r="P629" s="147"/>
      <c r="Q629" s="147"/>
      <c r="R629" s="147"/>
      <c r="S629" s="147"/>
      <c r="T629" s="147"/>
      <c r="U629" s="147"/>
      <c r="V629" s="147"/>
      <c r="W629" s="147"/>
      <c r="X629" s="147"/>
      <c r="Y629" s="147"/>
      <c r="Z629" s="147"/>
    </row>
    <row r="630">
      <c r="A630" s="147"/>
      <c r="B630" s="147"/>
      <c r="C630" s="147"/>
      <c r="D630" s="147"/>
      <c r="E630" s="147"/>
      <c r="F630" s="147"/>
      <c r="G630" s="147"/>
      <c r="H630" s="147"/>
      <c r="I630" s="190"/>
      <c r="J630" s="147"/>
      <c r="K630" s="147"/>
      <c r="L630" s="147"/>
      <c r="M630" s="147"/>
      <c r="N630" s="147"/>
      <c r="O630" s="147"/>
      <c r="P630" s="147"/>
      <c r="Q630" s="147"/>
      <c r="R630" s="147"/>
      <c r="S630" s="147"/>
      <c r="T630" s="147"/>
      <c r="U630" s="147"/>
      <c r="V630" s="147"/>
      <c r="W630" s="147"/>
      <c r="X630" s="147"/>
      <c r="Y630" s="147"/>
      <c r="Z630" s="147"/>
    </row>
    <row r="631">
      <c r="A631" s="147"/>
      <c r="B631" s="147"/>
      <c r="C631" s="147"/>
      <c r="D631" s="147"/>
      <c r="E631" s="147"/>
      <c r="F631" s="147"/>
      <c r="G631" s="147"/>
      <c r="H631" s="147"/>
      <c r="I631" s="190"/>
      <c r="J631" s="147"/>
      <c r="K631" s="147"/>
      <c r="L631" s="147"/>
      <c r="M631" s="147"/>
      <c r="N631" s="147"/>
      <c r="O631" s="147"/>
      <c r="P631" s="147"/>
      <c r="Q631" s="147"/>
      <c r="R631" s="147"/>
      <c r="S631" s="147"/>
      <c r="T631" s="147"/>
      <c r="U631" s="147"/>
      <c r="V631" s="147"/>
      <c r="W631" s="147"/>
      <c r="X631" s="147"/>
      <c r="Y631" s="147"/>
      <c r="Z631" s="147"/>
    </row>
    <row r="632">
      <c r="A632" s="147"/>
      <c r="B632" s="147"/>
      <c r="C632" s="147"/>
      <c r="D632" s="147"/>
      <c r="E632" s="147"/>
      <c r="F632" s="147"/>
      <c r="G632" s="147"/>
      <c r="H632" s="147"/>
      <c r="I632" s="190"/>
      <c r="J632" s="147"/>
      <c r="K632" s="147"/>
      <c r="L632" s="147"/>
      <c r="M632" s="147"/>
      <c r="N632" s="147"/>
      <c r="O632" s="147"/>
      <c r="P632" s="147"/>
      <c r="Q632" s="147"/>
      <c r="R632" s="147"/>
      <c r="S632" s="147"/>
      <c r="T632" s="147"/>
      <c r="U632" s="147"/>
      <c r="V632" s="147"/>
      <c r="W632" s="147"/>
      <c r="X632" s="147"/>
      <c r="Y632" s="147"/>
      <c r="Z632" s="147"/>
    </row>
    <row r="633">
      <c r="A633" s="147"/>
      <c r="B633" s="147"/>
      <c r="C633" s="147"/>
      <c r="D633" s="147"/>
      <c r="E633" s="147"/>
      <c r="F633" s="147"/>
      <c r="G633" s="147"/>
      <c r="H633" s="147"/>
      <c r="I633" s="190"/>
      <c r="J633" s="147"/>
      <c r="K633" s="147"/>
      <c r="L633" s="147"/>
      <c r="M633" s="147"/>
      <c r="N633" s="147"/>
      <c r="O633" s="147"/>
      <c r="P633" s="147"/>
      <c r="Q633" s="147"/>
      <c r="R633" s="147"/>
      <c r="S633" s="147"/>
      <c r="T633" s="147"/>
      <c r="U633" s="147"/>
      <c r="V633" s="147"/>
      <c r="W633" s="147"/>
      <c r="X633" s="147"/>
      <c r="Y633" s="147"/>
      <c r="Z633" s="147"/>
    </row>
    <row r="634">
      <c r="A634" s="147"/>
      <c r="B634" s="147"/>
      <c r="C634" s="147"/>
      <c r="D634" s="147"/>
      <c r="E634" s="147"/>
      <c r="F634" s="147"/>
      <c r="G634" s="147"/>
      <c r="H634" s="147"/>
      <c r="I634" s="190"/>
      <c r="J634" s="147"/>
      <c r="K634" s="147"/>
      <c r="L634" s="147"/>
      <c r="M634" s="147"/>
      <c r="N634" s="147"/>
      <c r="O634" s="147"/>
      <c r="P634" s="147"/>
      <c r="Q634" s="147"/>
      <c r="R634" s="147"/>
      <c r="S634" s="147"/>
      <c r="T634" s="147"/>
      <c r="U634" s="147"/>
      <c r="V634" s="147"/>
      <c r="W634" s="147"/>
      <c r="X634" s="147"/>
      <c r="Y634" s="147"/>
      <c r="Z634" s="147"/>
    </row>
    <row r="635">
      <c r="A635" s="147"/>
      <c r="B635" s="147"/>
      <c r="C635" s="147"/>
      <c r="D635" s="147"/>
      <c r="E635" s="147"/>
      <c r="F635" s="147"/>
      <c r="G635" s="147"/>
      <c r="H635" s="147"/>
      <c r="I635" s="190"/>
      <c r="J635" s="147"/>
      <c r="K635" s="147"/>
      <c r="L635" s="147"/>
      <c r="M635" s="147"/>
      <c r="N635" s="147"/>
      <c r="O635" s="147"/>
      <c r="P635" s="147"/>
      <c r="Q635" s="147"/>
      <c r="R635" s="147"/>
      <c r="S635" s="147"/>
      <c r="T635" s="147"/>
      <c r="U635" s="147"/>
      <c r="V635" s="147"/>
      <c r="W635" s="147"/>
      <c r="X635" s="147"/>
      <c r="Y635" s="147"/>
      <c r="Z635" s="147"/>
    </row>
    <row r="636">
      <c r="A636" s="147"/>
      <c r="B636" s="147"/>
      <c r="C636" s="147"/>
      <c r="D636" s="147"/>
      <c r="E636" s="147"/>
      <c r="F636" s="147"/>
      <c r="G636" s="147"/>
      <c r="H636" s="147"/>
      <c r="I636" s="190"/>
      <c r="J636" s="147"/>
      <c r="K636" s="147"/>
      <c r="L636" s="147"/>
      <c r="M636" s="147"/>
      <c r="N636" s="147"/>
      <c r="O636" s="147"/>
      <c r="P636" s="147"/>
      <c r="Q636" s="147"/>
      <c r="R636" s="147"/>
      <c r="S636" s="147"/>
      <c r="T636" s="147"/>
      <c r="U636" s="147"/>
      <c r="V636" s="147"/>
      <c r="W636" s="147"/>
      <c r="X636" s="147"/>
      <c r="Y636" s="147"/>
      <c r="Z636" s="147"/>
    </row>
    <row r="637">
      <c r="A637" s="147"/>
      <c r="B637" s="147"/>
      <c r="C637" s="147"/>
      <c r="D637" s="147"/>
      <c r="E637" s="147"/>
      <c r="F637" s="147"/>
      <c r="G637" s="147"/>
      <c r="H637" s="147"/>
      <c r="I637" s="190"/>
      <c r="J637" s="147"/>
      <c r="K637" s="147"/>
      <c r="L637" s="147"/>
      <c r="M637" s="147"/>
      <c r="N637" s="147"/>
      <c r="O637" s="147"/>
      <c r="P637" s="147"/>
      <c r="Q637" s="147"/>
      <c r="R637" s="147"/>
      <c r="S637" s="147"/>
      <c r="T637" s="147"/>
      <c r="U637" s="147"/>
      <c r="V637" s="147"/>
      <c r="W637" s="147"/>
      <c r="X637" s="147"/>
      <c r="Y637" s="147"/>
      <c r="Z637" s="147"/>
    </row>
    <row r="638">
      <c r="A638" s="147"/>
      <c r="B638" s="147"/>
      <c r="C638" s="147"/>
      <c r="D638" s="147"/>
      <c r="E638" s="147"/>
      <c r="F638" s="147"/>
      <c r="G638" s="147"/>
      <c r="H638" s="147"/>
      <c r="I638" s="190"/>
      <c r="J638" s="147"/>
      <c r="K638" s="147"/>
      <c r="L638" s="147"/>
      <c r="M638" s="147"/>
      <c r="N638" s="147"/>
      <c r="O638" s="147"/>
      <c r="P638" s="147"/>
      <c r="Q638" s="147"/>
      <c r="R638" s="147"/>
      <c r="S638" s="147"/>
      <c r="T638" s="147"/>
      <c r="U638" s="147"/>
      <c r="V638" s="147"/>
      <c r="W638" s="147"/>
      <c r="X638" s="147"/>
      <c r="Y638" s="147"/>
      <c r="Z638" s="147"/>
    </row>
    <row r="639">
      <c r="A639" s="147"/>
      <c r="B639" s="147"/>
      <c r="C639" s="147"/>
      <c r="D639" s="147"/>
      <c r="E639" s="147"/>
      <c r="F639" s="147"/>
      <c r="G639" s="147"/>
      <c r="H639" s="147"/>
      <c r="I639" s="190"/>
      <c r="J639" s="147"/>
      <c r="K639" s="147"/>
      <c r="L639" s="147"/>
      <c r="M639" s="147"/>
      <c r="N639" s="147"/>
      <c r="O639" s="147"/>
      <c r="P639" s="147"/>
      <c r="Q639" s="147"/>
      <c r="R639" s="147"/>
      <c r="S639" s="147"/>
      <c r="T639" s="147"/>
      <c r="U639" s="147"/>
      <c r="V639" s="147"/>
      <c r="W639" s="147"/>
      <c r="X639" s="147"/>
      <c r="Y639" s="147"/>
      <c r="Z639" s="147"/>
    </row>
    <row r="640">
      <c r="A640" s="147"/>
      <c r="B640" s="147"/>
      <c r="C640" s="147"/>
      <c r="D640" s="147"/>
      <c r="E640" s="147"/>
      <c r="F640" s="147"/>
      <c r="G640" s="147"/>
      <c r="H640" s="147"/>
      <c r="I640" s="190"/>
      <c r="J640" s="147"/>
      <c r="K640" s="147"/>
      <c r="L640" s="147"/>
      <c r="M640" s="147"/>
      <c r="N640" s="147"/>
      <c r="O640" s="147"/>
      <c r="P640" s="147"/>
      <c r="Q640" s="147"/>
      <c r="R640" s="147"/>
      <c r="S640" s="147"/>
      <c r="T640" s="147"/>
      <c r="U640" s="147"/>
      <c r="V640" s="147"/>
      <c r="W640" s="147"/>
      <c r="X640" s="147"/>
      <c r="Y640" s="147"/>
      <c r="Z640" s="147"/>
    </row>
    <row r="641">
      <c r="A641" s="147"/>
      <c r="B641" s="147"/>
      <c r="C641" s="147"/>
      <c r="D641" s="147"/>
      <c r="E641" s="147"/>
      <c r="F641" s="147"/>
      <c r="G641" s="147"/>
      <c r="H641" s="147"/>
      <c r="I641" s="190"/>
      <c r="J641" s="147"/>
      <c r="K641" s="147"/>
      <c r="L641" s="147"/>
      <c r="M641" s="147"/>
      <c r="N641" s="147"/>
      <c r="O641" s="147"/>
      <c r="P641" s="147"/>
      <c r="Q641" s="147"/>
      <c r="R641" s="147"/>
      <c r="S641" s="147"/>
      <c r="T641" s="147"/>
      <c r="U641" s="147"/>
      <c r="V641" s="147"/>
      <c r="W641" s="147"/>
      <c r="X641" s="147"/>
      <c r="Y641" s="147"/>
      <c r="Z641" s="147"/>
    </row>
    <row r="642">
      <c r="A642" s="147"/>
      <c r="B642" s="147"/>
      <c r="C642" s="147"/>
      <c r="D642" s="147"/>
      <c r="E642" s="147"/>
      <c r="F642" s="147"/>
      <c r="G642" s="147"/>
      <c r="H642" s="147"/>
      <c r="I642" s="190"/>
      <c r="J642" s="147"/>
      <c r="K642" s="147"/>
      <c r="L642" s="147"/>
      <c r="M642" s="147"/>
      <c r="N642" s="147"/>
      <c r="O642" s="147"/>
      <c r="P642" s="147"/>
      <c r="Q642" s="147"/>
      <c r="R642" s="147"/>
      <c r="S642" s="147"/>
      <c r="T642" s="147"/>
      <c r="U642" s="147"/>
      <c r="V642" s="147"/>
      <c r="W642" s="147"/>
      <c r="X642" s="147"/>
      <c r="Y642" s="147"/>
      <c r="Z642" s="147"/>
    </row>
    <row r="643">
      <c r="A643" s="147"/>
      <c r="B643" s="147"/>
      <c r="C643" s="147"/>
      <c r="D643" s="147"/>
      <c r="E643" s="147"/>
      <c r="F643" s="147"/>
      <c r="G643" s="147"/>
      <c r="H643" s="147"/>
      <c r="I643" s="190"/>
      <c r="J643" s="147"/>
      <c r="K643" s="147"/>
      <c r="L643" s="147"/>
      <c r="M643" s="147"/>
      <c r="N643" s="147"/>
      <c r="O643" s="147"/>
      <c r="P643" s="147"/>
      <c r="Q643" s="147"/>
      <c r="R643" s="147"/>
      <c r="S643" s="147"/>
      <c r="T643" s="147"/>
      <c r="U643" s="147"/>
      <c r="V643" s="147"/>
      <c r="W643" s="147"/>
      <c r="X643" s="147"/>
      <c r="Y643" s="147"/>
      <c r="Z643" s="147"/>
    </row>
    <row r="644">
      <c r="A644" s="147"/>
      <c r="B644" s="147"/>
      <c r="C644" s="147"/>
      <c r="D644" s="147"/>
      <c r="E644" s="147"/>
      <c r="F644" s="147"/>
      <c r="G644" s="147"/>
      <c r="H644" s="147"/>
      <c r="I644" s="190"/>
      <c r="J644" s="147"/>
      <c r="K644" s="147"/>
      <c r="L644" s="147"/>
      <c r="M644" s="147"/>
      <c r="N644" s="147"/>
      <c r="O644" s="147"/>
      <c r="P644" s="147"/>
      <c r="Q644" s="147"/>
      <c r="R644" s="147"/>
      <c r="S644" s="147"/>
      <c r="T644" s="147"/>
      <c r="U644" s="147"/>
      <c r="V644" s="147"/>
      <c r="W644" s="147"/>
      <c r="X644" s="147"/>
      <c r="Y644" s="147"/>
      <c r="Z644" s="147"/>
    </row>
    <row r="645">
      <c r="A645" s="147"/>
      <c r="B645" s="147"/>
      <c r="C645" s="147"/>
      <c r="D645" s="147"/>
      <c r="E645" s="147"/>
      <c r="F645" s="147"/>
      <c r="G645" s="147"/>
      <c r="H645" s="147"/>
      <c r="I645" s="190"/>
      <c r="J645" s="147"/>
      <c r="K645" s="147"/>
      <c r="L645" s="147"/>
      <c r="M645" s="147"/>
      <c r="N645" s="147"/>
      <c r="O645" s="147"/>
      <c r="P645" s="147"/>
      <c r="Q645" s="147"/>
      <c r="R645" s="147"/>
      <c r="S645" s="147"/>
      <c r="T645" s="147"/>
      <c r="U645" s="147"/>
      <c r="V645" s="147"/>
      <c r="W645" s="147"/>
      <c r="X645" s="147"/>
      <c r="Y645" s="147"/>
      <c r="Z645" s="147"/>
    </row>
    <row r="646">
      <c r="A646" s="147"/>
      <c r="B646" s="147"/>
      <c r="C646" s="147"/>
      <c r="D646" s="147"/>
      <c r="E646" s="147"/>
      <c r="F646" s="147"/>
      <c r="G646" s="147"/>
      <c r="H646" s="147"/>
      <c r="I646" s="190"/>
      <c r="J646" s="147"/>
      <c r="K646" s="147"/>
      <c r="L646" s="147"/>
      <c r="M646" s="147"/>
      <c r="N646" s="147"/>
      <c r="O646" s="147"/>
      <c r="P646" s="147"/>
      <c r="Q646" s="147"/>
      <c r="R646" s="147"/>
      <c r="S646" s="147"/>
      <c r="T646" s="147"/>
      <c r="U646" s="147"/>
      <c r="V646" s="147"/>
      <c r="W646" s="147"/>
      <c r="X646" s="147"/>
      <c r="Y646" s="147"/>
      <c r="Z646" s="147"/>
    </row>
    <row r="647">
      <c r="A647" s="147"/>
      <c r="B647" s="147"/>
      <c r="C647" s="147"/>
      <c r="D647" s="147"/>
      <c r="E647" s="147"/>
      <c r="F647" s="147"/>
      <c r="G647" s="147"/>
      <c r="H647" s="147"/>
      <c r="I647" s="190"/>
      <c r="J647" s="147"/>
      <c r="K647" s="147"/>
      <c r="L647" s="147"/>
      <c r="M647" s="147"/>
      <c r="N647" s="147"/>
      <c r="O647" s="147"/>
      <c r="P647" s="147"/>
      <c r="Q647" s="147"/>
      <c r="R647" s="147"/>
      <c r="S647" s="147"/>
      <c r="T647" s="147"/>
      <c r="U647" s="147"/>
      <c r="V647" s="147"/>
      <c r="W647" s="147"/>
      <c r="X647" s="147"/>
      <c r="Y647" s="147"/>
      <c r="Z647" s="147"/>
    </row>
    <row r="648">
      <c r="A648" s="147"/>
      <c r="B648" s="147"/>
      <c r="C648" s="147"/>
      <c r="D648" s="147"/>
      <c r="E648" s="147"/>
      <c r="F648" s="147"/>
      <c r="G648" s="147"/>
      <c r="H648" s="147"/>
      <c r="I648" s="190"/>
      <c r="J648" s="147"/>
      <c r="K648" s="147"/>
      <c r="L648" s="147"/>
      <c r="M648" s="147"/>
      <c r="N648" s="147"/>
      <c r="O648" s="147"/>
      <c r="P648" s="147"/>
      <c r="Q648" s="147"/>
      <c r="R648" s="147"/>
      <c r="S648" s="147"/>
      <c r="T648" s="147"/>
      <c r="U648" s="147"/>
      <c r="V648" s="147"/>
      <c r="W648" s="147"/>
      <c r="X648" s="147"/>
      <c r="Y648" s="147"/>
      <c r="Z648" s="147"/>
    </row>
    <row r="649">
      <c r="A649" s="147"/>
      <c r="B649" s="147"/>
      <c r="C649" s="147"/>
      <c r="D649" s="147"/>
      <c r="E649" s="147"/>
      <c r="F649" s="147"/>
      <c r="G649" s="147"/>
      <c r="H649" s="147"/>
      <c r="I649" s="190"/>
      <c r="J649" s="147"/>
      <c r="K649" s="147"/>
      <c r="L649" s="147"/>
      <c r="M649" s="147"/>
      <c r="N649" s="147"/>
      <c r="O649" s="147"/>
      <c r="P649" s="147"/>
      <c r="Q649" s="147"/>
      <c r="R649" s="147"/>
      <c r="S649" s="147"/>
      <c r="T649" s="147"/>
      <c r="U649" s="147"/>
      <c r="V649" s="147"/>
      <c r="W649" s="147"/>
      <c r="X649" s="147"/>
      <c r="Y649" s="147"/>
      <c r="Z649" s="147"/>
    </row>
    <row r="650">
      <c r="A650" s="147"/>
      <c r="B650" s="147"/>
      <c r="C650" s="147"/>
      <c r="D650" s="147"/>
      <c r="E650" s="147"/>
      <c r="F650" s="147"/>
      <c r="G650" s="147"/>
      <c r="H650" s="147"/>
      <c r="I650" s="190"/>
      <c r="J650" s="147"/>
      <c r="K650" s="147"/>
      <c r="L650" s="147"/>
      <c r="M650" s="147"/>
      <c r="N650" s="147"/>
      <c r="O650" s="147"/>
      <c r="P650" s="147"/>
      <c r="Q650" s="147"/>
      <c r="R650" s="147"/>
      <c r="S650" s="147"/>
      <c r="T650" s="147"/>
      <c r="U650" s="147"/>
      <c r="V650" s="147"/>
      <c r="W650" s="147"/>
      <c r="X650" s="147"/>
      <c r="Y650" s="147"/>
      <c r="Z650" s="147"/>
    </row>
    <row r="651">
      <c r="A651" s="147"/>
      <c r="B651" s="147"/>
      <c r="C651" s="147"/>
      <c r="D651" s="147"/>
      <c r="E651" s="147"/>
      <c r="F651" s="147"/>
      <c r="G651" s="147"/>
      <c r="H651" s="147"/>
      <c r="I651" s="190"/>
      <c r="J651" s="147"/>
      <c r="K651" s="147"/>
      <c r="L651" s="147"/>
      <c r="M651" s="147"/>
      <c r="N651" s="147"/>
      <c r="O651" s="147"/>
      <c r="P651" s="147"/>
      <c r="Q651" s="147"/>
      <c r="R651" s="147"/>
      <c r="S651" s="147"/>
      <c r="T651" s="147"/>
      <c r="U651" s="147"/>
      <c r="V651" s="147"/>
      <c r="W651" s="147"/>
      <c r="X651" s="147"/>
      <c r="Y651" s="147"/>
      <c r="Z651" s="147"/>
    </row>
    <row r="652">
      <c r="A652" s="147"/>
      <c r="B652" s="147"/>
      <c r="C652" s="147"/>
      <c r="D652" s="147"/>
      <c r="E652" s="147"/>
      <c r="F652" s="147"/>
      <c r="G652" s="147"/>
      <c r="H652" s="147"/>
      <c r="I652" s="190"/>
      <c r="J652" s="147"/>
      <c r="K652" s="147"/>
      <c r="L652" s="147"/>
      <c r="M652" s="147"/>
      <c r="N652" s="147"/>
      <c r="O652" s="147"/>
      <c r="P652" s="147"/>
      <c r="Q652" s="147"/>
      <c r="R652" s="147"/>
      <c r="S652" s="147"/>
      <c r="T652" s="147"/>
      <c r="U652" s="147"/>
      <c r="V652" s="147"/>
      <c r="W652" s="147"/>
      <c r="X652" s="147"/>
      <c r="Y652" s="147"/>
      <c r="Z652" s="147"/>
    </row>
    <row r="653">
      <c r="A653" s="147"/>
      <c r="B653" s="147"/>
      <c r="C653" s="147"/>
      <c r="D653" s="147"/>
      <c r="E653" s="147"/>
      <c r="F653" s="147"/>
      <c r="G653" s="147"/>
      <c r="H653" s="147"/>
      <c r="I653" s="190"/>
      <c r="J653" s="147"/>
      <c r="K653" s="147"/>
      <c r="L653" s="147"/>
      <c r="M653" s="147"/>
      <c r="N653" s="147"/>
      <c r="O653" s="147"/>
      <c r="P653" s="147"/>
      <c r="Q653" s="147"/>
      <c r="R653" s="147"/>
      <c r="S653" s="147"/>
      <c r="T653" s="147"/>
      <c r="U653" s="147"/>
      <c r="V653" s="147"/>
      <c r="W653" s="147"/>
      <c r="X653" s="147"/>
      <c r="Y653" s="147"/>
      <c r="Z653" s="147"/>
    </row>
    <row r="654">
      <c r="A654" s="147"/>
      <c r="B654" s="147"/>
      <c r="C654" s="147"/>
      <c r="D654" s="147"/>
      <c r="E654" s="147"/>
      <c r="F654" s="147"/>
      <c r="G654" s="147"/>
      <c r="H654" s="147"/>
      <c r="I654" s="190"/>
      <c r="J654" s="147"/>
      <c r="K654" s="147"/>
      <c r="L654" s="147"/>
      <c r="M654" s="147"/>
      <c r="N654" s="147"/>
      <c r="O654" s="147"/>
      <c r="P654" s="147"/>
      <c r="Q654" s="147"/>
      <c r="R654" s="147"/>
      <c r="S654" s="147"/>
      <c r="T654" s="147"/>
      <c r="U654" s="147"/>
      <c r="V654" s="147"/>
      <c r="W654" s="147"/>
      <c r="X654" s="147"/>
      <c r="Y654" s="147"/>
      <c r="Z654" s="147"/>
    </row>
    <row r="655">
      <c r="A655" s="147"/>
      <c r="B655" s="147"/>
      <c r="C655" s="147"/>
      <c r="D655" s="147"/>
      <c r="E655" s="147"/>
      <c r="F655" s="147"/>
      <c r="G655" s="147"/>
      <c r="H655" s="147"/>
      <c r="I655" s="190"/>
      <c r="J655" s="147"/>
      <c r="K655" s="147"/>
      <c r="L655" s="147"/>
      <c r="M655" s="147"/>
      <c r="N655" s="147"/>
      <c r="O655" s="147"/>
      <c r="P655" s="147"/>
      <c r="Q655" s="147"/>
      <c r="R655" s="147"/>
      <c r="S655" s="147"/>
      <c r="T655" s="147"/>
      <c r="U655" s="147"/>
      <c r="V655" s="147"/>
      <c r="W655" s="147"/>
      <c r="X655" s="147"/>
      <c r="Y655" s="147"/>
      <c r="Z655" s="147"/>
    </row>
    <row r="656">
      <c r="A656" s="147"/>
      <c r="B656" s="147"/>
      <c r="C656" s="147"/>
      <c r="D656" s="147"/>
      <c r="E656" s="147"/>
      <c r="F656" s="147"/>
      <c r="G656" s="147"/>
      <c r="H656" s="147"/>
      <c r="I656" s="190"/>
      <c r="J656" s="147"/>
      <c r="K656" s="147"/>
      <c r="L656" s="147"/>
      <c r="M656" s="147"/>
      <c r="N656" s="147"/>
      <c r="O656" s="147"/>
      <c r="P656" s="147"/>
      <c r="Q656" s="147"/>
      <c r="R656" s="147"/>
      <c r="S656" s="147"/>
      <c r="T656" s="147"/>
      <c r="U656" s="147"/>
      <c r="V656" s="147"/>
      <c r="W656" s="147"/>
      <c r="X656" s="147"/>
      <c r="Y656" s="147"/>
      <c r="Z656" s="147"/>
    </row>
    <row r="657">
      <c r="A657" s="147"/>
      <c r="B657" s="147"/>
      <c r="C657" s="147"/>
      <c r="D657" s="147"/>
      <c r="E657" s="147"/>
      <c r="F657" s="147"/>
      <c r="G657" s="147"/>
      <c r="H657" s="147"/>
      <c r="I657" s="190"/>
      <c r="J657" s="147"/>
      <c r="K657" s="147"/>
      <c r="L657" s="147"/>
      <c r="M657" s="147"/>
      <c r="N657" s="147"/>
      <c r="O657" s="147"/>
      <c r="P657" s="147"/>
      <c r="Q657" s="147"/>
      <c r="R657" s="147"/>
      <c r="S657" s="147"/>
      <c r="T657" s="147"/>
      <c r="U657" s="147"/>
      <c r="V657" s="147"/>
      <c r="W657" s="147"/>
      <c r="X657" s="147"/>
      <c r="Y657" s="147"/>
      <c r="Z657" s="147"/>
    </row>
    <row r="658">
      <c r="A658" s="147"/>
      <c r="B658" s="147"/>
      <c r="C658" s="147"/>
      <c r="D658" s="147"/>
      <c r="E658" s="147"/>
      <c r="F658" s="147"/>
      <c r="G658" s="147"/>
      <c r="H658" s="147"/>
      <c r="I658" s="190"/>
      <c r="J658" s="147"/>
      <c r="K658" s="147"/>
      <c r="L658" s="147"/>
      <c r="M658" s="147"/>
      <c r="N658" s="147"/>
      <c r="O658" s="147"/>
      <c r="P658" s="147"/>
      <c r="Q658" s="147"/>
      <c r="R658" s="147"/>
      <c r="S658" s="147"/>
      <c r="T658" s="147"/>
      <c r="U658" s="147"/>
      <c r="V658" s="147"/>
      <c r="W658" s="147"/>
      <c r="X658" s="147"/>
      <c r="Y658" s="147"/>
      <c r="Z658" s="147"/>
    </row>
    <row r="659">
      <c r="A659" s="147"/>
      <c r="B659" s="147"/>
      <c r="C659" s="147"/>
      <c r="D659" s="147"/>
      <c r="E659" s="147"/>
      <c r="F659" s="147"/>
      <c r="G659" s="147"/>
      <c r="H659" s="147"/>
      <c r="I659" s="190"/>
      <c r="J659" s="147"/>
      <c r="K659" s="147"/>
      <c r="L659" s="147"/>
      <c r="M659" s="147"/>
      <c r="N659" s="147"/>
      <c r="O659" s="147"/>
      <c r="P659" s="147"/>
      <c r="Q659" s="147"/>
      <c r="R659" s="147"/>
      <c r="S659" s="147"/>
      <c r="T659" s="147"/>
      <c r="U659" s="147"/>
      <c r="V659" s="147"/>
      <c r="W659" s="147"/>
      <c r="X659" s="147"/>
      <c r="Y659" s="147"/>
      <c r="Z659" s="147"/>
    </row>
    <row r="660">
      <c r="A660" s="147"/>
      <c r="B660" s="147"/>
      <c r="C660" s="147"/>
      <c r="D660" s="147"/>
      <c r="E660" s="147"/>
      <c r="F660" s="147"/>
      <c r="G660" s="147"/>
      <c r="H660" s="147"/>
      <c r="I660" s="190"/>
      <c r="J660" s="147"/>
      <c r="K660" s="147"/>
      <c r="L660" s="147"/>
      <c r="M660" s="147"/>
      <c r="N660" s="147"/>
      <c r="O660" s="147"/>
      <c r="P660" s="147"/>
      <c r="Q660" s="147"/>
      <c r="R660" s="147"/>
      <c r="S660" s="147"/>
      <c r="T660" s="147"/>
      <c r="U660" s="147"/>
      <c r="V660" s="147"/>
      <c r="W660" s="147"/>
      <c r="X660" s="147"/>
      <c r="Y660" s="147"/>
      <c r="Z660" s="147"/>
    </row>
    <row r="661">
      <c r="A661" s="147"/>
      <c r="B661" s="147"/>
      <c r="C661" s="147"/>
      <c r="D661" s="147"/>
      <c r="E661" s="147"/>
      <c r="F661" s="147"/>
      <c r="G661" s="147"/>
      <c r="H661" s="147"/>
      <c r="I661" s="190"/>
      <c r="J661" s="147"/>
      <c r="K661" s="147"/>
      <c r="L661" s="147"/>
      <c r="M661" s="147"/>
      <c r="N661" s="147"/>
      <c r="O661" s="147"/>
      <c r="P661" s="147"/>
      <c r="Q661" s="147"/>
      <c r="R661" s="147"/>
      <c r="S661" s="147"/>
      <c r="T661" s="147"/>
      <c r="U661" s="147"/>
      <c r="V661" s="147"/>
      <c r="W661" s="147"/>
      <c r="X661" s="147"/>
      <c r="Y661" s="147"/>
      <c r="Z661" s="147"/>
    </row>
    <row r="662">
      <c r="A662" s="147"/>
      <c r="B662" s="147"/>
      <c r="C662" s="147"/>
      <c r="D662" s="147"/>
      <c r="E662" s="147"/>
      <c r="F662" s="147"/>
      <c r="G662" s="147"/>
      <c r="H662" s="147"/>
      <c r="I662" s="190"/>
      <c r="J662" s="147"/>
      <c r="K662" s="147"/>
      <c r="L662" s="147"/>
      <c r="M662" s="147"/>
      <c r="N662" s="147"/>
      <c r="O662" s="147"/>
      <c r="P662" s="147"/>
      <c r="Q662" s="147"/>
      <c r="R662" s="147"/>
      <c r="S662" s="147"/>
      <c r="T662" s="147"/>
      <c r="U662" s="147"/>
      <c r="V662" s="147"/>
      <c r="W662" s="147"/>
      <c r="X662" s="147"/>
      <c r="Y662" s="147"/>
      <c r="Z662" s="147"/>
    </row>
    <row r="663">
      <c r="A663" s="147"/>
      <c r="B663" s="147"/>
      <c r="C663" s="147"/>
      <c r="D663" s="147"/>
      <c r="E663" s="147"/>
      <c r="F663" s="147"/>
      <c r="G663" s="147"/>
      <c r="H663" s="147"/>
      <c r="I663" s="190"/>
      <c r="J663" s="147"/>
      <c r="K663" s="147"/>
      <c r="L663" s="147"/>
      <c r="M663" s="147"/>
      <c r="N663" s="147"/>
      <c r="O663" s="147"/>
      <c r="P663" s="147"/>
      <c r="Q663" s="147"/>
      <c r="R663" s="147"/>
      <c r="S663" s="147"/>
      <c r="T663" s="147"/>
      <c r="U663" s="147"/>
      <c r="V663" s="147"/>
      <c r="W663" s="147"/>
      <c r="X663" s="147"/>
      <c r="Y663" s="147"/>
      <c r="Z663" s="147"/>
    </row>
    <row r="664">
      <c r="A664" s="147"/>
      <c r="B664" s="147"/>
      <c r="C664" s="147"/>
      <c r="D664" s="147"/>
      <c r="E664" s="147"/>
      <c r="F664" s="147"/>
      <c r="G664" s="147"/>
      <c r="H664" s="147"/>
      <c r="I664" s="190"/>
      <c r="J664" s="147"/>
      <c r="K664" s="147"/>
      <c r="L664" s="147"/>
      <c r="M664" s="147"/>
      <c r="N664" s="147"/>
      <c r="O664" s="147"/>
      <c r="P664" s="147"/>
      <c r="Q664" s="147"/>
      <c r="R664" s="147"/>
      <c r="S664" s="147"/>
      <c r="T664" s="147"/>
      <c r="U664" s="147"/>
      <c r="V664" s="147"/>
      <c r="W664" s="147"/>
      <c r="X664" s="147"/>
      <c r="Y664" s="147"/>
      <c r="Z664" s="147"/>
    </row>
    <row r="665">
      <c r="A665" s="147"/>
      <c r="B665" s="147"/>
      <c r="C665" s="147"/>
      <c r="D665" s="147"/>
      <c r="E665" s="147"/>
      <c r="F665" s="147"/>
      <c r="G665" s="147"/>
      <c r="H665" s="147"/>
      <c r="I665" s="190"/>
      <c r="J665" s="147"/>
      <c r="K665" s="147"/>
      <c r="L665" s="147"/>
      <c r="M665" s="147"/>
      <c r="N665" s="147"/>
      <c r="O665" s="147"/>
      <c r="P665" s="147"/>
      <c r="Q665" s="147"/>
      <c r="R665" s="147"/>
      <c r="S665" s="147"/>
      <c r="T665" s="147"/>
      <c r="U665" s="147"/>
      <c r="V665" s="147"/>
      <c r="W665" s="147"/>
      <c r="X665" s="147"/>
      <c r="Y665" s="147"/>
      <c r="Z665" s="147"/>
    </row>
    <row r="666">
      <c r="A666" s="147"/>
      <c r="B666" s="147"/>
      <c r="C666" s="147"/>
      <c r="D666" s="147"/>
      <c r="E666" s="147"/>
      <c r="F666" s="147"/>
      <c r="G666" s="147"/>
      <c r="H666" s="147"/>
      <c r="I666" s="190"/>
      <c r="J666" s="147"/>
      <c r="K666" s="147"/>
      <c r="L666" s="147"/>
      <c r="M666" s="147"/>
      <c r="N666" s="147"/>
      <c r="O666" s="147"/>
      <c r="P666" s="147"/>
      <c r="Q666" s="147"/>
      <c r="R666" s="147"/>
      <c r="S666" s="147"/>
      <c r="T666" s="147"/>
      <c r="U666" s="147"/>
      <c r="V666" s="147"/>
      <c r="W666" s="147"/>
      <c r="X666" s="147"/>
      <c r="Y666" s="147"/>
      <c r="Z666" s="147"/>
    </row>
    <row r="667">
      <c r="A667" s="147"/>
      <c r="B667" s="147"/>
      <c r="C667" s="147"/>
      <c r="D667" s="147"/>
      <c r="E667" s="147"/>
      <c r="F667" s="147"/>
      <c r="G667" s="147"/>
      <c r="H667" s="147"/>
      <c r="I667" s="190"/>
      <c r="J667" s="147"/>
      <c r="K667" s="147"/>
      <c r="L667" s="147"/>
      <c r="M667" s="147"/>
      <c r="N667" s="147"/>
      <c r="O667" s="147"/>
      <c r="P667" s="147"/>
      <c r="Q667" s="147"/>
      <c r="R667" s="147"/>
      <c r="S667" s="147"/>
      <c r="T667" s="147"/>
      <c r="U667" s="147"/>
      <c r="V667" s="147"/>
      <c r="W667" s="147"/>
      <c r="X667" s="147"/>
      <c r="Y667" s="147"/>
      <c r="Z667" s="147"/>
    </row>
    <row r="668">
      <c r="A668" s="147"/>
      <c r="B668" s="147"/>
      <c r="C668" s="147"/>
      <c r="D668" s="147"/>
      <c r="E668" s="147"/>
      <c r="F668" s="147"/>
      <c r="G668" s="147"/>
      <c r="H668" s="147"/>
      <c r="I668" s="190"/>
      <c r="J668" s="147"/>
      <c r="K668" s="147"/>
      <c r="L668" s="147"/>
      <c r="M668" s="147"/>
      <c r="N668" s="147"/>
      <c r="O668" s="147"/>
      <c r="P668" s="147"/>
      <c r="Q668" s="147"/>
      <c r="R668" s="147"/>
      <c r="S668" s="147"/>
      <c r="T668" s="147"/>
      <c r="U668" s="147"/>
      <c r="V668" s="147"/>
      <c r="W668" s="147"/>
      <c r="X668" s="147"/>
      <c r="Y668" s="147"/>
      <c r="Z668" s="147"/>
    </row>
    <row r="669">
      <c r="A669" s="147"/>
      <c r="B669" s="147"/>
      <c r="C669" s="147"/>
      <c r="D669" s="147"/>
      <c r="E669" s="147"/>
      <c r="F669" s="147"/>
      <c r="G669" s="147"/>
      <c r="H669" s="147"/>
      <c r="I669" s="190"/>
      <c r="J669" s="147"/>
      <c r="K669" s="147"/>
      <c r="L669" s="147"/>
      <c r="M669" s="147"/>
      <c r="N669" s="147"/>
      <c r="O669" s="147"/>
      <c r="P669" s="147"/>
      <c r="Q669" s="147"/>
      <c r="R669" s="147"/>
      <c r="S669" s="147"/>
      <c r="T669" s="147"/>
      <c r="U669" s="147"/>
      <c r="V669" s="147"/>
      <c r="W669" s="147"/>
      <c r="X669" s="147"/>
      <c r="Y669" s="147"/>
      <c r="Z669" s="147"/>
    </row>
    <row r="670">
      <c r="A670" s="147"/>
      <c r="B670" s="147"/>
      <c r="C670" s="147"/>
      <c r="D670" s="147"/>
      <c r="E670" s="147"/>
      <c r="F670" s="147"/>
      <c r="G670" s="147"/>
      <c r="H670" s="147"/>
      <c r="I670" s="190"/>
      <c r="J670" s="147"/>
      <c r="K670" s="147"/>
      <c r="L670" s="147"/>
      <c r="M670" s="147"/>
      <c r="N670" s="147"/>
      <c r="O670" s="147"/>
      <c r="P670" s="147"/>
      <c r="Q670" s="147"/>
      <c r="R670" s="147"/>
      <c r="S670" s="147"/>
      <c r="T670" s="147"/>
      <c r="U670" s="147"/>
      <c r="V670" s="147"/>
      <c r="W670" s="147"/>
      <c r="X670" s="147"/>
      <c r="Y670" s="147"/>
      <c r="Z670" s="147"/>
    </row>
    <row r="671">
      <c r="A671" s="147"/>
      <c r="B671" s="147"/>
      <c r="C671" s="147"/>
      <c r="D671" s="147"/>
      <c r="E671" s="147"/>
      <c r="F671" s="147"/>
      <c r="G671" s="147"/>
      <c r="H671" s="147"/>
      <c r="I671" s="190"/>
      <c r="J671" s="147"/>
      <c r="K671" s="147"/>
      <c r="L671" s="147"/>
      <c r="M671" s="147"/>
      <c r="N671" s="147"/>
      <c r="O671" s="147"/>
      <c r="P671" s="147"/>
      <c r="Q671" s="147"/>
      <c r="R671" s="147"/>
      <c r="S671" s="147"/>
      <c r="T671" s="147"/>
      <c r="U671" s="147"/>
      <c r="V671" s="147"/>
      <c r="W671" s="147"/>
      <c r="X671" s="147"/>
      <c r="Y671" s="147"/>
      <c r="Z671" s="147"/>
    </row>
    <row r="672">
      <c r="A672" s="147"/>
      <c r="B672" s="147"/>
      <c r="C672" s="147"/>
      <c r="D672" s="147"/>
      <c r="E672" s="147"/>
      <c r="F672" s="147"/>
      <c r="G672" s="147"/>
      <c r="H672" s="147"/>
      <c r="I672" s="190"/>
      <c r="J672" s="147"/>
      <c r="K672" s="147"/>
      <c r="L672" s="147"/>
      <c r="M672" s="147"/>
      <c r="N672" s="147"/>
      <c r="O672" s="147"/>
      <c r="P672" s="147"/>
      <c r="Q672" s="147"/>
      <c r="R672" s="147"/>
      <c r="S672" s="147"/>
      <c r="T672" s="147"/>
      <c r="U672" s="147"/>
      <c r="V672" s="147"/>
      <c r="W672" s="147"/>
      <c r="X672" s="147"/>
      <c r="Y672" s="147"/>
      <c r="Z672" s="147"/>
    </row>
    <row r="673">
      <c r="A673" s="147"/>
      <c r="B673" s="147"/>
      <c r="C673" s="147"/>
      <c r="D673" s="147"/>
      <c r="E673" s="147"/>
      <c r="F673" s="147"/>
      <c r="G673" s="147"/>
      <c r="H673" s="147"/>
      <c r="I673" s="190"/>
      <c r="J673" s="147"/>
      <c r="K673" s="147"/>
      <c r="L673" s="147"/>
      <c r="M673" s="147"/>
      <c r="N673" s="147"/>
      <c r="O673" s="147"/>
      <c r="P673" s="147"/>
      <c r="Q673" s="147"/>
      <c r="R673" s="147"/>
      <c r="S673" s="147"/>
      <c r="T673" s="147"/>
      <c r="U673" s="147"/>
      <c r="V673" s="147"/>
      <c r="W673" s="147"/>
      <c r="X673" s="147"/>
      <c r="Y673" s="147"/>
      <c r="Z673" s="147"/>
    </row>
    <row r="674">
      <c r="A674" s="147"/>
      <c r="B674" s="147"/>
      <c r="C674" s="147"/>
      <c r="D674" s="147"/>
      <c r="E674" s="147"/>
      <c r="F674" s="147"/>
      <c r="G674" s="147"/>
      <c r="H674" s="147"/>
      <c r="I674" s="190"/>
      <c r="J674" s="147"/>
      <c r="K674" s="147"/>
      <c r="L674" s="147"/>
      <c r="M674" s="147"/>
      <c r="N674" s="147"/>
      <c r="O674" s="147"/>
      <c r="P674" s="147"/>
      <c r="Q674" s="147"/>
      <c r="R674" s="147"/>
      <c r="S674" s="147"/>
      <c r="T674" s="147"/>
      <c r="U674" s="147"/>
      <c r="V674" s="147"/>
      <c r="W674" s="147"/>
      <c r="X674" s="147"/>
      <c r="Y674" s="147"/>
      <c r="Z674" s="147"/>
    </row>
    <row r="675">
      <c r="A675" s="147"/>
      <c r="B675" s="147"/>
      <c r="C675" s="147"/>
      <c r="D675" s="147"/>
      <c r="E675" s="147"/>
      <c r="F675" s="147"/>
      <c r="G675" s="147"/>
      <c r="H675" s="147"/>
      <c r="I675" s="190"/>
      <c r="J675" s="147"/>
      <c r="K675" s="147"/>
      <c r="L675" s="147"/>
      <c r="M675" s="147"/>
      <c r="N675" s="147"/>
      <c r="O675" s="147"/>
      <c r="P675" s="147"/>
      <c r="Q675" s="147"/>
      <c r="R675" s="147"/>
      <c r="S675" s="147"/>
      <c r="T675" s="147"/>
      <c r="U675" s="147"/>
      <c r="V675" s="147"/>
      <c r="W675" s="147"/>
      <c r="X675" s="147"/>
      <c r="Y675" s="147"/>
      <c r="Z675" s="147"/>
    </row>
    <row r="676">
      <c r="A676" s="147"/>
      <c r="B676" s="147"/>
      <c r="C676" s="147"/>
      <c r="D676" s="147"/>
      <c r="E676" s="147"/>
      <c r="F676" s="147"/>
      <c r="G676" s="147"/>
      <c r="H676" s="147"/>
      <c r="I676" s="190"/>
      <c r="J676" s="147"/>
      <c r="K676" s="147"/>
      <c r="L676" s="147"/>
      <c r="M676" s="147"/>
      <c r="N676" s="147"/>
      <c r="O676" s="147"/>
      <c r="P676" s="147"/>
      <c r="Q676" s="147"/>
      <c r="R676" s="147"/>
      <c r="S676" s="147"/>
      <c r="T676" s="147"/>
      <c r="U676" s="147"/>
      <c r="V676" s="147"/>
      <c r="W676" s="147"/>
      <c r="X676" s="147"/>
      <c r="Y676" s="147"/>
      <c r="Z676" s="147"/>
    </row>
    <row r="677">
      <c r="A677" s="147"/>
      <c r="B677" s="147"/>
      <c r="C677" s="147"/>
      <c r="D677" s="147"/>
      <c r="E677" s="147"/>
      <c r="F677" s="147"/>
      <c r="G677" s="147"/>
      <c r="H677" s="147"/>
      <c r="I677" s="190"/>
      <c r="J677" s="147"/>
      <c r="K677" s="147"/>
      <c r="L677" s="147"/>
      <c r="M677" s="147"/>
      <c r="N677" s="147"/>
      <c r="O677" s="147"/>
      <c r="P677" s="147"/>
      <c r="Q677" s="147"/>
      <c r="R677" s="147"/>
      <c r="S677" s="147"/>
      <c r="T677" s="147"/>
      <c r="U677" s="147"/>
      <c r="V677" s="147"/>
      <c r="W677" s="147"/>
      <c r="X677" s="147"/>
      <c r="Y677" s="147"/>
      <c r="Z677" s="147"/>
    </row>
    <row r="678">
      <c r="A678" s="147"/>
      <c r="B678" s="147"/>
      <c r="C678" s="147"/>
      <c r="D678" s="147"/>
      <c r="E678" s="147"/>
      <c r="F678" s="147"/>
      <c r="G678" s="147"/>
      <c r="H678" s="147"/>
      <c r="I678" s="190"/>
      <c r="J678" s="147"/>
      <c r="K678" s="147"/>
      <c r="L678" s="147"/>
      <c r="M678" s="147"/>
      <c r="N678" s="147"/>
      <c r="O678" s="147"/>
      <c r="P678" s="147"/>
      <c r="Q678" s="147"/>
      <c r="R678" s="147"/>
      <c r="S678" s="147"/>
      <c r="T678" s="147"/>
      <c r="U678" s="147"/>
      <c r="V678" s="147"/>
      <c r="W678" s="147"/>
      <c r="X678" s="147"/>
      <c r="Y678" s="147"/>
      <c r="Z678" s="147"/>
    </row>
    <row r="679">
      <c r="A679" s="147"/>
      <c r="B679" s="147"/>
      <c r="C679" s="147"/>
      <c r="D679" s="147"/>
      <c r="E679" s="147"/>
      <c r="F679" s="147"/>
      <c r="G679" s="147"/>
      <c r="H679" s="147"/>
      <c r="I679" s="190"/>
      <c r="J679" s="147"/>
      <c r="K679" s="147"/>
      <c r="L679" s="147"/>
      <c r="M679" s="147"/>
      <c r="N679" s="147"/>
      <c r="O679" s="147"/>
      <c r="P679" s="147"/>
      <c r="Q679" s="147"/>
      <c r="R679" s="147"/>
      <c r="S679" s="147"/>
      <c r="T679" s="147"/>
      <c r="U679" s="147"/>
      <c r="V679" s="147"/>
      <c r="W679" s="147"/>
      <c r="X679" s="147"/>
      <c r="Y679" s="147"/>
      <c r="Z679" s="147"/>
    </row>
    <row r="680">
      <c r="A680" s="147"/>
      <c r="B680" s="147"/>
      <c r="C680" s="147"/>
      <c r="D680" s="147"/>
      <c r="E680" s="147"/>
      <c r="F680" s="147"/>
      <c r="G680" s="147"/>
      <c r="H680" s="147"/>
      <c r="I680" s="190"/>
      <c r="J680" s="147"/>
      <c r="K680" s="147"/>
      <c r="L680" s="147"/>
      <c r="M680" s="147"/>
      <c r="N680" s="147"/>
      <c r="O680" s="147"/>
      <c r="P680" s="147"/>
      <c r="Q680" s="147"/>
      <c r="R680" s="147"/>
      <c r="S680" s="147"/>
      <c r="T680" s="147"/>
      <c r="U680" s="147"/>
      <c r="V680" s="147"/>
      <c r="W680" s="147"/>
      <c r="X680" s="147"/>
      <c r="Y680" s="147"/>
      <c r="Z680" s="147"/>
    </row>
    <row r="681">
      <c r="A681" s="147"/>
      <c r="B681" s="147"/>
      <c r="C681" s="147"/>
      <c r="D681" s="147"/>
      <c r="E681" s="147"/>
      <c r="F681" s="147"/>
      <c r="G681" s="147"/>
      <c r="H681" s="147"/>
      <c r="I681" s="190"/>
      <c r="J681" s="147"/>
      <c r="K681" s="147"/>
      <c r="L681" s="147"/>
      <c r="M681" s="147"/>
      <c r="N681" s="147"/>
      <c r="O681" s="147"/>
      <c r="P681" s="147"/>
      <c r="Q681" s="147"/>
      <c r="R681" s="147"/>
      <c r="S681" s="147"/>
      <c r="T681" s="147"/>
      <c r="U681" s="147"/>
      <c r="V681" s="147"/>
      <c r="W681" s="147"/>
      <c r="X681" s="147"/>
      <c r="Y681" s="147"/>
      <c r="Z681" s="147"/>
    </row>
    <row r="682">
      <c r="A682" s="147"/>
      <c r="B682" s="147"/>
      <c r="C682" s="147"/>
      <c r="D682" s="147"/>
      <c r="E682" s="147"/>
      <c r="F682" s="147"/>
      <c r="G682" s="147"/>
      <c r="H682" s="147"/>
      <c r="I682" s="190"/>
      <c r="J682" s="147"/>
      <c r="K682" s="147"/>
      <c r="L682" s="147"/>
      <c r="M682" s="147"/>
      <c r="N682" s="147"/>
      <c r="O682" s="147"/>
      <c r="P682" s="147"/>
      <c r="Q682" s="147"/>
      <c r="R682" s="147"/>
      <c r="S682" s="147"/>
      <c r="T682" s="147"/>
      <c r="U682" s="147"/>
      <c r="V682" s="147"/>
      <c r="W682" s="147"/>
      <c r="X682" s="147"/>
      <c r="Y682" s="147"/>
      <c r="Z682" s="147"/>
    </row>
    <row r="683">
      <c r="A683" s="147"/>
      <c r="B683" s="147"/>
      <c r="C683" s="147"/>
      <c r="D683" s="147"/>
      <c r="E683" s="147"/>
      <c r="F683" s="147"/>
      <c r="G683" s="147"/>
      <c r="H683" s="147"/>
      <c r="I683" s="190"/>
      <c r="J683" s="147"/>
      <c r="K683" s="147"/>
      <c r="L683" s="147"/>
      <c r="M683" s="147"/>
      <c r="N683" s="147"/>
      <c r="O683" s="147"/>
      <c r="P683" s="147"/>
      <c r="Q683" s="147"/>
      <c r="R683" s="147"/>
      <c r="S683" s="147"/>
      <c r="T683" s="147"/>
      <c r="U683" s="147"/>
      <c r="V683" s="147"/>
      <c r="W683" s="147"/>
      <c r="X683" s="147"/>
      <c r="Y683" s="147"/>
      <c r="Z683" s="147"/>
    </row>
    <row r="684">
      <c r="A684" s="147"/>
      <c r="B684" s="147"/>
      <c r="C684" s="147"/>
      <c r="D684" s="147"/>
      <c r="E684" s="147"/>
      <c r="F684" s="147"/>
      <c r="G684" s="147"/>
      <c r="H684" s="147"/>
      <c r="I684" s="190"/>
      <c r="J684" s="147"/>
      <c r="K684" s="147"/>
      <c r="L684" s="147"/>
      <c r="M684" s="147"/>
      <c r="N684" s="147"/>
      <c r="O684" s="147"/>
      <c r="P684" s="147"/>
      <c r="Q684" s="147"/>
      <c r="R684" s="147"/>
      <c r="S684" s="147"/>
      <c r="T684" s="147"/>
      <c r="U684" s="147"/>
      <c r="V684" s="147"/>
      <c r="W684" s="147"/>
      <c r="X684" s="147"/>
      <c r="Y684" s="147"/>
      <c r="Z684" s="147"/>
    </row>
    <row r="685">
      <c r="A685" s="147"/>
      <c r="B685" s="147"/>
      <c r="C685" s="147"/>
      <c r="D685" s="147"/>
      <c r="E685" s="147"/>
      <c r="F685" s="147"/>
      <c r="G685" s="147"/>
      <c r="H685" s="147"/>
      <c r="I685" s="190"/>
      <c r="J685" s="147"/>
      <c r="K685" s="147"/>
      <c r="L685" s="147"/>
      <c r="M685" s="147"/>
      <c r="N685" s="147"/>
      <c r="O685" s="147"/>
      <c r="P685" s="147"/>
      <c r="Q685" s="147"/>
      <c r="R685" s="147"/>
      <c r="S685" s="147"/>
      <c r="T685" s="147"/>
      <c r="U685" s="147"/>
      <c r="V685" s="147"/>
      <c r="W685" s="147"/>
      <c r="X685" s="147"/>
      <c r="Y685" s="147"/>
      <c r="Z685" s="147"/>
    </row>
    <row r="686">
      <c r="A686" s="147"/>
      <c r="B686" s="147"/>
      <c r="C686" s="147"/>
      <c r="D686" s="147"/>
      <c r="E686" s="147"/>
      <c r="F686" s="147"/>
      <c r="G686" s="147"/>
      <c r="H686" s="147"/>
      <c r="I686" s="190"/>
      <c r="J686" s="147"/>
      <c r="K686" s="147"/>
      <c r="L686" s="147"/>
      <c r="M686" s="147"/>
      <c r="N686" s="147"/>
      <c r="O686" s="147"/>
      <c r="P686" s="147"/>
      <c r="Q686" s="147"/>
      <c r="R686" s="147"/>
      <c r="S686" s="147"/>
      <c r="T686" s="147"/>
      <c r="U686" s="147"/>
      <c r="V686" s="147"/>
      <c r="W686" s="147"/>
      <c r="X686" s="147"/>
      <c r="Y686" s="147"/>
      <c r="Z686" s="147"/>
    </row>
    <row r="687">
      <c r="A687" s="147"/>
      <c r="B687" s="147"/>
      <c r="C687" s="147"/>
      <c r="D687" s="147"/>
      <c r="E687" s="147"/>
      <c r="F687" s="147"/>
      <c r="G687" s="147"/>
      <c r="H687" s="147"/>
      <c r="I687" s="190"/>
      <c r="J687" s="147"/>
      <c r="K687" s="147"/>
      <c r="L687" s="147"/>
      <c r="M687" s="147"/>
      <c r="N687" s="147"/>
      <c r="O687" s="147"/>
      <c r="P687" s="147"/>
      <c r="Q687" s="147"/>
      <c r="R687" s="147"/>
      <c r="S687" s="147"/>
      <c r="T687" s="147"/>
      <c r="U687" s="147"/>
      <c r="V687" s="147"/>
      <c r="W687" s="147"/>
      <c r="X687" s="147"/>
      <c r="Y687" s="147"/>
      <c r="Z687" s="147"/>
    </row>
    <row r="688">
      <c r="A688" s="147"/>
      <c r="B688" s="147"/>
      <c r="C688" s="147"/>
      <c r="D688" s="147"/>
      <c r="E688" s="147"/>
      <c r="F688" s="147"/>
      <c r="G688" s="147"/>
      <c r="H688" s="147"/>
      <c r="I688" s="190"/>
      <c r="J688" s="147"/>
      <c r="K688" s="147"/>
      <c r="L688" s="147"/>
      <c r="M688" s="147"/>
      <c r="N688" s="147"/>
      <c r="O688" s="147"/>
      <c r="P688" s="147"/>
      <c r="Q688" s="147"/>
      <c r="R688" s="147"/>
      <c r="S688" s="147"/>
      <c r="T688" s="147"/>
      <c r="U688" s="147"/>
      <c r="V688" s="147"/>
      <c r="W688" s="147"/>
      <c r="X688" s="147"/>
      <c r="Y688" s="147"/>
      <c r="Z688" s="147"/>
    </row>
    <row r="689">
      <c r="A689" s="147"/>
      <c r="B689" s="147"/>
      <c r="C689" s="147"/>
      <c r="D689" s="147"/>
      <c r="E689" s="147"/>
      <c r="F689" s="147"/>
      <c r="G689" s="147"/>
      <c r="H689" s="147"/>
      <c r="I689" s="190"/>
      <c r="J689" s="147"/>
      <c r="K689" s="147"/>
      <c r="L689" s="147"/>
      <c r="M689" s="147"/>
      <c r="N689" s="147"/>
      <c r="O689" s="147"/>
      <c r="P689" s="147"/>
      <c r="Q689" s="147"/>
      <c r="R689" s="147"/>
      <c r="S689" s="147"/>
      <c r="T689" s="147"/>
      <c r="U689" s="147"/>
      <c r="V689" s="147"/>
      <c r="W689" s="147"/>
      <c r="X689" s="147"/>
      <c r="Y689" s="147"/>
      <c r="Z689" s="147"/>
    </row>
    <row r="690">
      <c r="A690" s="147"/>
      <c r="B690" s="147"/>
      <c r="C690" s="147"/>
      <c r="D690" s="147"/>
      <c r="E690" s="147"/>
      <c r="F690" s="147"/>
      <c r="G690" s="147"/>
      <c r="H690" s="147"/>
      <c r="I690" s="190"/>
      <c r="J690" s="147"/>
      <c r="K690" s="147"/>
      <c r="L690" s="147"/>
      <c r="M690" s="147"/>
      <c r="N690" s="147"/>
      <c r="O690" s="147"/>
      <c r="P690" s="147"/>
      <c r="Q690" s="147"/>
      <c r="R690" s="147"/>
      <c r="S690" s="147"/>
      <c r="T690" s="147"/>
      <c r="U690" s="147"/>
      <c r="V690" s="147"/>
      <c r="W690" s="147"/>
      <c r="X690" s="147"/>
      <c r="Y690" s="147"/>
      <c r="Z690" s="147"/>
    </row>
    <row r="691">
      <c r="A691" s="147"/>
      <c r="B691" s="147"/>
      <c r="C691" s="147"/>
      <c r="D691" s="147"/>
      <c r="E691" s="147"/>
      <c r="F691" s="147"/>
      <c r="G691" s="147"/>
      <c r="H691" s="147"/>
      <c r="I691" s="190"/>
      <c r="J691" s="147"/>
      <c r="K691" s="147"/>
      <c r="L691" s="147"/>
      <c r="M691" s="147"/>
      <c r="N691" s="147"/>
      <c r="O691" s="147"/>
      <c r="P691" s="147"/>
      <c r="Q691" s="147"/>
      <c r="R691" s="147"/>
      <c r="S691" s="147"/>
      <c r="T691" s="147"/>
      <c r="U691" s="147"/>
      <c r="V691" s="147"/>
      <c r="W691" s="147"/>
      <c r="X691" s="147"/>
      <c r="Y691" s="147"/>
      <c r="Z691" s="147"/>
    </row>
    <row r="692">
      <c r="A692" s="147"/>
      <c r="B692" s="147"/>
      <c r="C692" s="147"/>
      <c r="D692" s="147"/>
      <c r="E692" s="147"/>
      <c r="F692" s="147"/>
      <c r="G692" s="147"/>
      <c r="H692" s="147"/>
      <c r="I692" s="190"/>
      <c r="J692" s="147"/>
      <c r="K692" s="147"/>
      <c r="L692" s="147"/>
      <c r="M692" s="147"/>
      <c r="N692" s="147"/>
      <c r="O692" s="147"/>
      <c r="P692" s="147"/>
      <c r="Q692" s="147"/>
      <c r="R692" s="147"/>
      <c r="S692" s="147"/>
      <c r="T692" s="147"/>
      <c r="U692" s="147"/>
      <c r="V692" s="147"/>
      <c r="W692" s="147"/>
      <c r="X692" s="147"/>
      <c r="Y692" s="147"/>
      <c r="Z692" s="147"/>
    </row>
    <row r="693">
      <c r="A693" s="147"/>
      <c r="B693" s="147"/>
      <c r="C693" s="147"/>
      <c r="D693" s="147"/>
      <c r="E693" s="147"/>
      <c r="F693" s="147"/>
      <c r="G693" s="147"/>
      <c r="H693" s="147"/>
      <c r="I693" s="190"/>
      <c r="J693" s="147"/>
      <c r="K693" s="147"/>
      <c r="L693" s="147"/>
      <c r="M693" s="147"/>
      <c r="N693" s="147"/>
      <c r="O693" s="147"/>
      <c r="P693" s="147"/>
      <c r="Q693" s="147"/>
      <c r="R693" s="147"/>
      <c r="S693" s="147"/>
      <c r="T693" s="147"/>
      <c r="U693" s="147"/>
      <c r="V693" s="147"/>
      <c r="W693" s="147"/>
      <c r="X693" s="147"/>
      <c r="Y693" s="147"/>
      <c r="Z693" s="147"/>
    </row>
    <row r="694">
      <c r="A694" s="147"/>
      <c r="B694" s="147"/>
      <c r="C694" s="147"/>
      <c r="D694" s="147"/>
      <c r="E694" s="147"/>
      <c r="F694" s="147"/>
      <c r="G694" s="147"/>
      <c r="H694" s="147"/>
      <c r="I694" s="190"/>
      <c r="J694" s="147"/>
      <c r="K694" s="147"/>
      <c r="L694" s="147"/>
      <c r="M694" s="147"/>
      <c r="N694" s="147"/>
      <c r="O694" s="147"/>
      <c r="P694" s="147"/>
      <c r="Q694" s="147"/>
      <c r="R694" s="147"/>
      <c r="S694" s="147"/>
      <c r="T694" s="147"/>
      <c r="U694" s="147"/>
      <c r="V694" s="147"/>
      <c r="W694" s="147"/>
      <c r="X694" s="147"/>
      <c r="Y694" s="147"/>
      <c r="Z694" s="147"/>
    </row>
    <row r="695">
      <c r="A695" s="147"/>
      <c r="B695" s="147"/>
      <c r="C695" s="147"/>
      <c r="D695" s="147"/>
      <c r="E695" s="147"/>
      <c r="F695" s="147"/>
      <c r="G695" s="147"/>
      <c r="H695" s="147"/>
      <c r="I695" s="190"/>
      <c r="J695" s="147"/>
      <c r="K695" s="147"/>
      <c r="L695" s="147"/>
      <c r="M695" s="147"/>
      <c r="N695" s="147"/>
      <c r="O695" s="147"/>
      <c r="P695" s="147"/>
      <c r="Q695" s="147"/>
      <c r="R695" s="147"/>
      <c r="S695" s="147"/>
      <c r="T695" s="147"/>
      <c r="U695" s="147"/>
      <c r="V695" s="147"/>
      <c r="W695" s="147"/>
      <c r="X695" s="147"/>
      <c r="Y695" s="147"/>
      <c r="Z695" s="147"/>
    </row>
    <row r="696">
      <c r="A696" s="147"/>
      <c r="B696" s="147"/>
      <c r="C696" s="147"/>
      <c r="D696" s="147"/>
      <c r="E696" s="147"/>
      <c r="F696" s="147"/>
      <c r="G696" s="147"/>
      <c r="H696" s="147"/>
      <c r="I696" s="190"/>
      <c r="J696" s="147"/>
      <c r="K696" s="147"/>
      <c r="L696" s="147"/>
      <c r="M696" s="147"/>
      <c r="N696" s="147"/>
      <c r="O696" s="147"/>
      <c r="P696" s="147"/>
      <c r="Q696" s="147"/>
      <c r="R696" s="147"/>
      <c r="S696" s="147"/>
      <c r="T696" s="147"/>
      <c r="U696" s="147"/>
      <c r="V696" s="147"/>
      <c r="W696" s="147"/>
      <c r="X696" s="147"/>
      <c r="Y696" s="147"/>
      <c r="Z696" s="147"/>
    </row>
    <row r="697">
      <c r="A697" s="147"/>
      <c r="B697" s="147"/>
      <c r="C697" s="147"/>
      <c r="D697" s="147"/>
      <c r="E697" s="147"/>
      <c r="F697" s="147"/>
      <c r="G697" s="147"/>
      <c r="H697" s="147"/>
      <c r="I697" s="190"/>
      <c r="J697" s="147"/>
      <c r="K697" s="147"/>
      <c r="L697" s="147"/>
      <c r="M697" s="147"/>
      <c r="N697" s="147"/>
      <c r="O697" s="147"/>
      <c r="P697" s="147"/>
      <c r="Q697" s="147"/>
      <c r="R697" s="147"/>
      <c r="S697" s="147"/>
      <c r="T697" s="147"/>
      <c r="U697" s="147"/>
      <c r="V697" s="147"/>
      <c r="W697" s="147"/>
      <c r="X697" s="147"/>
      <c r="Y697" s="147"/>
      <c r="Z697" s="147"/>
    </row>
    <row r="698">
      <c r="A698" s="147"/>
      <c r="B698" s="147"/>
      <c r="C698" s="147"/>
      <c r="D698" s="147"/>
      <c r="E698" s="147"/>
      <c r="F698" s="147"/>
      <c r="G698" s="147"/>
      <c r="H698" s="147"/>
      <c r="I698" s="190"/>
      <c r="J698" s="147"/>
      <c r="K698" s="147"/>
      <c r="L698" s="147"/>
      <c r="M698" s="147"/>
      <c r="N698" s="147"/>
      <c r="O698" s="147"/>
      <c r="P698" s="147"/>
      <c r="Q698" s="147"/>
      <c r="R698" s="147"/>
      <c r="S698" s="147"/>
      <c r="T698" s="147"/>
      <c r="U698" s="147"/>
      <c r="V698" s="147"/>
      <c r="W698" s="147"/>
      <c r="X698" s="147"/>
      <c r="Y698" s="147"/>
      <c r="Z698" s="147"/>
    </row>
    <row r="699">
      <c r="A699" s="147"/>
      <c r="B699" s="147"/>
      <c r="C699" s="147"/>
      <c r="D699" s="147"/>
      <c r="E699" s="147"/>
      <c r="F699" s="147"/>
      <c r="G699" s="147"/>
      <c r="H699" s="147"/>
      <c r="I699" s="190"/>
      <c r="J699" s="147"/>
      <c r="K699" s="147"/>
      <c r="L699" s="147"/>
      <c r="M699" s="147"/>
      <c r="N699" s="147"/>
      <c r="O699" s="147"/>
      <c r="P699" s="147"/>
      <c r="Q699" s="147"/>
      <c r="R699" s="147"/>
      <c r="S699" s="147"/>
      <c r="T699" s="147"/>
      <c r="U699" s="147"/>
      <c r="V699" s="147"/>
      <c r="W699" s="147"/>
      <c r="X699" s="147"/>
      <c r="Y699" s="147"/>
      <c r="Z699" s="147"/>
    </row>
    <row r="700">
      <c r="A700" s="147"/>
      <c r="B700" s="147"/>
      <c r="C700" s="147"/>
      <c r="D700" s="147"/>
      <c r="E700" s="147"/>
      <c r="F700" s="147"/>
      <c r="G700" s="147"/>
      <c r="H700" s="147"/>
      <c r="I700" s="190"/>
      <c r="J700" s="147"/>
      <c r="K700" s="147"/>
      <c r="L700" s="147"/>
      <c r="M700" s="147"/>
      <c r="N700" s="147"/>
      <c r="O700" s="147"/>
      <c r="P700" s="147"/>
      <c r="Q700" s="147"/>
      <c r="R700" s="147"/>
      <c r="S700" s="147"/>
      <c r="T700" s="147"/>
      <c r="U700" s="147"/>
      <c r="V700" s="147"/>
      <c r="W700" s="147"/>
      <c r="X700" s="147"/>
      <c r="Y700" s="147"/>
      <c r="Z700" s="147"/>
    </row>
    <row r="701">
      <c r="A701" s="147"/>
      <c r="B701" s="147"/>
      <c r="C701" s="147"/>
      <c r="D701" s="147"/>
      <c r="E701" s="147"/>
      <c r="F701" s="147"/>
      <c r="G701" s="147"/>
      <c r="H701" s="147"/>
      <c r="I701" s="190"/>
      <c r="J701" s="147"/>
      <c r="K701" s="147"/>
      <c r="L701" s="147"/>
      <c r="M701" s="147"/>
      <c r="N701" s="147"/>
      <c r="O701" s="147"/>
      <c r="P701" s="147"/>
      <c r="Q701" s="147"/>
      <c r="R701" s="147"/>
      <c r="S701" s="147"/>
      <c r="T701" s="147"/>
      <c r="U701" s="147"/>
      <c r="V701" s="147"/>
      <c r="W701" s="147"/>
      <c r="X701" s="147"/>
      <c r="Y701" s="147"/>
      <c r="Z701" s="147"/>
    </row>
    <row r="702">
      <c r="A702" s="147"/>
      <c r="B702" s="147"/>
      <c r="C702" s="147"/>
      <c r="D702" s="147"/>
      <c r="E702" s="147"/>
      <c r="F702" s="147"/>
      <c r="G702" s="147"/>
      <c r="H702" s="147"/>
      <c r="I702" s="190"/>
      <c r="J702" s="147"/>
      <c r="K702" s="147"/>
      <c r="L702" s="147"/>
      <c r="M702" s="147"/>
      <c r="N702" s="147"/>
      <c r="O702" s="147"/>
      <c r="P702" s="147"/>
      <c r="Q702" s="147"/>
      <c r="R702" s="147"/>
      <c r="S702" s="147"/>
      <c r="T702" s="147"/>
      <c r="U702" s="147"/>
      <c r="V702" s="147"/>
      <c r="W702" s="147"/>
      <c r="X702" s="147"/>
      <c r="Y702" s="147"/>
      <c r="Z702" s="147"/>
    </row>
    <row r="703">
      <c r="A703" s="147"/>
      <c r="B703" s="147"/>
      <c r="C703" s="147"/>
      <c r="D703" s="147"/>
      <c r="E703" s="147"/>
      <c r="F703" s="147"/>
      <c r="G703" s="147"/>
      <c r="H703" s="147"/>
      <c r="I703" s="190"/>
      <c r="J703" s="147"/>
      <c r="K703" s="147"/>
      <c r="L703" s="147"/>
      <c r="M703" s="147"/>
      <c r="N703" s="147"/>
      <c r="O703" s="147"/>
      <c r="P703" s="147"/>
      <c r="Q703" s="147"/>
      <c r="R703" s="147"/>
      <c r="S703" s="147"/>
      <c r="T703" s="147"/>
      <c r="U703" s="147"/>
      <c r="V703" s="147"/>
      <c r="W703" s="147"/>
      <c r="X703" s="147"/>
      <c r="Y703" s="147"/>
      <c r="Z703" s="147"/>
    </row>
    <row r="704">
      <c r="A704" s="147"/>
      <c r="B704" s="147"/>
      <c r="C704" s="147"/>
      <c r="D704" s="147"/>
      <c r="E704" s="147"/>
      <c r="F704" s="147"/>
      <c r="G704" s="147"/>
      <c r="H704" s="147"/>
      <c r="I704" s="190"/>
      <c r="J704" s="147"/>
      <c r="K704" s="147"/>
      <c r="L704" s="147"/>
      <c r="M704" s="147"/>
      <c r="N704" s="147"/>
      <c r="O704" s="147"/>
      <c r="P704" s="147"/>
      <c r="Q704" s="147"/>
      <c r="R704" s="147"/>
      <c r="S704" s="147"/>
      <c r="T704" s="147"/>
      <c r="U704" s="147"/>
      <c r="V704" s="147"/>
      <c r="W704" s="147"/>
      <c r="X704" s="147"/>
      <c r="Y704" s="147"/>
      <c r="Z704" s="147"/>
    </row>
    <row r="705">
      <c r="A705" s="147"/>
      <c r="B705" s="147"/>
      <c r="C705" s="147"/>
      <c r="D705" s="147"/>
      <c r="E705" s="147"/>
      <c r="F705" s="147"/>
      <c r="G705" s="147"/>
      <c r="H705" s="147"/>
      <c r="I705" s="190"/>
      <c r="J705" s="147"/>
      <c r="K705" s="147"/>
      <c r="L705" s="147"/>
      <c r="M705" s="147"/>
      <c r="N705" s="147"/>
      <c r="O705" s="147"/>
      <c r="P705" s="147"/>
      <c r="Q705" s="147"/>
      <c r="R705" s="147"/>
      <c r="S705" s="147"/>
      <c r="T705" s="147"/>
      <c r="U705" s="147"/>
      <c r="V705" s="147"/>
      <c r="W705" s="147"/>
      <c r="X705" s="147"/>
      <c r="Y705" s="147"/>
      <c r="Z705" s="147"/>
    </row>
    <row r="706">
      <c r="A706" s="147"/>
      <c r="B706" s="147"/>
      <c r="C706" s="147"/>
      <c r="D706" s="147"/>
      <c r="E706" s="147"/>
      <c r="F706" s="147"/>
      <c r="G706" s="147"/>
      <c r="H706" s="147"/>
      <c r="I706" s="190"/>
      <c r="J706" s="147"/>
      <c r="K706" s="147"/>
      <c r="L706" s="147"/>
      <c r="M706" s="147"/>
      <c r="N706" s="147"/>
      <c r="O706" s="147"/>
      <c r="P706" s="147"/>
      <c r="Q706" s="147"/>
      <c r="R706" s="147"/>
      <c r="S706" s="147"/>
      <c r="T706" s="147"/>
      <c r="U706" s="147"/>
      <c r="V706" s="147"/>
      <c r="W706" s="147"/>
      <c r="X706" s="147"/>
      <c r="Y706" s="147"/>
      <c r="Z706" s="147"/>
    </row>
    <row r="707">
      <c r="A707" s="147"/>
      <c r="B707" s="147"/>
      <c r="C707" s="147"/>
      <c r="D707" s="147"/>
      <c r="E707" s="147"/>
      <c r="F707" s="147"/>
      <c r="G707" s="147"/>
      <c r="H707" s="147"/>
      <c r="I707" s="190"/>
      <c r="J707" s="147"/>
      <c r="K707" s="147"/>
      <c r="L707" s="147"/>
      <c r="M707" s="147"/>
      <c r="N707" s="147"/>
      <c r="O707" s="147"/>
      <c r="P707" s="147"/>
      <c r="Q707" s="147"/>
      <c r="R707" s="147"/>
      <c r="S707" s="147"/>
      <c r="T707" s="147"/>
      <c r="U707" s="147"/>
      <c r="V707" s="147"/>
      <c r="W707" s="147"/>
      <c r="X707" s="147"/>
      <c r="Y707" s="147"/>
      <c r="Z707" s="147"/>
    </row>
    <row r="708">
      <c r="A708" s="147"/>
      <c r="B708" s="147"/>
      <c r="C708" s="147"/>
      <c r="D708" s="147"/>
      <c r="E708" s="147"/>
      <c r="F708" s="147"/>
      <c r="G708" s="147"/>
      <c r="H708" s="147"/>
      <c r="I708" s="190"/>
      <c r="J708" s="147"/>
      <c r="K708" s="147"/>
      <c r="L708" s="147"/>
      <c r="M708" s="147"/>
      <c r="N708" s="147"/>
      <c r="O708" s="147"/>
      <c r="P708" s="147"/>
      <c r="Q708" s="147"/>
      <c r="R708" s="147"/>
      <c r="S708" s="147"/>
      <c r="T708" s="147"/>
      <c r="U708" s="147"/>
      <c r="V708" s="147"/>
      <c r="W708" s="147"/>
      <c r="X708" s="147"/>
      <c r="Y708" s="147"/>
      <c r="Z708" s="147"/>
    </row>
    <row r="709">
      <c r="A709" s="147"/>
      <c r="B709" s="147"/>
      <c r="C709" s="147"/>
      <c r="D709" s="147"/>
      <c r="E709" s="147"/>
      <c r="F709" s="147"/>
      <c r="G709" s="147"/>
      <c r="H709" s="147"/>
      <c r="I709" s="190"/>
      <c r="J709" s="147"/>
      <c r="K709" s="147"/>
      <c r="L709" s="147"/>
      <c r="M709" s="147"/>
      <c r="N709" s="147"/>
      <c r="O709" s="147"/>
      <c r="P709" s="147"/>
      <c r="Q709" s="147"/>
      <c r="R709" s="147"/>
      <c r="S709" s="147"/>
      <c r="T709" s="147"/>
      <c r="U709" s="147"/>
      <c r="V709" s="147"/>
      <c r="W709" s="147"/>
      <c r="X709" s="147"/>
      <c r="Y709" s="147"/>
      <c r="Z709" s="147"/>
    </row>
    <row r="710">
      <c r="A710" s="147"/>
      <c r="B710" s="147"/>
      <c r="C710" s="147"/>
      <c r="D710" s="147"/>
      <c r="E710" s="147"/>
      <c r="F710" s="147"/>
      <c r="G710" s="147"/>
      <c r="H710" s="147"/>
      <c r="I710" s="190"/>
      <c r="J710" s="147"/>
      <c r="K710" s="147"/>
      <c r="L710" s="147"/>
      <c r="M710" s="147"/>
      <c r="N710" s="147"/>
      <c r="O710" s="147"/>
      <c r="P710" s="147"/>
      <c r="Q710" s="147"/>
      <c r="R710" s="147"/>
      <c r="S710" s="147"/>
      <c r="T710" s="147"/>
      <c r="U710" s="147"/>
      <c r="V710" s="147"/>
      <c r="W710" s="147"/>
      <c r="X710" s="147"/>
      <c r="Y710" s="147"/>
      <c r="Z710" s="147"/>
    </row>
    <row r="711">
      <c r="A711" s="147"/>
      <c r="B711" s="147"/>
      <c r="C711" s="147"/>
      <c r="D711" s="147"/>
      <c r="E711" s="147"/>
      <c r="F711" s="147"/>
      <c r="G711" s="147"/>
      <c r="H711" s="147"/>
      <c r="I711" s="190"/>
      <c r="J711" s="147"/>
      <c r="K711" s="147"/>
      <c r="L711" s="147"/>
      <c r="M711" s="147"/>
      <c r="N711" s="147"/>
      <c r="O711" s="147"/>
      <c r="P711" s="147"/>
      <c r="Q711" s="147"/>
      <c r="R711" s="147"/>
      <c r="S711" s="147"/>
      <c r="T711" s="147"/>
      <c r="U711" s="147"/>
      <c r="V711" s="147"/>
      <c r="W711" s="147"/>
      <c r="X711" s="147"/>
      <c r="Y711" s="147"/>
      <c r="Z711" s="147"/>
    </row>
    <row r="712">
      <c r="A712" s="147"/>
      <c r="B712" s="147"/>
      <c r="C712" s="147"/>
      <c r="D712" s="147"/>
      <c r="E712" s="147"/>
      <c r="F712" s="147"/>
      <c r="G712" s="147"/>
      <c r="H712" s="147"/>
      <c r="I712" s="190"/>
      <c r="J712" s="147"/>
      <c r="K712" s="147"/>
      <c r="L712" s="147"/>
      <c r="M712" s="147"/>
      <c r="N712" s="147"/>
      <c r="O712" s="147"/>
      <c r="P712" s="147"/>
      <c r="Q712" s="147"/>
      <c r="R712" s="147"/>
      <c r="S712" s="147"/>
      <c r="T712" s="147"/>
      <c r="U712" s="147"/>
      <c r="V712" s="147"/>
      <c r="W712" s="147"/>
      <c r="X712" s="147"/>
      <c r="Y712" s="147"/>
      <c r="Z712" s="147"/>
    </row>
    <row r="713">
      <c r="A713" s="147"/>
      <c r="B713" s="147"/>
      <c r="C713" s="147"/>
      <c r="D713" s="147"/>
      <c r="E713" s="147"/>
      <c r="F713" s="147"/>
      <c r="G713" s="147"/>
      <c r="H713" s="147"/>
      <c r="I713" s="190"/>
      <c r="J713" s="147"/>
      <c r="K713" s="147"/>
      <c r="L713" s="147"/>
      <c r="M713" s="147"/>
      <c r="N713" s="147"/>
      <c r="O713" s="147"/>
      <c r="P713" s="147"/>
      <c r="Q713" s="147"/>
      <c r="R713" s="147"/>
      <c r="S713" s="147"/>
      <c r="T713" s="147"/>
      <c r="U713" s="147"/>
      <c r="V713" s="147"/>
      <c r="W713" s="147"/>
      <c r="X713" s="147"/>
      <c r="Y713" s="147"/>
      <c r="Z713" s="147"/>
    </row>
    <row r="714">
      <c r="A714" s="147"/>
      <c r="B714" s="147"/>
      <c r="C714" s="147"/>
      <c r="D714" s="147"/>
      <c r="E714" s="147"/>
      <c r="F714" s="147"/>
      <c r="G714" s="147"/>
      <c r="H714" s="147"/>
      <c r="I714" s="190"/>
      <c r="J714" s="147"/>
      <c r="K714" s="147"/>
      <c r="L714" s="147"/>
      <c r="M714" s="147"/>
      <c r="N714" s="147"/>
      <c r="O714" s="147"/>
      <c r="P714" s="147"/>
      <c r="Q714" s="147"/>
      <c r="R714" s="147"/>
      <c r="S714" s="147"/>
      <c r="T714" s="147"/>
      <c r="U714" s="147"/>
      <c r="V714" s="147"/>
      <c r="W714" s="147"/>
      <c r="X714" s="147"/>
      <c r="Y714" s="147"/>
      <c r="Z714" s="147"/>
    </row>
    <row r="715">
      <c r="A715" s="147"/>
      <c r="B715" s="147"/>
      <c r="C715" s="147"/>
      <c r="D715" s="147"/>
      <c r="E715" s="147"/>
      <c r="F715" s="147"/>
      <c r="G715" s="147"/>
      <c r="H715" s="147"/>
      <c r="I715" s="190"/>
      <c r="J715" s="147"/>
      <c r="K715" s="147"/>
      <c r="L715" s="147"/>
      <c r="M715" s="147"/>
      <c r="N715" s="147"/>
      <c r="O715" s="147"/>
      <c r="P715" s="147"/>
      <c r="Q715" s="147"/>
      <c r="R715" s="147"/>
      <c r="S715" s="147"/>
      <c r="T715" s="147"/>
      <c r="U715" s="147"/>
      <c r="V715" s="147"/>
      <c r="W715" s="147"/>
      <c r="X715" s="147"/>
      <c r="Y715" s="147"/>
      <c r="Z715" s="147"/>
    </row>
    <row r="716">
      <c r="A716" s="147"/>
      <c r="B716" s="147"/>
      <c r="C716" s="147"/>
      <c r="D716" s="147"/>
      <c r="E716" s="147"/>
      <c r="F716" s="147"/>
      <c r="G716" s="147"/>
      <c r="H716" s="147"/>
      <c r="I716" s="190"/>
      <c r="J716" s="147"/>
      <c r="K716" s="147"/>
      <c r="L716" s="147"/>
      <c r="M716" s="147"/>
      <c r="N716" s="147"/>
      <c r="O716" s="147"/>
      <c r="P716" s="147"/>
      <c r="Q716" s="147"/>
      <c r="R716" s="147"/>
      <c r="S716" s="147"/>
      <c r="T716" s="147"/>
      <c r="U716" s="147"/>
      <c r="V716" s="147"/>
      <c r="W716" s="147"/>
      <c r="X716" s="147"/>
      <c r="Y716" s="147"/>
      <c r="Z716" s="147"/>
    </row>
    <row r="717">
      <c r="A717" s="147"/>
      <c r="B717" s="147"/>
      <c r="C717" s="147"/>
      <c r="D717" s="147"/>
      <c r="E717" s="147"/>
      <c r="F717" s="147"/>
      <c r="G717" s="147"/>
      <c r="H717" s="147"/>
      <c r="I717" s="190"/>
      <c r="J717" s="147"/>
      <c r="K717" s="147"/>
      <c r="L717" s="147"/>
      <c r="M717" s="147"/>
      <c r="N717" s="147"/>
      <c r="O717" s="147"/>
      <c r="P717" s="147"/>
      <c r="Q717" s="147"/>
      <c r="R717" s="147"/>
      <c r="S717" s="147"/>
      <c r="T717" s="147"/>
      <c r="U717" s="147"/>
      <c r="V717" s="147"/>
      <c r="W717" s="147"/>
      <c r="X717" s="147"/>
      <c r="Y717" s="147"/>
      <c r="Z717" s="147"/>
    </row>
    <row r="718">
      <c r="A718" s="147"/>
      <c r="B718" s="147"/>
      <c r="C718" s="147"/>
      <c r="D718" s="147"/>
      <c r="E718" s="147"/>
      <c r="F718" s="147"/>
      <c r="G718" s="147"/>
      <c r="H718" s="147"/>
      <c r="I718" s="190"/>
      <c r="J718" s="147"/>
      <c r="K718" s="147"/>
      <c r="L718" s="147"/>
      <c r="M718" s="147"/>
      <c r="N718" s="147"/>
      <c r="O718" s="147"/>
      <c r="P718" s="147"/>
      <c r="Q718" s="147"/>
      <c r="R718" s="147"/>
      <c r="S718" s="147"/>
      <c r="T718" s="147"/>
      <c r="U718" s="147"/>
      <c r="V718" s="147"/>
      <c r="W718" s="147"/>
      <c r="X718" s="147"/>
      <c r="Y718" s="147"/>
      <c r="Z718" s="147"/>
    </row>
    <row r="719">
      <c r="A719" s="147"/>
      <c r="B719" s="147"/>
      <c r="C719" s="147"/>
      <c r="D719" s="147"/>
      <c r="E719" s="147"/>
      <c r="F719" s="147"/>
      <c r="G719" s="147"/>
      <c r="H719" s="147"/>
      <c r="I719" s="190"/>
      <c r="J719" s="147"/>
      <c r="K719" s="147"/>
      <c r="L719" s="147"/>
      <c r="M719" s="147"/>
      <c r="N719" s="147"/>
      <c r="O719" s="147"/>
      <c r="P719" s="147"/>
      <c r="Q719" s="147"/>
      <c r="R719" s="147"/>
      <c r="S719" s="147"/>
      <c r="T719" s="147"/>
      <c r="U719" s="147"/>
      <c r="V719" s="147"/>
      <c r="W719" s="147"/>
      <c r="X719" s="147"/>
      <c r="Y719" s="147"/>
      <c r="Z719" s="147"/>
    </row>
    <row r="720">
      <c r="A720" s="147"/>
      <c r="B720" s="147"/>
      <c r="C720" s="147"/>
      <c r="D720" s="147"/>
      <c r="E720" s="147"/>
      <c r="F720" s="147"/>
      <c r="G720" s="147"/>
      <c r="H720" s="147"/>
      <c r="I720" s="190"/>
      <c r="J720" s="147"/>
      <c r="K720" s="147"/>
      <c r="L720" s="147"/>
      <c r="M720" s="147"/>
      <c r="N720" s="147"/>
      <c r="O720" s="147"/>
      <c r="P720" s="147"/>
      <c r="Q720" s="147"/>
      <c r="R720" s="147"/>
      <c r="S720" s="147"/>
      <c r="T720" s="147"/>
      <c r="U720" s="147"/>
      <c r="V720" s="147"/>
      <c r="W720" s="147"/>
      <c r="X720" s="147"/>
      <c r="Y720" s="147"/>
      <c r="Z720" s="147"/>
    </row>
    <row r="721">
      <c r="A721" s="147"/>
      <c r="B721" s="147"/>
      <c r="C721" s="147"/>
      <c r="D721" s="147"/>
      <c r="E721" s="147"/>
      <c r="F721" s="147"/>
      <c r="G721" s="147"/>
      <c r="H721" s="147"/>
      <c r="I721" s="190"/>
      <c r="J721" s="147"/>
      <c r="K721" s="147"/>
      <c r="L721" s="147"/>
      <c r="M721" s="147"/>
      <c r="N721" s="147"/>
      <c r="O721" s="147"/>
      <c r="P721" s="147"/>
      <c r="Q721" s="147"/>
      <c r="R721" s="147"/>
      <c r="S721" s="147"/>
      <c r="T721" s="147"/>
      <c r="U721" s="147"/>
      <c r="V721" s="147"/>
      <c r="W721" s="147"/>
      <c r="X721" s="147"/>
      <c r="Y721" s="147"/>
      <c r="Z721" s="147"/>
    </row>
    <row r="722">
      <c r="A722" s="147"/>
      <c r="B722" s="147"/>
      <c r="C722" s="147"/>
      <c r="D722" s="147"/>
      <c r="E722" s="147"/>
      <c r="F722" s="147"/>
      <c r="G722" s="147"/>
      <c r="H722" s="147"/>
      <c r="I722" s="190"/>
      <c r="J722" s="147"/>
      <c r="K722" s="147"/>
      <c r="L722" s="147"/>
      <c r="M722" s="147"/>
      <c r="N722" s="147"/>
      <c r="O722" s="147"/>
      <c r="P722" s="147"/>
      <c r="Q722" s="147"/>
      <c r="R722" s="147"/>
      <c r="S722" s="147"/>
      <c r="T722" s="147"/>
      <c r="U722" s="147"/>
      <c r="V722" s="147"/>
      <c r="W722" s="147"/>
      <c r="X722" s="147"/>
      <c r="Y722" s="147"/>
      <c r="Z722" s="147"/>
    </row>
    <row r="723">
      <c r="A723" s="147"/>
      <c r="B723" s="147"/>
      <c r="C723" s="147"/>
      <c r="D723" s="147"/>
      <c r="E723" s="147"/>
      <c r="F723" s="147"/>
      <c r="G723" s="147"/>
      <c r="H723" s="147"/>
      <c r="I723" s="190"/>
      <c r="J723" s="147"/>
      <c r="K723" s="147"/>
      <c r="L723" s="147"/>
      <c r="M723" s="147"/>
      <c r="N723" s="147"/>
      <c r="O723" s="147"/>
      <c r="P723" s="147"/>
      <c r="Q723" s="147"/>
      <c r="R723" s="147"/>
      <c r="S723" s="147"/>
      <c r="T723" s="147"/>
      <c r="U723" s="147"/>
      <c r="V723" s="147"/>
      <c r="W723" s="147"/>
      <c r="X723" s="147"/>
      <c r="Y723" s="147"/>
      <c r="Z723" s="147"/>
    </row>
    <row r="724">
      <c r="A724" s="147"/>
      <c r="B724" s="147"/>
      <c r="C724" s="147"/>
      <c r="D724" s="147"/>
      <c r="E724" s="147"/>
      <c r="F724" s="147"/>
      <c r="G724" s="147"/>
      <c r="H724" s="147"/>
      <c r="I724" s="190"/>
      <c r="J724" s="147"/>
      <c r="K724" s="147"/>
      <c r="L724" s="147"/>
      <c r="M724" s="147"/>
      <c r="N724" s="147"/>
      <c r="O724" s="147"/>
      <c r="P724" s="147"/>
      <c r="Q724" s="147"/>
      <c r="R724" s="147"/>
      <c r="S724" s="147"/>
      <c r="T724" s="147"/>
      <c r="U724" s="147"/>
      <c r="V724" s="147"/>
      <c r="W724" s="147"/>
      <c r="X724" s="147"/>
      <c r="Y724" s="147"/>
      <c r="Z724" s="147"/>
    </row>
    <row r="725">
      <c r="A725" s="147"/>
      <c r="B725" s="147"/>
      <c r="C725" s="147"/>
      <c r="D725" s="147"/>
      <c r="E725" s="147"/>
      <c r="F725" s="147"/>
      <c r="G725" s="147"/>
      <c r="H725" s="147"/>
      <c r="I725" s="190"/>
      <c r="J725" s="147"/>
      <c r="K725" s="147"/>
      <c r="L725" s="147"/>
      <c r="M725" s="147"/>
      <c r="N725" s="147"/>
      <c r="O725" s="147"/>
      <c r="P725" s="147"/>
      <c r="Q725" s="147"/>
      <c r="R725" s="147"/>
      <c r="S725" s="147"/>
      <c r="T725" s="147"/>
      <c r="U725" s="147"/>
      <c r="V725" s="147"/>
      <c r="W725" s="147"/>
      <c r="X725" s="147"/>
      <c r="Y725" s="147"/>
      <c r="Z725" s="147"/>
    </row>
    <row r="726">
      <c r="A726" s="147"/>
      <c r="B726" s="147"/>
      <c r="C726" s="147"/>
      <c r="D726" s="147"/>
      <c r="E726" s="147"/>
      <c r="F726" s="147"/>
      <c r="G726" s="147"/>
      <c r="H726" s="147"/>
      <c r="I726" s="190"/>
      <c r="J726" s="147"/>
      <c r="K726" s="147"/>
      <c r="L726" s="147"/>
      <c r="M726" s="147"/>
      <c r="N726" s="147"/>
      <c r="O726" s="147"/>
      <c r="P726" s="147"/>
      <c r="Q726" s="147"/>
      <c r="R726" s="147"/>
      <c r="S726" s="147"/>
      <c r="T726" s="147"/>
      <c r="U726" s="147"/>
      <c r="V726" s="147"/>
      <c r="W726" s="147"/>
      <c r="X726" s="147"/>
      <c r="Y726" s="147"/>
      <c r="Z726" s="147"/>
    </row>
    <row r="727">
      <c r="A727" s="147"/>
      <c r="B727" s="147"/>
      <c r="C727" s="147"/>
      <c r="D727" s="147"/>
      <c r="E727" s="147"/>
      <c r="F727" s="147"/>
      <c r="G727" s="147"/>
      <c r="H727" s="147"/>
      <c r="I727" s="190"/>
      <c r="J727" s="147"/>
      <c r="K727" s="147"/>
      <c r="L727" s="147"/>
      <c r="M727" s="147"/>
      <c r="N727" s="147"/>
      <c r="O727" s="147"/>
      <c r="P727" s="147"/>
      <c r="Q727" s="147"/>
      <c r="R727" s="147"/>
      <c r="S727" s="147"/>
      <c r="T727" s="147"/>
      <c r="U727" s="147"/>
      <c r="V727" s="147"/>
      <c r="W727" s="147"/>
      <c r="X727" s="147"/>
      <c r="Y727" s="147"/>
      <c r="Z727" s="147"/>
    </row>
    <row r="728">
      <c r="A728" s="147"/>
      <c r="B728" s="147"/>
      <c r="C728" s="147"/>
      <c r="D728" s="147"/>
      <c r="E728" s="147"/>
      <c r="F728" s="147"/>
      <c r="G728" s="147"/>
      <c r="H728" s="147"/>
      <c r="I728" s="190"/>
      <c r="J728" s="147"/>
      <c r="K728" s="147"/>
      <c r="L728" s="147"/>
      <c r="M728" s="147"/>
      <c r="N728" s="147"/>
      <c r="O728" s="147"/>
      <c r="P728" s="147"/>
      <c r="Q728" s="147"/>
      <c r="R728" s="147"/>
      <c r="S728" s="147"/>
      <c r="T728" s="147"/>
      <c r="U728" s="147"/>
      <c r="V728" s="147"/>
      <c r="W728" s="147"/>
      <c r="X728" s="147"/>
      <c r="Y728" s="147"/>
      <c r="Z728" s="147"/>
    </row>
    <row r="729">
      <c r="A729" s="147"/>
      <c r="B729" s="147"/>
      <c r="C729" s="147"/>
      <c r="D729" s="147"/>
      <c r="E729" s="147"/>
      <c r="F729" s="147"/>
      <c r="G729" s="147"/>
      <c r="H729" s="147"/>
      <c r="I729" s="190"/>
      <c r="J729" s="147"/>
      <c r="K729" s="147"/>
      <c r="L729" s="147"/>
      <c r="M729" s="147"/>
      <c r="N729" s="147"/>
      <c r="O729" s="147"/>
      <c r="P729" s="147"/>
      <c r="Q729" s="147"/>
      <c r="R729" s="147"/>
      <c r="S729" s="147"/>
      <c r="T729" s="147"/>
      <c r="U729" s="147"/>
      <c r="V729" s="147"/>
      <c r="W729" s="147"/>
      <c r="X729" s="147"/>
      <c r="Y729" s="147"/>
      <c r="Z729" s="147"/>
    </row>
    <row r="730">
      <c r="A730" s="147"/>
      <c r="B730" s="147"/>
      <c r="C730" s="147"/>
      <c r="D730" s="147"/>
      <c r="E730" s="147"/>
      <c r="F730" s="147"/>
      <c r="G730" s="147"/>
      <c r="H730" s="147"/>
      <c r="I730" s="190"/>
      <c r="J730" s="147"/>
      <c r="K730" s="147"/>
      <c r="L730" s="147"/>
      <c r="M730" s="147"/>
      <c r="N730" s="147"/>
      <c r="O730" s="147"/>
      <c r="P730" s="147"/>
      <c r="Q730" s="147"/>
      <c r="R730" s="147"/>
      <c r="S730" s="147"/>
      <c r="T730" s="147"/>
      <c r="U730" s="147"/>
      <c r="V730" s="147"/>
      <c r="W730" s="147"/>
      <c r="X730" s="147"/>
      <c r="Y730" s="147"/>
      <c r="Z730" s="147"/>
    </row>
    <row r="731">
      <c r="A731" s="147"/>
      <c r="B731" s="147"/>
      <c r="C731" s="147"/>
      <c r="D731" s="147"/>
      <c r="E731" s="147"/>
      <c r="F731" s="147"/>
      <c r="G731" s="147"/>
      <c r="H731" s="147"/>
      <c r="I731" s="190"/>
      <c r="J731" s="147"/>
      <c r="K731" s="147"/>
      <c r="L731" s="147"/>
      <c r="M731" s="147"/>
      <c r="N731" s="147"/>
      <c r="O731" s="147"/>
      <c r="P731" s="147"/>
      <c r="Q731" s="147"/>
      <c r="R731" s="147"/>
      <c r="S731" s="147"/>
      <c r="T731" s="147"/>
      <c r="U731" s="147"/>
      <c r="V731" s="147"/>
      <c r="W731" s="147"/>
      <c r="X731" s="147"/>
      <c r="Y731" s="147"/>
      <c r="Z731" s="147"/>
    </row>
    <row r="732">
      <c r="A732" s="147"/>
      <c r="B732" s="147"/>
      <c r="C732" s="147"/>
      <c r="D732" s="147"/>
      <c r="E732" s="147"/>
      <c r="F732" s="147"/>
      <c r="G732" s="147"/>
      <c r="H732" s="147"/>
      <c r="I732" s="190"/>
      <c r="J732" s="147"/>
      <c r="K732" s="147"/>
      <c r="L732" s="147"/>
      <c r="M732" s="147"/>
      <c r="N732" s="147"/>
      <c r="O732" s="147"/>
      <c r="P732" s="147"/>
      <c r="Q732" s="147"/>
      <c r="R732" s="147"/>
      <c r="S732" s="147"/>
      <c r="T732" s="147"/>
      <c r="U732" s="147"/>
      <c r="V732" s="147"/>
      <c r="W732" s="147"/>
      <c r="X732" s="147"/>
      <c r="Y732" s="147"/>
      <c r="Z732" s="147"/>
    </row>
    <row r="733">
      <c r="A733" s="147"/>
      <c r="B733" s="147"/>
      <c r="C733" s="147"/>
      <c r="D733" s="147"/>
      <c r="E733" s="147"/>
      <c r="F733" s="147"/>
      <c r="G733" s="147"/>
      <c r="H733" s="147"/>
      <c r="I733" s="190"/>
      <c r="J733" s="147"/>
      <c r="K733" s="147"/>
      <c r="L733" s="147"/>
      <c r="M733" s="147"/>
      <c r="N733" s="147"/>
      <c r="O733" s="147"/>
      <c r="P733" s="147"/>
      <c r="Q733" s="147"/>
      <c r="R733" s="147"/>
      <c r="S733" s="147"/>
      <c r="T733" s="147"/>
      <c r="U733" s="147"/>
      <c r="V733" s="147"/>
      <c r="W733" s="147"/>
      <c r="X733" s="147"/>
      <c r="Y733" s="147"/>
      <c r="Z733" s="147"/>
    </row>
    <row r="734">
      <c r="A734" s="147"/>
      <c r="B734" s="147"/>
      <c r="C734" s="147"/>
      <c r="D734" s="147"/>
      <c r="E734" s="147"/>
      <c r="F734" s="147"/>
      <c r="G734" s="147"/>
      <c r="H734" s="147"/>
      <c r="I734" s="190"/>
      <c r="J734" s="147"/>
      <c r="K734" s="147"/>
      <c r="L734" s="147"/>
      <c r="M734" s="147"/>
      <c r="N734" s="147"/>
      <c r="O734" s="147"/>
      <c r="P734" s="147"/>
      <c r="Q734" s="147"/>
      <c r="R734" s="147"/>
      <c r="S734" s="147"/>
      <c r="T734" s="147"/>
      <c r="U734" s="147"/>
      <c r="V734" s="147"/>
      <c r="W734" s="147"/>
      <c r="X734" s="147"/>
      <c r="Y734" s="147"/>
      <c r="Z734" s="147"/>
    </row>
    <row r="735">
      <c r="A735" s="147"/>
      <c r="B735" s="147"/>
      <c r="C735" s="147"/>
      <c r="D735" s="147"/>
      <c r="E735" s="147"/>
      <c r="F735" s="147"/>
      <c r="G735" s="147"/>
      <c r="H735" s="147"/>
      <c r="I735" s="190"/>
      <c r="J735" s="147"/>
      <c r="K735" s="147"/>
      <c r="L735" s="147"/>
      <c r="M735" s="147"/>
      <c r="N735" s="147"/>
      <c r="O735" s="147"/>
      <c r="P735" s="147"/>
      <c r="Q735" s="147"/>
      <c r="R735" s="147"/>
      <c r="S735" s="147"/>
      <c r="T735" s="147"/>
      <c r="U735" s="147"/>
      <c r="V735" s="147"/>
      <c r="W735" s="147"/>
      <c r="X735" s="147"/>
      <c r="Y735" s="147"/>
      <c r="Z735" s="147"/>
    </row>
    <row r="736">
      <c r="A736" s="147"/>
      <c r="B736" s="147"/>
      <c r="C736" s="147"/>
      <c r="D736" s="147"/>
      <c r="E736" s="147"/>
      <c r="F736" s="147"/>
      <c r="G736" s="147"/>
      <c r="H736" s="147"/>
      <c r="I736" s="190"/>
      <c r="J736" s="147"/>
      <c r="K736" s="147"/>
      <c r="L736" s="147"/>
      <c r="M736" s="147"/>
      <c r="N736" s="147"/>
      <c r="O736" s="147"/>
      <c r="P736" s="147"/>
      <c r="Q736" s="147"/>
      <c r="R736" s="147"/>
      <c r="S736" s="147"/>
      <c r="T736" s="147"/>
      <c r="U736" s="147"/>
      <c r="V736" s="147"/>
      <c r="W736" s="147"/>
      <c r="X736" s="147"/>
      <c r="Y736" s="147"/>
      <c r="Z736" s="147"/>
    </row>
    <row r="737">
      <c r="A737" s="147"/>
      <c r="B737" s="147"/>
      <c r="C737" s="147"/>
      <c r="D737" s="147"/>
      <c r="E737" s="147"/>
      <c r="F737" s="147"/>
      <c r="G737" s="147"/>
      <c r="H737" s="147"/>
      <c r="I737" s="190"/>
      <c r="J737" s="147"/>
      <c r="K737" s="147"/>
      <c r="L737" s="147"/>
      <c r="M737" s="147"/>
      <c r="N737" s="147"/>
      <c r="O737" s="147"/>
      <c r="P737" s="147"/>
      <c r="Q737" s="147"/>
      <c r="R737" s="147"/>
      <c r="S737" s="147"/>
      <c r="T737" s="147"/>
      <c r="U737" s="147"/>
      <c r="V737" s="147"/>
      <c r="W737" s="147"/>
      <c r="X737" s="147"/>
      <c r="Y737" s="147"/>
      <c r="Z737" s="147"/>
    </row>
    <row r="738">
      <c r="A738" s="147"/>
      <c r="B738" s="147"/>
      <c r="C738" s="147"/>
      <c r="D738" s="147"/>
      <c r="E738" s="147"/>
      <c r="F738" s="147"/>
      <c r="G738" s="147"/>
      <c r="H738" s="147"/>
      <c r="I738" s="190"/>
      <c r="J738" s="147"/>
      <c r="K738" s="147"/>
      <c r="L738" s="147"/>
      <c r="M738" s="147"/>
      <c r="N738" s="147"/>
      <c r="O738" s="147"/>
      <c r="P738" s="147"/>
      <c r="Q738" s="147"/>
      <c r="R738" s="147"/>
      <c r="S738" s="147"/>
      <c r="T738" s="147"/>
      <c r="U738" s="147"/>
      <c r="V738" s="147"/>
      <c r="W738" s="147"/>
      <c r="X738" s="147"/>
      <c r="Y738" s="147"/>
      <c r="Z738" s="147"/>
    </row>
    <row r="739">
      <c r="A739" s="147"/>
      <c r="B739" s="147"/>
      <c r="C739" s="147"/>
      <c r="D739" s="147"/>
      <c r="E739" s="147"/>
      <c r="F739" s="147"/>
      <c r="G739" s="147"/>
      <c r="H739" s="147"/>
      <c r="I739" s="190"/>
      <c r="J739" s="147"/>
      <c r="K739" s="147"/>
      <c r="L739" s="147"/>
      <c r="M739" s="147"/>
      <c r="N739" s="147"/>
      <c r="O739" s="147"/>
      <c r="P739" s="147"/>
      <c r="Q739" s="147"/>
      <c r="R739" s="147"/>
      <c r="S739" s="147"/>
      <c r="T739" s="147"/>
      <c r="U739" s="147"/>
      <c r="V739" s="147"/>
      <c r="W739" s="147"/>
      <c r="X739" s="147"/>
      <c r="Y739" s="147"/>
      <c r="Z739" s="147"/>
    </row>
    <row r="740">
      <c r="A740" s="147"/>
      <c r="B740" s="147"/>
      <c r="C740" s="147"/>
      <c r="D740" s="147"/>
      <c r="E740" s="147"/>
      <c r="F740" s="147"/>
      <c r="G740" s="147"/>
      <c r="H740" s="147"/>
      <c r="I740" s="190"/>
      <c r="J740" s="147"/>
      <c r="K740" s="147"/>
      <c r="L740" s="147"/>
      <c r="M740" s="147"/>
      <c r="N740" s="147"/>
      <c r="O740" s="147"/>
      <c r="P740" s="147"/>
      <c r="Q740" s="147"/>
      <c r="R740" s="147"/>
      <c r="S740" s="147"/>
      <c r="T740" s="147"/>
      <c r="U740" s="147"/>
      <c r="V740" s="147"/>
      <c r="W740" s="147"/>
      <c r="X740" s="147"/>
      <c r="Y740" s="147"/>
      <c r="Z740" s="147"/>
    </row>
    <row r="741">
      <c r="A741" s="147"/>
      <c r="B741" s="147"/>
      <c r="C741" s="147"/>
      <c r="D741" s="147"/>
      <c r="E741" s="147"/>
      <c r="F741" s="147"/>
      <c r="G741" s="147"/>
      <c r="H741" s="147"/>
      <c r="I741" s="190"/>
      <c r="J741" s="147"/>
      <c r="K741" s="147"/>
      <c r="L741" s="147"/>
      <c r="M741" s="147"/>
      <c r="N741" s="147"/>
      <c r="O741" s="147"/>
      <c r="P741" s="147"/>
      <c r="Q741" s="147"/>
      <c r="R741" s="147"/>
      <c r="S741" s="147"/>
      <c r="T741" s="147"/>
      <c r="U741" s="147"/>
      <c r="V741" s="147"/>
      <c r="W741" s="147"/>
      <c r="X741" s="147"/>
      <c r="Y741" s="147"/>
      <c r="Z741" s="147"/>
    </row>
    <row r="742">
      <c r="A742" s="147"/>
      <c r="B742" s="147"/>
      <c r="C742" s="147"/>
      <c r="D742" s="147"/>
      <c r="E742" s="147"/>
      <c r="F742" s="147"/>
      <c r="G742" s="147"/>
      <c r="H742" s="147"/>
      <c r="I742" s="190"/>
      <c r="J742" s="147"/>
      <c r="K742" s="147"/>
      <c r="L742" s="147"/>
      <c r="M742" s="147"/>
      <c r="N742" s="147"/>
      <c r="O742" s="147"/>
      <c r="P742" s="147"/>
      <c r="Q742" s="147"/>
      <c r="R742" s="147"/>
      <c r="S742" s="147"/>
      <c r="T742" s="147"/>
      <c r="U742" s="147"/>
      <c r="V742" s="147"/>
      <c r="W742" s="147"/>
      <c r="X742" s="147"/>
      <c r="Y742" s="147"/>
      <c r="Z742" s="147"/>
    </row>
    <row r="743">
      <c r="A743" s="147"/>
      <c r="B743" s="147"/>
      <c r="C743" s="147"/>
      <c r="D743" s="147"/>
      <c r="E743" s="147"/>
      <c r="F743" s="147"/>
      <c r="G743" s="147"/>
      <c r="H743" s="147"/>
      <c r="I743" s="190"/>
      <c r="J743" s="147"/>
      <c r="K743" s="147"/>
      <c r="L743" s="147"/>
      <c r="M743" s="147"/>
      <c r="N743" s="147"/>
      <c r="O743" s="147"/>
      <c r="P743" s="147"/>
      <c r="Q743" s="147"/>
      <c r="R743" s="147"/>
      <c r="S743" s="147"/>
      <c r="T743" s="147"/>
      <c r="U743" s="147"/>
      <c r="V743" s="147"/>
      <c r="W743" s="147"/>
      <c r="X743" s="147"/>
      <c r="Y743" s="147"/>
      <c r="Z743" s="147"/>
    </row>
    <row r="744">
      <c r="A744" s="147"/>
      <c r="B744" s="147"/>
      <c r="C744" s="147"/>
      <c r="D744" s="147"/>
      <c r="E744" s="147"/>
      <c r="F744" s="147"/>
      <c r="G744" s="147"/>
      <c r="H744" s="147"/>
      <c r="I744" s="190"/>
      <c r="J744" s="147"/>
      <c r="K744" s="147"/>
      <c r="L744" s="147"/>
      <c r="M744" s="147"/>
      <c r="N744" s="147"/>
      <c r="O744" s="147"/>
      <c r="P744" s="147"/>
      <c r="Q744" s="147"/>
      <c r="R744" s="147"/>
      <c r="S744" s="147"/>
      <c r="T744" s="147"/>
      <c r="U744" s="147"/>
      <c r="V744" s="147"/>
      <c r="W744" s="147"/>
      <c r="X744" s="147"/>
      <c r="Y744" s="147"/>
      <c r="Z744" s="147"/>
    </row>
    <row r="745">
      <c r="A745" s="147"/>
      <c r="B745" s="147"/>
      <c r="C745" s="147"/>
      <c r="D745" s="147"/>
      <c r="E745" s="147"/>
      <c r="F745" s="147"/>
      <c r="G745" s="147"/>
      <c r="H745" s="147"/>
      <c r="I745" s="190"/>
      <c r="J745" s="147"/>
      <c r="K745" s="147"/>
      <c r="L745" s="147"/>
      <c r="M745" s="147"/>
      <c r="N745" s="147"/>
      <c r="O745" s="147"/>
      <c r="P745" s="147"/>
      <c r="Q745" s="147"/>
      <c r="R745" s="147"/>
      <c r="S745" s="147"/>
      <c r="T745" s="147"/>
      <c r="U745" s="147"/>
      <c r="V745" s="147"/>
      <c r="W745" s="147"/>
      <c r="X745" s="147"/>
      <c r="Y745" s="147"/>
      <c r="Z745" s="147"/>
    </row>
    <row r="746">
      <c r="A746" s="147"/>
      <c r="B746" s="147"/>
      <c r="C746" s="147"/>
      <c r="D746" s="147"/>
      <c r="E746" s="147"/>
      <c r="F746" s="147"/>
      <c r="G746" s="147"/>
      <c r="H746" s="147"/>
      <c r="I746" s="190"/>
      <c r="J746" s="147"/>
      <c r="K746" s="147"/>
      <c r="L746" s="147"/>
      <c r="M746" s="147"/>
      <c r="N746" s="147"/>
      <c r="O746" s="147"/>
      <c r="P746" s="147"/>
      <c r="Q746" s="147"/>
      <c r="R746" s="147"/>
      <c r="S746" s="147"/>
      <c r="T746" s="147"/>
      <c r="U746" s="147"/>
      <c r="V746" s="147"/>
      <c r="W746" s="147"/>
      <c r="X746" s="147"/>
      <c r="Y746" s="147"/>
      <c r="Z746" s="147"/>
    </row>
    <row r="747">
      <c r="A747" s="147"/>
      <c r="B747" s="147"/>
      <c r="C747" s="147"/>
      <c r="D747" s="147"/>
      <c r="E747" s="147"/>
      <c r="F747" s="147"/>
      <c r="G747" s="147"/>
      <c r="H747" s="147"/>
      <c r="I747" s="190"/>
      <c r="J747" s="147"/>
      <c r="K747" s="147"/>
      <c r="L747" s="147"/>
      <c r="M747" s="147"/>
      <c r="N747" s="147"/>
      <c r="O747" s="147"/>
      <c r="P747" s="147"/>
      <c r="Q747" s="147"/>
      <c r="R747" s="147"/>
      <c r="S747" s="147"/>
      <c r="T747" s="147"/>
      <c r="U747" s="147"/>
      <c r="V747" s="147"/>
      <c r="W747" s="147"/>
      <c r="X747" s="147"/>
      <c r="Y747" s="147"/>
      <c r="Z747" s="147"/>
    </row>
    <row r="748">
      <c r="A748" s="147"/>
      <c r="B748" s="147"/>
      <c r="C748" s="147"/>
      <c r="D748" s="147"/>
      <c r="E748" s="147"/>
      <c r="F748" s="147"/>
      <c r="G748" s="147"/>
      <c r="H748" s="147"/>
      <c r="I748" s="190"/>
      <c r="J748" s="147"/>
      <c r="K748" s="147"/>
      <c r="L748" s="147"/>
      <c r="M748" s="147"/>
      <c r="N748" s="147"/>
      <c r="O748" s="147"/>
      <c r="P748" s="147"/>
      <c r="Q748" s="147"/>
      <c r="R748" s="147"/>
      <c r="S748" s="147"/>
      <c r="T748" s="147"/>
      <c r="U748" s="147"/>
      <c r="V748" s="147"/>
      <c r="W748" s="147"/>
      <c r="X748" s="147"/>
      <c r="Y748" s="147"/>
      <c r="Z748" s="147"/>
    </row>
    <row r="749">
      <c r="A749" s="147"/>
      <c r="B749" s="147"/>
      <c r="C749" s="147"/>
      <c r="D749" s="147"/>
      <c r="E749" s="147"/>
      <c r="F749" s="147"/>
      <c r="G749" s="147"/>
      <c r="H749" s="147"/>
      <c r="I749" s="190"/>
      <c r="J749" s="147"/>
      <c r="K749" s="147"/>
      <c r="L749" s="147"/>
      <c r="M749" s="147"/>
      <c r="N749" s="147"/>
      <c r="O749" s="147"/>
      <c r="P749" s="147"/>
      <c r="Q749" s="147"/>
      <c r="R749" s="147"/>
      <c r="S749" s="147"/>
      <c r="T749" s="147"/>
      <c r="U749" s="147"/>
      <c r="V749" s="147"/>
      <c r="W749" s="147"/>
      <c r="X749" s="147"/>
      <c r="Y749" s="147"/>
      <c r="Z749" s="147"/>
    </row>
    <row r="750">
      <c r="A750" s="147"/>
      <c r="B750" s="147"/>
      <c r="C750" s="147"/>
      <c r="D750" s="147"/>
      <c r="E750" s="147"/>
      <c r="F750" s="147"/>
      <c r="G750" s="147"/>
      <c r="H750" s="147"/>
      <c r="I750" s="190"/>
      <c r="J750" s="147"/>
      <c r="K750" s="147"/>
      <c r="L750" s="147"/>
      <c r="M750" s="147"/>
      <c r="N750" s="147"/>
      <c r="O750" s="147"/>
      <c r="P750" s="147"/>
      <c r="Q750" s="147"/>
      <c r="R750" s="147"/>
      <c r="S750" s="147"/>
      <c r="T750" s="147"/>
      <c r="U750" s="147"/>
      <c r="V750" s="147"/>
      <c r="W750" s="147"/>
      <c r="X750" s="147"/>
      <c r="Y750" s="147"/>
      <c r="Z750" s="147"/>
    </row>
    <row r="751">
      <c r="A751" s="147"/>
      <c r="B751" s="147"/>
      <c r="C751" s="147"/>
      <c r="D751" s="147"/>
      <c r="E751" s="147"/>
      <c r="F751" s="147"/>
      <c r="G751" s="147"/>
      <c r="H751" s="147"/>
      <c r="I751" s="190"/>
      <c r="J751" s="147"/>
      <c r="K751" s="147"/>
      <c r="L751" s="147"/>
      <c r="M751" s="147"/>
      <c r="N751" s="147"/>
      <c r="O751" s="147"/>
      <c r="P751" s="147"/>
      <c r="Q751" s="147"/>
      <c r="R751" s="147"/>
      <c r="S751" s="147"/>
      <c r="T751" s="147"/>
      <c r="U751" s="147"/>
      <c r="V751" s="147"/>
      <c r="W751" s="147"/>
      <c r="X751" s="147"/>
      <c r="Y751" s="147"/>
      <c r="Z751" s="147"/>
    </row>
    <row r="752">
      <c r="A752" s="147"/>
      <c r="B752" s="147"/>
      <c r="C752" s="147"/>
      <c r="D752" s="147"/>
      <c r="E752" s="147"/>
      <c r="F752" s="147"/>
      <c r="G752" s="147"/>
      <c r="H752" s="147"/>
      <c r="I752" s="190"/>
      <c r="J752" s="147"/>
      <c r="K752" s="147"/>
      <c r="L752" s="147"/>
      <c r="M752" s="147"/>
      <c r="N752" s="147"/>
      <c r="O752" s="147"/>
      <c r="P752" s="147"/>
      <c r="Q752" s="147"/>
      <c r="R752" s="147"/>
      <c r="S752" s="147"/>
      <c r="T752" s="147"/>
      <c r="U752" s="147"/>
      <c r="V752" s="147"/>
      <c r="W752" s="147"/>
      <c r="X752" s="147"/>
      <c r="Y752" s="147"/>
      <c r="Z752" s="147"/>
    </row>
    <row r="753">
      <c r="A753" s="147"/>
      <c r="B753" s="147"/>
      <c r="C753" s="147"/>
      <c r="D753" s="147"/>
      <c r="E753" s="147"/>
      <c r="F753" s="147"/>
      <c r="G753" s="147"/>
      <c r="H753" s="147"/>
      <c r="I753" s="190"/>
      <c r="J753" s="147"/>
      <c r="K753" s="147"/>
      <c r="L753" s="147"/>
      <c r="M753" s="147"/>
      <c r="N753" s="147"/>
      <c r="O753" s="147"/>
      <c r="P753" s="147"/>
      <c r="Q753" s="147"/>
      <c r="R753" s="147"/>
      <c r="S753" s="147"/>
      <c r="T753" s="147"/>
      <c r="U753" s="147"/>
      <c r="V753" s="147"/>
      <c r="W753" s="147"/>
      <c r="X753" s="147"/>
      <c r="Y753" s="147"/>
      <c r="Z753" s="147"/>
    </row>
    <row r="754">
      <c r="A754" s="147"/>
      <c r="B754" s="147"/>
      <c r="C754" s="147"/>
      <c r="D754" s="147"/>
      <c r="E754" s="147"/>
      <c r="F754" s="147"/>
      <c r="G754" s="147"/>
      <c r="H754" s="147"/>
      <c r="I754" s="190"/>
      <c r="J754" s="147"/>
      <c r="K754" s="147"/>
      <c r="L754" s="147"/>
      <c r="M754" s="147"/>
      <c r="N754" s="147"/>
      <c r="O754" s="147"/>
      <c r="P754" s="147"/>
      <c r="Q754" s="147"/>
      <c r="R754" s="147"/>
      <c r="S754" s="147"/>
      <c r="T754" s="147"/>
      <c r="U754" s="147"/>
      <c r="V754" s="147"/>
      <c r="W754" s="147"/>
      <c r="X754" s="147"/>
      <c r="Y754" s="147"/>
      <c r="Z754" s="147"/>
    </row>
    <row r="755">
      <c r="A755" s="147"/>
      <c r="B755" s="147"/>
      <c r="C755" s="147"/>
      <c r="D755" s="147"/>
      <c r="E755" s="147"/>
      <c r="F755" s="147"/>
      <c r="G755" s="147"/>
      <c r="H755" s="147"/>
      <c r="I755" s="190"/>
      <c r="J755" s="147"/>
      <c r="K755" s="147"/>
      <c r="L755" s="147"/>
      <c r="M755" s="147"/>
      <c r="N755" s="147"/>
      <c r="O755" s="147"/>
      <c r="P755" s="147"/>
      <c r="Q755" s="147"/>
      <c r="R755" s="147"/>
      <c r="S755" s="147"/>
      <c r="T755" s="147"/>
      <c r="U755" s="147"/>
      <c r="V755" s="147"/>
      <c r="W755" s="147"/>
      <c r="X755" s="147"/>
      <c r="Y755" s="147"/>
      <c r="Z755" s="147"/>
    </row>
    <row r="756">
      <c r="A756" s="147"/>
      <c r="B756" s="147"/>
      <c r="C756" s="147"/>
      <c r="D756" s="147"/>
      <c r="E756" s="147"/>
      <c r="F756" s="147"/>
      <c r="G756" s="147"/>
      <c r="H756" s="147"/>
      <c r="I756" s="190"/>
      <c r="J756" s="147"/>
      <c r="K756" s="147"/>
      <c r="L756" s="147"/>
      <c r="M756" s="147"/>
      <c r="N756" s="147"/>
      <c r="O756" s="147"/>
      <c r="P756" s="147"/>
      <c r="Q756" s="147"/>
      <c r="R756" s="147"/>
      <c r="S756" s="147"/>
      <c r="T756" s="147"/>
      <c r="U756" s="147"/>
      <c r="V756" s="147"/>
      <c r="W756" s="147"/>
      <c r="X756" s="147"/>
      <c r="Y756" s="147"/>
      <c r="Z756" s="147"/>
    </row>
    <row r="757">
      <c r="A757" s="147"/>
      <c r="B757" s="147"/>
      <c r="C757" s="147"/>
      <c r="D757" s="147"/>
      <c r="E757" s="147"/>
      <c r="F757" s="147"/>
      <c r="G757" s="147"/>
      <c r="H757" s="147"/>
      <c r="I757" s="190"/>
      <c r="J757" s="147"/>
      <c r="K757" s="147"/>
      <c r="L757" s="147"/>
      <c r="M757" s="147"/>
      <c r="N757" s="147"/>
      <c r="O757" s="147"/>
      <c r="P757" s="147"/>
      <c r="Q757" s="147"/>
      <c r="R757" s="147"/>
      <c r="S757" s="147"/>
      <c r="T757" s="147"/>
      <c r="U757" s="147"/>
      <c r="V757" s="147"/>
      <c r="W757" s="147"/>
      <c r="X757" s="147"/>
      <c r="Y757" s="147"/>
      <c r="Z757" s="147"/>
    </row>
    <row r="758">
      <c r="A758" s="147"/>
      <c r="B758" s="147"/>
      <c r="C758" s="147"/>
      <c r="D758" s="147"/>
      <c r="E758" s="147"/>
      <c r="F758" s="147"/>
      <c r="G758" s="147"/>
      <c r="H758" s="147"/>
      <c r="I758" s="190"/>
      <c r="J758" s="147"/>
      <c r="K758" s="147"/>
      <c r="L758" s="147"/>
      <c r="M758" s="147"/>
      <c r="N758" s="147"/>
      <c r="O758" s="147"/>
      <c r="P758" s="147"/>
      <c r="Q758" s="147"/>
      <c r="R758" s="147"/>
      <c r="S758" s="147"/>
      <c r="T758" s="147"/>
      <c r="U758" s="147"/>
      <c r="V758" s="147"/>
      <c r="W758" s="147"/>
      <c r="X758" s="147"/>
      <c r="Y758" s="147"/>
      <c r="Z758" s="147"/>
    </row>
    <row r="759">
      <c r="A759" s="147"/>
      <c r="B759" s="147"/>
      <c r="C759" s="147"/>
      <c r="D759" s="147"/>
      <c r="E759" s="147"/>
      <c r="F759" s="147"/>
      <c r="G759" s="147"/>
      <c r="H759" s="147"/>
      <c r="I759" s="190"/>
      <c r="J759" s="147"/>
      <c r="K759" s="147"/>
      <c r="L759" s="147"/>
      <c r="M759" s="147"/>
      <c r="N759" s="147"/>
      <c r="O759" s="147"/>
      <c r="P759" s="147"/>
      <c r="Q759" s="147"/>
      <c r="R759" s="147"/>
      <c r="S759" s="147"/>
      <c r="T759" s="147"/>
      <c r="U759" s="147"/>
      <c r="V759" s="147"/>
      <c r="W759" s="147"/>
      <c r="X759" s="147"/>
      <c r="Y759" s="147"/>
      <c r="Z759" s="147"/>
    </row>
    <row r="760">
      <c r="A760" s="147"/>
      <c r="B760" s="147"/>
      <c r="C760" s="147"/>
      <c r="D760" s="147"/>
      <c r="E760" s="147"/>
      <c r="F760" s="147"/>
      <c r="G760" s="147"/>
      <c r="H760" s="147"/>
      <c r="I760" s="190"/>
      <c r="J760" s="147"/>
      <c r="K760" s="147"/>
      <c r="L760" s="147"/>
      <c r="M760" s="147"/>
      <c r="N760" s="147"/>
      <c r="O760" s="147"/>
      <c r="P760" s="147"/>
      <c r="Q760" s="147"/>
      <c r="R760" s="147"/>
      <c r="S760" s="147"/>
      <c r="T760" s="147"/>
      <c r="U760" s="147"/>
      <c r="V760" s="147"/>
      <c r="W760" s="147"/>
      <c r="X760" s="147"/>
      <c r="Y760" s="147"/>
      <c r="Z760" s="147"/>
    </row>
    <row r="761">
      <c r="A761" s="147"/>
      <c r="B761" s="147"/>
      <c r="C761" s="147"/>
      <c r="D761" s="147"/>
      <c r="E761" s="147"/>
      <c r="F761" s="147"/>
      <c r="G761" s="147"/>
      <c r="H761" s="147"/>
      <c r="I761" s="190"/>
      <c r="J761" s="147"/>
      <c r="K761" s="147"/>
      <c r="L761" s="147"/>
      <c r="M761" s="147"/>
      <c r="N761" s="147"/>
      <c r="O761" s="147"/>
      <c r="P761" s="147"/>
      <c r="Q761" s="147"/>
      <c r="R761" s="147"/>
      <c r="S761" s="147"/>
      <c r="T761" s="147"/>
      <c r="U761" s="147"/>
      <c r="V761" s="147"/>
      <c r="W761" s="147"/>
      <c r="X761" s="147"/>
      <c r="Y761" s="147"/>
      <c r="Z761" s="147"/>
    </row>
    <row r="762">
      <c r="A762" s="147"/>
      <c r="B762" s="147"/>
      <c r="C762" s="147"/>
      <c r="D762" s="147"/>
      <c r="E762" s="147"/>
      <c r="F762" s="147"/>
      <c r="G762" s="147"/>
      <c r="H762" s="147"/>
      <c r="I762" s="190"/>
      <c r="J762" s="147"/>
      <c r="K762" s="147"/>
      <c r="L762" s="147"/>
      <c r="M762" s="147"/>
      <c r="N762" s="147"/>
      <c r="O762" s="147"/>
      <c r="P762" s="147"/>
      <c r="Q762" s="147"/>
      <c r="R762" s="147"/>
      <c r="S762" s="147"/>
      <c r="T762" s="147"/>
      <c r="U762" s="147"/>
      <c r="V762" s="147"/>
      <c r="W762" s="147"/>
      <c r="X762" s="147"/>
      <c r="Y762" s="147"/>
      <c r="Z762" s="147"/>
    </row>
    <row r="763">
      <c r="A763" s="147"/>
      <c r="B763" s="147"/>
      <c r="C763" s="147"/>
      <c r="D763" s="147"/>
      <c r="E763" s="147"/>
      <c r="F763" s="147"/>
      <c r="G763" s="147"/>
      <c r="H763" s="147"/>
      <c r="I763" s="190"/>
      <c r="J763" s="147"/>
      <c r="K763" s="147"/>
      <c r="L763" s="147"/>
      <c r="M763" s="147"/>
      <c r="N763" s="147"/>
      <c r="O763" s="147"/>
      <c r="P763" s="147"/>
      <c r="Q763" s="147"/>
      <c r="R763" s="147"/>
      <c r="S763" s="147"/>
      <c r="T763" s="147"/>
      <c r="U763" s="147"/>
      <c r="V763" s="147"/>
      <c r="W763" s="147"/>
      <c r="X763" s="147"/>
      <c r="Y763" s="147"/>
      <c r="Z763" s="147"/>
    </row>
    <row r="764">
      <c r="A764" s="147"/>
      <c r="B764" s="147"/>
      <c r="C764" s="147"/>
      <c r="D764" s="147"/>
      <c r="E764" s="147"/>
      <c r="F764" s="147"/>
      <c r="G764" s="147"/>
      <c r="H764" s="147"/>
      <c r="I764" s="190"/>
      <c r="J764" s="147"/>
      <c r="K764" s="147"/>
      <c r="L764" s="147"/>
      <c r="M764" s="147"/>
      <c r="N764" s="147"/>
      <c r="O764" s="147"/>
      <c r="P764" s="147"/>
      <c r="Q764" s="147"/>
      <c r="R764" s="147"/>
      <c r="S764" s="147"/>
      <c r="T764" s="147"/>
      <c r="U764" s="147"/>
      <c r="V764" s="147"/>
      <c r="W764" s="147"/>
      <c r="X764" s="147"/>
      <c r="Y764" s="147"/>
      <c r="Z764" s="147"/>
    </row>
    <row r="765">
      <c r="A765" s="147"/>
      <c r="B765" s="147"/>
      <c r="C765" s="147"/>
      <c r="D765" s="147"/>
      <c r="E765" s="147"/>
      <c r="F765" s="147"/>
      <c r="G765" s="147"/>
      <c r="H765" s="147"/>
      <c r="I765" s="190"/>
      <c r="J765" s="147"/>
      <c r="K765" s="147"/>
      <c r="L765" s="147"/>
      <c r="M765" s="147"/>
      <c r="N765" s="147"/>
      <c r="O765" s="147"/>
      <c r="P765" s="147"/>
      <c r="Q765" s="147"/>
      <c r="R765" s="147"/>
      <c r="S765" s="147"/>
      <c r="T765" s="147"/>
      <c r="U765" s="147"/>
      <c r="V765" s="147"/>
      <c r="W765" s="147"/>
      <c r="X765" s="147"/>
      <c r="Y765" s="147"/>
      <c r="Z765" s="147"/>
    </row>
    <row r="766">
      <c r="A766" s="147"/>
      <c r="B766" s="147"/>
      <c r="C766" s="147"/>
      <c r="D766" s="147"/>
      <c r="E766" s="147"/>
      <c r="F766" s="147"/>
      <c r="G766" s="147"/>
      <c r="H766" s="147"/>
      <c r="I766" s="190"/>
      <c r="J766" s="147"/>
      <c r="K766" s="147"/>
      <c r="L766" s="147"/>
      <c r="M766" s="147"/>
      <c r="N766" s="147"/>
      <c r="O766" s="147"/>
      <c r="P766" s="147"/>
      <c r="Q766" s="147"/>
      <c r="R766" s="147"/>
      <c r="S766" s="147"/>
      <c r="T766" s="147"/>
      <c r="U766" s="147"/>
      <c r="V766" s="147"/>
      <c r="W766" s="147"/>
      <c r="X766" s="147"/>
      <c r="Y766" s="147"/>
      <c r="Z766" s="147"/>
    </row>
    <row r="767">
      <c r="A767" s="147"/>
      <c r="B767" s="147"/>
      <c r="C767" s="147"/>
      <c r="D767" s="147"/>
      <c r="E767" s="147"/>
      <c r="F767" s="147"/>
      <c r="G767" s="147"/>
      <c r="H767" s="147"/>
      <c r="I767" s="190"/>
      <c r="J767" s="147"/>
      <c r="K767" s="147"/>
      <c r="L767" s="147"/>
      <c r="M767" s="147"/>
      <c r="N767" s="147"/>
      <c r="O767" s="147"/>
      <c r="P767" s="147"/>
      <c r="Q767" s="147"/>
      <c r="R767" s="147"/>
      <c r="S767" s="147"/>
      <c r="T767" s="147"/>
      <c r="U767" s="147"/>
      <c r="V767" s="147"/>
      <c r="W767" s="147"/>
      <c r="X767" s="147"/>
      <c r="Y767" s="147"/>
      <c r="Z767" s="147"/>
    </row>
    <row r="768">
      <c r="A768" s="147"/>
      <c r="B768" s="147"/>
      <c r="C768" s="147"/>
      <c r="D768" s="147"/>
      <c r="E768" s="147"/>
      <c r="F768" s="147"/>
      <c r="G768" s="147"/>
      <c r="H768" s="147"/>
      <c r="I768" s="190"/>
      <c r="J768" s="147"/>
      <c r="K768" s="147"/>
      <c r="L768" s="147"/>
      <c r="M768" s="147"/>
      <c r="N768" s="147"/>
      <c r="O768" s="147"/>
      <c r="P768" s="147"/>
      <c r="Q768" s="147"/>
      <c r="R768" s="147"/>
      <c r="S768" s="147"/>
      <c r="T768" s="147"/>
      <c r="U768" s="147"/>
      <c r="V768" s="147"/>
      <c r="W768" s="147"/>
      <c r="X768" s="147"/>
      <c r="Y768" s="147"/>
      <c r="Z768" s="147"/>
    </row>
    <row r="769">
      <c r="A769" s="147"/>
      <c r="B769" s="147"/>
      <c r="C769" s="147"/>
      <c r="D769" s="147"/>
      <c r="E769" s="147"/>
      <c r="F769" s="147"/>
      <c r="G769" s="147"/>
      <c r="H769" s="147"/>
      <c r="I769" s="190"/>
      <c r="J769" s="147"/>
      <c r="K769" s="147"/>
      <c r="L769" s="147"/>
      <c r="M769" s="147"/>
      <c r="N769" s="147"/>
      <c r="O769" s="147"/>
      <c r="P769" s="147"/>
      <c r="Q769" s="147"/>
      <c r="R769" s="147"/>
      <c r="S769" s="147"/>
      <c r="T769" s="147"/>
      <c r="U769" s="147"/>
      <c r="V769" s="147"/>
      <c r="W769" s="147"/>
      <c r="X769" s="147"/>
      <c r="Y769" s="147"/>
      <c r="Z769" s="147"/>
    </row>
    <row r="770">
      <c r="A770" s="147"/>
      <c r="B770" s="147"/>
      <c r="C770" s="147"/>
      <c r="D770" s="147"/>
      <c r="E770" s="147"/>
      <c r="F770" s="147"/>
      <c r="G770" s="147"/>
      <c r="H770" s="147"/>
      <c r="I770" s="190"/>
      <c r="J770" s="147"/>
      <c r="K770" s="147"/>
      <c r="L770" s="147"/>
      <c r="M770" s="147"/>
      <c r="N770" s="147"/>
      <c r="O770" s="147"/>
      <c r="P770" s="147"/>
      <c r="Q770" s="147"/>
      <c r="R770" s="147"/>
      <c r="S770" s="147"/>
      <c r="T770" s="147"/>
      <c r="U770" s="147"/>
      <c r="V770" s="147"/>
      <c r="W770" s="147"/>
      <c r="X770" s="147"/>
      <c r="Y770" s="147"/>
      <c r="Z770" s="147"/>
    </row>
    <row r="771">
      <c r="A771" s="147"/>
      <c r="B771" s="147"/>
      <c r="C771" s="147"/>
      <c r="D771" s="147"/>
      <c r="E771" s="147"/>
      <c r="F771" s="147"/>
      <c r="G771" s="147"/>
      <c r="H771" s="147"/>
      <c r="I771" s="190"/>
      <c r="J771" s="147"/>
      <c r="K771" s="147"/>
      <c r="L771" s="147"/>
      <c r="M771" s="147"/>
      <c r="N771" s="147"/>
      <c r="O771" s="147"/>
      <c r="P771" s="147"/>
      <c r="Q771" s="147"/>
      <c r="R771" s="147"/>
      <c r="S771" s="147"/>
      <c r="T771" s="147"/>
      <c r="U771" s="147"/>
      <c r="V771" s="147"/>
      <c r="W771" s="147"/>
      <c r="X771" s="147"/>
      <c r="Y771" s="147"/>
      <c r="Z771" s="147"/>
    </row>
    <row r="772">
      <c r="A772" s="147"/>
      <c r="B772" s="147"/>
      <c r="C772" s="147"/>
      <c r="D772" s="147"/>
      <c r="E772" s="147"/>
      <c r="F772" s="147"/>
      <c r="G772" s="147"/>
      <c r="H772" s="147"/>
      <c r="I772" s="190"/>
      <c r="J772" s="147"/>
      <c r="K772" s="147"/>
      <c r="L772" s="147"/>
      <c r="M772" s="147"/>
      <c r="N772" s="147"/>
      <c r="O772" s="147"/>
      <c r="P772" s="147"/>
      <c r="Q772" s="147"/>
      <c r="R772" s="147"/>
      <c r="S772" s="147"/>
      <c r="T772" s="147"/>
      <c r="U772" s="147"/>
      <c r="V772" s="147"/>
      <c r="W772" s="147"/>
      <c r="X772" s="147"/>
      <c r="Y772" s="147"/>
      <c r="Z772" s="147"/>
    </row>
    <row r="773">
      <c r="A773" s="147"/>
      <c r="B773" s="147"/>
      <c r="C773" s="147"/>
      <c r="D773" s="147"/>
      <c r="E773" s="147"/>
      <c r="F773" s="147"/>
      <c r="G773" s="147"/>
      <c r="H773" s="147"/>
      <c r="I773" s="190"/>
      <c r="J773" s="147"/>
      <c r="K773" s="147"/>
      <c r="L773" s="147"/>
      <c r="M773" s="147"/>
      <c r="N773" s="147"/>
      <c r="O773" s="147"/>
      <c r="P773" s="147"/>
      <c r="Q773" s="147"/>
      <c r="R773" s="147"/>
      <c r="S773" s="147"/>
      <c r="T773" s="147"/>
      <c r="U773" s="147"/>
      <c r="V773" s="147"/>
      <c r="W773" s="147"/>
      <c r="X773" s="147"/>
      <c r="Y773" s="147"/>
      <c r="Z773" s="147"/>
    </row>
    <row r="774">
      <c r="A774" s="147"/>
      <c r="B774" s="147"/>
      <c r="C774" s="147"/>
      <c r="D774" s="147"/>
      <c r="E774" s="147"/>
      <c r="F774" s="147"/>
      <c r="G774" s="147"/>
      <c r="H774" s="147"/>
      <c r="I774" s="190"/>
      <c r="J774" s="147"/>
      <c r="K774" s="147"/>
      <c r="L774" s="147"/>
      <c r="M774" s="147"/>
      <c r="N774" s="147"/>
      <c r="O774" s="147"/>
      <c r="P774" s="147"/>
      <c r="Q774" s="147"/>
      <c r="R774" s="147"/>
      <c r="S774" s="147"/>
      <c r="T774" s="147"/>
      <c r="U774" s="147"/>
      <c r="V774" s="147"/>
      <c r="W774" s="147"/>
      <c r="X774" s="147"/>
      <c r="Y774" s="147"/>
      <c r="Z774" s="147"/>
    </row>
    <row r="775">
      <c r="A775" s="147"/>
      <c r="B775" s="147"/>
      <c r="C775" s="147"/>
      <c r="D775" s="147"/>
      <c r="E775" s="147"/>
      <c r="F775" s="147"/>
      <c r="G775" s="147"/>
      <c r="H775" s="147"/>
      <c r="I775" s="190"/>
      <c r="J775" s="147"/>
      <c r="K775" s="147"/>
      <c r="L775" s="147"/>
      <c r="M775" s="147"/>
      <c r="N775" s="147"/>
      <c r="O775" s="147"/>
      <c r="P775" s="147"/>
      <c r="Q775" s="147"/>
      <c r="R775" s="147"/>
      <c r="S775" s="147"/>
      <c r="T775" s="147"/>
      <c r="U775" s="147"/>
      <c r="V775" s="147"/>
      <c r="W775" s="147"/>
      <c r="X775" s="147"/>
      <c r="Y775" s="147"/>
      <c r="Z775" s="147"/>
    </row>
    <row r="776">
      <c r="A776" s="147"/>
      <c r="B776" s="147"/>
      <c r="C776" s="147"/>
      <c r="D776" s="147"/>
      <c r="E776" s="147"/>
      <c r="F776" s="147"/>
      <c r="G776" s="147"/>
      <c r="H776" s="147"/>
      <c r="I776" s="190"/>
      <c r="J776" s="147"/>
      <c r="K776" s="147"/>
      <c r="L776" s="147"/>
      <c r="M776" s="147"/>
      <c r="N776" s="147"/>
      <c r="O776" s="147"/>
      <c r="P776" s="147"/>
      <c r="Q776" s="147"/>
      <c r="R776" s="147"/>
      <c r="S776" s="147"/>
      <c r="T776" s="147"/>
      <c r="U776" s="147"/>
      <c r="V776" s="147"/>
      <c r="W776" s="147"/>
      <c r="X776" s="147"/>
      <c r="Y776" s="147"/>
      <c r="Z776" s="147"/>
    </row>
    <row r="777">
      <c r="A777" s="147"/>
      <c r="B777" s="147"/>
      <c r="C777" s="147"/>
      <c r="D777" s="147"/>
      <c r="E777" s="147"/>
      <c r="F777" s="147"/>
      <c r="G777" s="147"/>
      <c r="H777" s="147"/>
      <c r="I777" s="190"/>
      <c r="J777" s="147"/>
      <c r="K777" s="147"/>
      <c r="L777" s="147"/>
      <c r="M777" s="147"/>
      <c r="N777" s="147"/>
      <c r="O777" s="147"/>
      <c r="P777" s="147"/>
      <c r="Q777" s="147"/>
      <c r="R777" s="147"/>
      <c r="S777" s="147"/>
      <c r="T777" s="147"/>
      <c r="U777" s="147"/>
      <c r="V777" s="147"/>
      <c r="W777" s="147"/>
      <c r="X777" s="147"/>
      <c r="Y777" s="147"/>
      <c r="Z777" s="147"/>
    </row>
    <row r="778">
      <c r="A778" s="147"/>
      <c r="B778" s="147"/>
      <c r="C778" s="147"/>
      <c r="D778" s="147"/>
      <c r="E778" s="147"/>
      <c r="F778" s="147"/>
      <c r="G778" s="147"/>
      <c r="H778" s="147"/>
      <c r="I778" s="190"/>
      <c r="J778" s="147"/>
      <c r="K778" s="147"/>
      <c r="L778" s="147"/>
      <c r="M778" s="147"/>
      <c r="N778" s="147"/>
      <c r="O778" s="147"/>
      <c r="P778" s="147"/>
      <c r="Q778" s="147"/>
      <c r="R778" s="147"/>
      <c r="S778" s="147"/>
      <c r="T778" s="147"/>
      <c r="U778" s="147"/>
      <c r="V778" s="147"/>
      <c r="W778" s="147"/>
      <c r="X778" s="147"/>
      <c r="Y778" s="147"/>
      <c r="Z778" s="147"/>
    </row>
    <row r="779">
      <c r="A779" s="147"/>
      <c r="B779" s="147"/>
      <c r="C779" s="147"/>
      <c r="D779" s="147"/>
      <c r="E779" s="147"/>
      <c r="F779" s="147"/>
      <c r="G779" s="147"/>
      <c r="H779" s="147"/>
      <c r="I779" s="190"/>
      <c r="J779" s="147"/>
      <c r="K779" s="147"/>
      <c r="L779" s="147"/>
      <c r="M779" s="147"/>
      <c r="N779" s="147"/>
      <c r="O779" s="147"/>
      <c r="P779" s="147"/>
      <c r="Q779" s="147"/>
      <c r="R779" s="147"/>
      <c r="S779" s="147"/>
      <c r="T779" s="147"/>
      <c r="U779" s="147"/>
      <c r="V779" s="147"/>
      <c r="W779" s="147"/>
      <c r="X779" s="147"/>
      <c r="Y779" s="147"/>
      <c r="Z779" s="147"/>
    </row>
    <row r="780">
      <c r="A780" s="147"/>
      <c r="B780" s="147"/>
      <c r="C780" s="147"/>
      <c r="D780" s="147"/>
      <c r="E780" s="147"/>
      <c r="F780" s="147"/>
      <c r="G780" s="147"/>
      <c r="H780" s="147"/>
      <c r="I780" s="190"/>
      <c r="J780" s="147"/>
      <c r="K780" s="147"/>
      <c r="L780" s="147"/>
      <c r="M780" s="147"/>
      <c r="N780" s="147"/>
      <c r="O780" s="147"/>
      <c r="P780" s="147"/>
      <c r="Q780" s="147"/>
      <c r="R780" s="147"/>
      <c r="S780" s="147"/>
      <c r="T780" s="147"/>
      <c r="U780" s="147"/>
      <c r="V780" s="147"/>
      <c r="W780" s="147"/>
      <c r="X780" s="147"/>
      <c r="Y780" s="147"/>
      <c r="Z780" s="147"/>
    </row>
    <row r="781">
      <c r="A781" s="147"/>
      <c r="B781" s="147"/>
      <c r="C781" s="147"/>
      <c r="D781" s="147"/>
      <c r="E781" s="147"/>
      <c r="F781" s="147"/>
      <c r="G781" s="147"/>
      <c r="H781" s="147"/>
      <c r="I781" s="190"/>
      <c r="J781" s="147"/>
      <c r="K781" s="147"/>
      <c r="L781" s="147"/>
      <c r="M781" s="147"/>
      <c r="N781" s="147"/>
      <c r="O781" s="147"/>
      <c r="P781" s="147"/>
      <c r="Q781" s="147"/>
      <c r="R781" s="147"/>
      <c r="S781" s="147"/>
      <c r="T781" s="147"/>
      <c r="U781" s="147"/>
      <c r="V781" s="147"/>
      <c r="W781" s="147"/>
      <c r="X781" s="147"/>
      <c r="Y781" s="147"/>
      <c r="Z781" s="147"/>
    </row>
    <row r="782">
      <c r="A782" s="147"/>
      <c r="B782" s="147"/>
      <c r="C782" s="147"/>
      <c r="D782" s="147"/>
      <c r="E782" s="147"/>
      <c r="F782" s="147"/>
      <c r="G782" s="147"/>
      <c r="H782" s="147"/>
      <c r="I782" s="190"/>
      <c r="J782" s="147"/>
      <c r="K782" s="147"/>
      <c r="L782" s="147"/>
      <c r="M782" s="147"/>
      <c r="N782" s="147"/>
      <c r="O782" s="147"/>
      <c r="P782" s="147"/>
      <c r="Q782" s="147"/>
      <c r="R782" s="147"/>
      <c r="S782" s="147"/>
      <c r="T782" s="147"/>
      <c r="U782" s="147"/>
      <c r="V782" s="147"/>
      <c r="W782" s="147"/>
      <c r="X782" s="147"/>
      <c r="Y782" s="147"/>
      <c r="Z782" s="147"/>
    </row>
    <row r="783">
      <c r="A783" s="147"/>
      <c r="B783" s="147"/>
      <c r="C783" s="147"/>
      <c r="D783" s="147"/>
      <c r="E783" s="147"/>
      <c r="F783" s="147"/>
      <c r="G783" s="147"/>
      <c r="H783" s="147"/>
      <c r="I783" s="190"/>
      <c r="J783" s="147"/>
      <c r="K783" s="147"/>
      <c r="L783" s="147"/>
      <c r="M783" s="147"/>
      <c r="N783" s="147"/>
      <c r="O783" s="147"/>
      <c r="P783" s="147"/>
      <c r="Q783" s="147"/>
      <c r="R783" s="147"/>
      <c r="S783" s="147"/>
      <c r="T783" s="147"/>
      <c r="U783" s="147"/>
      <c r="V783" s="147"/>
      <c r="W783" s="147"/>
      <c r="X783" s="147"/>
      <c r="Y783" s="147"/>
      <c r="Z783" s="147"/>
    </row>
    <row r="784">
      <c r="A784" s="147"/>
      <c r="B784" s="147"/>
      <c r="C784" s="147"/>
      <c r="D784" s="147"/>
      <c r="E784" s="147"/>
      <c r="F784" s="147"/>
      <c r="G784" s="147"/>
      <c r="H784" s="147"/>
      <c r="I784" s="190"/>
      <c r="J784" s="147"/>
      <c r="K784" s="147"/>
      <c r="L784" s="147"/>
      <c r="M784" s="147"/>
      <c r="N784" s="147"/>
      <c r="O784" s="147"/>
      <c r="P784" s="147"/>
      <c r="Q784" s="147"/>
      <c r="R784" s="147"/>
      <c r="S784" s="147"/>
      <c r="T784" s="147"/>
      <c r="U784" s="147"/>
      <c r="V784" s="147"/>
      <c r="W784" s="147"/>
      <c r="X784" s="147"/>
      <c r="Y784" s="147"/>
      <c r="Z784" s="147"/>
    </row>
    <row r="785">
      <c r="A785" s="147"/>
      <c r="B785" s="147"/>
      <c r="C785" s="147"/>
      <c r="D785" s="147"/>
      <c r="E785" s="147"/>
      <c r="F785" s="147"/>
      <c r="G785" s="147"/>
      <c r="H785" s="147"/>
      <c r="I785" s="190"/>
      <c r="J785" s="147"/>
      <c r="K785" s="147"/>
      <c r="L785" s="147"/>
      <c r="M785" s="147"/>
      <c r="N785" s="147"/>
      <c r="O785" s="147"/>
      <c r="P785" s="147"/>
      <c r="Q785" s="147"/>
      <c r="R785" s="147"/>
      <c r="S785" s="147"/>
      <c r="T785" s="147"/>
      <c r="U785" s="147"/>
      <c r="V785" s="147"/>
      <c r="W785" s="147"/>
      <c r="X785" s="147"/>
      <c r="Y785" s="147"/>
      <c r="Z785" s="147"/>
    </row>
    <row r="786">
      <c r="A786" s="147"/>
      <c r="B786" s="147"/>
      <c r="C786" s="147"/>
      <c r="D786" s="147"/>
      <c r="E786" s="147"/>
      <c r="F786" s="147"/>
      <c r="G786" s="147"/>
      <c r="H786" s="147"/>
      <c r="I786" s="190"/>
      <c r="J786" s="147"/>
      <c r="K786" s="147"/>
      <c r="L786" s="147"/>
      <c r="M786" s="147"/>
      <c r="N786" s="147"/>
      <c r="O786" s="147"/>
      <c r="P786" s="147"/>
      <c r="Q786" s="147"/>
      <c r="R786" s="147"/>
      <c r="S786" s="147"/>
      <c r="T786" s="147"/>
      <c r="U786" s="147"/>
      <c r="V786" s="147"/>
      <c r="W786" s="147"/>
      <c r="X786" s="147"/>
      <c r="Y786" s="147"/>
      <c r="Z786" s="147"/>
    </row>
    <row r="787">
      <c r="A787" s="147"/>
      <c r="B787" s="147"/>
      <c r="C787" s="147"/>
      <c r="D787" s="147"/>
      <c r="E787" s="147"/>
      <c r="F787" s="147"/>
      <c r="G787" s="147"/>
      <c r="H787" s="147"/>
      <c r="I787" s="190"/>
      <c r="J787" s="147"/>
      <c r="K787" s="147"/>
      <c r="L787" s="147"/>
      <c r="M787" s="147"/>
      <c r="N787" s="147"/>
      <c r="O787" s="147"/>
      <c r="P787" s="147"/>
      <c r="Q787" s="147"/>
      <c r="R787" s="147"/>
      <c r="S787" s="147"/>
      <c r="T787" s="147"/>
      <c r="U787" s="147"/>
      <c r="V787" s="147"/>
      <c r="W787" s="147"/>
      <c r="X787" s="147"/>
      <c r="Y787" s="147"/>
      <c r="Z787" s="147"/>
    </row>
    <row r="788">
      <c r="A788" s="147"/>
      <c r="B788" s="147"/>
      <c r="C788" s="147"/>
      <c r="D788" s="147"/>
      <c r="E788" s="147"/>
      <c r="F788" s="147"/>
      <c r="G788" s="147"/>
      <c r="H788" s="147"/>
      <c r="I788" s="190"/>
      <c r="J788" s="147"/>
      <c r="K788" s="147"/>
      <c r="L788" s="147"/>
      <c r="M788" s="147"/>
      <c r="N788" s="147"/>
      <c r="O788" s="147"/>
      <c r="P788" s="147"/>
      <c r="Q788" s="147"/>
      <c r="R788" s="147"/>
      <c r="S788" s="147"/>
      <c r="T788" s="147"/>
      <c r="U788" s="147"/>
      <c r="V788" s="147"/>
      <c r="W788" s="147"/>
      <c r="X788" s="147"/>
      <c r="Y788" s="147"/>
      <c r="Z788" s="147"/>
    </row>
    <row r="789">
      <c r="A789" s="147"/>
      <c r="B789" s="147"/>
      <c r="C789" s="147"/>
      <c r="D789" s="147"/>
      <c r="E789" s="147"/>
      <c r="F789" s="147"/>
      <c r="G789" s="147"/>
      <c r="H789" s="147"/>
      <c r="I789" s="190"/>
      <c r="J789" s="147"/>
      <c r="K789" s="147"/>
      <c r="L789" s="147"/>
      <c r="M789" s="147"/>
      <c r="N789" s="147"/>
      <c r="O789" s="147"/>
      <c r="P789" s="147"/>
      <c r="Q789" s="147"/>
      <c r="R789" s="147"/>
      <c r="S789" s="147"/>
      <c r="T789" s="147"/>
      <c r="U789" s="147"/>
      <c r="V789" s="147"/>
      <c r="W789" s="147"/>
      <c r="X789" s="147"/>
      <c r="Y789" s="147"/>
      <c r="Z789" s="147"/>
    </row>
    <row r="790">
      <c r="A790" s="147"/>
      <c r="B790" s="147"/>
      <c r="C790" s="147"/>
      <c r="D790" s="147"/>
      <c r="E790" s="147"/>
      <c r="F790" s="147"/>
      <c r="G790" s="147"/>
      <c r="H790" s="147"/>
      <c r="I790" s="190"/>
      <c r="J790" s="147"/>
      <c r="K790" s="147"/>
      <c r="L790" s="147"/>
      <c r="M790" s="147"/>
      <c r="N790" s="147"/>
      <c r="O790" s="147"/>
      <c r="P790" s="147"/>
      <c r="Q790" s="147"/>
      <c r="R790" s="147"/>
      <c r="S790" s="147"/>
      <c r="T790" s="147"/>
      <c r="U790" s="147"/>
      <c r="V790" s="147"/>
      <c r="W790" s="147"/>
      <c r="X790" s="147"/>
      <c r="Y790" s="147"/>
      <c r="Z790" s="147"/>
    </row>
    <row r="791">
      <c r="A791" s="147"/>
      <c r="B791" s="147"/>
      <c r="C791" s="147"/>
      <c r="D791" s="147"/>
      <c r="E791" s="147"/>
      <c r="F791" s="147"/>
      <c r="G791" s="147"/>
      <c r="H791" s="147"/>
      <c r="I791" s="190"/>
      <c r="J791" s="147"/>
      <c r="K791" s="147"/>
      <c r="L791" s="147"/>
      <c r="M791" s="147"/>
      <c r="N791" s="147"/>
      <c r="O791" s="147"/>
      <c r="P791" s="147"/>
      <c r="Q791" s="147"/>
      <c r="R791" s="147"/>
      <c r="S791" s="147"/>
      <c r="T791" s="147"/>
      <c r="U791" s="147"/>
      <c r="V791" s="147"/>
      <c r="W791" s="147"/>
      <c r="X791" s="147"/>
      <c r="Y791" s="147"/>
      <c r="Z791" s="147"/>
    </row>
    <row r="792">
      <c r="A792" s="147"/>
      <c r="B792" s="147"/>
      <c r="C792" s="147"/>
      <c r="D792" s="147"/>
      <c r="E792" s="147"/>
      <c r="F792" s="147"/>
      <c r="G792" s="147"/>
      <c r="H792" s="147"/>
      <c r="I792" s="190"/>
      <c r="J792" s="147"/>
      <c r="K792" s="147"/>
      <c r="L792" s="147"/>
      <c r="M792" s="147"/>
      <c r="N792" s="147"/>
      <c r="O792" s="147"/>
      <c r="P792" s="147"/>
      <c r="Q792" s="147"/>
      <c r="R792" s="147"/>
      <c r="S792" s="147"/>
      <c r="T792" s="147"/>
      <c r="U792" s="147"/>
      <c r="V792" s="147"/>
      <c r="W792" s="147"/>
      <c r="X792" s="147"/>
      <c r="Y792" s="147"/>
      <c r="Z792" s="147"/>
    </row>
    <row r="793">
      <c r="A793" s="147"/>
      <c r="B793" s="147"/>
      <c r="C793" s="147"/>
      <c r="D793" s="147"/>
      <c r="E793" s="147"/>
      <c r="F793" s="147"/>
      <c r="G793" s="147"/>
      <c r="H793" s="147"/>
      <c r="I793" s="190"/>
      <c r="J793" s="147"/>
      <c r="K793" s="147"/>
      <c r="L793" s="147"/>
      <c r="M793" s="147"/>
      <c r="N793" s="147"/>
      <c r="O793" s="147"/>
      <c r="P793" s="147"/>
      <c r="Q793" s="147"/>
      <c r="R793" s="147"/>
      <c r="S793" s="147"/>
      <c r="T793" s="147"/>
      <c r="U793" s="147"/>
      <c r="V793" s="147"/>
      <c r="W793" s="147"/>
      <c r="X793" s="147"/>
      <c r="Y793" s="147"/>
      <c r="Z793" s="147"/>
    </row>
    <row r="794">
      <c r="A794" s="147"/>
      <c r="B794" s="147"/>
      <c r="C794" s="147"/>
      <c r="D794" s="147"/>
      <c r="E794" s="147"/>
      <c r="F794" s="147"/>
      <c r="G794" s="147"/>
      <c r="H794" s="147"/>
      <c r="I794" s="190"/>
      <c r="J794" s="147"/>
      <c r="K794" s="147"/>
      <c r="L794" s="147"/>
      <c r="M794" s="147"/>
      <c r="N794" s="147"/>
      <c r="O794" s="147"/>
      <c r="P794" s="147"/>
      <c r="Q794" s="147"/>
      <c r="R794" s="147"/>
      <c r="S794" s="147"/>
      <c r="T794" s="147"/>
      <c r="U794" s="147"/>
      <c r="V794" s="147"/>
      <c r="W794" s="147"/>
      <c r="X794" s="147"/>
      <c r="Y794" s="147"/>
      <c r="Z794" s="147"/>
    </row>
    <row r="795">
      <c r="A795" s="147"/>
      <c r="B795" s="147"/>
      <c r="C795" s="147"/>
      <c r="D795" s="147"/>
      <c r="E795" s="147"/>
      <c r="F795" s="147"/>
      <c r="G795" s="147"/>
      <c r="H795" s="147"/>
      <c r="I795" s="190"/>
      <c r="J795" s="147"/>
      <c r="K795" s="147"/>
      <c r="L795" s="147"/>
      <c r="M795" s="147"/>
      <c r="N795" s="147"/>
      <c r="O795" s="147"/>
      <c r="P795" s="147"/>
      <c r="Q795" s="147"/>
      <c r="R795" s="147"/>
      <c r="S795" s="147"/>
      <c r="T795" s="147"/>
      <c r="U795" s="147"/>
      <c r="V795" s="147"/>
      <c r="W795" s="147"/>
      <c r="X795" s="147"/>
      <c r="Y795" s="147"/>
      <c r="Z795" s="147"/>
    </row>
    <row r="796">
      <c r="A796" s="147"/>
      <c r="B796" s="147"/>
      <c r="C796" s="147"/>
      <c r="D796" s="147"/>
      <c r="E796" s="147"/>
      <c r="F796" s="147"/>
      <c r="G796" s="147"/>
      <c r="H796" s="147"/>
      <c r="I796" s="190"/>
      <c r="J796" s="147"/>
      <c r="K796" s="147"/>
      <c r="L796" s="147"/>
      <c r="M796" s="147"/>
      <c r="N796" s="147"/>
      <c r="O796" s="147"/>
      <c r="P796" s="147"/>
      <c r="Q796" s="147"/>
      <c r="R796" s="147"/>
      <c r="S796" s="147"/>
      <c r="T796" s="147"/>
      <c r="U796" s="147"/>
      <c r="V796" s="147"/>
      <c r="W796" s="147"/>
      <c r="X796" s="147"/>
      <c r="Y796" s="147"/>
      <c r="Z796" s="147"/>
    </row>
    <row r="797">
      <c r="A797" s="147"/>
      <c r="B797" s="147"/>
      <c r="C797" s="147"/>
      <c r="D797" s="147"/>
      <c r="E797" s="147"/>
      <c r="F797" s="147"/>
      <c r="G797" s="147"/>
      <c r="H797" s="147"/>
      <c r="I797" s="190"/>
      <c r="J797" s="147"/>
      <c r="K797" s="147"/>
      <c r="L797" s="147"/>
      <c r="M797" s="147"/>
      <c r="N797" s="147"/>
      <c r="O797" s="147"/>
      <c r="P797" s="147"/>
      <c r="Q797" s="147"/>
      <c r="R797" s="147"/>
      <c r="S797" s="147"/>
      <c r="T797" s="147"/>
      <c r="U797" s="147"/>
      <c r="V797" s="147"/>
      <c r="W797" s="147"/>
      <c r="X797" s="147"/>
      <c r="Y797" s="147"/>
      <c r="Z797" s="147"/>
    </row>
    <row r="798">
      <c r="A798" s="147"/>
      <c r="B798" s="147"/>
      <c r="C798" s="147"/>
      <c r="D798" s="147"/>
      <c r="E798" s="147"/>
      <c r="F798" s="147"/>
      <c r="G798" s="147"/>
      <c r="H798" s="147"/>
      <c r="I798" s="190"/>
      <c r="J798" s="147"/>
      <c r="K798" s="147"/>
      <c r="L798" s="147"/>
      <c r="M798" s="147"/>
      <c r="N798" s="147"/>
      <c r="O798" s="147"/>
      <c r="P798" s="147"/>
      <c r="Q798" s="147"/>
      <c r="R798" s="147"/>
      <c r="S798" s="147"/>
      <c r="T798" s="147"/>
      <c r="U798" s="147"/>
      <c r="V798" s="147"/>
      <c r="W798" s="147"/>
      <c r="X798" s="147"/>
      <c r="Y798" s="147"/>
      <c r="Z798" s="147"/>
    </row>
    <row r="799">
      <c r="A799" s="147"/>
      <c r="B799" s="147"/>
      <c r="C799" s="147"/>
      <c r="D799" s="147"/>
      <c r="E799" s="147"/>
      <c r="F799" s="147"/>
      <c r="G799" s="147"/>
      <c r="H799" s="147"/>
      <c r="I799" s="190"/>
      <c r="J799" s="147"/>
      <c r="K799" s="147"/>
      <c r="L799" s="147"/>
      <c r="M799" s="147"/>
      <c r="N799" s="147"/>
      <c r="O799" s="147"/>
      <c r="P799" s="147"/>
      <c r="Q799" s="147"/>
      <c r="R799" s="147"/>
      <c r="S799" s="147"/>
      <c r="T799" s="147"/>
      <c r="U799" s="147"/>
      <c r="V799" s="147"/>
      <c r="W799" s="147"/>
      <c r="X799" s="147"/>
      <c r="Y799" s="147"/>
      <c r="Z799" s="147"/>
    </row>
    <row r="800">
      <c r="A800" s="147"/>
      <c r="B800" s="147"/>
      <c r="C800" s="147"/>
      <c r="D800" s="147"/>
      <c r="E800" s="147"/>
      <c r="F800" s="147"/>
      <c r="G800" s="147"/>
      <c r="H800" s="147"/>
      <c r="I800" s="190"/>
      <c r="J800" s="147"/>
      <c r="K800" s="147"/>
      <c r="L800" s="147"/>
      <c r="M800" s="147"/>
      <c r="N800" s="147"/>
      <c r="O800" s="147"/>
      <c r="P800" s="147"/>
      <c r="Q800" s="147"/>
      <c r="R800" s="147"/>
      <c r="S800" s="147"/>
      <c r="T800" s="147"/>
      <c r="U800" s="147"/>
      <c r="V800" s="147"/>
      <c r="W800" s="147"/>
      <c r="X800" s="147"/>
      <c r="Y800" s="147"/>
      <c r="Z800" s="147"/>
    </row>
    <row r="801">
      <c r="A801" s="147"/>
      <c r="B801" s="147"/>
      <c r="C801" s="147"/>
      <c r="D801" s="147"/>
      <c r="E801" s="147"/>
      <c r="F801" s="147"/>
      <c r="G801" s="147"/>
      <c r="H801" s="147"/>
      <c r="I801" s="190"/>
      <c r="J801" s="147"/>
      <c r="K801" s="147"/>
      <c r="L801" s="147"/>
      <c r="M801" s="147"/>
      <c r="N801" s="147"/>
      <c r="O801" s="147"/>
      <c r="P801" s="147"/>
      <c r="Q801" s="147"/>
      <c r="R801" s="147"/>
      <c r="S801" s="147"/>
      <c r="T801" s="147"/>
      <c r="U801" s="147"/>
      <c r="V801" s="147"/>
      <c r="W801" s="147"/>
      <c r="X801" s="147"/>
      <c r="Y801" s="147"/>
      <c r="Z801" s="147"/>
    </row>
    <row r="802">
      <c r="A802" s="147"/>
      <c r="B802" s="147"/>
      <c r="C802" s="147"/>
      <c r="D802" s="147"/>
      <c r="E802" s="147"/>
      <c r="F802" s="147"/>
      <c r="G802" s="147"/>
      <c r="H802" s="147"/>
      <c r="I802" s="190"/>
      <c r="J802" s="147"/>
      <c r="K802" s="147"/>
      <c r="L802" s="147"/>
      <c r="M802" s="147"/>
      <c r="N802" s="147"/>
      <c r="O802" s="147"/>
      <c r="P802" s="147"/>
      <c r="Q802" s="147"/>
      <c r="R802" s="147"/>
      <c r="S802" s="147"/>
      <c r="T802" s="147"/>
      <c r="U802" s="147"/>
      <c r="V802" s="147"/>
      <c r="W802" s="147"/>
      <c r="X802" s="147"/>
      <c r="Y802" s="147"/>
      <c r="Z802" s="147"/>
    </row>
    <row r="803">
      <c r="A803" s="147"/>
      <c r="B803" s="147"/>
      <c r="C803" s="147"/>
      <c r="D803" s="147"/>
      <c r="E803" s="147"/>
      <c r="F803" s="147"/>
      <c r="G803" s="147"/>
      <c r="H803" s="147"/>
      <c r="I803" s="190"/>
      <c r="J803" s="147"/>
      <c r="K803" s="147"/>
      <c r="L803" s="147"/>
      <c r="M803" s="147"/>
      <c r="N803" s="147"/>
      <c r="O803" s="147"/>
      <c r="P803" s="147"/>
      <c r="Q803" s="147"/>
      <c r="R803" s="147"/>
      <c r="S803" s="147"/>
      <c r="T803" s="147"/>
      <c r="U803" s="147"/>
      <c r="V803" s="147"/>
      <c r="W803" s="147"/>
      <c r="X803" s="147"/>
      <c r="Y803" s="147"/>
      <c r="Z803" s="147"/>
    </row>
    <row r="804">
      <c r="A804" s="147"/>
      <c r="B804" s="147"/>
      <c r="C804" s="147"/>
      <c r="D804" s="147"/>
      <c r="E804" s="147"/>
      <c r="F804" s="147"/>
      <c r="G804" s="147"/>
      <c r="H804" s="147"/>
      <c r="I804" s="190"/>
      <c r="J804" s="147"/>
      <c r="K804" s="147"/>
      <c r="L804" s="147"/>
      <c r="M804" s="147"/>
      <c r="N804" s="147"/>
      <c r="O804" s="147"/>
      <c r="P804" s="147"/>
      <c r="Q804" s="147"/>
      <c r="R804" s="147"/>
      <c r="S804" s="147"/>
      <c r="T804" s="147"/>
      <c r="U804" s="147"/>
      <c r="V804" s="147"/>
      <c r="W804" s="147"/>
      <c r="X804" s="147"/>
      <c r="Y804" s="147"/>
      <c r="Z804" s="147"/>
    </row>
    <row r="805">
      <c r="A805" s="147"/>
      <c r="B805" s="147"/>
      <c r="C805" s="147"/>
      <c r="D805" s="147"/>
      <c r="E805" s="147"/>
      <c r="F805" s="147"/>
      <c r="G805" s="147"/>
      <c r="H805" s="147"/>
      <c r="I805" s="190"/>
      <c r="J805" s="147"/>
      <c r="K805" s="147"/>
      <c r="L805" s="147"/>
      <c r="M805" s="147"/>
      <c r="N805" s="147"/>
      <c r="O805" s="147"/>
      <c r="P805" s="147"/>
      <c r="Q805" s="147"/>
      <c r="R805" s="147"/>
      <c r="S805" s="147"/>
      <c r="T805" s="147"/>
      <c r="U805" s="147"/>
      <c r="V805" s="147"/>
      <c r="W805" s="147"/>
      <c r="X805" s="147"/>
      <c r="Y805" s="147"/>
      <c r="Z805" s="147"/>
    </row>
    <row r="806">
      <c r="A806" s="147"/>
      <c r="B806" s="147"/>
      <c r="C806" s="147"/>
      <c r="D806" s="147"/>
      <c r="E806" s="147"/>
      <c r="F806" s="147"/>
      <c r="G806" s="147"/>
      <c r="H806" s="147"/>
      <c r="I806" s="190"/>
      <c r="J806" s="147"/>
      <c r="K806" s="147"/>
      <c r="L806" s="147"/>
      <c r="M806" s="147"/>
      <c r="N806" s="147"/>
      <c r="O806" s="147"/>
      <c r="P806" s="147"/>
      <c r="Q806" s="147"/>
      <c r="R806" s="147"/>
      <c r="S806" s="147"/>
      <c r="T806" s="147"/>
      <c r="U806" s="147"/>
      <c r="V806" s="147"/>
      <c r="W806" s="147"/>
      <c r="X806" s="147"/>
      <c r="Y806" s="147"/>
      <c r="Z806" s="147"/>
    </row>
    <row r="807">
      <c r="A807" s="147"/>
      <c r="B807" s="147"/>
      <c r="C807" s="147"/>
      <c r="D807" s="147"/>
      <c r="E807" s="147"/>
      <c r="F807" s="147"/>
      <c r="G807" s="147"/>
      <c r="H807" s="147"/>
      <c r="I807" s="190"/>
      <c r="J807" s="147"/>
      <c r="K807" s="147"/>
      <c r="L807" s="147"/>
      <c r="M807" s="147"/>
      <c r="N807" s="147"/>
      <c r="O807" s="147"/>
      <c r="P807" s="147"/>
      <c r="Q807" s="147"/>
      <c r="R807" s="147"/>
      <c r="S807" s="147"/>
      <c r="T807" s="147"/>
      <c r="U807" s="147"/>
      <c r="V807" s="147"/>
      <c r="W807" s="147"/>
      <c r="X807" s="147"/>
      <c r="Y807" s="147"/>
      <c r="Z807" s="147"/>
    </row>
    <row r="808">
      <c r="A808" s="147"/>
      <c r="B808" s="147"/>
      <c r="C808" s="147"/>
      <c r="D808" s="147"/>
      <c r="E808" s="147"/>
      <c r="F808" s="147"/>
      <c r="G808" s="147"/>
      <c r="H808" s="147"/>
      <c r="I808" s="190"/>
      <c r="J808" s="147"/>
      <c r="K808" s="147"/>
      <c r="L808" s="147"/>
      <c r="M808" s="147"/>
      <c r="N808" s="147"/>
      <c r="O808" s="147"/>
      <c r="P808" s="147"/>
      <c r="Q808" s="147"/>
      <c r="R808" s="147"/>
      <c r="S808" s="147"/>
      <c r="T808" s="147"/>
      <c r="U808" s="147"/>
      <c r="V808" s="147"/>
      <c r="W808" s="147"/>
      <c r="X808" s="147"/>
      <c r="Y808" s="147"/>
      <c r="Z808" s="147"/>
    </row>
    <row r="809">
      <c r="A809" s="147"/>
      <c r="B809" s="147"/>
      <c r="C809" s="147"/>
      <c r="D809" s="147"/>
      <c r="E809" s="147"/>
      <c r="F809" s="147"/>
      <c r="G809" s="147"/>
      <c r="H809" s="147"/>
      <c r="I809" s="190"/>
      <c r="J809" s="147"/>
      <c r="K809" s="147"/>
      <c r="L809" s="147"/>
      <c r="M809" s="147"/>
      <c r="N809" s="147"/>
      <c r="O809" s="147"/>
      <c r="P809" s="147"/>
      <c r="Q809" s="147"/>
      <c r="R809" s="147"/>
      <c r="S809" s="147"/>
      <c r="T809" s="147"/>
      <c r="U809" s="147"/>
      <c r="V809" s="147"/>
      <c r="W809" s="147"/>
      <c r="X809" s="147"/>
      <c r="Y809" s="147"/>
      <c r="Z809" s="147"/>
    </row>
    <row r="810">
      <c r="A810" s="147"/>
      <c r="B810" s="147"/>
      <c r="C810" s="147"/>
      <c r="D810" s="147"/>
      <c r="E810" s="147"/>
      <c r="F810" s="147"/>
      <c r="G810" s="147"/>
      <c r="H810" s="147"/>
      <c r="I810" s="190"/>
      <c r="J810" s="147"/>
      <c r="K810" s="147"/>
      <c r="L810" s="147"/>
      <c r="M810" s="147"/>
      <c r="N810" s="147"/>
      <c r="O810" s="147"/>
      <c r="P810" s="147"/>
      <c r="Q810" s="147"/>
      <c r="R810" s="147"/>
      <c r="S810" s="147"/>
      <c r="T810" s="147"/>
      <c r="U810" s="147"/>
      <c r="V810" s="147"/>
      <c r="W810" s="147"/>
      <c r="X810" s="147"/>
      <c r="Y810" s="147"/>
      <c r="Z810" s="147"/>
    </row>
    <row r="811">
      <c r="A811" s="147"/>
      <c r="B811" s="147"/>
      <c r="C811" s="147"/>
      <c r="D811" s="147"/>
      <c r="E811" s="147"/>
      <c r="F811" s="147"/>
      <c r="G811" s="147"/>
      <c r="H811" s="147"/>
      <c r="I811" s="190"/>
      <c r="J811" s="147"/>
      <c r="K811" s="147"/>
      <c r="L811" s="147"/>
      <c r="M811" s="147"/>
      <c r="N811" s="147"/>
      <c r="O811" s="147"/>
      <c r="P811" s="147"/>
      <c r="Q811" s="147"/>
      <c r="R811" s="147"/>
      <c r="S811" s="147"/>
      <c r="T811" s="147"/>
      <c r="U811" s="147"/>
      <c r="V811" s="147"/>
      <c r="W811" s="147"/>
      <c r="X811" s="147"/>
      <c r="Y811" s="147"/>
      <c r="Z811" s="147"/>
    </row>
    <row r="812">
      <c r="A812" s="147"/>
      <c r="B812" s="147"/>
      <c r="C812" s="147"/>
      <c r="D812" s="147"/>
      <c r="E812" s="147"/>
      <c r="F812" s="147"/>
      <c r="G812" s="147"/>
      <c r="H812" s="147"/>
      <c r="I812" s="190"/>
      <c r="J812" s="147"/>
      <c r="K812" s="147"/>
      <c r="L812" s="147"/>
      <c r="M812" s="147"/>
      <c r="N812" s="147"/>
      <c r="O812" s="147"/>
      <c r="P812" s="147"/>
      <c r="Q812" s="147"/>
      <c r="R812" s="147"/>
      <c r="S812" s="147"/>
      <c r="T812" s="147"/>
      <c r="U812" s="147"/>
      <c r="V812" s="147"/>
      <c r="W812" s="147"/>
      <c r="X812" s="147"/>
      <c r="Y812" s="147"/>
      <c r="Z812" s="147"/>
    </row>
    <row r="813">
      <c r="A813" s="147"/>
      <c r="B813" s="147"/>
      <c r="C813" s="147"/>
      <c r="D813" s="147"/>
      <c r="E813" s="147"/>
      <c r="F813" s="147"/>
      <c r="G813" s="147"/>
      <c r="H813" s="147"/>
      <c r="I813" s="190"/>
      <c r="J813" s="147"/>
      <c r="K813" s="147"/>
      <c r="L813" s="147"/>
      <c r="M813" s="147"/>
      <c r="N813" s="147"/>
      <c r="O813" s="147"/>
      <c r="P813" s="147"/>
      <c r="Q813" s="147"/>
      <c r="R813" s="147"/>
      <c r="S813" s="147"/>
      <c r="T813" s="147"/>
      <c r="U813" s="147"/>
      <c r="V813" s="147"/>
      <c r="W813" s="147"/>
      <c r="X813" s="147"/>
      <c r="Y813" s="147"/>
      <c r="Z813" s="147"/>
    </row>
    <row r="814">
      <c r="A814" s="147"/>
      <c r="B814" s="147"/>
      <c r="C814" s="147"/>
      <c r="D814" s="147"/>
      <c r="E814" s="147"/>
      <c r="F814" s="147"/>
      <c r="G814" s="147"/>
      <c r="H814" s="147"/>
      <c r="I814" s="190"/>
      <c r="J814" s="147"/>
      <c r="K814" s="147"/>
      <c r="L814" s="147"/>
      <c r="M814" s="147"/>
      <c r="N814" s="147"/>
      <c r="O814" s="147"/>
      <c r="P814" s="147"/>
      <c r="Q814" s="147"/>
      <c r="R814" s="147"/>
      <c r="S814" s="147"/>
      <c r="T814" s="147"/>
      <c r="U814" s="147"/>
      <c r="V814" s="147"/>
      <c r="W814" s="147"/>
      <c r="X814" s="147"/>
      <c r="Y814" s="147"/>
      <c r="Z814" s="147"/>
    </row>
    <row r="815">
      <c r="A815" s="147"/>
      <c r="B815" s="147"/>
      <c r="C815" s="147"/>
      <c r="D815" s="147"/>
      <c r="E815" s="147"/>
      <c r="F815" s="147"/>
      <c r="G815" s="147"/>
      <c r="H815" s="147"/>
      <c r="I815" s="190"/>
      <c r="J815" s="147"/>
      <c r="K815" s="147"/>
      <c r="L815" s="147"/>
      <c r="M815" s="147"/>
      <c r="N815" s="147"/>
      <c r="O815" s="147"/>
      <c r="P815" s="147"/>
      <c r="Q815" s="147"/>
      <c r="R815" s="147"/>
      <c r="S815" s="147"/>
      <c r="T815" s="147"/>
      <c r="U815" s="147"/>
      <c r="V815" s="147"/>
      <c r="W815" s="147"/>
      <c r="X815" s="147"/>
      <c r="Y815" s="147"/>
      <c r="Z815" s="147"/>
    </row>
    <row r="816">
      <c r="A816" s="147"/>
      <c r="B816" s="147"/>
      <c r="C816" s="147"/>
      <c r="D816" s="147"/>
      <c r="E816" s="147"/>
      <c r="F816" s="147"/>
      <c r="G816" s="147"/>
      <c r="H816" s="147"/>
      <c r="I816" s="190"/>
      <c r="J816" s="147"/>
      <c r="K816" s="147"/>
      <c r="L816" s="147"/>
      <c r="M816" s="147"/>
      <c r="N816" s="147"/>
      <c r="O816" s="147"/>
      <c r="P816" s="147"/>
      <c r="Q816" s="147"/>
      <c r="R816" s="147"/>
      <c r="S816" s="147"/>
      <c r="T816" s="147"/>
      <c r="U816" s="147"/>
      <c r="V816" s="147"/>
      <c r="W816" s="147"/>
      <c r="X816" s="147"/>
      <c r="Y816" s="147"/>
      <c r="Z816" s="147"/>
    </row>
    <row r="817">
      <c r="A817" s="147"/>
      <c r="B817" s="147"/>
      <c r="C817" s="147"/>
      <c r="D817" s="147"/>
      <c r="E817" s="147"/>
      <c r="F817" s="147"/>
      <c r="G817" s="147"/>
      <c r="H817" s="147"/>
      <c r="I817" s="190"/>
      <c r="J817" s="147"/>
      <c r="K817" s="147"/>
      <c r="L817" s="147"/>
      <c r="M817" s="147"/>
      <c r="N817" s="147"/>
      <c r="O817" s="147"/>
      <c r="P817" s="147"/>
      <c r="Q817" s="147"/>
      <c r="R817" s="147"/>
      <c r="S817" s="147"/>
      <c r="T817" s="147"/>
      <c r="U817" s="147"/>
      <c r="V817" s="147"/>
      <c r="W817" s="147"/>
      <c r="X817" s="147"/>
      <c r="Y817" s="147"/>
      <c r="Z817" s="147"/>
    </row>
    <row r="818">
      <c r="A818" s="147"/>
      <c r="B818" s="147"/>
      <c r="C818" s="147"/>
      <c r="D818" s="147"/>
      <c r="E818" s="147"/>
      <c r="F818" s="147"/>
      <c r="G818" s="147"/>
      <c r="H818" s="147"/>
      <c r="I818" s="190"/>
      <c r="J818" s="147"/>
      <c r="K818" s="147"/>
      <c r="L818" s="147"/>
      <c r="M818" s="147"/>
      <c r="N818" s="147"/>
      <c r="O818" s="147"/>
      <c r="P818" s="147"/>
      <c r="Q818" s="147"/>
      <c r="R818" s="147"/>
      <c r="S818" s="147"/>
      <c r="T818" s="147"/>
      <c r="U818" s="147"/>
      <c r="V818" s="147"/>
      <c r="W818" s="147"/>
      <c r="X818" s="147"/>
      <c r="Y818" s="147"/>
      <c r="Z818" s="147"/>
    </row>
    <row r="819">
      <c r="A819" s="147"/>
      <c r="B819" s="147"/>
      <c r="C819" s="147"/>
      <c r="D819" s="147"/>
      <c r="E819" s="147"/>
      <c r="F819" s="147"/>
      <c r="G819" s="147"/>
      <c r="H819" s="147"/>
      <c r="I819" s="190"/>
      <c r="J819" s="147"/>
      <c r="K819" s="147"/>
      <c r="L819" s="147"/>
      <c r="M819" s="147"/>
      <c r="N819" s="147"/>
      <c r="O819" s="147"/>
      <c r="P819" s="147"/>
      <c r="Q819" s="147"/>
      <c r="R819" s="147"/>
      <c r="S819" s="147"/>
      <c r="T819" s="147"/>
      <c r="U819" s="147"/>
      <c r="V819" s="147"/>
      <c r="W819" s="147"/>
      <c r="X819" s="147"/>
      <c r="Y819" s="147"/>
      <c r="Z819" s="147"/>
    </row>
    <row r="820">
      <c r="A820" s="147"/>
      <c r="B820" s="147"/>
      <c r="C820" s="147"/>
      <c r="D820" s="147"/>
      <c r="E820" s="147"/>
      <c r="F820" s="147"/>
      <c r="G820" s="147"/>
      <c r="H820" s="147"/>
      <c r="I820" s="190"/>
      <c r="J820" s="147"/>
      <c r="K820" s="147"/>
      <c r="L820" s="147"/>
      <c r="M820" s="147"/>
      <c r="N820" s="147"/>
      <c r="O820" s="147"/>
      <c r="P820" s="147"/>
      <c r="Q820" s="147"/>
      <c r="R820" s="147"/>
      <c r="S820" s="147"/>
      <c r="T820" s="147"/>
      <c r="U820" s="147"/>
      <c r="V820" s="147"/>
      <c r="W820" s="147"/>
      <c r="X820" s="147"/>
      <c r="Y820" s="147"/>
      <c r="Z820" s="147"/>
    </row>
    <row r="821">
      <c r="A821" s="147"/>
      <c r="B821" s="147"/>
      <c r="C821" s="147"/>
      <c r="D821" s="147"/>
      <c r="E821" s="147"/>
      <c r="F821" s="147"/>
      <c r="G821" s="147"/>
      <c r="H821" s="147"/>
      <c r="I821" s="190"/>
      <c r="J821" s="147"/>
      <c r="K821" s="147"/>
      <c r="L821" s="147"/>
      <c r="M821" s="147"/>
      <c r="N821" s="147"/>
      <c r="O821" s="147"/>
      <c r="P821" s="147"/>
      <c r="Q821" s="147"/>
      <c r="R821" s="147"/>
      <c r="S821" s="147"/>
      <c r="T821" s="147"/>
      <c r="U821" s="147"/>
      <c r="V821" s="147"/>
      <c r="W821" s="147"/>
      <c r="X821" s="147"/>
      <c r="Y821" s="147"/>
      <c r="Z821" s="147"/>
    </row>
    <row r="822">
      <c r="A822" s="147"/>
      <c r="B822" s="147"/>
      <c r="C822" s="147"/>
      <c r="D822" s="147"/>
      <c r="E822" s="147"/>
      <c r="F822" s="147"/>
      <c r="G822" s="147"/>
      <c r="H822" s="147"/>
      <c r="I822" s="190"/>
      <c r="J822" s="147"/>
      <c r="K822" s="147"/>
      <c r="L822" s="147"/>
      <c r="M822" s="147"/>
      <c r="N822" s="147"/>
      <c r="O822" s="147"/>
      <c r="P822" s="147"/>
      <c r="Q822" s="147"/>
      <c r="R822" s="147"/>
      <c r="S822" s="147"/>
      <c r="T822" s="147"/>
      <c r="U822" s="147"/>
      <c r="V822" s="147"/>
      <c r="W822" s="147"/>
      <c r="X822" s="147"/>
      <c r="Y822" s="147"/>
      <c r="Z822" s="147"/>
    </row>
    <row r="823">
      <c r="A823" s="147"/>
      <c r="B823" s="147"/>
      <c r="C823" s="147"/>
      <c r="D823" s="147"/>
      <c r="E823" s="147"/>
      <c r="F823" s="147"/>
      <c r="G823" s="147"/>
      <c r="H823" s="147"/>
      <c r="I823" s="190"/>
      <c r="J823" s="147"/>
      <c r="K823" s="147"/>
      <c r="L823" s="147"/>
      <c r="M823" s="147"/>
      <c r="N823" s="147"/>
      <c r="O823" s="147"/>
      <c r="P823" s="147"/>
      <c r="Q823" s="147"/>
      <c r="R823" s="147"/>
      <c r="S823" s="147"/>
      <c r="T823" s="147"/>
      <c r="U823" s="147"/>
      <c r="V823" s="147"/>
      <c r="W823" s="147"/>
      <c r="X823" s="147"/>
      <c r="Y823" s="147"/>
      <c r="Z823" s="147"/>
    </row>
    <row r="824">
      <c r="A824" s="147"/>
      <c r="B824" s="147"/>
      <c r="C824" s="147"/>
      <c r="D824" s="147"/>
      <c r="E824" s="147"/>
      <c r="F824" s="147"/>
      <c r="G824" s="147"/>
      <c r="H824" s="147"/>
      <c r="I824" s="190"/>
      <c r="J824" s="147"/>
      <c r="K824" s="147"/>
      <c r="L824" s="147"/>
      <c r="M824" s="147"/>
      <c r="N824" s="147"/>
      <c r="O824" s="147"/>
      <c r="P824" s="147"/>
      <c r="Q824" s="147"/>
      <c r="R824" s="147"/>
      <c r="S824" s="147"/>
      <c r="T824" s="147"/>
      <c r="U824" s="147"/>
      <c r="V824" s="147"/>
      <c r="W824" s="147"/>
      <c r="X824" s="147"/>
      <c r="Y824" s="147"/>
      <c r="Z824" s="147"/>
    </row>
    <row r="825">
      <c r="A825" s="147"/>
      <c r="B825" s="147"/>
      <c r="C825" s="147"/>
      <c r="D825" s="147"/>
      <c r="E825" s="147"/>
      <c r="F825" s="147"/>
      <c r="G825" s="147"/>
      <c r="H825" s="147"/>
      <c r="I825" s="190"/>
      <c r="J825" s="147"/>
      <c r="K825" s="147"/>
      <c r="L825" s="147"/>
      <c r="M825" s="147"/>
      <c r="N825" s="147"/>
      <c r="O825" s="147"/>
      <c r="P825" s="147"/>
      <c r="Q825" s="147"/>
      <c r="R825" s="147"/>
      <c r="S825" s="147"/>
      <c r="T825" s="147"/>
      <c r="U825" s="147"/>
      <c r="V825" s="147"/>
      <c r="W825" s="147"/>
      <c r="X825" s="147"/>
      <c r="Y825" s="147"/>
      <c r="Z825" s="147"/>
    </row>
    <row r="826">
      <c r="A826" s="147"/>
      <c r="B826" s="147"/>
      <c r="C826" s="147"/>
      <c r="D826" s="147"/>
      <c r="E826" s="147"/>
      <c r="F826" s="147"/>
      <c r="G826" s="147"/>
      <c r="H826" s="147"/>
      <c r="I826" s="190"/>
      <c r="J826" s="147"/>
      <c r="K826" s="147"/>
      <c r="L826" s="147"/>
      <c r="M826" s="147"/>
      <c r="N826" s="147"/>
      <c r="O826" s="147"/>
      <c r="P826" s="147"/>
      <c r="Q826" s="147"/>
      <c r="R826" s="147"/>
      <c r="S826" s="147"/>
      <c r="T826" s="147"/>
      <c r="U826" s="147"/>
      <c r="V826" s="147"/>
      <c r="W826" s="147"/>
      <c r="X826" s="147"/>
      <c r="Y826" s="147"/>
      <c r="Z826" s="147"/>
    </row>
    <row r="827">
      <c r="A827" s="147"/>
      <c r="B827" s="147"/>
      <c r="C827" s="147"/>
      <c r="D827" s="147"/>
      <c r="E827" s="147"/>
      <c r="F827" s="147"/>
      <c r="G827" s="147"/>
      <c r="H827" s="147"/>
      <c r="I827" s="190"/>
      <c r="J827" s="147"/>
      <c r="K827" s="147"/>
      <c r="L827" s="147"/>
      <c r="M827" s="147"/>
      <c r="N827" s="147"/>
      <c r="O827" s="147"/>
      <c r="P827" s="147"/>
      <c r="Q827" s="147"/>
      <c r="R827" s="147"/>
      <c r="S827" s="147"/>
      <c r="T827" s="147"/>
      <c r="U827" s="147"/>
      <c r="V827" s="147"/>
      <c r="W827" s="147"/>
      <c r="X827" s="147"/>
      <c r="Y827" s="147"/>
      <c r="Z827" s="147"/>
    </row>
    <row r="828">
      <c r="A828" s="147"/>
      <c r="B828" s="147"/>
      <c r="C828" s="147"/>
      <c r="D828" s="147"/>
      <c r="E828" s="147"/>
      <c r="F828" s="147"/>
      <c r="G828" s="147"/>
      <c r="H828" s="147"/>
      <c r="I828" s="190"/>
      <c r="J828" s="147"/>
      <c r="K828" s="147"/>
      <c r="L828" s="147"/>
      <c r="M828" s="147"/>
      <c r="N828" s="147"/>
      <c r="O828" s="147"/>
      <c r="P828" s="147"/>
      <c r="Q828" s="147"/>
      <c r="R828" s="147"/>
      <c r="S828" s="147"/>
      <c r="T828" s="147"/>
      <c r="U828" s="147"/>
      <c r="V828" s="147"/>
      <c r="W828" s="147"/>
      <c r="X828" s="147"/>
      <c r="Y828" s="147"/>
      <c r="Z828" s="147"/>
    </row>
    <row r="829">
      <c r="A829" s="147"/>
      <c r="B829" s="147"/>
      <c r="C829" s="147"/>
      <c r="D829" s="147"/>
      <c r="E829" s="147"/>
      <c r="F829" s="147"/>
      <c r="G829" s="147"/>
      <c r="H829" s="147"/>
      <c r="I829" s="190"/>
      <c r="J829" s="147"/>
      <c r="K829" s="147"/>
      <c r="L829" s="147"/>
      <c r="M829" s="147"/>
      <c r="N829" s="147"/>
      <c r="O829" s="147"/>
      <c r="P829" s="147"/>
      <c r="Q829" s="147"/>
      <c r="R829" s="147"/>
      <c r="S829" s="147"/>
      <c r="T829" s="147"/>
      <c r="U829" s="147"/>
      <c r="V829" s="147"/>
      <c r="W829" s="147"/>
      <c r="X829" s="147"/>
      <c r="Y829" s="147"/>
      <c r="Z829" s="147"/>
    </row>
    <row r="830">
      <c r="A830" s="147"/>
      <c r="B830" s="147"/>
      <c r="C830" s="147"/>
      <c r="D830" s="147"/>
      <c r="E830" s="147"/>
      <c r="F830" s="147"/>
      <c r="G830" s="147"/>
      <c r="H830" s="147"/>
      <c r="I830" s="190"/>
      <c r="J830" s="147"/>
      <c r="K830" s="147"/>
      <c r="L830" s="147"/>
      <c r="M830" s="147"/>
      <c r="N830" s="147"/>
      <c r="O830" s="147"/>
      <c r="P830" s="147"/>
      <c r="Q830" s="147"/>
      <c r="R830" s="147"/>
      <c r="S830" s="147"/>
      <c r="T830" s="147"/>
      <c r="U830" s="147"/>
      <c r="V830" s="147"/>
      <c r="W830" s="147"/>
      <c r="X830" s="147"/>
      <c r="Y830" s="147"/>
      <c r="Z830" s="147"/>
    </row>
    <row r="831">
      <c r="A831" s="147"/>
      <c r="B831" s="147"/>
      <c r="C831" s="147"/>
      <c r="D831" s="147"/>
      <c r="E831" s="147"/>
      <c r="F831" s="147"/>
      <c r="G831" s="147"/>
      <c r="H831" s="147"/>
      <c r="I831" s="190"/>
      <c r="J831" s="147"/>
      <c r="K831" s="147"/>
      <c r="L831" s="147"/>
      <c r="M831" s="147"/>
      <c r="N831" s="147"/>
      <c r="O831" s="147"/>
      <c r="P831" s="147"/>
      <c r="Q831" s="147"/>
      <c r="R831" s="147"/>
      <c r="S831" s="147"/>
      <c r="T831" s="147"/>
      <c r="U831" s="147"/>
      <c r="V831" s="147"/>
      <c r="W831" s="147"/>
      <c r="X831" s="147"/>
      <c r="Y831" s="147"/>
      <c r="Z831" s="147"/>
    </row>
    <row r="832">
      <c r="A832" s="147"/>
      <c r="B832" s="147"/>
      <c r="C832" s="147"/>
      <c r="D832" s="147"/>
      <c r="E832" s="147"/>
      <c r="F832" s="147"/>
      <c r="G832" s="147"/>
      <c r="H832" s="147"/>
      <c r="I832" s="190"/>
      <c r="J832" s="147"/>
      <c r="K832" s="147"/>
      <c r="L832" s="147"/>
      <c r="M832" s="147"/>
      <c r="N832" s="147"/>
      <c r="O832" s="147"/>
      <c r="P832" s="147"/>
      <c r="Q832" s="147"/>
      <c r="R832" s="147"/>
      <c r="S832" s="147"/>
      <c r="T832" s="147"/>
      <c r="U832" s="147"/>
      <c r="V832" s="147"/>
      <c r="W832" s="147"/>
      <c r="X832" s="147"/>
      <c r="Y832" s="147"/>
      <c r="Z832" s="147"/>
    </row>
    <row r="833">
      <c r="A833" s="147"/>
      <c r="B833" s="147"/>
      <c r="C833" s="147"/>
      <c r="D833" s="147"/>
      <c r="E833" s="147"/>
      <c r="F833" s="147"/>
      <c r="G833" s="147"/>
      <c r="H833" s="147"/>
      <c r="I833" s="190"/>
      <c r="J833" s="147"/>
      <c r="K833" s="147"/>
      <c r="L833" s="147"/>
      <c r="M833" s="147"/>
      <c r="N833" s="147"/>
      <c r="O833" s="147"/>
      <c r="P833" s="147"/>
      <c r="Q833" s="147"/>
      <c r="R833" s="147"/>
      <c r="S833" s="147"/>
      <c r="T833" s="147"/>
      <c r="U833" s="147"/>
      <c r="V833" s="147"/>
      <c r="W833" s="147"/>
      <c r="X833" s="147"/>
      <c r="Y833" s="147"/>
      <c r="Z833" s="147"/>
    </row>
    <row r="834">
      <c r="A834" s="147"/>
      <c r="B834" s="147"/>
      <c r="C834" s="147"/>
      <c r="D834" s="147"/>
      <c r="E834" s="147"/>
      <c r="F834" s="147"/>
      <c r="G834" s="147"/>
      <c r="H834" s="147"/>
      <c r="I834" s="190"/>
      <c r="J834" s="147"/>
      <c r="K834" s="147"/>
      <c r="L834" s="147"/>
      <c r="M834" s="147"/>
      <c r="N834" s="147"/>
      <c r="O834" s="147"/>
      <c r="P834" s="147"/>
      <c r="Q834" s="147"/>
      <c r="R834" s="147"/>
      <c r="S834" s="147"/>
      <c r="T834" s="147"/>
      <c r="U834" s="147"/>
      <c r="V834" s="147"/>
      <c r="W834" s="147"/>
      <c r="X834" s="147"/>
      <c r="Y834" s="147"/>
      <c r="Z834" s="147"/>
    </row>
    <row r="835">
      <c r="A835" s="147"/>
      <c r="B835" s="147"/>
      <c r="C835" s="147"/>
      <c r="D835" s="147"/>
      <c r="E835" s="147"/>
      <c r="F835" s="147"/>
      <c r="G835" s="147"/>
      <c r="H835" s="147"/>
      <c r="I835" s="190"/>
      <c r="J835" s="147"/>
      <c r="K835" s="147"/>
      <c r="L835" s="147"/>
      <c r="M835" s="147"/>
      <c r="N835" s="147"/>
      <c r="O835" s="147"/>
      <c r="P835" s="147"/>
      <c r="Q835" s="147"/>
      <c r="R835" s="147"/>
      <c r="S835" s="147"/>
      <c r="T835" s="147"/>
      <c r="U835" s="147"/>
      <c r="V835" s="147"/>
      <c r="W835" s="147"/>
      <c r="X835" s="147"/>
      <c r="Y835" s="147"/>
      <c r="Z835" s="147"/>
    </row>
    <row r="836">
      <c r="A836" s="147"/>
      <c r="B836" s="147"/>
      <c r="C836" s="147"/>
      <c r="D836" s="147"/>
      <c r="E836" s="147"/>
      <c r="F836" s="147"/>
      <c r="G836" s="147"/>
      <c r="H836" s="147"/>
      <c r="I836" s="190"/>
      <c r="J836" s="147"/>
      <c r="K836" s="147"/>
      <c r="L836" s="147"/>
      <c r="M836" s="147"/>
      <c r="N836" s="147"/>
      <c r="O836" s="147"/>
      <c r="P836" s="147"/>
      <c r="Q836" s="147"/>
      <c r="R836" s="147"/>
      <c r="S836" s="147"/>
      <c r="T836" s="147"/>
      <c r="U836" s="147"/>
      <c r="V836" s="147"/>
      <c r="W836" s="147"/>
      <c r="X836" s="147"/>
      <c r="Y836" s="147"/>
      <c r="Z836" s="147"/>
    </row>
    <row r="837">
      <c r="A837" s="147"/>
      <c r="B837" s="147"/>
      <c r="C837" s="147"/>
      <c r="D837" s="147"/>
      <c r="E837" s="147"/>
      <c r="F837" s="147"/>
      <c r="G837" s="147"/>
      <c r="H837" s="147"/>
      <c r="I837" s="190"/>
      <c r="J837" s="147"/>
      <c r="K837" s="147"/>
      <c r="L837" s="147"/>
      <c r="M837" s="147"/>
      <c r="N837" s="147"/>
      <c r="O837" s="147"/>
      <c r="P837" s="147"/>
      <c r="Q837" s="147"/>
      <c r="R837" s="147"/>
      <c r="S837" s="147"/>
      <c r="T837" s="147"/>
      <c r="U837" s="147"/>
      <c r="V837" s="147"/>
      <c r="W837" s="147"/>
      <c r="X837" s="147"/>
      <c r="Y837" s="147"/>
      <c r="Z837" s="147"/>
    </row>
    <row r="838">
      <c r="A838" s="147"/>
      <c r="B838" s="147"/>
      <c r="C838" s="147"/>
      <c r="D838" s="147"/>
      <c r="E838" s="147"/>
      <c r="F838" s="147"/>
      <c r="G838" s="147"/>
      <c r="H838" s="147"/>
      <c r="I838" s="190"/>
      <c r="J838" s="147"/>
      <c r="K838" s="147"/>
      <c r="L838" s="147"/>
      <c r="M838" s="147"/>
      <c r="N838" s="147"/>
      <c r="O838" s="147"/>
      <c r="P838" s="147"/>
      <c r="Q838" s="147"/>
      <c r="R838" s="147"/>
      <c r="S838" s="147"/>
      <c r="T838" s="147"/>
      <c r="U838" s="147"/>
      <c r="V838" s="147"/>
      <c r="W838" s="147"/>
      <c r="X838" s="147"/>
      <c r="Y838" s="147"/>
      <c r="Z838" s="147"/>
    </row>
    <row r="839">
      <c r="A839" s="147"/>
      <c r="B839" s="147"/>
      <c r="C839" s="147"/>
      <c r="D839" s="147"/>
      <c r="E839" s="147"/>
      <c r="F839" s="147"/>
      <c r="G839" s="147"/>
      <c r="H839" s="147"/>
      <c r="I839" s="190"/>
      <c r="J839" s="147"/>
      <c r="K839" s="147"/>
      <c r="L839" s="147"/>
      <c r="M839" s="147"/>
      <c r="N839" s="147"/>
      <c r="O839" s="147"/>
      <c r="P839" s="147"/>
      <c r="Q839" s="147"/>
      <c r="R839" s="147"/>
      <c r="S839" s="147"/>
      <c r="T839" s="147"/>
      <c r="U839" s="147"/>
      <c r="V839" s="147"/>
      <c r="W839" s="147"/>
      <c r="X839" s="147"/>
      <c r="Y839" s="147"/>
      <c r="Z839" s="147"/>
    </row>
    <row r="840">
      <c r="A840" s="147"/>
      <c r="B840" s="147"/>
      <c r="C840" s="147"/>
      <c r="D840" s="147"/>
      <c r="E840" s="147"/>
      <c r="F840" s="147"/>
      <c r="G840" s="147"/>
      <c r="H840" s="147"/>
      <c r="I840" s="190"/>
      <c r="J840" s="147"/>
      <c r="K840" s="147"/>
      <c r="L840" s="147"/>
      <c r="M840" s="147"/>
      <c r="N840" s="147"/>
      <c r="O840" s="147"/>
      <c r="P840" s="147"/>
      <c r="Q840" s="147"/>
      <c r="R840" s="147"/>
      <c r="S840" s="147"/>
      <c r="T840" s="147"/>
      <c r="U840" s="147"/>
      <c r="V840" s="147"/>
      <c r="W840" s="147"/>
      <c r="X840" s="147"/>
      <c r="Y840" s="147"/>
      <c r="Z840" s="147"/>
    </row>
    <row r="841">
      <c r="A841" s="147"/>
      <c r="B841" s="147"/>
      <c r="C841" s="147"/>
      <c r="D841" s="147"/>
      <c r="E841" s="147"/>
      <c r="F841" s="147"/>
      <c r="G841" s="147"/>
      <c r="H841" s="147"/>
      <c r="I841" s="190"/>
      <c r="J841" s="147"/>
      <c r="K841" s="147"/>
      <c r="L841" s="147"/>
      <c r="M841" s="147"/>
      <c r="N841" s="147"/>
      <c r="O841" s="147"/>
      <c r="P841" s="147"/>
      <c r="Q841" s="147"/>
      <c r="R841" s="147"/>
      <c r="S841" s="147"/>
      <c r="T841" s="147"/>
      <c r="U841" s="147"/>
      <c r="V841" s="147"/>
      <c r="W841" s="147"/>
      <c r="X841" s="147"/>
      <c r="Y841" s="147"/>
      <c r="Z841" s="147"/>
    </row>
    <row r="842">
      <c r="A842" s="147"/>
      <c r="B842" s="147"/>
      <c r="C842" s="147"/>
      <c r="D842" s="147"/>
      <c r="E842" s="147"/>
      <c r="F842" s="147"/>
      <c r="G842" s="147"/>
      <c r="H842" s="147"/>
      <c r="I842" s="190"/>
      <c r="J842" s="147"/>
      <c r="K842" s="147"/>
      <c r="L842" s="147"/>
      <c r="M842" s="147"/>
      <c r="N842" s="147"/>
      <c r="O842" s="147"/>
      <c r="P842" s="147"/>
      <c r="Q842" s="147"/>
      <c r="R842" s="147"/>
      <c r="S842" s="147"/>
      <c r="T842" s="147"/>
      <c r="U842" s="147"/>
      <c r="V842" s="147"/>
      <c r="W842" s="147"/>
      <c r="X842" s="147"/>
      <c r="Y842" s="147"/>
      <c r="Z842" s="147"/>
    </row>
    <row r="843">
      <c r="A843" s="147"/>
      <c r="B843" s="147"/>
      <c r="C843" s="147"/>
      <c r="D843" s="147"/>
      <c r="E843" s="147"/>
      <c r="F843" s="147"/>
      <c r="G843" s="147"/>
      <c r="H843" s="147"/>
      <c r="I843" s="190"/>
      <c r="J843" s="147"/>
      <c r="K843" s="147"/>
      <c r="L843" s="147"/>
      <c r="M843" s="147"/>
      <c r="N843" s="147"/>
      <c r="O843" s="147"/>
      <c r="P843" s="147"/>
      <c r="Q843" s="147"/>
      <c r="R843" s="147"/>
      <c r="S843" s="147"/>
      <c r="T843" s="147"/>
      <c r="U843" s="147"/>
      <c r="V843" s="147"/>
      <c r="W843" s="147"/>
      <c r="X843" s="147"/>
      <c r="Y843" s="147"/>
      <c r="Z843" s="147"/>
    </row>
    <row r="844">
      <c r="A844" s="147"/>
      <c r="B844" s="147"/>
      <c r="C844" s="147"/>
      <c r="D844" s="147"/>
      <c r="E844" s="147"/>
      <c r="F844" s="147"/>
      <c r="G844" s="147"/>
      <c r="H844" s="147"/>
      <c r="I844" s="190"/>
      <c r="J844" s="147"/>
      <c r="K844" s="147"/>
      <c r="L844" s="147"/>
      <c r="M844" s="147"/>
      <c r="N844" s="147"/>
      <c r="O844" s="147"/>
      <c r="P844" s="147"/>
      <c r="Q844" s="147"/>
      <c r="R844" s="147"/>
      <c r="S844" s="147"/>
      <c r="T844" s="147"/>
      <c r="U844" s="147"/>
      <c r="V844" s="147"/>
      <c r="W844" s="147"/>
      <c r="X844" s="147"/>
      <c r="Y844" s="147"/>
      <c r="Z844" s="147"/>
    </row>
    <row r="845">
      <c r="A845" s="147"/>
      <c r="B845" s="147"/>
      <c r="C845" s="147"/>
      <c r="D845" s="147"/>
      <c r="E845" s="147"/>
      <c r="F845" s="147"/>
      <c r="G845" s="147"/>
      <c r="H845" s="147"/>
      <c r="I845" s="190"/>
      <c r="J845" s="147"/>
      <c r="K845" s="147"/>
      <c r="L845" s="147"/>
      <c r="M845" s="147"/>
      <c r="N845" s="147"/>
      <c r="O845" s="147"/>
      <c r="P845" s="147"/>
      <c r="Q845" s="147"/>
      <c r="R845" s="147"/>
      <c r="S845" s="147"/>
      <c r="T845" s="147"/>
      <c r="U845" s="147"/>
      <c r="V845" s="147"/>
      <c r="W845" s="147"/>
      <c r="X845" s="147"/>
      <c r="Y845" s="147"/>
      <c r="Z845" s="147"/>
    </row>
    <row r="846">
      <c r="A846" s="147"/>
      <c r="B846" s="147"/>
      <c r="C846" s="147"/>
      <c r="D846" s="147"/>
      <c r="E846" s="147"/>
      <c r="F846" s="147"/>
      <c r="G846" s="147"/>
      <c r="H846" s="147"/>
      <c r="I846" s="190"/>
      <c r="J846" s="147"/>
      <c r="K846" s="147"/>
      <c r="L846" s="147"/>
      <c r="M846" s="147"/>
      <c r="N846" s="147"/>
      <c r="O846" s="147"/>
      <c r="P846" s="147"/>
      <c r="Q846" s="147"/>
      <c r="R846" s="147"/>
      <c r="S846" s="147"/>
      <c r="T846" s="147"/>
      <c r="U846" s="147"/>
      <c r="V846" s="147"/>
      <c r="W846" s="147"/>
      <c r="X846" s="147"/>
      <c r="Y846" s="147"/>
      <c r="Z846" s="147"/>
    </row>
    <row r="847">
      <c r="A847" s="147"/>
      <c r="B847" s="147"/>
      <c r="C847" s="147"/>
      <c r="D847" s="147"/>
      <c r="E847" s="147"/>
      <c r="F847" s="147"/>
      <c r="G847" s="147"/>
      <c r="H847" s="147"/>
      <c r="I847" s="190"/>
      <c r="J847" s="147"/>
      <c r="K847" s="147"/>
      <c r="L847" s="147"/>
      <c r="M847" s="147"/>
      <c r="N847" s="147"/>
      <c r="O847" s="147"/>
      <c r="P847" s="147"/>
      <c r="Q847" s="147"/>
      <c r="R847" s="147"/>
      <c r="S847" s="147"/>
      <c r="T847" s="147"/>
      <c r="U847" s="147"/>
      <c r="V847" s="147"/>
      <c r="W847" s="147"/>
      <c r="X847" s="147"/>
      <c r="Y847" s="147"/>
      <c r="Z847" s="147"/>
    </row>
    <row r="848">
      <c r="A848" s="147"/>
      <c r="B848" s="147"/>
      <c r="C848" s="147"/>
      <c r="D848" s="147"/>
      <c r="E848" s="147"/>
      <c r="F848" s="147"/>
      <c r="G848" s="147"/>
      <c r="H848" s="147"/>
      <c r="I848" s="190"/>
      <c r="J848" s="147"/>
      <c r="K848" s="147"/>
      <c r="L848" s="147"/>
      <c r="M848" s="147"/>
      <c r="N848" s="147"/>
      <c r="O848" s="147"/>
      <c r="P848" s="147"/>
      <c r="Q848" s="147"/>
      <c r="R848" s="147"/>
      <c r="S848" s="147"/>
      <c r="T848" s="147"/>
      <c r="U848" s="147"/>
      <c r="V848" s="147"/>
      <c r="W848" s="147"/>
      <c r="X848" s="147"/>
      <c r="Y848" s="147"/>
      <c r="Z848" s="147"/>
    </row>
    <row r="849">
      <c r="A849" s="147"/>
      <c r="B849" s="147"/>
      <c r="C849" s="147"/>
      <c r="D849" s="147"/>
      <c r="E849" s="147"/>
      <c r="F849" s="147"/>
      <c r="G849" s="147"/>
      <c r="H849" s="147"/>
      <c r="I849" s="190"/>
      <c r="J849" s="147"/>
      <c r="K849" s="147"/>
      <c r="L849" s="147"/>
      <c r="M849" s="147"/>
      <c r="N849" s="147"/>
      <c r="O849" s="147"/>
      <c r="P849" s="147"/>
      <c r="Q849" s="147"/>
      <c r="R849" s="147"/>
      <c r="S849" s="147"/>
      <c r="T849" s="147"/>
      <c r="U849" s="147"/>
      <c r="V849" s="147"/>
      <c r="W849" s="147"/>
      <c r="X849" s="147"/>
      <c r="Y849" s="147"/>
      <c r="Z849" s="147"/>
    </row>
    <row r="850">
      <c r="A850" s="147"/>
      <c r="B850" s="147"/>
      <c r="C850" s="147"/>
      <c r="D850" s="147"/>
      <c r="E850" s="147"/>
      <c r="F850" s="147"/>
      <c r="G850" s="147"/>
      <c r="H850" s="147"/>
      <c r="I850" s="190"/>
      <c r="J850" s="147"/>
      <c r="K850" s="147"/>
      <c r="L850" s="147"/>
      <c r="M850" s="147"/>
      <c r="N850" s="147"/>
      <c r="O850" s="147"/>
      <c r="P850" s="147"/>
      <c r="Q850" s="147"/>
      <c r="R850" s="147"/>
      <c r="S850" s="147"/>
      <c r="T850" s="147"/>
      <c r="U850" s="147"/>
      <c r="V850" s="147"/>
      <c r="W850" s="147"/>
      <c r="X850" s="147"/>
      <c r="Y850" s="147"/>
      <c r="Z850" s="147"/>
    </row>
    <row r="851">
      <c r="A851" s="147"/>
      <c r="B851" s="147"/>
      <c r="C851" s="147"/>
      <c r="D851" s="147"/>
      <c r="E851" s="147"/>
      <c r="F851" s="147"/>
      <c r="G851" s="147"/>
      <c r="H851" s="147"/>
      <c r="I851" s="190"/>
      <c r="J851" s="147"/>
      <c r="K851" s="147"/>
      <c r="L851" s="147"/>
      <c r="M851" s="147"/>
      <c r="N851" s="147"/>
      <c r="O851" s="147"/>
      <c r="P851" s="147"/>
      <c r="Q851" s="147"/>
      <c r="R851" s="147"/>
      <c r="S851" s="147"/>
      <c r="T851" s="147"/>
      <c r="U851" s="147"/>
      <c r="V851" s="147"/>
      <c r="W851" s="147"/>
      <c r="X851" s="147"/>
      <c r="Y851" s="147"/>
      <c r="Z851" s="147"/>
    </row>
    <row r="852">
      <c r="A852" s="147"/>
      <c r="B852" s="147"/>
      <c r="C852" s="147"/>
      <c r="D852" s="147"/>
      <c r="E852" s="147"/>
      <c r="F852" s="147"/>
      <c r="G852" s="147"/>
      <c r="H852" s="147"/>
      <c r="I852" s="190"/>
      <c r="J852" s="147"/>
      <c r="K852" s="147"/>
      <c r="L852" s="147"/>
      <c r="M852" s="147"/>
      <c r="N852" s="147"/>
      <c r="O852" s="147"/>
      <c r="P852" s="147"/>
      <c r="Q852" s="147"/>
      <c r="R852" s="147"/>
      <c r="S852" s="147"/>
      <c r="T852" s="147"/>
      <c r="U852" s="147"/>
      <c r="V852" s="147"/>
      <c r="W852" s="147"/>
      <c r="X852" s="147"/>
      <c r="Y852" s="147"/>
      <c r="Z852" s="147"/>
    </row>
    <row r="853">
      <c r="A853" s="147"/>
      <c r="B853" s="147"/>
      <c r="C853" s="147"/>
      <c r="D853" s="147"/>
      <c r="E853" s="147"/>
      <c r="F853" s="147"/>
      <c r="G853" s="147"/>
      <c r="H853" s="147"/>
      <c r="I853" s="190"/>
      <c r="J853" s="147"/>
      <c r="K853" s="147"/>
      <c r="L853" s="147"/>
      <c r="M853" s="147"/>
      <c r="N853" s="147"/>
      <c r="O853" s="147"/>
      <c r="P853" s="147"/>
      <c r="Q853" s="147"/>
      <c r="R853" s="147"/>
      <c r="S853" s="147"/>
      <c r="T853" s="147"/>
      <c r="U853" s="147"/>
      <c r="V853" s="147"/>
      <c r="W853" s="147"/>
      <c r="X853" s="147"/>
      <c r="Y853" s="147"/>
      <c r="Z853" s="147"/>
    </row>
    <row r="854">
      <c r="A854" s="147"/>
      <c r="B854" s="147"/>
      <c r="C854" s="147"/>
      <c r="D854" s="147"/>
      <c r="E854" s="147"/>
      <c r="F854" s="147"/>
      <c r="G854" s="147"/>
      <c r="H854" s="147"/>
      <c r="I854" s="190"/>
      <c r="J854" s="147"/>
      <c r="K854" s="147"/>
      <c r="L854" s="147"/>
      <c r="M854" s="147"/>
      <c r="N854" s="147"/>
      <c r="O854" s="147"/>
      <c r="P854" s="147"/>
      <c r="Q854" s="147"/>
      <c r="R854" s="147"/>
      <c r="S854" s="147"/>
      <c r="T854" s="147"/>
      <c r="U854" s="147"/>
      <c r="V854" s="147"/>
      <c r="W854" s="147"/>
      <c r="X854" s="147"/>
      <c r="Y854" s="147"/>
      <c r="Z854" s="147"/>
    </row>
    <row r="855">
      <c r="A855" s="147"/>
      <c r="B855" s="147"/>
      <c r="C855" s="147"/>
      <c r="D855" s="147"/>
      <c r="E855" s="147"/>
      <c r="F855" s="147"/>
      <c r="G855" s="147"/>
      <c r="H855" s="147"/>
      <c r="I855" s="190"/>
      <c r="J855" s="147"/>
      <c r="K855" s="147"/>
      <c r="L855" s="147"/>
      <c r="M855" s="147"/>
      <c r="N855" s="147"/>
      <c r="O855" s="147"/>
      <c r="P855" s="147"/>
      <c r="Q855" s="147"/>
      <c r="R855" s="147"/>
      <c r="S855" s="147"/>
      <c r="T855" s="147"/>
      <c r="U855" s="147"/>
      <c r="V855" s="147"/>
      <c r="W855" s="147"/>
      <c r="X855" s="147"/>
      <c r="Y855" s="147"/>
      <c r="Z855" s="147"/>
    </row>
    <row r="856">
      <c r="A856" s="147"/>
      <c r="B856" s="147"/>
      <c r="C856" s="147"/>
      <c r="D856" s="147"/>
      <c r="E856" s="147"/>
      <c r="F856" s="147"/>
      <c r="G856" s="147"/>
      <c r="H856" s="147"/>
      <c r="I856" s="190"/>
      <c r="J856" s="147"/>
      <c r="K856" s="147"/>
      <c r="L856" s="147"/>
      <c r="M856" s="147"/>
      <c r="N856" s="147"/>
      <c r="O856" s="147"/>
      <c r="P856" s="147"/>
      <c r="Q856" s="147"/>
      <c r="R856" s="147"/>
      <c r="S856" s="147"/>
      <c r="T856" s="147"/>
      <c r="U856" s="147"/>
      <c r="V856" s="147"/>
      <c r="W856" s="147"/>
      <c r="X856" s="147"/>
      <c r="Y856" s="147"/>
      <c r="Z856" s="147"/>
    </row>
    <row r="857">
      <c r="A857" s="147"/>
      <c r="B857" s="147"/>
      <c r="C857" s="147"/>
      <c r="D857" s="147"/>
      <c r="E857" s="147"/>
      <c r="F857" s="147"/>
      <c r="G857" s="147"/>
      <c r="H857" s="147"/>
      <c r="I857" s="190"/>
      <c r="J857" s="147"/>
      <c r="K857" s="147"/>
      <c r="L857" s="147"/>
      <c r="M857" s="147"/>
      <c r="N857" s="147"/>
      <c r="O857" s="147"/>
      <c r="P857" s="147"/>
      <c r="Q857" s="147"/>
      <c r="R857" s="147"/>
      <c r="S857" s="147"/>
      <c r="T857" s="147"/>
      <c r="U857" s="147"/>
      <c r="V857" s="147"/>
      <c r="W857" s="147"/>
      <c r="X857" s="147"/>
      <c r="Y857" s="147"/>
      <c r="Z857" s="147"/>
    </row>
    <row r="858">
      <c r="A858" s="147"/>
      <c r="B858" s="147"/>
      <c r="C858" s="147"/>
      <c r="D858" s="147"/>
      <c r="E858" s="147"/>
      <c r="F858" s="147"/>
      <c r="G858" s="147"/>
      <c r="H858" s="147"/>
      <c r="I858" s="190"/>
      <c r="J858" s="147"/>
      <c r="K858" s="147"/>
      <c r="L858" s="147"/>
      <c r="M858" s="147"/>
      <c r="N858" s="147"/>
      <c r="O858" s="147"/>
      <c r="P858" s="147"/>
      <c r="Q858" s="147"/>
      <c r="R858" s="147"/>
      <c r="S858" s="147"/>
      <c r="T858" s="147"/>
      <c r="U858" s="147"/>
      <c r="V858" s="147"/>
      <c r="W858" s="147"/>
      <c r="X858" s="147"/>
      <c r="Y858" s="147"/>
      <c r="Z858" s="147"/>
    </row>
    <row r="859">
      <c r="A859" s="147"/>
      <c r="B859" s="147"/>
      <c r="C859" s="147"/>
      <c r="D859" s="147"/>
      <c r="E859" s="147"/>
      <c r="F859" s="147"/>
      <c r="G859" s="147"/>
      <c r="H859" s="147"/>
      <c r="I859" s="190"/>
      <c r="J859" s="147"/>
      <c r="K859" s="147"/>
      <c r="L859" s="147"/>
      <c r="M859" s="147"/>
      <c r="N859" s="147"/>
      <c r="O859" s="147"/>
      <c r="P859" s="147"/>
      <c r="Q859" s="147"/>
      <c r="R859" s="147"/>
      <c r="S859" s="147"/>
      <c r="T859" s="147"/>
      <c r="U859" s="147"/>
      <c r="V859" s="147"/>
      <c r="W859" s="147"/>
      <c r="X859" s="147"/>
      <c r="Y859" s="147"/>
      <c r="Z859" s="147"/>
    </row>
    <row r="860">
      <c r="A860" s="147"/>
      <c r="B860" s="147"/>
      <c r="C860" s="147"/>
      <c r="D860" s="147"/>
      <c r="E860" s="147"/>
      <c r="F860" s="147"/>
      <c r="G860" s="147"/>
      <c r="H860" s="147"/>
      <c r="I860" s="190"/>
      <c r="J860" s="147"/>
      <c r="K860" s="147"/>
      <c r="L860" s="147"/>
      <c r="M860" s="147"/>
      <c r="N860" s="147"/>
      <c r="O860" s="147"/>
      <c r="P860" s="147"/>
      <c r="Q860" s="147"/>
      <c r="R860" s="147"/>
      <c r="S860" s="147"/>
      <c r="T860" s="147"/>
      <c r="U860" s="147"/>
      <c r="V860" s="147"/>
      <c r="W860" s="147"/>
      <c r="X860" s="147"/>
      <c r="Y860" s="147"/>
      <c r="Z860" s="147"/>
    </row>
    <row r="861">
      <c r="A861" s="147"/>
      <c r="B861" s="147"/>
      <c r="C861" s="147"/>
      <c r="D861" s="147"/>
      <c r="E861" s="147"/>
      <c r="F861" s="147"/>
      <c r="G861" s="147"/>
      <c r="H861" s="147"/>
      <c r="I861" s="190"/>
      <c r="J861" s="147"/>
      <c r="K861" s="147"/>
      <c r="L861" s="147"/>
      <c r="M861" s="147"/>
      <c r="N861" s="147"/>
      <c r="O861" s="147"/>
      <c r="P861" s="147"/>
      <c r="Q861" s="147"/>
      <c r="R861" s="147"/>
      <c r="S861" s="147"/>
      <c r="T861" s="147"/>
      <c r="U861" s="147"/>
      <c r="V861" s="147"/>
      <c r="W861" s="147"/>
      <c r="X861" s="147"/>
      <c r="Y861" s="147"/>
      <c r="Z861" s="147"/>
    </row>
    <row r="862">
      <c r="A862" s="147"/>
      <c r="B862" s="147"/>
      <c r="C862" s="147"/>
      <c r="D862" s="147"/>
      <c r="E862" s="147"/>
      <c r="F862" s="147"/>
      <c r="G862" s="147"/>
      <c r="H862" s="147"/>
      <c r="I862" s="190"/>
      <c r="J862" s="147"/>
      <c r="K862" s="147"/>
      <c r="L862" s="147"/>
      <c r="M862" s="147"/>
      <c r="N862" s="147"/>
      <c r="O862" s="147"/>
      <c r="P862" s="147"/>
      <c r="Q862" s="147"/>
      <c r="R862" s="147"/>
      <c r="S862" s="147"/>
      <c r="T862" s="147"/>
      <c r="U862" s="147"/>
      <c r="V862" s="147"/>
      <c r="W862" s="147"/>
      <c r="X862" s="147"/>
      <c r="Y862" s="147"/>
      <c r="Z862" s="147"/>
    </row>
    <row r="863">
      <c r="A863" s="147"/>
      <c r="B863" s="147"/>
      <c r="C863" s="147"/>
      <c r="D863" s="147"/>
      <c r="E863" s="147"/>
      <c r="F863" s="147"/>
      <c r="G863" s="147"/>
      <c r="H863" s="147"/>
      <c r="I863" s="190"/>
      <c r="J863" s="147"/>
      <c r="K863" s="147"/>
      <c r="L863" s="147"/>
      <c r="M863" s="147"/>
      <c r="N863" s="147"/>
      <c r="O863" s="147"/>
      <c r="P863" s="147"/>
      <c r="Q863" s="147"/>
      <c r="R863" s="147"/>
      <c r="S863" s="147"/>
      <c r="T863" s="147"/>
      <c r="U863" s="147"/>
      <c r="V863" s="147"/>
      <c r="W863" s="147"/>
      <c r="X863" s="147"/>
      <c r="Y863" s="147"/>
      <c r="Z863" s="147"/>
    </row>
    <row r="864">
      <c r="A864" s="147"/>
      <c r="B864" s="147"/>
      <c r="C864" s="147"/>
      <c r="D864" s="147"/>
      <c r="E864" s="147"/>
      <c r="F864" s="147"/>
      <c r="G864" s="147"/>
      <c r="H864" s="147"/>
      <c r="I864" s="190"/>
      <c r="J864" s="147"/>
      <c r="K864" s="147"/>
      <c r="L864" s="147"/>
      <c r="M864" s="147"/>
      <c r="N864" s="147"/>
      <c r="O864" s="147"/>
      <c r="P864" s="147"/>
      <c r="Q864" s="147"/>
      <c r="R864" s="147"/>
      <c r="S864" s="147"/>
      <c r="T864" s="147"/>
      <c r="U864" s="147"/>
      <c r="V864" s="147"/>
      <c r="W864" s="147"/>
      <c r="X864" s="147"/>
      <c r="Y864" s="147"/>
      <c r="Z864" s="147"/>
    </row>
    <row r="865">
      <c r="A865" s="147"/>
      <c r="B865" s="147"/>
      <c r="C865" s="147"/>
      <c r="D865" s="147"/>
      <c r="E865" s="147"/>
      <c r="F865" s="147"/>
      <c r="G865" s="147"/>
      <c r="H865" s="147"/>
      <c r="I865" s="190"/>
      <c r="J865" s="147"/>
      <c r="K865" s="147"/>
      <c r="L865" s="147"/>
      <c r="M865" s="147"/>
      <c r="N865" s="147"/>
      <c r="O865" s="147"/>
      <c r="P865" s="147"/>
      <c r="Q865" s="147"/>
      <c r="R865" s="147"/>
      <c r="S865" s="147"/>
      <c r="T865" s="147"/>
      <c r="U865" s="147"/>
      <c r="V865" s="147"/>
      <c r="W865" s="147"/>
      <c r="X865" s="147"/>
      <c r="Y865" s="147"/>
      <c r="Z865" s="147"/>
    </row>
    <row r="866">
      <c r="A866" s="147"/>
      <c r="B866" s="147"/>
      <c r="C866" s="147"/>
      <c r="D866" s="147"/>
      <c r="E866" s="147"/>
      <c r="F866" s="147"/>
      <c r="G866" s="147"/>
      <c r="H866" s="147"/>
      <c r="I866" s="190"/>
      <c r="J866" s="147"/>
      <c r="K866" s="147"/>
      <c r="L866" s="147"/>
      <c r="M866" s="147"/>
      <c r="N866" s="147"/>
      <c r="O866" s="147"/>
      <c r="P866" s="147"/>
      <c r="Q866" s="147"/>
      <c r="R866" s="147"/>
      <c r="S866" s="147"/>
      <c r="T866" s="147"/>
      <c r="U866" s="147"/>
      <c r="V866" s="147"/>
      <c r="W866" s="147"/>
      <c r="X866" s="147"/>
      <c r="Y866" s="147"/>
      <c r="Z866" s="147"/>
    </row>
    <row r="867">
      <c r="A867" s="147"/>
      <c r="B867" s="147"/>
      <c r="C867" s="147"/>
      <c r="D867" s="147"/>
      <c r="E867" s="147"/>
      <c r="F867" s="147"/>
      <c r="G867" s="147"/>
      <c r="H867" s="147"/>
      <c r="I867" s="190"/>
      <c r="J867" s="147"/>
      <c r="K867" s="147"/>
      <c r="L867" s="147"/>
      <c r="M867" s="147"/>
      <c r="N867" s="147"/>
      <c r="O867" s="147"/>
      <c r="P867" s="147"/>
      <c r="Q867" s="147"/>
      <c r="R867" s="147"/>
      <c r="S867" s="147"/>
      <c r="T867" s="147"/>
      <c r="U867" s="147"/>
      <c r="V867" s="147"/>
      <c r="W867" s="147"/>
      <c r="X867" s="147"/>
      <c r="Y867" s="147"/>
      <c r="Z867" s="147"/>
    </row>
    <row r="868">
      <c r="A868" s="147"/>
      <c r="B868" s="147"/>
      <c r="C868" s="147"/>
      <c r="D868" s="147"/>
      <c r="E868" s="147"/>
      <c r="F868" s="147"/>
      <c r="G868" s="147"/>
      <c r="H868" s="147"/>
      <c r="I868" s="190"/>
      <c r="J868" s="147"/>
      <c r="K868" s="147"/>
      <c r="L868" s="147"/>
      <c r="M868" s="147"/>
      <c r="N868" s="147"/>
      <c r="O868" s="147"/>
      <c r="P868" s="147"/>
      <c r="Q868" s="147"/>
      <c r="R868" s="147"/>
      <c r="S868" s="147"/>
      <c r="T868" s="147"/>
      <c r="U868" s="147"/>
      <c r="V868" s="147"/>
      <c r="W868" s="147"/>
      <c r="X868" s="147"/>
      <c r="Y868" s="147"/>
      <c r="Z868" s="147"/>
    </row>
    <row r="869">
      <c r="A869" s="147"/>
      <c r="B869" s="147"/>
      <c r="C869" s="147"/>
      <c r="D869" s="147"/>
      <c r="E869" s="147"/>
      <c r="F869" s="147"/>
      <c r="G869" s="147"/>
      <c r="H869" s="147"/>
      <c r="I869" s="190"/>
      <c r="J869" s="147"/>
      <c r="K869" s="147"/>
      <c r="L869" s="147"/>
      <c r="M869" s="147"/>
      <c r="N869" s="147"/>
      <c r="O869" s="147"/>
      <c r="P869" s="147"/>
      <c r="Q869" s="147"/>
      <c r="R869" s="147"/>
      <c r="S869" s="147"/>
      <c r="T869" s="147"/>
      <c r="U869" s="147"/>
      <c r="V869" s="147"/>
      <c r="W869" s="147"/>
      <c r="X869" s="147"/>
      <c r="Y869" s="147"/>
      <c r="Z869" s="147"/>
    </row>
    <row r="870">
      <c r="A870" s="147"/>
      <c r="B870" s="147"/>
      <c r="C870" s="147"/>
      <c r="D870" s="147"/>
      <c r="E870" s="147"/>
      <c r="F870" s="147"/>
      <c r="G870" s="147"/>
      <c r="H870" s="147"/>
      <c r="I870" s="190"/>
      <c r="J870" s="147"/>
      <c r="K870" s="147"/>
      <c r="L870" s="147"/>
      <c r="M870" s="147"/>
      <c r="N870" s="147"/>
      <c r="O870" s="147"/>
      <c r="P870" s="147"/>
      <c r="Q870" s="147"/>
      <c r="R870" s="147"/>
      <c r="S870" s="147"/>
      <c r="T870" s="147"/>
      <c r="U870" s="147"/>
      <c r="V870" s="147"/>
      <c r="W870" s="147"/>
      <c r="X870" s="147"/>
      <c r="Y870" s="147"/>
      <c r="Z870" s="147"/>
    </row>
    <row r="871">
      <c r="A871" s="147"/>
      <c r="B871" s="147"/>
      <c r="C871" s="147"/>
      <c r="D871" s="147"/>
      <c r="E871" s="147"/>
      <c r="F871" s="147"/>
      <c r="G871" s="147"/>
      <c r="H871" s="147"/>
      <c r="I871" s="190"/>
      <c r="J871" s="147"/>
      <c r="K871" s="147"/>
      <c r="L871" s="147"/>
      <c r="M871" s="147"/>
      <c r="N871" s="147"/>
      <c r="O871" s="147"/>
      <c r="P871" s="147"/>
      <c r="Q871" s="147"/>
      <c r="R871" s="147"/>
      <c r="S871" s="147"/>
      <c r="T871" s="147"/>
      <c r="U871" s="147"/>
      <c r="V871" s="147"/>
      <c r="W871" s="147"/>
      <c r="X871" s="147"/>
      <c r="Y871" s="147"/>
      <c r="Z871" s="147"/>
    </row>
    <row r="872">
      <c r="A872" s="147"/>
      <c r="B872" s="147"/>
      <c r="C872" s="147"/>
      <c r="D872" s="147"/>
      <c r="E872" s="147"/>
      <c r="F872" s="147"/>
      <c r="G872" s="147"/>
      <c r="H872" s="147"/>
      <c r="I872" s="190"/>
      <c r="J872" s="147"/>
      <c r="K872" s="147"/>
      <c r="L872" s="147"/>
      <c r="M872" s="147"/>
      <c r="N872" s="147"/>
      <c r="O872" s="147"/>
      <c r="P872" s="147"/>
      <c r="Q872" s="147"/>
      <c r="R872" s="147"/>
      <c r="S872" s="147"/>
      <c r="T872" s="147"/>
      <c r="U872" s="147"/>
      <c r="V872" s="147"/>
      <c r="W872" s="147"/>
      <c r="X872" s="147"/>
      <c r="Y872" s="147"/>
      <c r="Z872" s="147"/>
    </row>
    <row r="873">
      <c r="A873" s="147"/>
      <c r="B873" s="147"/>
      <c r="C873" s="147"/>
      <c r="D873" s="147"/>
      <c r="E873" s="147"/>
      <c r="F873" s="147"/>
      <c r="G873" s="147"/>
      <c r="H873" s="147"/>
      <c r="I873" s="190"/>
      <c r="J873" s="147"/>
      <c r="K873" s="147"/>
      <c r="L873" s="147"/>
      <c r="M873" s="147"/>
      <c r="N873" s="147"/>
      <c r="O873" s="147"/>
      <c r="P873" s="147"/>
      <c r="Q873" s="147"/>
      <c r="R873" s="147"/>
      <c r="S873" s="147"/>
      <c r="T873" s="147"/>
      <c r="U873" s="147"/>
      <c r="V873" s="147"/>
      <c r="W873" s="147"/>
      <c r="X873" s="147"/>
      <c r="Y873" s="147"/>
      <c r="Z873" s="147"/>
    </row>
    <row r="874">
      <c r="A874" s="147"/>
      <c r="B874" s="147"/>
      <c r="C874" s="147"/>
      <c r="D874" s="147"/>
      <c r="E874" s="147"/>
      <c r="F874" s="147"/>
      <c r="G874" s="147"/>
      <c r="H874" s="147"/>
      <c r="I874" s="190"/>
      <c r="J874" s="147"/>
      <c r="K874" s="147"/>
      <c r="L874" s="147"/>
      <c r="M874" s="147"/>
      <c r="N874" s="147"/>
      <c r="O874" s="147"/>
      <c r="P874" s="147"/>
      <c r="Q874" s="147"/>
      <c r="R874" s="147"/>
      <c r="S874" s="147"/>
      <c r="T874" s="147"/>
      <c r="U874" s="147"/>
      <c r="V874" s="147"/>
      <c r="W874" s="147"/>
      <c r="X874" s="147"/>
      <c r="Y874" s="147"/>
      <c r="Z874" s="147"/>
    </row>
    <row r="875">
      <c r="A875" s="147"/>
      <c r="B875" s="147"/>
      <c r="C875" s="147"/>
      <c r="D875" s="147"/>
      <c r="E875" s="147"/>
      <c r="F875" s="147"/>
      <c r="G875" s="147"/>
      <c r="H875" s="147"/>
      <c r="I875" s="190"/>
      <c r="J875" s="147"/>
      <c r="K875" s="147"/>
      <c r="L875" s="147"/>
      <c r="M875" s="147"/>
      <c r="N875" s="147"/>
      <c r="O875" s="147"/>
      <c r="P875" s="147"/>
      <c r="Q875" s="147"/>
      <c r="R875" s="147"/>
      <c r="S875" s="147"/>
      <c r="T875" s="147"/>
      <c r="U875" s="147"/>
      <c r="V875" s="147"/>
      <c r="W875" s="147"/>
      <c r="X875" s="147"/>
      <c r="Y875" s="147"/>
      <c r="Z875" s="147"/>
    </row>
    <row r="876">
      <c r="A876" s="147"/>
      <c r="B876" s="147"/>
      <c r="C876" s="147"/>
      <c r="D876" s="147"/>
      <c r="E876" s="147"/>
      <c r="F876" s="147"/>
      <c r="G876" s="147"/>
      <c r="H876" s="147"/>
      <c r="I876" s="190"/>
      <c r="J876" s="147"/>
      <c r="K876" s="147"/>
      <c r="L876" s="147"/>
      <c r="M876" s="147"/>
      <c r="N876" s="147"/>
      <c r="O876" s="147"/>
      <c r="P876" s="147"/>
      <c r="Q876" s="147"/>
      <c r="R876" s="147"/>
      <c r="S876" s="147"/>
      <c r="T876" s="147"/>
      <c r="U876" s="147"/>
      <c r="V876" s="147"/>
      <c r="W876" s="147"/>
      <c r="X876" s="147"/>
      <c r="Y876" s="147"/>
      <c r="Z876" s="147"/>
    </row>
    <row r="877">
      <c r="A877" s="147"/>
      <c r="B877" s="147"/>
      <c r="C877" s="147"/>
      <c r="D877" s="147"/>
      <c r="E877" s="147"/>
      <c r="F877" s="147"/>
      <c r="G877" s="147"/>
      <c r="H877" s="147"/>
      <c r="I877" s="190"/>
      <c r="J877" s="147"/>
      <c r="K877" s="147"/>
      <c r="L877" s="147"/>
      <c r="M877" s="147"/>
      <c r="N877" s="147"/>
      <c r="O877" s="147"/>
      <c r="P877" s="147"/>
      <c r="Q877" s="147"/>
      <c r="R877" s="147"/>
      <c r="S877" s="147"/>
      <c r="T877" s="147"/>
      <c r="U877" s="147"/>
      <c r="V877" s="147"/>
      <c r="W877" s="147"/>
      <c r="X877" s="147"/>
      <c r="Y877" s="147"/>
      <c r="Z877" s="147"/>
    </row>
    <row r="878">
      <c r="A878" s="147"/>
      <c r="B878" s="147"/>
      <c r="C878" s="147"/>
      <c r="D878" s="147"/>
      <c r="E878" s="147"/>
      <c r="F878" s="147"/>
      <c r="G878" s="147"/>
      <c r="H878" s="147"/>
      <c r="I878" s="190"/>
      <c r="J878" s="147"/>
      <c r="K878" s="147"/>
      <c r="L878" s="147"/>
      <c r="M878" s="147"/>
      <c r="N878" s="147"/>
      <c r="O878" s="147"/>
      <c r="P878" s="147"/>
      <c r="Q878" s="147"/>
      <c r="R878" s="147"/>
      <c r="S878" s="147"/>
      <c r="T878" s="147"/>
      <c r="U878" s="147"/>
      <c r="V878" s="147"/>
      <c r="W878" s="147"/>
      <c r="X878" s="147"/>
      <c r="Y878" s="147"/>
      <c r="Z878" s="147"/>
    </row>
    <row r="879">
      <c r="A879" s="147"/>
      <c r="B879" s="147"/>
      <c r="C879" s="147"/>
      <c r="D879" s="147"/>
      <c r="E879" s="147"/>
      <c r="F879" s="147"/>
      <c r="G879" s="147"/>
      <c r="H879" s="147"/>
      <c r="I879" s="190"/>
      <c r="J879" s="147"/>
      <c r="K879" s="147"/>
      <c r="L879" s="147"/>
      <c r="M879" s="147"/>
      <c r="N879" s="147"/>
      <c r="O879" s="147"/>
      <c r="P879" s="147"/>
      <c r="Q879" s="147"/>
      <c r="R879" s="147"/>
      <c r="S879" s="147"/>
      <c r="T879" s="147"/>
      <c r="U879" s="147"/>
      <c r="V879" s="147"/>
      <c r="W879" s="147"/>
      <c r="X879" s="147"/>
      <c r="Y879" s="147"/>
      <c r="Z879" s="147"/>
    </row>
    <row r="880">
      <c r="A880" s="147"/>
      <c r="B880" s="147"/>
      <c r="C880" s="147"/>
      <c r="D880" s="147"/>
      <c r="E880" s="147"/>
      <c r="F880" s="147"/>
      <c r="G880" s="147"/>
      <c r="H880" s="147"/>
      <c r="I880" s="190"/>
      <c r="J880" s="147"/>
      <c r="K880" s="147"/>
      <c r="L880" s="147"/>
      <c r="M880" s="147"/>
      <c r="N880" s="147"/>
      <c r="O880" s="147"/>
      <c r="P880" s="147"/>
      <c r="Q880" s="147"/>
      <c r="R880" s="147"/>
      <c r="S880" s="147"/>
      <c r="T880" s="147"/>
      <c r="U880" s="147"/>
      <c r="V880" s="147"/>
      <c r="W880" s="147"/>
      <c r="X880" s="147"/>
      <c r="Y880" s="147"/>
      <c r="Z880" s="147"/>
    </row>
    <row r="881">
      <c r="A881" s="147"/>
      <c r="B881" s="147"/>
      <c r="C881" s="147"/>
      <c r="D881" s="147"/>
      <c r="E881" s="147"/>
      <c r="F881" s="147"/>
      <c r="G881" s="147"/>
      <c r="H881" s="147"/>
      <c r="I881" s="190"/>
      <c r="J881" s="147"/>
      <c r="K881" s="147"/>
      <c r="L881" s="147"/>
      <c r="M881" s="147"/>
      <c r="N881" s="147"/>
      <c r="O881" s="147"/>
      <c r="P881" s="147"/>
      <c r="Q881" s="147"/>
      <c r="R881" s="147"/>
      <c r="S881" s="147"/>
      <c r="T881" s="147"/>
      <c r="U881" s="147"/>
      <c r="V881" s="147"/>
      <c r="W881" s="147"/>
      <c r="X881" s="147"/>
      <c r="Y881" s="147"/>
      <c r="Z881" s="147"/>
    </row>
    <row r="882">
      <c r="A882" s="147"/>
      <c r="B882" s="147"/>
      <c r="C882" s="147"/>
      <c r="D882" s="147"/>
      <c r="E882" s="147"/>
      <c r="F882" s="147"/>
      <c r="G882" s="147"/>
      <c r="H882" s="147"/>
      <c r="I882" s="190"/>
      <c r="J882" s="147"/>
      <c r="K882" s="147"/>
      <c r="L882" s="147"/>
      <c r="M882" s="147"/>
      <c r="N882" s="147"/>
      <c r="O882" s="147"/>
      <c r="P882" s="147"/>
      <c r="Q882" s="147"/>
      <c r="R882" s="147"/>
      <c r="S882" s="147"/>
      <c r="T882" s="147"/>
      <c r="U882" s="147"/>
      <c r="V882" s="147"/>
      <c r="W882" s="147"/>
      <c r="X882" s="147"/>
      <c r="Y882" s="147"/>
      <c r="Z882" s="147"/>
    </row>
    <row r="883">
      <c r="A883" s="147"/>
      <c r="B883" s="147"/>
      <c r="C883" s="147"/>
      <c r="D883" s="147"/>
      <c r="E883" s="147"/>
      <c r="F883" s="147"/>
      <c r="G883" s="147"/>
      <c r="H883" s="147"/>
      <c r="I883" s="190"/>
      <c r="J883" s="147"/>
      <c r="K883" s="147"/>
      <c r="L883" s="147"/>
      <c r="M883" s="147"/>
      <c r="N883" s="147"/>
      <c r="O883" s="147"/>
      <c r="P883" s="147"/>
      <c r="Q883" s="147"/>
      <c r="R883" s="147"/>
      <c r="S883" s="147"/>
      <c r="T883" s="147"/>
      <c r="U883" s="147"/>
      <c r="V883" s="147"/>
      <c r="W883" s="147"/>
      <c r="X883" s="147"/>
      <c r="Y883" s="147"/>
      <c r="Z883" s="147"/>
    </row>
    <row r="884">
      <c r="A884" s="147"/>
      <c r="B884" s="147"/>
      <c r="C884" s="147"/>
      <c r="D884" s="147"/>
      <c r="E884" s="147"/>
      <c r="F884" s="147"/>
      <c r="G884" s="147"/>
      <c r="H884" s="147"/>
      <c r="I884" s="190"/>
      <c r="J884" s="147"/>
      <c r="K884" s="147"/>
      <c r="L884" s="147"/>
      <c r="M884" s="147"/>
      <c r="N884" s="147"/>
      <c r="O884" s="147"/>
      <c r="P884" s="147"/>
      <c r="Q884" s="147"/>
      <c r="R884" s="147"/>
      <c r="S884" s="147"/>
      <c r="T884" s="147"/>
      <c r="U884" s="147"/>
      <c r="V884" s="147"/>
      <c r="W884" s="147"/>
      <c r="X884" s="147"/>
      <c r="Y884" s="147"/>
      <c r="Z884" s="147"/>
    </row>
    <row r="885">
      <c r="A885" s="147"/>
      <c r="B885" s="147"/>
      <c r="C885" s="147"/>
      <c r="D885" s="147"/>
      <c r="E885" s="147"/>
      <c r="F885" s="147"/>
      <c r="G885" s="147"/>
      <c r="H885" s="147"/>
      <c r="I885" s="190"/>
      <c r="J885" s="147"/>
      <c r="K885" s="147"/>
      <c r="L885" s="147"/>
      <c r="M885" s="147"/>
      <c r="N885" s="147"/>
      <c r="O885" s="147"/>
      <c r="P885" s="147"/>
      <c r="Q885" s="147"/>
      <c r="R885" s="147"/>
      <c r="S885" s="147"/>
      <c r="T885" s="147"/>
      <c r="U885" s="147"/>
      <c r="V885" s="147"/>
      <c r="W885" s="147"/>
      <c r="X885" s="147"/>
      <c r="Y885" s="147"/>
      <c r="Z885" s="147"/>
    </row>
    <row r="886">
      <c r="A886" s="147"/>
      <c r="B886" s="147"/>
      <c r="C886" s="147"/>
      <c r="D886" s="147"/>
      <c r="E886" s="147"/>
      <c r="F886" s="147"/>
      <c r="G886" s="147"/>
      <c r="H886" s="147"/>
      <c r="I886" s="190"/>
      <c r="J886" s="147"/>
      <c r="K886" s="147"/>
      <c r="L886" s="147"/>
      <c r="M886" s="147"/>
      <c r="N886" s="147"/>
      <c r="O886" s="147"/>
      <c r="P886" s="147"/>
      <c r="Q886" s="147"/>
      <c r="R886" s="147"/>
      <c r="S886" s="147"/>
      <c r="T886" s="147"/>
      <c r="U886" s="147"/>
      <c r="V886" s="147"/>
      <c r="W886" s="147"/>
      <c r="X886" s="147"/>
      <c r="Y886" s="147"/>
      <c r="Z886" s="147"/>
    </row>
    <row r="887">
      <c r="A887" s="147"/>
      <c r="B887" s="147"/>
      <c r="C887" s="147"/>
      <c r="D887" s="147"/>
      <c r="E887" s="147"/>
      <c r="F887" s="147"/>
      <c r="G887" s="147"/>
      <c r="H887" s="147"/>
      <c r="I887" s="190"/>
      <c r="J887" s="147"/>
      <c r="K887" s="147"/>
      <c r="L887" s="147"/>
      <c r="M887" s="147"/>
      <c r="N887" s="147"/>
      <c r="O887" s="147"/>
      <c r="P887" s="147"/>
      <c r="Q887" s="147"/>
      <c r="R887" s="147"/>
      <c r="S887" s="147"/>
      <c r="T887" s="147"/>
      <c r="U887" s="147"/>
      <c r="V887" s="147"/>
      <c r="W887" s="147"/>
      <c r="X887" s="147"/>
      <c r="Y887" s="147"/>
      <c r="Z887" s="147"/>
    </row>
    <row r="888">
      <c r="A888" s="147"/>
      <c r="B888" s="147"/>
      <c r="C888" s="147"/>
      <c r="D888" s="147"/>
      <c r="E888" s="147"/>
      <c r="F888" s="147"/>
      <c r="G888" s="147"/>
      <c r="H888" s="147"/>
      <c r="I888" s="190"/>
      <c r="J888" s="147"/>
      <c r="K888" s="147"/>
      <c r="L888" s="147"/>
      <c r="M888" s="147"/>
      <c r="N888" s="147"/>
      <c r="O888" s="147"/>
      <c r="P888" s="147"/>
      <c r="Q888" s="147"/>
      <c r="R888" s="147"/>
      <c r="S888" s="147"/>
      <c r="T888" s="147"/>
      <c r="U888" s="147"/>
      <c r="V888" s="147"/>
      <c r="W888" s="147"/>
      <c r="X888" s="147"/>
      <c r="Y888" s="147"/>
      <c r="Z888" s="147"/>
    </row>
    <row r="889">
      <c r="A889" s="147"/>
      <c r="B889" s="147"/>
      <c r="C889" s="147"/>
      <c r="D889" s="147"/>
      <c r="E889" s="147"/>
      <c r="F889" s="147"/>
      <c r="G889" s="147"/>
      <c r="H889" s="147"/>
      <c r="I889" s="190"/>
      <c r="J889" s="147"/>
      <c r="K889" s="147"/>
      <c r="L889" s="147"/>
      <c r="M889" s="147"/>
      <c r="N889" s="147"/>
      <c r="O889" s="147"/>
      <c r="P889" s="147"/>
      <c r="Q889" s="147"/>
      <c r="R889" s="147"/>
      <c r="S889" s="147"/>
      <c r="T889" s="147"/>
      <c r="U889" s="147"/>
      <c r="V889" s="147"/>
      <c r="W889" s="147"/>
      <c r="X889" s="147"/>
      <c r="Y889" s="147"/>
      <c r="Z889" s="147"/>
    </row>
    <row r="890">
      <c r="A890" s="147"/>
      <c r="B890" s="147"/>
      <c r="C890" s="147"/>
      <c r="D890" s="147"/>
      <c r="E890" s="147"/>
      <c r="F890" s="147"/>
      <c r="G890" s="147"/>
      <c r="H890" s="147"/>
      <c r="I890" s="190"/>
      <c r="J890" s="147"/>
      <c r="K890" s="147"/>
      <c r="L890" s="147"/>
      <c r="M890" s="147"/>
      <c r="N890" s="147"/>
      <c r="O890" s="147"/>
      <c r="P890" s="147"/>
      <c r="Q890" s="147"/>
      <c r="R890" s="147"/>
      <c r="S890" s="147"/>
      <c r="T890" s="147"/>
      <c r="U890" s="147"/>
      <c r="V890" s="147"/>
      <c r="W890" s="147"/>
      <c r="X890" s="147"/>
      <c r="Y890" s="147"/>
      <c r="Z890" s="147"/>
    </row>
    <row r="891">
      <c r="A891" s="147"/>
      <c r="B891" s="147"/>
      <c r="C891" s="147"/>
      <c r="D891" s="147"/>
      <c r="E891" s="147"/>
      <c r="F891" s="147"/>
      <c r="G891" s="147"/>
      <c r="H891" s="147"/>
      <c r="I891" s="190"/>
      <c r="J891" s="147"/>
      <c r="K891" s="147"/>
      <c r="L891" s="147"/>
      <c r="M891" s="147"/>
      <c r="N891" s="147"/>
      <c r="O891" s="147"/>
      <c r="P891" s="147"/>
      <c r="Q891" s="147"/>
      <c r="R891" s="147"/>
      <c r="S891" s="147"/>
      <c r="T891" s="147"/>
      <c r="U891" s="147"/>
      <c r="V891" s="147"/>
      <c r="W891" s="147"/>
      <c r="X891" s="147"/>
      <c r="Y891" s="147"/>
      <c r="Z891" s="147"/>
    </row>
    <row r="892">
      <c r="A892" s="147"/>
      <c r="B892" s="147"/>
      <c r="C892" s="147"/>
      <c r="D892" s="147"/>
      <c r="E892" s="147"/>
      <c r="F892" s="147"/>
      <c r="G892" s="147"/>
      <c r="H892" s="147"/>
      <c r="I892" s="190"/>
      <c r="J892" s="147"/>
      <c r="K892" s="147"/>
      <c r="L892" s="147"/>
      <c r="M892" s="147"/>
      <c r="N892" s="147"/>
      <c r="O892" s="147"/>
      <c r="P892" s="147"/>
      <c r="Q892" s="147"/>
      <c r="R892" s="147"/>
      <c r="S892" s="147"/>
      <c r="T892" s="147"/>
      <c r="U892" s="147"/>
      <c r="V892" s="147"/>
      <c r="W892" s="147"/>
      <c r="X892" s="147"/>
      <c r="Y892" s="147"/>
      <c r="Z892" s="147"/>
    </row>
    <row r="893">
      <c r="A893" s="147"/>
      <c r="B893" s="147"/>
      <c r="C893" s="147"/>
      <c r="D893" s="147"/>
      <c r="E893" s="147"/>
      <c r="F893" s="147"/>
      <c r="G893" s="147"/>
      <c r="H893" s="147"/>
      <c r="I893" s="190"/>
      <c r="J893" s="147"/>
      <c r="K893" s="147"/>
      <c r="L893" s="147"/>
      <c r="M893" s="147"/>
      <c r="N893" s="147"/>
      <c r="O893" s="147"/>
      <c r="P893" s="147"/>
      <c r="Q893" s="147"/>
      <c r="R893" s="147"/>
      <c r="S893" s="147"/>
      <c r="T893" s="147"/>
      <c r="U893" s="147"/>
      <c r="V893" s="147"/>
      <c r="W893" s="147"/>
      <c r="X893" s="147"/>
      <c r="Y893" s="147"/>
      <c r="Z893" s="147"/>
    </row>
    <row r="894">
      <c r="A894" s="147"/>
      <c r="B894" s="147"/>
      <c r="C894" s="147"/>
      <c r="D894" s="147"/>
      <c r="E894" s="147"/>
      <c r="F894" s="147"/>
      <c r="G894" s="147"/>
      <c r="H894" s="147"/>
      <c r="I894" s="190"/>
      <c r="J894" s="147"/>
      <c r="K894" s="147"/>
      <c r="L894" s="147"/>
      <c r="M894" s="147"/>
      <c r="N894" s="147"/>
      <c r="O894" s="147"/>
      <c r="P894" s="147"/>
      <c r="Q894" s="147"/>
      <c r="R894" s="147"/>
      <c r="S894" s="147"/>
      <c r="T894" s="147"/>
      <c r="U894" s="147"/>
      <c r="V894" s="147"/>
      <c r="W894" s="147"/>
      <c r="X894" s="147"/>
      <c r="Y894" s="147"/>
      <c r="Z894" s="147"/>
    </row>
    <row r="895">
      <c r="A895" s="147"/>
      <c r="B895" s="147"/>
      <c r="C895" s="147"/>
      <c r="D895" s="147"/>
      <c r="E895" s="147"/>
      <c r="F895" s="147"/>
      <c r="G895" s="147"/>
      <c r="H895" s="147"/>
      <c r="I895" s="190"/>
      <c r="J895" s="147"/>
      <c r="K895" s="147"/>
      <c r="L895" s="147"/>
      <c r="M895" s="147"/>
      <c r="N895" s="147"/>
      <c r="O895" s="147"/>
      <c r="P895" s="147"/>
      <c r="Q895" s="147"/>
      <c r="R895" s="147"/>
      <c r="S895" s="147"/>
      <c r="T895" s="147"/>
      <c r="U895" s="147"/>
      <c r="V895" s="147"/>
      <c r="W895" s="147"/>
      <c r="X895" s="147"/>
      <c r="Y895" s="147"/>
      <c r="Z895" s="147"/>
    </row>
    <row r="896">
      <c r="A896" s="147"/>
      <c r="B896" s="147"/>
      <c r="C896" s="147"/>
      <c r="D896" s="147"/>
      <c r="E896" s="147"/>
      <c r="F896" s="147"/>
      <c r="G896" s="147"/>
      <c r="H896" s="147"/>
      <c r="I896" s="190"/>
      <c r="J896" s="147"/>
      <c r="K896" s="147"/>
      <c r="L896" s="147"/>
      <c r="M896" s="147"/>
      <c r="N896" s="147"/>
      <c r="O896" s="147"/>
      <c r="P896" s="147"/>
      <c r="Q896" s="147"/>
      <c r="R896" s="147"/>
      <c r="S896" s="147"/>
      <c r="T896" s="147"/>
      <c r="U896" s="147"/>
      <c r="V896" s="147"/>
      <c r="W896" s="147"/>
      <c r="X896" s="147"/>
      <c r="Y896" s="147"/>
      <c r="Z896" s="147"/>
    </row>
    <row r="897">
      <c r="A897" s="147"/>
      <c r="B897" s="147"/>
      <c r="C897" s="147"/>
      <c r="D897" s="147"/>
      <c r="E897" s="147"/>
      <c r="F897" s="147"/>
      <c r="G897" s="147"/>
      <c r="H897" s="147"/>
      <c r="I897" s="190"/>
      <c r="J897" s="147"/>
      <c r="K897" s="147"/>
      <c r="L897" s="147"/>
      <c r="M897" s="147"/>
      <c r="N897" s="147"/>
      <c r="O897" s="147"/>
      <c r="P897" s="147"/>
      <c r="Q897" s="147"/>
      <c r="R897" s="147"/>
      <c r="S897" s="147"/>
      <c r="T897" s="147"/>
      <c r="U897" s="147"/>
      <c r="V897" s="147"/>
      <c r="W897" s="147"/>
      <c r="X897" s="147"/>
      <c r="Y897" s="147"/>
      <c r="Z897" s="147"/>
    </row>
    <row r="898">
      <c r="A898" s="147"/>
      <c r="B898" s="147"/>
      <c r="C898" s="147"/>
      <c r="D898" s="147"/>
      <c r="E898" s="147"/>
      <c r="F898" s="147"/>
      <c r="G898" s="147"/>
      <c r="H898" s="147"/>
      <c r="I898" s="190"/>
      <c r="J898" s="147"/>
      <c r="K898" s="147"/>
      <c r="L898" s="147"/>
      <c r="M898" s="147"/>
      <c r="N898" s="147"/>
      <c r="O898" s="147"/>
      <c r="P898" s="147"/>
      <c r="Q898" s="147"/>
      <c r="R898" s="147"/>
      <c r="S898" s="147"/>
      <c r="T898" s="147"/>
      <c r="U898" s="147"/>
      <c r="V898" s="147"/>
      <c r="W898" s="147"/>
      <c r="X898" s="147"/>
      <c r="Y898" s="147"/>
      <c r="Z898" s="147"/>
    </row>
    <row r="899">
      <c r="A899" s="147"/>
      <c r="B899" s="147"/>
      <c r="C899" s="147"/>
      <c r="D899" s="147"/>
      <c r="E899" s="147"/>
      <c r="F899" s="147"/>
      <c r="G899" s="147"/>
      <c r="H899" s="147"/>
      <c r="I899" s="190"/>
      <c r="J899" s="147"/>
      <c r="K899" s="147"/>
      <c r="L899" s="147"/>
      <c r="M899" s="147"/>
      <c r="N899" s="147"/>
      <c r="O899" s="147"/>
      <c r="P899" s="147"/>
      <c r="Q899" s="147"/>
      <c r="R899" s="147"/>
      <c r="S899" s="147"/>
      <c r="T899" s="147"/>
      <c r="U899" s="147"/>
      <c r="V899" s="147"/>
      <c r="W899" s="147"/>
      <c r="X899" s="147"/>
      <c r="Y899" s="147"/>
      <c r="Z899" s="147"/>
    </row>
    <row r="900">
      <c r="A900" s="147"/>
      <c r="B900" s="147"/>
      <c r="C900" s="147"/>
      <c r="D900" s="147"/>
      <c r="E900" s="147"/>
      <c r="F900" s="147"/>
      <c r="G900" s="147"/>
      <c r="H900" s="147"/>
      <c r="I900" s="190"/>
      <c r="J900" s="147"/>
      <c r="K900" s="147"/>
      <c r="L900" s="147"/>
      <c r="M900" s="147"/>
      <c r="N900" s="147"/>
      <c r="O900" s="147"/>
      <c r="P900" s="147"/>
      <c r="Q900" s="147"/>
      <c r="R900" s="147"/>
      <c r="S900" s="147"/>
      <c r="T900" s="147"/>
      <c r="U900" s="147"/>
      <c r="V900" s="147"/>
      <c r="W900" s="147"/>
      <c r="X900" s="147"/>
      <c r="Y900" s="147"/>
      <c r="Z900" s="147"/>
    </row>
    <row r="901">
      <c r="A901" s="147"/>
      <c r="B901" s="147"/>
      <c r="C901" s="147"/>
      <c r="D901" s="147"/>
      <c r="E901" s="147"/>
      <c r="F901" s="147"/>
      <c r="G901" s="147"/>
      <c r="H901" s="147"/>
      <c r="I901" s="190"/>
      <c r="J901" s="147"/>
      <c r="K901" s="147"/>
      <c r="L901" s="147"/>
      <c r="M901" s="147"/>
      <c r="N901" s="147"/>
      <c r="O901" s="147"/>
      <c r="P901" s="147"/>
      <c r="Q901" s="147"/>
      <c r="R901" s="147"/>
      <c r="S901" s="147"/>
      <c r="T901" s="147"/>
      <c r="U901" s="147"/>
      <c r="V901" s="147"/>
      <c r="W901" s="147"/>
      <c r="X901" s="147"/>
      <c r="Y901" s="147"/>
      <c r="Z901" s="147"/>
    </row>
    <row r="902">
      <c r="A902" s="147"/>
      <c r="B902" s="147"/>
      <c r="C902" s="147"/>
      <c r="D902" s="147"/>
      <c r="E902" s="147"/>
      <c r="F902" s="147"/>
      <c r="G902" s="147"/>
      <c r="H902" s="147"/>
      <c r="I902" s="190"/>
      <c r="J902" s="147"/>
      <c r="K902" s="147"/>
      <c r="L902" s="147"/>
      <c r="M902" s="147"/>
      <c r="N902" s="147"/>
      <c r="O902" s="147"/>
      <c r="P902" s="147"/>
      <c r="Q902" s="147"/>
      <c r="R902" s="147"/>
      <c r="S902" s="147"/>
      <c r="T902" s="147"/>
      <c r="U902" s="147"/>
      <c r="V902" s="147"/>
      <c r="W902" s="147"/>
      <c r="X902" s="147"/>
      <c r="Y902" s="147"/>
      <c r="Z902" s="147"/>
    </row>
    <row r="903">
      <c r="A903" s="147"/>
      <c r="B903" s="147"/>
      <c r="C903" s="147"/>
      <c r="D903" s="147"/>
      <c r="E903" s="147"/>
      <c r="F903" s="147"/>
      <c r="G903" s="147"/>
      <c r="H903" s="147"/>
      <c r="I903" s="190"/>
      <c r="J903" s="147"/>
      <c r="K903" s="147"/>
      <c r="L903" s="147"/>
      <c r="M903" s="147"/>
      <c r="N903" s="147"/>
      <c r="O903" s="147"/>
      <c r="P903" s="147"/>
      <c r="Q903" s="147"/>
      <c r="R903" s="147"/>
      <c r="S903" s="147"/>
      <c r="T903" s="147"/>
      <c r="U903" s="147"/>
      <c r="V903" s="147"/>
      <c r="W903" s="147"/>
      <c r="X903" s="147"/>
      <c r="Y903" s="147"/>
      <c r="Z903" s="147"/>
    </row>
    <row r="904">
      <c r="A904" s="147"/>
      <c r="B904" s="147"/>
      <c r="C904" s="147"/>
      <c r="D904" s="147"/>
      <c r="E904" s="147"/>
      <c r="F904" s="147"/>
      <c r="G904" s="147"/>
      <c r="H904" s="147"/>
      <c r="I904" s="190"/>
      <c r="J904" s="147"/>
      <c r="K904" s="147"/>
      <c r="L904" s="147"/>
      <c r="M904" s="147"/>
      <c r="N904" s="147"/>
      <c r="O904" s="147"/>
      <c r="P904" s="147"/>
      <c r="Q904" s="147"/>
      <c r="R904" s="147"/>
      <c r="S904" s="147"/>
      <c r="T904" s="147"/>
      <c r="U904" s="147"/>
      <c r="V904" s="147"/>
      <c r="W904" s="147"/>
      <c r="X904" s="147"/>
      <c r="Y904" s="147"/>
      <c r="Z904" s="147"/>
    </row>
    <row r="905">
      <c r="A905" s="147"/>
      <c r="B905" s="147"/>
      <c r="C905" s="147"/>
      <c r="D905" s="147"/>
      <c r="E905" s="147"/>
      <c r="F905" s="147"/>
      <c r="G905" s="147"/>
      <c r="H905" s="147"/>
      <c r="I905" s="190"/>
      <c r="J905" s="147"/>
      <c r="K905" s="147"/>
      <c r="L905" s="147"/>
      <c r="M905" s="147"/>
      <c r="N905" s="147"/>
      <c r="O905" s="147"/>
      <c r="P905" s="147"/>
      <c r="Q905" s="147"/>
      <c r="R905" s="147"/>
      <c r="S905" s="147"/>
      <c r="T905" s="147"/>
      <c r="U905" s="147"/>
      <c r="V905" s="147"/>
      <c r="W905" s="147"/>
      <c r="X905" s="147"/>
      <c r="Y905" s="147"/>
      <c r="Z905" s="147"/>
    </row>
    <row r="906">
      <c r="A906" s="147"/>
      <c r="B906" s="147"/>
      <c r="C906" s="147"/>
      <c r="D906" s="147"/>
      <c r="E906" s="147"/>
      <c r="F906" s="147"/>
      <c r="G906" s="147"/>
      <c r="H906" s="147"/>
      <c r="I906" s="190"/>
      <c r="J906" s="147"/>
      <c r="K906" s="147"/>
      <c r="L906" s="147"/>
      <c r="M906" s="147"/>
      <c r="N906" s="147"/>
      <c r="O906" s="147"/>
      <c r="P906" s="147"/>
      <c r="Q906" s="147"/>
      <c r="R906" s="147"/>
      <c r="S906" s="147"/>
      <c r="T906" s="147"/>
      <c r="U906" s="147"/>
      <c r="V906" s="147"/>
      <c r="W906" s="147"/>
      <c r="X906" s="147"/>
      <c r="Y906" s="147"/>
      <c r="Z906" s="147"/>
    </row>
    <row r="907">
      <c r="A907" s="147"/>
      <c r="B907" s="147"/>
      <c r="C907" s="147"/>
      <c r="D907" s="147"/>
      <c r="E907" s="147"/>
      <c r="F907" s="147"/>
      <c r="G907" s="147"/>
      <c r="H907" s="147"/>
      <c r="I907" s="190"/>
      <c r="J907" s="147"/>
      <c r="K907" s="147"/>
      <c r="L907" s="147"/>
      <c r="M907" s="147"/>
      <c r="N907" s="147"/>
      <c r="O907" s="147"/>
      <c r="P907" s="147"/>
      <c r="Q907" s="147"/>
      <c r="R907" s="147"/>
      <c r="S907" s="147"/>
      <c r="T907" s="147"/>
      <c r="U907" s="147"/>
      <c r="V907" s="147"/>
      <c r="W907" s="147"/>
      <c r="X907" s="147"/>
      <c r="Y907" s="147"/>
      <c r="Z907" s="147"/>
    </row>
    <row r="908">
      <c r="A908" s="147"/>
      <c r="B908" s="147"/>
      <c r="C908" s="147"/>
      <c r="D908" s="147"/>
      <c r="E908" s="147"/>
      <c r="F908" s="147"/>
      <c r="G908" s="147"/>
      <c r="H908" s="147"/>
      <c r="I908" s="190"/>
      <c r="J908" s="147"/>
      <c r="K908" s="147"/>
      <c r="L908" s="147"/>
      <c r="M908" s="147"/>
      <c r="N908" s="147"/>
      <c r="O908" s="147"/>
      <c r="P908" s="147"/>
      <c r="Q908" s="147"/>
      <c r="R908" s="147"/>
      <c r="S908" s="147"/>
      <c r="T908" s="147"/>
      <c r="U908" s="147"/>
      <c r="V908" s="147"/>
      <c r="W908" s="147"/>
      <c r="X908" s="147"/>
      <c r="Y908" s="147"/>
      <c r="Z908" s="147"/>
    </row>
    <row r="909">
      <c r="A909" s="147"/>
      <c r="B909" s="147"/>
      <c r="C909" s="147"/>
      <c r="D909" s="147"/>
      <c r="E909" s="147"/>
      <c r="F909" s="147"/>
      <c r="G909" s="147"/>
      <c r="H909" s="147"/>
      <c r="I909" s="190"/>
      <c r="J909" s="147"/>
      <c r="K909" s="147"/>
      <c r="L909" s="147"/>
      <c r="M909" s="147"/>
      <c r="N909" s="147"/>
      <c r="O909" s="147"/>
      <c r="P909" s="147"/>
      <c r="Q909" s="147"/>
      <c r="R909" s="147"/>
      <c r="S909" s="147"/>
      <c r="T909" s="147"/>
      <c r="U909" s="147"/>
      <c r="V909" s="147"/>
      <c r="W909" s="147"/>
      <c r="X909" s="147"/>
      <c r="Y909" s="147"/>
      <c r="Z909" s="147"/>
    </row>
    <row r="910">
      <c r="A910" s="147"/>
      <c r="B910" s="147"/>
      <c r="C910" s="147"/>
      <c r="D910" s="147"/>
      <c r="E910" s="147"/>
      <c r="F910" s="147"/>
      <c r="G910" s="147"/>
      <c r="H910" s="147"/>
      <c r="I910" s="190"/>
      <c r="J910" s="147"/>
      <c r="K910" s="147"/>
      <c r="L910" s="147"/>
      <c r="M910" s="147"/>
      <c r="N910" s="147"/>
      <c r="O910" s="147"/>
      <c r="P910" s="147"/>
      <c r="Q910" s="147"/>
      <c r="R910" s="147"/>
      <c r="S910" s="147"/>
      <c r="T910" s="147"/>
      <c r="U910" s="147"/>
      <c r="V910" s="147"/>
      <c r="W910" s="147"/>
      <c r="X910" s="147"/>
      <c r="Y910" s="147"/>
      <c r="Z910" s="147"/>
    </row>
    <row r="911">
      <c r="A911" s="147"/>
      <c r="B911" s="147"/>
      <c r="C911" s="147"/>
      <c r="D911" s="147"/>
      <c r="E911" s="147"/>
      <c r="F911" s="147"/>
      <c r="G911" s="147"/>
      <c r="H911" s="147"/>
      <c r="I911" s="190"/>
      <c r="J911" s="147"/>
      <c r="K911" s="147"/>
      <c r="L911" s="147"/>
      <c r="M911" s="147"/>
      <c r="N911" s="147"/>
      <c r="O911" s="147"/>
      <c r="P911" s="147"/>
      <c r="Q911" s="147"/>
      <c r="R911" s="147"/>
      <c r="S911" s="147"/>
      <c r="T911" s="147"/>
      <c r="U911" s="147"/>
      <c r="V911" s="147"/>
      <c r="W911" s="147"/>
      <c r="X911" s="147"/>
      <c r="Y911" s="147"/>
      <c r="Z911" s="147"/>
    </row>
    <row r="912">
      <c r="A912" s="147"/>
      <c r="B912" s="147"/>
      <c r="C912" s="147"/>
      <c r="D912" s="147"/>
      <c r="E912" s="147"/>
      <c r="F912" s="147"/>
      <c r="G912" s="147"/>
      <c r="H912" s="147"/>
      <c r="I912" s="190"/>
      <c r="J912" s="147"/>
      <c r="K912" s="147"/>
      <c r="L912" s="147"/>
      <c r="M912" s="147"/>
      <c r="N912" s="147"/>
      <c r="O912" s="147"/>
      <c r="P912" s="147"/>
      <c r="Q912" s="147"/>
      <c r="R912" s="147"/>
      <c r="S912" s="147"/>
      <c r="T912" s="147"/>
      <c r="U912" s="147"/>
      <c r="V912" s="147"/>
      <c r="W912" s="147"/>
      <c r="X912" s="147"/>
      <c r="Y912" s="147"/>
      <c r="Z912" s="147"/>
    </row>
    <row r="913">
      <c r="A913" s="147"/>
      <c r="B913" s="147"/>
      <c r="C913" s="147"/>
      <c r="D913" s="147"/>
      <c r="E913" s="147"/>
      <c r="F913" s="147"/>
      <c r="G913" s="147"/>
      <c r="H913" s="147"/>
      <c r="I913" s="190"/>
      <c r="J913" s="147"/>
      <c r="K913" s="147"/>
      <c r="L913" s="147"/>
      <c r="M913" s="147"/>
      <c r="N913" s="147"/>
      <c r="O913" s="147"/>
      <c r="P913" s="147"/>
      <c r="Q913" s="147"/>
      <c r="R913" s="147"/>
      <c r="S913" s="147"/>
      <c r="T913" s="147"/>
      <c r="U913" s="147"/>
      <c r="V913" s="147"/>
      <c r="W913" s="147"/>
      <c r="X913" s="147"/>
      <c r="Y913" s="147"/>
      <c r="Z913" s="147"/>
    </row>
    <row r="914">
      <c r="A914" s="147"/>
      <c r="B914" s="147"/>
      <c r="C914" s="147"/>
      <c r="D914" s="147"/>
      <c r="E914" s="147"/>
      <c r="F914" s="147"/>
      <c r="G914" s="147"/>
      <c r="H914" s="147"/>
      <c r="I914" s="190"/>
      <c r="J914" s="147"/>
      <c r="K914" s="147"/>
      <c r="L914" s="147"/>
      <c r="M914" s="147"/>
      <c r="N914" s="147"/>
      <c r="O914" s="147"/>
      <c r="P914" s="147"/>
      <c r="Q914" s="147"/>
      <c r="R914" s="147"/>
      <c r="S914" s="147"/>
      <c r="T914" s="147"/>
      <c r="U914" s="147"/>
      <c r="V914" s="147"/>
      <c r="W914" s="147"/>
      <c r="X914" s="147"/>
      <c r="Y914" s="147"/>
      <c r="Z914" s="147"/>
    </row>
    <row r="915">
      <c r="A915" s="147"/>
      <c r="B915" s="147"/>
      <c r="C915" s="147"/>
      <c r="D915" s="147"/>
      <c r="E915" s="147"/>
      <c r="F915" s="147"/>
      <c r="G915" s="147"/>
      <c r="H915" s="147"/>
      <c r="I915" s="190"/>
      <c r="J915" s="147"/>
      <c r="K915" s="147"/>
      <c r="L915" s="147"/>
      <c r="M915" s="147"/>
      <c r="N915" s="147"/>
      <c r="O915" s="147"/>
      <c r="P915" s="147"/>
      <c r="Q915" s="147"/>
      <c r="R915" s="147"/>
      <c r="S915" s="147"/>
      <c r="T915" s="147"/>
      <c r="U915" s="147"/>
      <c r="V915" s="147"/>
      <c r="W915" s="147"/>
      <c r="X915" s="147"/>
      <c r="Y915" s="147"/>
      <c r="Z915" s="147"/>
    </row>
    <row r="916">
      <c r="A916" s="147"/>
      <c r="B916" s="147"/>
      <c r="C916" s="147"/>
      <c r="D916" s="147"/>
      <c r="E916" s="147"/>
      <c r="F916" s="147"/>
      <c r="G916" s="147"/>
      <c r="H916" s="147"/>
      <c r="I916" s="190"/>
      <c r="J916" s="147"/>
      <c r="K916" s="147"/>
      <c r="L916" s="147"/>
      <c r="M916" s="147"/>
      <c r="N916" s="147"/>
      <c r="O916" s="147"/>
      <c r="P916" s="147"/>
      <c r="Q916" s="147"/>
      <c r="R916" s="147"/>
      <c r="S916" s="147"/>
      <c r="T916" s="147"/>
      <c r="U916" s="147"/>
      <c r="V916" s="147"/>
      <c r="W916" s="147"/>
      <c r="X916" s="147"/>
      <c r="Y916" s="147"/>
      <c r="Z916" s="147"/>
    </row>
    <row r="917">
      <c r="A917" s="147"/>
      <c r="B917" s="147"/>
      <c r="C917" s="147"/>
      <c r="D917" s="147"/>
      <c r="E917" s="147"/>
      <c r="F917" s="147"/>
      <c r="G917" s="147"/>
      <c r="H917" s="147"/>
      <c r="I917" s="190"/>
      <c r="J917" s="147"/>
      <c r="K917" s="147"/>
      <c r="L917" s="147"/>
      <c r="M917" s="147"/>
      <c r="N917" s="147"/>
      <c r="O917" s="147"/>
      <c r="P917" s="147"/>
      <c r="Q917" s="147"/>
      <c r="R917" s="147"/>
      <c r="S917" s="147"/>
      <c r="T917" s="147"/>
      <c r="U917" s="147"/>
      <c r="V917" s="147"/>
      <c r="W917" s="147"/>
      <c r="X917" s="147"/>
      <c r="Y917" s="147"/>
      <c r="Z917" s="147"/>
    </row>
    <row r="918">
      <c r="A918" s="147"/>
      <c r="B918" s="147"/>
      <c r="C918" s="147"/>
      <c r="D918" s="147"/>
      <c r="E918" s="147"/>
      <c r="F918" s="147"/>
      <c r="G918" s="147"/>
      <c r="H918" s="147"/>
      <c r="I918" s="190"/>
      <c r="J918" s="147"/>
      <c r="K918" s="147"/>
      <c r="L918" s="147"/>
      <c r="M918" s="147"/>
      <c r="N918" s="147"/>
      <c r="O918" s="147"/>
      <c r="P918" s="147"/>
      <c r="Q918" s="147"/>
      <c r="R918" s="147"/>
      <c r="S918" s="147"/>
      <c r="T918" s="147"/>
      <c r="U918" s="147"/>
      <c r="V918" s="147"/>
      <c r="W918" s="147"/>
      <c r="X918" s="147"/>
      <c r="Y918" s="147"/>
      <c r="Z918" s="147"/>
    </row>
    <row r="919">
      <c r="A919" s="147"/>
      <c r="B919" s="147"/>
      <c r="C919" s="147"/>
      <c r="D919" s="147"/>
      <c r="E919" s="147"/>
      <c r="F919" s="147"/>
      <c r="G919" s="147"/>
      <c r="H919" s="147"/>
      <c r="I919" s="190"/>
      <c r="J919" s="147"/>
      <c r="K919" s="147"/>
      <c r="L919" s="147"/>
      <c r="M919" s="147"/>
      <c r="N919" s="147"/>
      <c r="O919" s="147"/>
      <c r="P919" s="147"/>
      <c r="Q919" s="147"/>
      <c r="R919" s="147"/>
      <c r="S919" s="147"/>
      <c r="T919" s="147"/>
      <c r="U919" s="147"/>
      <c r="V919" s="147"/>
      <c r="W919" s="147"/>
      <c r="X919" s="147"/>
      <c r="Y919" s="147"/>
      <c r="Z919" s="147"/>
    </row>
    <row r="920">
      <c r="A920" s="147"/>
      <c r="B920" s="147"/>
      <c r="C920" s="147"/>
      <c r="D920" s="147"/>
      <c r="E920" s="147"/>
      <c r="F920" s="147"/>
      <c r="G920" s="147"/>
      <c r="H920" s="147"/>
      <c r="I920" s="190"/>
      <c r="J920" s="147"/>
      <c r="K920" s="147"/>
      <c r="L920" s="147"/>
      <c r="M920" s="147"/>
      <c r="N920" s="147"/>
      <c r="O920" s="147"/>
      <c r="P920" s="147"/>
      <c r="Q920" s="147"/>
      <c r="R920" s="147"/>
      <c r="S920" s="147"/>
      <c r="T920" s="147"/>
      <c r="U920" s="147"/>
      <c r="V920" s="147"/>
      <c r="W920" s="147"/>
      <c r="X920" s="147"/>
      <c r="Y920" s="147"/>
      <c r="Z920" s="147"/>
    </row>
    <row r="921">
      <c r="A921" s="147"/>
      <c r="B921" s="147"/>
      <c r="C921" s="147"/>
      <c r="D921" s="147"/>
      <c r="E921" s="147"/>
      <c r="F921" s="147"/>
      <c r="G921" s="147"/>
      <c r="H921" s="147"/>
      <c r="I921" s="190"/>
      <c r="J921" s="147"/>
      <c r="K921" s="147"/>
      <c r="L921" s="147"/>
      <c r="M921" s="147"/>
      <c r="N921" s="147"/>
      <c r="O921" s="147"/>
      <c r="P921" s="147"/>
      <c r="Q921" s="147"/>
      <c r="R921" s="147"/>
      <c r="S921" s="147"/>
      <c r="T921" s="147"/>
      <c r="U921" s="147"/>
      <c r="V921" s="147"/>
      <c r="W921" s="147"/>
      <c r="X921" s="147"/>
      <c r="Y921" s="147"/>
      <c r="Z921" s="147"/>
    </row>
    <row r="922">
      <c r="A922" s="147"/>
      <c r="B922" s="147"/>
      <c r="C922" s="147"/>
      <c r="D922" s="147"/>
      <c r="E922" s="147"/>
      <c r="F922" s="147"/>
      <c r="G922" s="147"/>
      <c r="H922" s="147"/>
      <c r="I922" s="190"/>
      <c r="J922" s="147"/>
      <c r="K922" s="147"/>
      <c r="L922" s="147"/>
      <c r="M922" s="147"/>
      <c r="N922" s="147"/>
      <c r="O922" s="147"/>
      <c r="P922" s="147"/>
      <c r="Q922" s="147"/>
      <c r="R922" s="147"/>
      <c r="S922" s="147"/>
      <c r="T922" s="147"/>
      <c r="U922" s="147"/>
      <c r="V922" s="147"/>
      <c r="W922" s="147"/>
      <c r="X922" s="147"/>
      <c r="Y922" s="147"/>
      <c r="Z922" s="147"/>
    </row>
    <row r="923">
      <c r="A923" s="147"/>
      <c r="B923" s="147"/>
      <c r="C923" s="147"/>
      <c r="D923" s="147"/>
      <c r="E923" s="147"/>
      <c r="F923" s="147"/>
      <c r="G923" s="147"/>
      <c r="H923" s="147"/>
      <c r="I923" s="190"/>
      <c r="J923" s="147"/>
      <c r="K923" s="147"/>
      <c r="L923" s="147"/>
      <c r="M923" s="147"/>
      <c r="N923" s="147"/>
      <c r="O923" s="147"/>
      <c r="P923" s="147"/>
      <c r="Q923" s="147"/>
      <c r="R923" s="147"/>
      <c r="S923" s="147"/>
      <c r="T923" s="147"/>
      <c r="U923" s="147"/>
      <c r="V923" s="147"/>
      <c r="W923" s="147"/>
      <c r="X923" s="147"/>
      <c r="Y923" s="147"/>
      <c r="Z923" s="147"/>
    </row>
    <row r="924">
      <c r="A924" s="147"/>
      <c r="B924" s="147"/>
      <c r="C924" s="147"/>
      <c r="D924" s="147"/>
      <c r="E924" s="147"/>
      <c r="F924" s="147"/>
      <c r="G924" s="147"/>
      <c r="H924" s="147"/>
      <c r="I924" s="190"/>
      <c r="J924" s="147"/>
      <c r="K924" s="147"/>
      <c r="L924" s="147"/>
      <c r="M924" s="147"/>
      <c r="N924" s="147"/>
      <c r="O924" s="147"/>
      <c r="P924" s="147"/>
      <c r="Q924" s="147"/>
      <c r="R924" s="147"/>
      <c r="S924" s="147"/>
      <c r="T924" s="147"/>
      <c r="U924" s="147"/>
      <c r="V924" s="147"/>
      <c r="W924" s="147"/>
      <c r="X924" s="147"/>
      <c r="Y924" s="147"/>
      <c r="Z924" s="147"/>
    </row>
    <row r="925">
      <c r="A925" s="147"/>
      <c r="B925" s="147"/>
      <c r="C925" s="147"/>
      <c r="D925" s="147"/>
      <c r="E925" s="147"/>
      <c r="F925" s="147"/>
      <c r="G925" s="147"/>
      <c r="H925" s="147"/>
      <c r="I925" s="190"/>
      <c r="J925" s="147"/>
      <c r="K925" s="147"/>
      <c r="L925" s="147"/>
      <c r="M925" s="147"/>
      <c r="N925" s="147"/>
      <c r="O925" s="147"/>
      <c r="P925" s="147"/>
      <c r="Q925" s="147"/>
      <c r="R925" s="147"/>
      <c r="S925" s="147"/>
      <c r="T925" s="147"/>
      <c r="U925" s="147"/>
      <c r="V925" s="147"/>
      <c r="W925" s="147"/>
      <c r="X925" s="147"/>
      <c r="Y925" s="147"/>
      <c r="Z925" s="147"/>
    </row>
    <row r="926">
      <c r="A926" s="147"/>
      <c r="B926" s="147"/>
      <c r="C926" s="147"/>
      <c r="D926" s="147"/>
      <c r="E926" s="147"/>
      <c r="F926" s="147"/>
      <c r="G926" s="147"/>
      <c r="H926" s="147"/>
      <c r="I926" s="190"/>
      <c r="J926" s="147"/>
      <c r="K926" s="147"/>
      <c r="L926" s="147"/>
      <c r="M926" s="147"/>
      <c r="N926" s="147"/>
      <c r="O926" s="147"/>
      <c r="P926" s="147"/>
      <c r="Q926" s="147"/>
      <c r="R926" s="147"/>
      <c r="S926" s="147"/>
      <c r="T926" s="147"/>
      <c r="U926" s="147"/>
      <c r="V926" s="147"/>
      <c r="W926" s="147"/>
      <c r="X926" s="147"/>
      <c r="Y926" s="147"/>
      <c r="Z926" s="147"/>
    </row>
    <row r="927">
      <c r="A927" s="147"/>
      <c r="B927" s="147"/>
      <c r="C927" s="147"/>
      <c r="D927" s="147"/>
      <c r="E927" s="147"/>
      <c r="F927" s="147"/>
      <c r="G927" s="147"/>
      <c r="H927" s="147"/>
      <c r="I927" s="190"/>
      <c r="J927" s="147"/>
      <c r="K927" s="147"/>
      <c r="L927" s="147"/>
      <c r="M927" s="147"/>
      <c r="N927" s="147"/>
      <c r="O927" s="147"/>
      <c r="P927" s="147"/>
      <c r="Q927" s="147"/>
      <c r="R927" s="147"/>
      <c r="S927" s="147"/>
      <c r="T927" s="147"/>
      <c r="U927" s="147"/>
      <c r="V927" s="147"/>
      <c r="W927" s="147"/>
      <c r="X927" s="147"/>
      <c r="Y927" s="147"/>
      <c r="Z927" s="147"/>
    </row>
    <row r="928">
      <c r="A928" s="147"/>
      <c r="B928" s="147"/>
      <c r="C928" s="147"/>
      <c r="D928" s="147"/>
      <c r="E928" s="147"/>
      <c r="F928" s="147"/>
      <c r="G928" s="147"/>
      <c r="H928" s="147"/>
      <c r="I928" s="190"/>
      <c r="J928" s="147"/>
      <c r="K928" s="147"/>
      <c r="L928" s="147"/>
      <c r="M928" s="147"/>
      <c r="N928" s="147"/>
      <c r="O928" s="147"/>
      <c r="P928" s="147"/>
      <c r="Q928" s="147"/>
      <c r="R928" s="147"/>
      <c r="S928" s="147"/>
      <c r="T928" s="147"/>
      <c r="U928" s="147"/>
      <c r="V928" s="147"/>
      <c r="W928" s="147"/>
      <c r="X928" s="147"/>
      <c r="Y928" s="147"/>
      <c r="Z928" s="147"/>
    </row>
    <row r="929">
      <c r="A929" s="147"/>
      <c r="B929" s="147"/>
      <c r="C929" s="147"/>
      <c r="D929" s="147"/>
      <c r="E929" s="147"/>
      <c r="F929" s="147"/>
      <c r="G929" s="147"/>
      <c r="H929" s="147"/>
      <c r="I929" s="190"/>
      <c r="J929" s="147"/>
      <c r="K929" s="147"/>
      <c r="L929" s="147"/>
      <c r="M929" s="147"/>
      <c r="N929" s="147"/>
      <c r="O929" s="147"/>
      <c r="P929" s="147"/>
      <c r="Q929" s="147"/>
      <c r="R929" s="147"/>
      <c r="S929" s="147"/>
      <c r="T929" s="147"/>
      <c r="U929" s="147"/>
      <c r="V929" s="147"/>
      <c r="W929" s="147"/>
      <c r="X929" s="147"/>
      <c r="Y929" s="147"/>
      <c r="Z929" s="147"/>
    </row>
    <row r="930">
      <c r="A930" s="147"/>
      <c r="B930" s="147"/>
      <c r="C930" s="147"/>
      <c r="D930" s="147"/>
      <c r="E930" s="147"/>
      <c r="F930" s="147"/>
      <c r="G930" s="147"/>
      <c r="H930" s="147"/>
      <c r="I930" s="190"/>
      <c r="J930" s="147"/>
      <c r="K930" s="147"/>
      <c r="L930" s="147"/>
      <c r="M930" s="147"/>
      <c r="N930" s="147"/>
      <c r="O930" s="147"/>
      <c r="P930" s="147"/>
      <c r="Q930" s="147"/>
      <c r="R930" s="147"/>
      <c r="S930" s="147"/>
      <c r="T930" s="147"/>
      <c r="U930" s="147"/>
      <c r="V930" s="147"/>
      <c r="W930" s="147"/>
      <c r="X930" s="147"/>
      <c r="Y930" s="147"/>
      <c r="Z930" s="147"/>
    </row>
    <row r="931">
      <c r="A931" s="147"/>
      <c r="B931" s="147"/>
      <c r="C931" s="147"/>
      <c r="D931" s="147"/>
      <c r="E931" s="147"/>
      <c r="F931" s="147"/>
      <c r="G931" s="147"/>
      <c r="H931" s="147"/>
      <c r="I931" s="190"/>
      <c r="J931" s="147"/>
      <c r="K931" s="147"/>
      <c r="L931" s="147"/>
      <c r="M931" s="147"/>
      <c r="N931" s="147"/>
      <c r="O931" s="147"/>
      <c r="P931" s="147"/>
      <c r="Q931" s="147"/>
      <c r="R931" s="147"/>
      <c r="S931" s="147"/>
      <c r="T931" s="147"/>
      <c r="U931" s="147"/>
      <c r="V931" s="147"/>
      <c r="W931" s="147"/>
      <c r="X931" s="147"/>
      <c r="Y931" s="147"/>
      <c r="Z931" s="147"/>
    </row>
    <row r="932">
      <c r="A932" s="147"/>
      <c r="B932" s="147"/>
      <c r="C932" s="147"/>
      <c r="D932" s="147"/>
      <c r="E932" s="147"/>
      <c r="F932" s="147"/>
      <c r="G932" s="147"/>
      <c r="H932" s="147"/>
      <c r="I932" s="190"/>
      <c r="J932" s="147"/>
      <c r="K932" s="147"/>
      <c r="L932" s="147"/>
      <c r="M932" s="147"/>
      <c r="N932" s="147"/>
      <c r="O932" s="147"/>
      <c r="P932" s="147"/>
      <c r="Q932" s="147"/>
      <c r="R932" s="147"/>
      <c r="S932" s="147"/>
      <c r="T932" s="147"/>
      <c r="U932" s="147"/>
      <c r="V932" s="147"/>
      <c r="W932" s="147"/>
      <c r="X932" s="147"/>
      <c r="Y932" s="147"/>
      <c r="Z932" s="147"/>
    </row>
    <row r="933">
      <c r="A933" s="147"/>
      <c r="B933" s="147"/>
      <c r="C933" s="147"/>
      <c r="D933" s="147"/>
      <c r="E933" s="147"/>
      <c r="F933" s="147"/>
      <c r="G933" s="147"/>
      <c r="H933" s="147"/>
      <c r="I933" s="190"/>
      <c r="J933" s="147"/>
      <c r="K933" s="147"/>
      <c r="L933" s="147"/>
      <c r="M933" s="147"/>
      <c r="N933" s="147"/>
      <c r="O933" s="147"/>
      <c r="P933" s="147"/>
      <c r="Q933" s="147"/>
      <c r="R933" s="147"/>
      <c r="S933" s="147"/>
      <c r="T933" s="147"/>
      <c r="U933" s="147"/>
      <c r="V933" s="147"/>
      <c r="W933" s="147"/>
      <c r="X933" s="147"/>
      <c r="Y933" s="147"/>
      <c r="Z933" s="147"/>
    </row>
    <row r="934">
      <c r="A934" s="147"/>
      <c r="B934" s="147"/>
      <c r="C934" s="147"/>
      <c r="D934" s="147"/>
      <c r="E934" s="147"/>
      <c r="F934" s="147"/>
      <c r="G934" s="147"/>
      <c r="H934" s="147"/>
      <c r="I934" s="190"/>
      <c r="J934" s="147"/>
      <c r="K934" s="147"/>
      <c r="L934" s="147"/>
      <c r="M934" s="147"/>
      <c r="N934" s="147"/>
      <c r="O934" s="147"/>
      <c r="P934" s="147"/>
      <c r="Q934" s="147"/>
      <c r="R934" s="147"/>
      <c r="S934" s="147"/>
      <c r="T934" s="147"/>
      <c r="U934" s="147"/>
      <c r="V934" s="147"/>
      <c r="W934" s="147"/>
      <c r="X934" s="147"/>
      <c r="Y934" s="147"/>
      <c r="Z934" s="147"/>
    </row>
    <row r="935">
      <c r="A935" s="147"/>
      <c r="B935" s="147"/>
      <c r="C935" s="147"/>
      <c r="D935" s="147"/>
      <c r="E935" s="147"/>
      <c r="F935" s="147"/>
      <c r="G935" s="147"/>
      <c r="H935" s="147"/>
      <c r="I935" s="190"/>
      <c r="J935" s="147"/>
      <c r="K935" s="147"/>
      <c r="L935" s="147"/>
      <c r="M935" s="147"/>
      <c r="N935" s="147"/>
      <c r="O935" s="147"/>
      <c r="P935" s="147"/>
      <c r="Q935" s="147"/>
      <c r="R935" s="147"/>
      <c r="S935" s="147"/>
      <c r="T935" s="147"/>
      <c r="U935" s="147"/>
      <c r="V935" s="147"/>
      <c r="W935" s="147"/>
      <c r="X935" s="147"/>
      <c r="Y935" s="147"/>
      <c r="Z935" s="147"/>
    </row>
    <row r="936">
      <c r="A936" s="147"/>
      <c r="B936" s="147"/>
      <c r="C936" s="147"/>
      <c r="D936" s="147"/>
      <c r="E936" s="147"/>
      <c r="F936" s="147"/>
      <c r="G936" s="147"/>
      <c r="H936" s="147"/>
      <c r="I936" s="190"/>
      <c r="J936" s="147"/>
      <c r="K936" s="147"/>
      <c r="L936" s="147"/>
      <c r="M936" s="147"/>
      <c r="N936" s="147"/>
      <c r="O936" s="147"/>
      <c r="P936" s="147"/>
      <c r="Q936" s="147"/>
      <c r="R936" s="147"/>
      <c r="S936" s="147"/>
      <c r="T936" s="147"/>
      <c r="U936" s="147"/>
      <c r="V936" s="147"/>
      <c r="W936" s="147"/>
      <c r="X936" s="147"/>
      <c r="Y936" s="147"/>
      <c r="Z936" s="147"/>
    </row>
    <row r="937">
      <c r="A937" s="147"/>
      <c r="B937" s="147"/>
      <c r="C937" s="147"/>
      <c r="D937" s="147"/>
      <c r="E937" s="147"/>
      <c r="F937" s="147"/>
      <c r="G937" s="147"/>
      <c r="H937" s="147"/>
      <c r="I937" s="190"/>
      <c r="J937" s="147"/>
      <c r="K937" s="147"/>
      <c r="L937" s="147"/>
      <c r="M937" s="147"/>
      <c r="N937" s="147"/>
      <c r="O937" s="147"/>
      <c r="P937" s="147"/>
      <c r="Q937" s="147"/>
      <c r="R937" s="147"/>
      <c r="S937" s="147"/>
      <c r="T937" s="147"/>
      <c r="U937" s="147"/>
      <c r="V937" s="147"/>
      <c r="W937" s="147"/>
      <c r="X937" s="147"/>
      <c r="Y937" s="147"/>
      <c r="Z937" s="147"/>
    </row>
    <row r="938">
      <c r="A938" s="147"/>
      <c r="B938" s="147"/>
      <c r="C938" s="147"/>
      <c r="D938" s="147"/>
      <c r="E938" s="147"/>
      <c r="F938" s="147"/>
      <c r="G938" s="147"/>
      <c r="H938" s="147"/>
      <c r="I938" s="190"/>
      <c r="J938" s="147"/>
      <c r="K938" s="147"/>
      <c r="L938" s="147"/>
      <c r="M938" s="147"/>
      <c r="N938" s="147"/>
      <c r="O938" s="147"/>
      <c r="P938" s="147"/>
      <c r="Q938" s="147"/>
      <c r="R938" s="147"/>
      <c r="S938" s="147"/>
      <c r="T938" s="147"/>
      <c r="U938" s="147"/>
      <c r="V938" s="147"/>
      <c r="W938" s="147"/>
      <c r="X938" s="147"/>
      <c r="Y938" s="147"/>
      <c r="Z938" s="147"/>
    </row>
    <row r="939">
      <c r="A939" s="147"/>
      <c r="B939" s="147"/>
      <c r="C939" s="147"/>
      <c r="D939" s="147"/>
      <c r="E939" s="147"/>
      <c r="F939" s="147"/>
      <c r="G939" s="147"/>
      <c r="H939" s="147"/>
      <c r="I939" s="190"/>
      <c r="J939" s="147"/>
      <c r="K939" s="147"/>
      <c r="L939" s="147"/>
      <c r="M939" s="147"/>
      <c r="N939" s="147"/>
      <c r="O939" s="147"/>
      <c r="P939" s="147"/>
      <c r="Q939" s="147"/>
      <c r="R939" s="147"/>
      <c r="S939" s="147"/>
      <c r="T939" s="147"/>
      <c r="U939" s="147"/>
      <c r="V939" s="147"/>
      <c r="W939" s="147"/>
      <c r="X939" s="147"/>
      <c r="Y939" s="147"/>
      <c r="Z939" s="147"/>
    </row>
    <row r="940">
      <c r="A940" s="147"/>
      <c r="B940" s="147"/>
      <c r="C940" s="147"/>
      <c r="D940" s="147"/>
      <c r="E940" s="147"/>
      <c r="F940" s="147"/>
      <c r="G940" s="147"/>
      <c r="H940" s="147"/>
      <c r="I940" s="190"/>
      <c r="J940" s="147"/>
      <c r="K940" s="147"/>
      <c r="L940" s="147"/>
      <c r="M940" s="147"/>
      <c r="N940" s="147"/>
      <c r="O940" s="147"/>
      <c r="P940" s="147"/>
      <c r="Q940" s="147"/>
      <c r="R940" s="147"/>
      <c r="S940" s="147"/>
      <c r="T940" s="147"/>
      <c r="U940" s="147"/>
      <c r="V940" s="147"/>
      <c r="W940" s="147"/>
      <c r="X940" s="147"/>
      <c r="Y940" s="147"/>
      <c r="Z940" s="147"/>
    </row>
    <row r="941">
      <c r="A941" s="147"/>
      <c r="B941" s="147"/>
      <c r="C941" s="147"/>
      <c r="D941" s="147"/>
      <c r="E941" s="147"/>
      <c r="F941" s="147"/>
      <c r="G941" s="147"/>
      <c r="H941" s="147"/>
      <c r="I941" s="190"/>
      <c r="J941" s="147"/>
      <c r="K941" s="147"/>
      <c r="L941" s="147"/>
      <c r="M941" s="147"/>
      <c r="N941" s="147"/>
      <c r="O941" s="147"/>
      <c r="P941" s="147"/>
      <c r="Q941" s="147"/>
      <c r="R941" s="147"/>
      <c r="S941" s="147"/>
      <c r="T941" s="147"/>
      <c r="U941" s="147"/>
      <c r="V941" s="147"/>
      <c r="W941" s="147"/>
      <c r="X941" s="147"/>
      <c r="Y941" s="147"/>
      <c r="Z941" s="147"/>
    </row>
    <row r="942">
      <c r="A942" s="147"/>
      <c r="B942" s="147"/>
      <c r="C942" s="147"/>
      <c r="D942" s="147"/>
      <c r="E942" s="147"/>
      <c r="F942" s="147"/>
      <c r="G942" s="147"/>
      <c r="H942" s="147"/>
      <c r="I942" s="190"/>
      <c r="J942" s="147"/>
      <c r="K942" s="147"/>
      <c r="L942" s="147"/>
      <c r="M942" s="147"/>
      <c r="N942" s="147"/>
      <c r="O942" s="147"/>
      <c r="P942" s="147"/>
      <c r="Q942" s="147"/>
      <c r="R942" s="147"/>
      <c r="S942" s="147"/>
      <c r="T942" s="147"/>
      <c r="U942" s="147"/>
      <c r="V942" s="147"/>
      <c r="W942" s="147"/>
      <c r="X942" s="147"/>
      <c r="Y942" s="147"/>
      <c r="Z942" s="147"/>
    </row>
    <row r="943">
      <c r="A943" s="147"/>
      <c r="B943" s="147"/>
      <c r="C943" s="147"/>
      <c r="D943" s="147"/>
      <c r="E943" s="147"/>
      <c r="F943" s="147"/>
      <c r="G943" s="147"/>
      <c r="H943" s="147"/>
      <c r="I943" s="190"/>
      <c r="J943" s="147"/>
      <c r="K943" s="147"/>
      <c r="L943" s="147"/>
      <c r="M943" s="147"/>
      <c r="N943" s="147"/>
      <c r="O943" s="147"/>
      <c r="P943" s="147"/>
      <c r="Q943" s="147"/>
      <c r="R943" s="147"/>
      <c r="S943" s="147"/>
      <c r="T943" s="147"/>
      <c r="U943" s="147"/>
      <c r="V943" s="147"/>
      <c r="W943" s="147"/>
      <c r="X943" s="147"/>
      <c r="Y943" s="147"/>
      <c r="Z943" s="147"/>
    </row>
    <row r="944">
      <c r="A944" s="147"/>
      <c r="B944" s="147"/>
      <c r="C944" s="147"/>
      <c r="D944" s="147"/>
      <c r="E944" s="147"/>
      <c r="F944" s="147"/>
      <c r="G944" s="147"/>
      <c r="H944" s="147"/>
      <c r="I944" s="190"/>
      <c r="J944" s="147"/>
      <c r="K944" s="147"/>
      <c r="L944" s="147"/>
      <c r="M944" s="147"/>
      <c r="N944" s="147"/>
      <c r="O944" s="147"/>
      <c r="P944" s="147"/>
      <c r="Q944" s="147"/>
      <c r="R944" s="147"/>
      <c r="S944" s="147"/>
      <c r="T944" s="147"/>
      <c r="U944" s="147"/>
      <c r="V944" s="147"/>
      <c r="W944" s="147"/>
      <c r="X944" s="147"/>
      <c r="Y944" s="147"/>
      <c r="Z944" s="147"/>
    </row>
    <row r="945">
      <c r="A945" s="147"/>
      <c r="B945" s="147"/>
      <c r="C945" s="147"/>
      <c r="D945" s="147"/>
      <c r="E945" s="147"/>
      <c r="F945" s="147"/>
      <c r="G945" s="147"/>
      <c r="H945" s="147"/>
      <c r="I945" s="190"/>
      <c r="J945" s="147"/>
      <c r="K945" s="147"/>
      <c r="L945" s="147"/>
      <c r="M945" s="147"/>
      <c r="N945" s="147"/>
      <c r="O945" s="147"/>
      <c r="P945" s="147"/>
      <c r="Q945" s="147"/>
      <c r="R945" s="147"/>
      <c r="S945" s="147"/>
      <c r="T945" s="147"/>
      <c r="U945" s="147"/>
      <c r="V945" s="147"/>
      <c r="W945" s="147"/>
      <c r="X945" s="147"/>
      <c r="Y945" s="147"/>
      <c r="Z945" s="147"/>
    </row>
    <row r="946">
      <c r="A946" s="147"/>
      <c r="B946" s="147"/>
      <c r="C946" s="147"/>
      <c r="D946" s="147"/>
      <c r="E946" s="147"/>
      <c r="F946" s="147"/>
      <c r="G946" s="147"/>
      <c r="H946" s="147"/>
      <c r="I946" s="190"/>
      <c r="J946" s="147"/>
      <c r="K946" s="147"/>
      <c r="L946" s="147"/>
      <c r="M946" s="147"/>
      <c r="N946" s="147"/>
      <c r="O946" s="147"/>
      <c r="P946" s="147"/>
      <c r="Q946" s="147"/>
      <c r="R946" s="147"/>
      <c r="S946" s="147"/>
      <c r="T946" s="147"/>
      <c r="U946" s="147"/>
      <c r="V946" s="147"/>
      <c r="W946" s="147"/>
      <c r="X946" s="147"/>
      <c r="Y946" s="147"/>
      <c r="Z946" s="147"/>
    </row>
    <row r="947">
      <c r="A947" s="147"/>
      <c r="B947" s="147"/>
      <c r="C947" s="147"/>
      <c r="D947" s="147"/>
      <c r="E947" s="147"/>
      <c r="F947" s="147"/>
      <c r="G947" s="147"/>
      <c r="H947" s="147"/>
      <c r="I947" s="190"/>
      <c r="J947" s="147"/>
      <c r="K947" s="147"/>
      <c r="L947" s="147"/>
      <c r="M947" s="147"/>
      <c r="N947" s="147"/>
      <c r="O947" s="147"/>
      <c r="P947" s="147"/>
      <c r="Q947" s="147"/>
      <c r="R947" s="147"/>
      <c r="S947" s="147"/>
      <c r="T947" s="147"/>
      <c r="U947" s="147"/>
      <c r="V947" s="147"/>
      <c r="W947" s="147"/>
      <c r="X947" s="147"/>
      <c r="Y947" s="147"/>
      <c r="Z947" s="147"/>
    </row>
    <row r="948">
      <c r="A948" s="147"/>
      <c r="B948" s="147"/>
      <c r="C948" s="147"/>
      <c r="D948" s="147"/>
      <c r="E948" s="147"/>
      <c r="F948" s="147"/>
      <c r="G948" s="147"/>
      <c r="H948" s="147"/>
      <c r="I948" s="190"/>
      <c r="J948" s="147"/>
      <c r="K948" s="147"/>
      <c r="L948" s="147"/>
      <c r="M948" s="147"/>
      <c r="N948" s="147"/>
      <c r="O948" s="147"/>
      <c r="P948" s="147"/>
      <c r="Q948" s="147"/>
      <c r="R948" s="147"/>
      <c r="S948" s="147"/>
      <c r="T948" s="147"/>
      <c r="U948" s="147"/>
      <c r="V948" s="147"/>
      <c r="W948" s="147"/>
      <c r="X948" s="147"/>
      <c r="Y948" s="147"/>
      <c r="Z948" s="147"/>
    </row>
    <row r="949">
      <c r="A949" s="147"/>
      <c r="B949" s="147"/>
      <c r="C949" s="147"/>
      <c r="D949" s="147"/>
      <c r="E949" s="147"/>
      <c r="F949" s="147"/>
      <c r="G949" s="147"/>
      <c r="H949" s="147"/>
      <c r="I949" s="190"/>
      <c r="J949" s="147"/>
      <c r="K949" s="147"/>
      <c r="L949" s="147"/>
      <c r="M949" s="147"/>
      <c r="N949" s="147"/>
      <c r="O949" s="147"/>
      <c r="P949" s="147"/>
      <c r="Q949" s="147"/>
      <c r="R949" s="147"/>
      <c r="S949" s="147"/>
      <c r="T949" s="147"/>
      <c r="U949" s="147"/>
      <c r="V949" s="147"/>
      <c r="W949" s="147"/>
      <c r="X949" s="147"/>
      <c r="Y949" s="147"/>
      <c r="Z949" s="147"/>
    </row>
    <row r="950">
      <c r="A950" s="147"/>
      <c r="B950" s="147"/>
      <c r="C950" s="147"/>
      <c r="D950" s="147"/>
      <c r="E950" s="147"/>
      <c r="F950" s="147"/>
      <c r="G950" s="147"/>
      <c r="H950" s="147"/>
      <c r="I950" s="190"/>
      <c r="J950" s="147"/>
      <c r="K950" s="147"/>
      <c r="L950" s="147"/>
      <c r="M950" s="147"/>
      <c r="N950" s="147"/>
      <c r="O950" s="147"/>
      <c r="P950" s="147"/>
      <c r="Q950" s="147"/>
      <c r="R950" s="147"/>
      <c r="S950" s="147"/>
      <c r="T950" s="147"/>
      <c r="U950" s="147"/>
      <c r="V950" s="147"/>
      <c r="W950" s="147"/>
      <c r="X950" s="147"/>
      <c r="Y950" s="147"/>
      <c r="Z950" s="147"/>
    </row>
    <row r="951">
      <c r="A951" s="147"/>
      <c r="B951" s="147"/>
      <c r="C951" s="147"/>
      <c r="D951" s="147"/>
      <c r="E951" s="147"/>
      <c r="F951" s="147"/>
      <c r="G951" s="147"/>
      <c r="H951" s="147"/>
      <c r="I951" s="190"/>
      <c r="J951" s="147"/>
      <c r="K951" s="147"/>
      <c r="L951" s="147"/>
      <c r="M951" s="147"/>
      <c r="N951" s="147"/>
      <c r="O951" s="147"/>
      <c r="P951" s="147"/>
      <c r="Q951" s="147"/>
      <c r="R951" s="147"/>
      <c r="S951" s="147"/>
      <c r="T951" s="147"/>
      <c r="U951" s="147"/>
      <c r="V951" s="147"/>
      <c r="W951" s="147"/>
      <c r="X951" s="147"/>
      <c r="Y951" s="147"/>
      <c r="Z951" s="147"/>
    </row>
    <row r="952">
      <c r="A952" s="147"/>
      <c r="B952" s="147"/>
      <c r="C952" s="147"/>
      <c r="D952" s="147"/>
      <c r="E952" s="147"/>
      <c r="F952" s="147"/>
      <c r="G952" s="147"/>
      <c r="H952" s="147"/>
      <c r="I952" s="190"/>
      <c r="J952" s="147"/>
      <c r="K952" s="147"/>
      <c r="L952" s="147"/>
      <c r="M952" s="147"/>
      <c r="N952" s="147"/>
      <c r="O952" s="147"/>
      <c r="P952" s="147"/>
      <c r="Q952" s="147"/>
      <c r="R952" s="147"/>
      <c r="S952" s="147"/>
      <c r="T952" s="147"/>
      <c r="U952" s="147"/>
      <c r="V952" s="147"/>
      <c r="W952" s="147"/>
      <c r="X952" s="147"/>
      <c r="Y952" s="147"/>
      <c r="Z952" s="147"/>
    </row>
    <row r="953">
      <c r="A953" s="147"/>
      <c r="B953" s="147"/>
      <c r="C953" s="147"/>
      <c r="D953" s="147"/>
      <c r="E953" s="147"/>
      <c r="F953" s="147"/>
      <c r="G953" s="147"/>
      <c r="H953" s="147"/>
      <c r="I953" s="190"/>
      <c r="J953" s="147"/>
      <c r="K953" s="147"/>
      <c r="L953" s="147"/>
      <c r="M953" s="147"/>
      <c r="N953" s="147"/>
      <c r="O953" s="147"/>
      <c r="P953" s="147"/>
      <c r="Q953" s="147"/>
      <c r="R953" s="147"/>
      <c r="S953" s="147"/>
      <c r="T953" s="147"/>
      <c r="U953" s="147"/>
      <c r="V953" s="147"/>
      <c r="W953" s="147"/>
      <c r="X953" s="147"/>
      <c r="Y953" s="147"/>
      <c r="Z953" s="147"/>
    </row>
    <row r="954">
      <c r="A954" s="147"/>
      <c r="B954" s="147"/>
      <c r="C954" s="147"/>
      <c r="D954" s="147"/>
      <c r="E954" s="147"/>
      <c r="F954" s="147"/>
      <c r="G954" s="147"/>
      <c r="H954" s="147"/>
      <c r="I954" s="190"/>
      <c r="J954" s="147"/>
      <c r="K954" s="147"/>
      <c r="L954" s="147"/>
      <c r="M954" s="147"/>
      <c r="N954" s="147"/>
      <c r="O954" s="147"/>
      <c r="P954" s="147"/>
      <c r="Q954" s="147"/>
      <c r="R954" s="147"/>
      <c r="S954" s="147"/>
      <c r="T954" s="147"/>
      <c r="U954" s="147"/>
      <c r="V954" s="147"/>
      <c r="W954" s="147"/>
      <c r="X954" s="147"/>
      <c r="Y954" s="147"/>
      <c r="Z954" s="147"/>
    </row>
    <row r="955">
      <c r="A955" s="147"/>
      <c r="B955" s="147"/>
      <c r="C955" s="147"/>
      <c r="D955" s="147"/>
      <c r="E955" s="147"/>
      <c r="F955" s="147"/>
      <c r="G955" s="147"/>
      <c r="H955" s="147"/>
      <c r="I955" s="190"/>
      <c r="J955" s="147"/>
      <c r="K955" s="147"/>
      <c r="L955" s="147"/>
      <c r="M955" s="147"/>
      <c r="N955" s="147"/>
      <c r="O955" s="147"/>
      <c r="P955" s="147"/>
      <c r="Q955" s="147"/>
      <c r="R955" s="147"/>
      <c r="S955" s="147"/>
      <c r="T955" s="147"/>
      <c r="U955" s="147"/>
      <c r="V955" s="147"/>
      <c r="W955" s="147"/>
      <c r="X955" s="147"/>
      <c r="Y955" s="147"/>
      <c r="Z955" s="147"/>
    </row>
    <row r="956">
      <c r="A956" s="147"/>
      <c r="B956" s="147"/>
      <c r="C956" s="147"/>
      <c r="D956" s="147"/>
      <c r="E956" s="147"/>
      <c r="F956" s="147"/>
      <c r="G956" s="147"/>
      <c r="H956" s="147"/>
      <c r="I956" s="190"/>
      <c r="J956" s="147"/>
      <c r="K956" s="147"/>
      <c r="L956" s="147"/>
      <c r="M956" s="147"/>
      <c r="N956" s="147"/>
      <c r="O956" s="147"/>
      <c r="P956" s="147"/>
      <c r="Q956" s="147"/>
      <c r="R956" s="147"/>
      <c r="S956" s="147"/>
      <c r="T956" s="147"/>
      <c r="U956" s="147"/>
      <c r="V956" s="147"/>
      <c r="W956" s="147"/>
      <c r="X956" s="147"/>
      <c r="Y956" s="147"/>
      <c r="Z956" s="147"/>
    </row>
    <row r="957">
      <c r="A957" s="147"/>
      <c r="B957" s="147"/>
      <c r="C957" s="147"/>
      <c r="D957" s="147"/>
      <c r="E957" s="147"/>
      <c r="F957" s="147"/>
      <c r="G957" s="147"/>
      <c r="H957" s="147"/>
      <c r="I957" s="190"/>
      <c r="J957" s="147"/>
      <c r="K957" s="147"/>
      <c r="L957" s="147"/>
      <c r="M957" s="147"/>
      <c r="N957" s="147"/>
      <c r="O957" s="147"/>
      <c r="P957" s="147"/>
      <c r="Q957" s="147"/>
      <c r="R957" s="147"/>
      <c r="S957" s="147"/>
      <c r="T957" s="147"/>
      <c r="U957" s="147"/>
      <c r="V957" s="147"/>
      <c r="W957" s="147"/>
      <c r="X957" s="147"/>
      <c r="Y957" s="147"/>
      <c r="Z957" s="147"/>
    </row>
    <row r="958">
      <c r="A958" s="147"/>
      <c r="B958" s="147"/>
      <c r="C958" s="147"/>
      <c r="D958" s="147"/>
      <c r="E958" s="147"/>
      <c r="F958" s="147"/>
      <c r="G958" s="147"/>
      <c r="H958" s="147"/>
      <c r="I958" s="190"/>
      <c r="J958" s="147"/>
      <c r="K958" s="147"/>
      <c r="L958" s="147"/>
      <c r="M958" s="147"/>
      <c r="N958" s="147"/>
      <c r="O958" s="147"/>
      <c r="P958" s="147"/>
      <c r="Q958" s="147"/>
      <c r="R958" s="147"/>
      <c r="S958" s="147"/>
      <c r="T958" s="147"/>
      <c r="U958" s="147"/>
      <c r="V958" s="147"/>
      <c r="W958" s="147"/>
      <c r="X958" s="147"/>
      <c r="Y958" s="147"/>
      <c r="Z958" s="147"/>
    </row>
    <row r="959">
      <c r="A959" s="147"/>
      <c r="B959" s="147"/>
      <c r="C959" s="147"/>
      <c r="D959" s="147"/>
      <c r="E959" s="147"/>
      <c r="F959" s="147"/>
      <c r="G959" s="147"/>
      <c r="H959" s="147"/>
      <c r="I959" s="190"/>
      <c r="J959" s="147"/>
      <c r="K959" s="147"/>
      <c r="L959" s="147"/>
      <c r="M959" s="147"/>
      <c r="N959" s="147"/>
      <c r="O959" s="147"/>
      <c r="P959" s="147"/>
      <c r="Q959" s="147"/>
      <c r="R959" s="147"/>
      <c r="S959" s="147"/>
      <c r="T959" s="147"/>
      <c r="U959" s="147"/>
      <c r="V959" s="147"/>
      <c r="W959" s="147"/>
      <c r="X959" s="147"/>
      <c r="Y959" s="147"/>
      <c r="Z959" s="147"/>
    </row>
    <row r="960">
      <c r="A960" s="147"/>
      <c r="B960" s="147"/>
      <c r="C960" s="147"/>
      <c r="D960" s="147"/>
      <c r="E960" s="147"/>
      <c r="F960" s="147"/>
      <c r="G960" s="147"/>
      <c r="H960" s="147"/>
      <c r="I960" s="190"/>
      <c r="J960" s="147"/>
      <c r="K960" s="147"/>
      <c r="L960" s="147"/>
      <c r="M960" s="147"/>
      <c r="N960" s="147"/>
      <c r="O960" s="147"/>
      <c r="P960" s="147"/>
      <c r="Q960" s="147"/>
      <c r="R960" s="147"/>
      <c r="S960" s="147"/>
      <c r="T960" s="147"/>
      <c r="U960" s="147"/>
      <c r="V960" s="147"/>
      <c r="W960" s="147"/>
      <c r="X960" s="147"/>
      <c r="Y960" s="147"/>
      <c r="Z960" s="147"/>
    </row>
    <row r="961">
      <c r="A961" s="147"/>
      <c r="B961" s="147"/>
      <c r="C961" s="147"/>
      <c r="D961" s="147"/>
      <c r="E961" s="147"/>
      <c r="F961" s="147"/>
      <c r="G961" s="147"/>
      <c r="H961" s="147"/>
      <c r="I961" s="190"/>
      <c r="J961" s="147"/>
      <c r="K961" s="147"/>
      <c r="L961" s="147"/>
      <c r="M961" s="147"/>
      <c r="N961" s="147"/>
      <c r="O961" s="147"/>
      <c r="P961" s="147"/>
      <c r="Q961" s="147"/>
      <c r="R961" s="147"/>
      <c r="S961" s="147"/>
      <c r="T961" s="147"/>
      <c r="U961" s="147"/>
      <c r="V961" s="147"/>
      <c r="W961" s="147"/>
      <c r="X961" s="147"/>
      <c r="Y961" s="147"/>
      <c r="Z961" s="147"/>
    </row>
    <row r="962">
      <c r="A962" s="147"/>
      <c r="B962" s="147"/>
      <c r="C962" s="147"/>
      <c r="D962" s="147"/>
      <c r="E962" s="147"/>
      <c r="F962" s="147"/>
      <c r="G962" s="147"/>
      <c r="H962" s="147"/>
      <c r="I962" s="190"/>
      <c r="J962" s="147"/>
      <c r="K962" s="147"/>
      <c r="L962" s="147"/>
      <c r="M962" s="147"/>
      <c r="N962" s="147"/>
      <c r="O962" s="147"/>
      <c r="P962" s="147"/>
      <c r="Q962" s="147"/>
      <c r="R962" s="147"/>
      <c r="S962" s="147"/>
      <c r="T962" s="147"/>
      <c r="U962" s="147"/>
      <c r="V962" s="147"/>
      <c r="W962" s="147"/>
      <c r="X962" s="147"/>
      <c r="Y962" s="147"/>
      <c r="Z962" s="147"/>
    </row>
    <row r="963">
      <c r="A963" s="147"/>
      <c r="B963" s="147"/>
      <c r="C963" s="147"/>
      <c r="D963" s="147"/>
      <c r="E963" s="147"/>
      <c r="F963" s="147"/>
      <c r="G963" s="147"/>
      <c r="H963" s="147"/>
      <c r="I963" s="190"/>
      <c r="J963" s="147"/>
      <c r="K963" s="147"/>
      <c r="L963" s="147"/>
      <c r="M963" s="147"/>
      <c r="N963" s="147"/>
      <c r="O963" s="147"/>
      <c r="P963" s="147"/>
      <c r="Q963" s="147"/>
      <c r="R963" s="147"/>
      <c r="S963" s="147"/>
      <c r="T963" s="147"/>
      <c r="U963" s="147"/>
      <c r="V963" s="147"/>
      <c r="W963" s="147"/>
      <c r="X963" s="147"/>
      <c r="Y963" s="147"/>
      <c r="Z963" s="147"/>
    </row>
    <row r="964">
      <c r="A964" s="147"/>
      <c r="B964" s="147"/>
      <c r="C964" s="147"/>
      <c r="D964" s="147"/>
      <c r="E964" s="147"/>
      <c r="F964" s="147"/>
      <c r="G964" s="147"/>
      <c r="H964" s="147"/>
      <c r="I964" s="190"/>
      <c r="J964" s="147"/>
      <c r="K964" s="147"/>
      <c r="L964" s="147"/>
      <c r="M964" s="147"/>
      <c r="N964" s="147"/>
      <c r="O964" s="147"/>
      <c r="P964" s="147"/>
      <c r="Q964" s="147"/>
      <c r="R964" s="147"/>
      <c r="S964" s="147"/>
      <c r="T964" s="147"/>
      <c r="U964" s="147"/>
      <c r="V964" s="147"/>
      <c r="W964" s="147"/>
      <c r="X964" s="147"/>
      <c r="Y964" s="147"/>
      <c r="Z964" s="147"/>
    </row>
    <row r="965">
      <c r="A965" s="147"/>
      <c r="B965" s="147"/>
      <c r="C965" s="147"/>
      <c r="D965" s="147"/>
      <c r="E965" s="147"/>
      <c r="F965" s="147"/>
      <c r="G965" s="147"/>
      <c r="H965" s="147"/>
      <c r="I965" s="190"/>
      <c r="J965" s="147"/>
      <c r="K965" s="147"/>
      <c r="L965" s="147"/>
      <c r="M965" s="147"/>
      <c r="N965" s="147"/>
      <c r="O965" s="147"/>
      <c r="P965" s="147"/>
      <c r="Q965" s="147"/>
      <c r="R965" s="147"/>
      <c r="S965" s="147"/>
      <c r="T965" s="147"/>
      <c r="U965" s="147"/>
      <c r="V965" s="147"/>
      <c r="W965" s="147"/>
      <c r="X965" s="147"/>
      <c r="Y965" s="147"/>
      <c r="Z965" s="147"/>
    </row>
    <row r="966">
      <c r="A966" s="147"/>
      <c r="B966" s="147"/>
      <c r="C966" s="147"/>
      <c r="D966" s="147"/>
      <c r="E966" s="147"/>
      <c r="F966" s="147"/>
      <c r="G966" s="147"/>
      <c r="H966" s="147"/>
      <c r="I966" s="190"/>
      <c r="J966" s="147"/>
      <c r="K966" s="147"/>
      <c r="L966" s="147"/>
      <c r="M966" s="147"/>
      <c r="N966" s="147"/>
      <c r="O966" s="147"/>
      <c r="P966" s="147"/>
      <c r="Q966" s="147"/>
      <c r="R966" s="147"/>
      <c r="S966" s="147"/>
      <c r="T966" s="147"/>
      <c r="U966" s="147"/>
      <c r="V966" s="147"/>
      <c r="W966" s="147"/>
      <c r="X966" s="147"/>
      <c r="Y966" s="147"/>
      <c r="Z966" s="147"/>
    </row>
    <row r="967">
      <c r="A967" s="147"/>
      <c r="B967" s="147"/>
      <c r="C967" s="147"/>
      <c r="D967" s="147"/>
      <c r="E967" s="147"/>
      <c r="F967" s="147"/>
      <c r="G967" s="147"/>
      <c r="H967" s="147"/>
      <c r="I967" s="190"/>
      <c r="J967" s="147"/>
      <c r="K967" s="147"/>
      <c r="L967" s="147"/>
      <c r="M967" s="147"/>
      <c r="N967" s="147"/>
      <c r="O967" s="147"/>
      <c r="P967" s="147"/>
      <c r="Q967" s="147"/>
      <c r="R967" s="147"/>
      <c r="S967" s="147"/>
      <c r="T967" s="147"/>
      <c r="U967" s="147"/>
      <c r="V967" s="147"/>
      <c r="W967" s="147"/>
      <c r="X967" s="147"/>
      <c r="Y967" s="147"/>
      <c r="Z967" s="147"/>
    </row>
    <row r="968">
      <c r="A968" s="147"/>
      <c r="B968" s="147"/>
      <c r="C968" s="147"/>
      <c r="D968" s="147"/>
      <c r="E968" s="147"/>
      <c r="F968" s="147"/>
      <c r="G968" s="147"/>
      <c r="H968" s="147"/>
      <c r="I968" s="190"/>
      <c r="J968" s="147"/>
      <c r="K968" s="147"/>
      <c r="L968" s="147"/>
      <c r="M968" s="147"/>
      <c r="N968" s="147"/>
      <c r="O968" s="147"/>
      <c r="P968" s="147"/>
      <c r="Q968" s="147"/>
      <c r="R968" s="147"/>
      <c r="S968" s="147"/>
      <c r="T968" s="147"/>
      <c r="U968" s="147"/>
      <c r="V968" s="147"/>
      <c r="W968" s="147"/>
      <c r="X968" s="147"/>
      <c r="Y968" s="147"/>
      <c r="Z968" s="147"/>
    </row>
    <row r="969">
      <c r="A969" s="147"/>
      <c r="B969" s="147"/>
      <c r="C969" s="147"/>
      <c r="D969" s="147"/>
      <c r="E969" s="147"/>
      <c r="F969" s="147"/>
      <c r="G969" s="147"/>
      <c r="H969" s="147"/>
      <c r="I969" s="190"/>
      <c r="J969" s="147"/>
      <c r="K969" s="147"/>
      <c r="L969" s="147"/>
      <c r="M969" s="147"/>
      <c r="N969" s="147"/>
      <c r="O969" s="147"/>
      <c r="P969" s="147"/>
      <c r="Q969" s="147"/>
      <c r="R969" s="147"/>
      <c r="S969" s="147"/>
      <c r="T969" s="147"/>
      <c r="U969" s="147"/>
      <c r="V969" s="147"/>
      <c r="W969" s="147"/>
      <c r="X969" s="147"/>
      <c r="Y969" s="147"/>
      <c r="Z969" s="147"/>
    </row>
    <row r="970">
      <c r="A970" s="147"/>
      <c r="B970" s="147"/>
      <c r="C970" s="147"/>
      <c r="D970" s="147"/>
      <c r="E970" s="147"/>
      <c r="F970" s="147"/>
      <c r="G970" s="147"/>
      <c r="H970" s="147"/>
      <c r="I970" s="190"/>
      <c r="J970" s="147"/>
      <c r="K970" s="147"/>
      <c r="L970" s="147"/>
      <c r="M970" s="147"/>
      <c r="N970" s="147"/>
      <c r="O970" s="147"/>
      <c r="P970" s="147"/>
      <c r="Q970" s="147"/>
      <c r="R970" s="147"/>
      <c r="S970" s="147"/>
      <c r="T970" s="147"/>
      <c r="U970" s="147"/>
      <c r="V970" s="147"/>
      <c r="W970" s="147"/>
      <c r="X970" s="147"/>
      <c r="Y970" s="147"/>
      <c r="Z970" s="147"/>
    </row>
    <row r="971">
      <c r="A971" s="147"/>
      <c r="B971" s="147"/>
      <c r="C971" s="147"/>
      <c r="D971" s="147"/>
      <c r="E971" s="147"/>
      <c r="F971" s="147"/>
      <c r="G971" s="147"/>
      <c r="H971" s="147"/>
      <c r="I971" s="190"/>
      <c r="J971" s="147"/>
      <c r="K971" s="147"/>
      <c r="L971" s="147"/>
      <c r="M971" s="147"/>
      <c r="N971" s="147"/>
      <c r="O971" s="147"/>
      <c r="P971" s="147"/>
      <c r="Q971" s="147"/>
      <c r="R971" s="147"/>
      <c r="S971" s="147"/>
      <c r="T971" s="147"/>
      <c r="U971" s="147"/>
      <c r="V971" s="147"/>
      <c r="W971" s="147"/>
      <c r="X971" s="147"/>
      <c r="Y971" s="147"/>
      <c r="Z971" s="147"/>
    </row>
    <row r="972">
      <c r="A972" s="147"/>
      <c r="B972" s="147"/>
      <c r="C972" s="147"/>
      <c r="D972" s="147"/>
      <c r="E972" s="147"/>
      <c r="F972" s="147"/>
      <c r="G972" s="147"/>
      <c r="H972" s="147"/>
      <c r="I972" s="190"/>
      <c r="J972" s="147"/>
      <c r="K972" s="147"/>
      <c r="L972" s="147"/>
      <c r="M972" s="147"/>
      <c r="N972" s="147"/>
      <c r="O972" s="147"/>
      <c r="P972" s="147"/>
      <c r="Q972" s="147"/>
      <c r="R972" s="147"/>
      <c r="S972" s="147"/>
      <c r="T972" s="147"/>
      <c r="U972" s="147"/>
      <c r="V972" s="147"/>
      <c r="W972" s="147"/>
      <c r="X972" s="147"/>
      <c r="Y972" s="147"/>
      <c r="Z972" s="147"/>
    </row>
    <row r="973">
      <c r="A973" s="147"/>
      <c r="B973" s="147"/>
      <c r="C973" s="147"/>
      <c r="D973" s="147"/>
      <c r="E973" s="147"/>
      <c r="F973" s="147"/>
      <c r="G973" s="147"/>
      <c r="H973" s="147"/>
      <c r="I973" s="190"/>
      <c r="J973" s="147"/>
      <c r="K973" s="147"/>
      <c r="L973" s="147"/>
      <c r="M973" s="147"/>
      <c r="N973" s="147"/>
      <c r="O973" s="147"/>
      <c r="P973" s="147"/>
      <c r="Q973" s="147"/>
      <c r="R973" s="147"/>
      <c r="S973" s="147"/>
      <c r="T973" s="147"/>
      <c r="U973" s="147"/>
      <c r="V973" s="147"/>
      <c r="W973" s="147"/>
      <c r="X973" s="147"/>
      <c r="Y973" s="147"/>
      <c r="Z973" s="147"/>
    </row>
    <row r="974">
      <c r="A974" s="147"/>
      <c r="B974" s="147"/>
      <c r="C974" s="147"/>
      <c r="D974" s="147"/>
      <c r="E974" s="147"/>
      <c r="F974" s="147"/>
      <c r="G974" s="147"/>
      <c r="H974" s="147"/>
      <c r="I974" s="190"/>
      <c r="J974" s="147"/>
      <c r="K974" s="147"/>
      <c r="L974" s="147"/>
      <c r="M974" s="147"/>
      <c r="N974" s="147"/>
      <c r="O974" s="147"/>
      <c r="P974" s="147"/>
      <c r="Q974" s="147"/>
      <c r="R974" s="147"/>
      <c r="S974" s="147"/>
      <c r="T974" s="147"/>
      <c r="U974" s="147"/>
      <c r="V974" s="147"/>
      <c r="W974" s="147"/>
      <c r="X974" s="147"/>
      <c r="Y974" s="147"/>
      <c r="Z974" s="147"/>
    </row>
    <row r="975">
      <c r="A975" s="147"/>
      <c r="B975" s="147"/>
      <c r="C975" s="147"/>
      <c r="D975" s="147"/>
      <c r="E975" s="147"/>
      <c r="F975" s="147"/>
      <c r="G975" s="147"/>
      <c r="H975" s="147"/>
      <c r="I975" s="190"/>
      <c r="J975" s="147"/>
      <c r="K975" s="147"/>
      <c r="L975" s="147"/>
      <c r="M975" s="147"/>
      <c r="N975" s="147"/>
      <c r="O975" s="147"/>
      <c r="P975" s="147"/>
      <c r="Q975" s="147"/>
      <c r="R975" s="147"/>
      <c r="S975" s="147"/>
      <c r="T975" s="147"/>
      <c r="U975" s="147"/>
      <c r="V975" s="147"/>
      <c r="W975" s="147"/>
      <c r="X975" s="147"/>
      <c r="Y975" s="147"/>
      <c r="Z975" s="147"/>
    </row>
    <row r="976">
      <c r="A976" s="147"/>
      <c r="B976" s="147"/>
      <c r="C976" s="147"/>
      <c r="D976" s="147"/>
      <c r="E976" s="147"/>
      <c r="F976" s="147"/>
      <c r="G976" s="147"/>
      <c r="H976" s="147"/>
      <c r="I976" s="190"/>
      <c r="J976" s="147"/>
      <c r="K976" s="147"/>
      <c r="L976" s="147"/>
      <c r="M976" s="147"/>
      <c r="N976" s="147"/>
      <c r="O976" s="147"/>
      <c r="P976" s="147"/>
      <c r="Q976" s="147"/>
      <c r="R976" s="147"/>
      <c r="S976" s="147"/>
      <c r="T976" s="147"/>
      <c r="U976" s="147"/>
      <c r="V976" s="147"/>
      <c r="W976" s="147"/>
      <c r="X976" s="147"/>
      <c r="Y976" s="147"/>
      <c r="Z976" s="147"/>
    </row>
    <row r="977">
      <c r="A977" s="147"/>
      <c r="B977" s="147"/>
      <c r="C977" s="147"/>
      <c r="D977" s="147"/>
      <c r="E977" s="147"/>
      <c r="F977" s="147"/>
      <c r="G977" s="147"/>
      <c r="H977" s="147"/>
      <c r="I977" s="190"/>
      <c r="J977" s="147"/>
      <c r="K977" s="147"/>
      <c r="L977" s="147"/>
      <c r="M977" s="147"/>
      <c r="N977" s="147"/>
      <c r="O977" s="147"/>
      <c r="P977" s="147"/>
      <c r="Q977" s="147"/>
      <c r="R977" s="147"/>
      <c r="S977" s="147"/>
      <c r="T977" s="147"/>
      <c r="U977" s="147"/>
      <c r="V977" s="147"/>
      <c r="W977" s="147"/>
      <c r="X977" s="147"/>
      <c r="Y977" s="147"/>
      <c r="Z977" s="147"/>
    </row>
    <row r="978">
      <c r="A978" s="147"/>
      <c r="B978" s="147"/>
      <c r="C978" s="147"/>
      <c r="D978" s="147"/>
      <c r="E978" s="147"/>
      <c r="F978" s="147"/>
      <c r="G978" s="147"/>
      <c r="H978" s="147"/>
      <c r="I978" s="190"/>
      <c r="J978" s="147"/>
      <c r="K978" s="147"/>
      <c r="L978" s="147"/>
      <c r="M978" s="147"/>
      <c r="N978" s="147"/>
      <c r="O978" s="147"/>
      <c r="P978" s="147"/>
      <c r="Q978" s="147"/>
      <c r="R978" s="147"/>
      <c r="S978" s="147"/>
      <c r="T978" s="147"/>
      <c r="U978" s="147"/>
      <c r="V978" s="147"/>
      <c r="W978" s="147"/>
      <c r="X978" s="147"/>
      <c r="Y978" s="147"/>
      <c r="Z978" s="147"/>
    </row>
    <row r="979">
      <c r="A979" s="147"/>
      <c r="B979" s="147"/>
      <c r="C979" s="147"/>
      <c r="D979" s="147"/>
      <c r="E979" s="147"/>
      <c r="F979" s="147"/>
      <c r="G979" s="147"/>
      <c r="H979" s="147"/>
      <c r="I979" s="190"/>
      <c r="J979" s="147"/>
      <c r="K979" s="147"/>
      <c r="L979" s="147"/>
      <c r="M979" s="147"/>
      <c r="N979" s="147"/>
      <c r="O979" s="147"/>
      <c r="P979" s="147"/>
      <c r="Q979" s="147"/>
      <c r="R979" s="147"/>
      <c r="S979" s="147"/>
      <c r="T979" s="147"/>
      <c r="U979" s="147"/>
      <c r="V979" s="147"/>
      <c r="W979" s="147"/>
      <c r="X979" s="147"/>
      <c r="Y979" s="147"/>
      <c r="Z979" s="147"/>
    </row>
    <row r="980">
      <c r="A980" s="147"/>
      <c r="B980" s="147"/>
      <c r="C980" s="147"/>
      <c r="D980" s="147"/>
      <c r="E980" s="147"/>
      <c r="F980" s="147"/>
      <c r="G980" s="147"/>
      <c r="H980" s="147"/>
      <c r="I980" s="190"/>
      <c r="J980" s="147"/>
      <c r="K980" s="147"/>
      <c r="L980" s="147"/>
      <c r="M980" s="147"/>
      <c r="N980" s="147"/>
      <c r="O980" s="147"/>
      <c r="P980" s="147"/>
      <c r="Q980" s="147"/>
      <c r="R980" s="147"/>
      <c r="S980" s="147"/>
      <c r="T980" s="147"/>
      <c r="U980" s="147"/>
      <c r="V980" s="147"/>
      <c r="W980" s="147"/>
      <c r="X980" s="147"/>
      <c r="Y980" s="147"/>
      <c r="Z980" s="147"/>
    </row>
    <row r="981">
      <c r="A981" s="147"/>
      <c r="B981" s="147"/>
      <c r="C981" s="147"/>
      <c r="D981" s="147"/>
      <c r="E981" s="147"/>
      <c r="F981" s="147"/>
      <c r="G981" s="147"/>
      <c r="H981" s="147"/>
      <c r="I981" s="190"/>
      <c r="J981" s="147"/>
      <c r="K981" s="147"/>
      <c r="L981" s="147"/>
      <c r="M981" s="147"/>
      <c r="N981" s="147"/>
      <c r="O981" s="147"/>
      <c r="P981" s="147"/>
      <c r="Q981" s="147"/>
      <c r="R981" s="147"/>
      <c r="S981" s="147"/>
      <c r="T981" s="147"/>
      <c r="U981" s="147"/>
      <c r="V981" s="147"/>
      <c r="W981" s="147"/>
      <c r="X981" s="147"/>
      <c r="Y981" s="147"/>
      <c r="Z981" s="147"/>
    </row>
  </sheetData>
  <autoFilter ref="$A$1:$I$246"/>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12.75"/>
    <col customWidth="1" min="4" max="4" width="33.13"/>
    <col customWidth="1" min="5" max="5" width="32.63"/>
    <col customWidth="1" min="6" max="6" width="21.88"/>
    <col customWidth="1" min="7" max="7" width="20.0"/>
    <col customWidth="1" min="8" max="8" width="27.13"/>
  </cols>
  <sheetData>
    <row r="1">
      <c r="A1" s="31" t="s">
        <v>78</v>
      </c>
      <c r="B1" s="32" t="s">
        <v>79</v>
      </c>
      <c r="C1" s="66" t="s">
        <v>80</v>
      </c>
      <c r="D1" s="66" t="s">
        <v>81</v>
      </c>
      <c r="E1" s="67" t="s">
        <v>82</v>
      </c>
      <c r="F1" s="68" t="s">
        <v>413</v>
      </c>
      <c r="G1" s="68" t="s">
        <v>414</v>
      </c>
      <c r="H1" s="31" t="s">
        <v>83</v>
      </c>
      <c r="I1" s="31" t="s">
        <v>2</v>
      </c>
    </row>
    <row r="2">
      <c r="A2" s="38" t="s">
        <v>84</v>
      </c>
      <c r="B2" s="59" t="s">
        <v>5515</v>
      </c>
      <c r="C2" s="59" t="s">
        <v>5516</v>
      </c>
      <c r="D2" s="41" t="s">
        <v>5517</v>
      </c>
      <c r="E2" s="59" t="s">
        <v>5518</v>
      </c>
      <c r="F2" s="41" t="s">
        <v>5519</v>
      </c>
      <c r="G2" s="41" t="s">
        <v>5520</v>
      </c>
      <c r="H2" s="41" t="s">
        <v>5521</v>
      </c>
      <c r="I2" s="1" t="s">
        <v>13</v>
      </c>
      <c r="L2" s="1" t="s">
        <v>284</v>
      </c>
    </row>
    <row r="3">
      <c r="A3" s="38" t="s">
        <v>92</v>
      </c>
      <c r="B3" s="59" t="s">
        <v>5515</v>
      </c>
      <c r="C3" s="59" t="s">
        <v>5516</v>
      </c>
      <c r="D3" s="41" t="s">
        <v>5517</v>
      </c>
      <c r="E3" s="59" t="s">
        <v>5518</v>
      </c>
      <c r="F3" s="41" t="s">
        <v>5522</v>
      </c>
      <c r="G3" s="41" t="s">
        <v>5520</v>
      </c>
      <c r="H3" s="41" t="s">
        <v>5523</v>
      </c>
      <c r="I3" s="1" t="s">
        <v>13</v>
      </c>
      <c r="L3" s="1" t="s">
        <v>13</v>
      </c>
      <c r="M3" s="21">
        <f>COUNTA(I2:I5)</f>
        <v>4</v>
      </c>
    </row>
    <row r="4">
      <c r="A4" s="38" t="s">
        <v>96</v>
      </c>
      <c r="B4" s="59" t="s">
        <v>5515</v>
      </c>
      <c r="C4" s="59" t="s">
        <v>5516</v>
      </c>
      <c r="D4" s="41" t="s">
        <v>5517</v>
      </c>
      <c r="E4" s="59" t="s">
        <v>5518</v>
      </c>
      <c r="F4" s="41" t="s">
        <v>5524</v>
      </c>
      <c r="G4" s="41" t="s">
        <v>5520</v>
      </c>
      <c r="H4" s="41" t="s">
        <v>5525</v>
      </c>
      <c r="I4" s="1" t="s">
        <v>13</v>
      </c>
    </row>
    <row r="5">
      <c r="A5" s="38" t="s">
        <v>101</v>
      </c>
      <c r="B5" s="59" t="s">
        <v>5515</v>
      </c>
      <c r="C5" s="59" t="s">
        <v>5516</v>
      </c>
      <c r="D5" s="41" t="s">
        <v>5517</v>
      </c>
      <c r="E5" s="59" t="s">
        <v>5526</v>
      </c>
      <c r="F5" s="41" t="s">
        <v>5524</v>
      </c>
      <c r="G5" s="41" t="s">
        <v>5520</v>
      </c>
      <c r="H5" s="41" t="s">
        <v>5527</v>
      </c>
      <c r="I5" s="1" t="s">
        <v>13</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5.63"/>
    <col customWidth="1" min="3" max="3" width="23.0"/>
    <col customWidth="1" min="4" max="4" width="33.13"/>
    <col customWidth="1" min="5" max="5" width="28.38"/>
    <col customWidth="1" min="6" max="6" width="31.63"/>
    <col customWidth="1" min="7" max="7" width="23.25"/>
    <col customWidth="1" min="8" max="8" width="18.13"/>
  </cols>
  <sheetData>
    <row r="1">
      <c r="A1" s="31" t="s">
        <v>5528</v>
      </c>
      <c r="B1" s="32" t="s">
        <v>79</v>
      </c>
      <c r="C1" s="66" t="s">
        <v>80</v>
      </c>
      <c r="D1" s="66" t="s">
        <v>81</v>
      </c>
      <c r="E1" s="67" t="s">
        <v>82</v>
      </c>
      <c r="F1" s="68" t="s">
        <v>413</v>
      </c>
      <c r="G1" s="68" t="s">
        <v>414</v>
      </c>
      <c r="H1" s="31" t="s">
        <v>83</v>
      </c>
      <c r="I1" s="31" t="s">
        <v>278</v>
      </c>
    </row>
    <row r="2">
      <c r="A2" s="38" t="s">
        <v>84</v>
      </c>
      <c r="B2" s="59" t="s">
        <v>5529</v>
      </c>
      <c r="C2" s="59" t="s">
        <v>5530</v>
      </c>
      <c r="D2" s="59" t="s">
        <v>5531</v>
      </c>
      <c r="E2" s="59" t="s">
        <v>5532</v>
      </c>
      <c r="F2" s="59" t="s">
        <v>5533</v>
      </c>
      <c r="G2" s="59" t="s">
        <v>5534</v>
      </c>
      <c r="H2" s="59" t="s">
        <v>5535</v>
      </c>
      <c r="I2" s="140" t="s">
        <v>13</v>
      </c>
      <c r="L2" s="1" t="s">
        <v>284</v>
      </c>
      <c r="M2" s="21">
        <f>SUM(M3:M9)</f>
        <v>35</v>
      </c>
    </row>
    <row r="3">
      <c r="A3" s="38" t="s">
        <v>92</v>
      </c>
      <c r="B3" s="59" t="s">
        <v>5529</v>
      </c>
      <c r="C3" s="59" t="s">
        <v>5530</v>
      </c>
      <c r="D3" s="59" t="s">
        <v>5536</v>
      </c>
      <c r="E3" s="59" t="s">
        <v>5537</v>
      </c>
      <c r="F3" s="59" t="s">
        <v>5538</v>
      </c>
      <c r="G3" s="59" t="s">
        <v>46</v>
      </c>
      <c r="H3" s="59" t="s">
        <v>5539</v>
      </c>
      <c r="I3" s="140" t="s">
        <v>13</v>
      </c>
      <c r="L3" s="1" t="s">
        <v>14</v>
      </c>
      <c r="M3" s="21">
        <f>COUNTIF($I$2:$I$36,"Colombia")</f>
        <v>2</v>
      </c>
    </row>
    <row r="4">
      <c r="A4" s="38" t="s">
        <v>96</v>
      </c>
      <c r="B4" s="59" t="s">
        <v>5529</v>
      </c>
      <c r="C4" s="59" t="s">
        <v>5530</v>
      </c>
      <c r="D4" s="59" t="s">
        <v>5540</v>
      </c>
      <c r="E4" s="59" t="s">
        <v>5541</v>
      </c>
      <c r="F4" s="59" t="s">
        <v>5542</v>
      </c>
      <c r="G4" s="59" t="s">
        <v>5543</v>
      </c>
      <c r="H4" s="59" t="s">
        <v>5544</v>
      </c>
      <c r="I4" s="140" t="s">
        <v>17</v>
      </c>
      <c r="L4" s="1" t="s">
        <v>15</v>
      </c>
      <c r="M4" s="21">
        <f>COUNTIF($I$2:$I$36,"Panama")</f>
        <v>2</v>
      </c>
    </row>
    <row r="5">
      <c r="A5" s="38" t="s">
        <v>101</v>
      </c>
      <c r="B5" s="59" t="s">
        <v>5529</v>
      </c>
      <c r="C5" s="59" t="s">
        <v>5530</v>
      </c>
      <c r="D5" s="59" t="s">
        <v>5545</v>
      </c>
      <c r="E5" s="59" t="s">
        <v>5541</v>
      </c>
      <c r="F5" s="59" t="s">
        <v>5546</v>
      </c>
      <c r="G5" s="59" t="s">
        <v>5547</v>
      </c>
      <c r="H5" s="59" t="s">
        <v>5548</v>
      </c>
      <c r="I5" s="140" t="s">
        <v>18</v>
      </c>
      <c r="L5" s="1" t="s">
        <v>16</v>
      </c>
      <c r="M5" s="21">
        <f>COUNTIF($I$2:$I$36,"Costa Rica")</f>
        <v>2</v>
      </c>
    </row>
    <row r="6">
      <c r="A6" s="38" t="s">
        <v>106</v>
      </c>
      <c r="B6" s="59" t="s">
        <v>5529</v>
      </c>
      <c r="C6" s="59" t="s">
        <v>5530</v>
      </c>
      <c r="D6" s="59" t="s">
        <v>5549</v>
      </c>
      <c r="E6" s="59" t="s">
        <v>5541</v>
      </c>
      <c r="F6" s="59" t="s">
        <v>5546</v>
      </c>
      <c r="G6" s="59" t="s">
        <v>5547</v>
      </c>
      <c r="H6" s="59" t="s">
        <v>5548</v>
      </c>
      <c r="I6" s="140" t="s">
        <v>15</v>
      </c>
      <c r="L6" s="1" t="s">
        <v>17</v>
      </c>
      <c r="M6" s="21">
        <f>COUNTIF($I$2:$I$36,"Honduras")</f>
        <v>2</v>
      </c>
    </row>
    <row r="7">
      <c r="A7" s="38" t="s">
        <v>110</v>
      </c>
      <c r="B7" s="59" t="s">
        <v>5529</v>
      </c>
      <c r="C7" s="59" t="s">
        <v>5530</v>
      </c>
      <c r="D7" s="59" t="s">
        <v>5550</v>
      </c>
      <c r="E7" s="59" t="s">
        <v>5541</v>
      </c>
      <c r="F7" s="59" t="s">
        <v>5546</v>
      </c>
      <c r="G7" s="59" t="s">
        <v>5547</v>
      </c>
      <c r="H7" s="59" t="s">
        <v>5548</v>
      </c>
      <c r="I7" s="140" t="s">
        <v>16</v>
      </c>
      <c r="L7" s="1" t="s">
        <v>18</v>
      </c>
      <c r="M7" s="21">
        <f>COUNTIF($I$2:$I$36,"El Salvador")</f>
        <v>2</v>
      </c>
    </row>
    <row r="8">
      <c r="A8" s="38" t="s">
        <v>115</v>
      </c>
      <c r="B8" s="59" t="s">
        <v>5529</v>
      </c>
      <c r="C8" s="59" t="s">
        <v>5530</v>
      </c>
      <c r="D8" s="59" t="s">
        <v>5551</v>
      </c>
      <c r="E8" s="59" t="s">
        <v>5541</v>
      </c>
      <c r="F8" s="59" t="s">
        <v>5546</v>
      </c>
      <c r="G8" s="59" t="s">
        <v>5547</v>
      </c>
      <c r="H8" s="59" t="s">
        <v>5548</v>
      </c>
      <c r="I8" s="140" t="s">
        <v>14</v>
      </c>
      <c r="L8" s="1" t="s">
        <v>19</v>
      </c>
      <c r="M8" s="21">
        <f>COUNTIF($I$2:$I$36,"Miami")</f>
        <v>2</v>
      </c>
    </row>
    <row r="9">
      <c r="A9" s="38" t="s">
        <v>120</v>
      </c>
      <c r="B9" s="59" t="s">
        <v>5529</v>
      </c>
      <c r="C9" s="59" t="s">
        <v>5530</v>
      </c>
      <c r="D9" s="59" t="s">
        <v>5552</v>
      </c>
      <c r="E9" s="59" t="s">
        <v>5541</v>
      </c>
      <c r="F9" s="59" t="s">
        <v>5546</v>
      </c>
      <c r="G9" s="59" t="s">
        <v>5547</v>
      </c>
      <c r="H9" s="59" t="s">
        <v>5548</v>
      </c>
      <c r="I9" s="140" t="s">
        <v>19</v>
      </c>
      <c r="L9" s="1" t="s">
        <v>13</v>
      </c>
      <c r="M9" s="21">
        <f>COUNTIF($I$2:$I$36,"Todos")</f>
        <v>23</v>
      </c>
    </row>
    <row r="10">
      <c r="A10" s="38" t="s">
        <v>125</v>
      </c>
      <c r="B10" s="59" t="s">
        <v>5529</v>
      </c>
      <c r="C10" s="59" t="s">
        <v>5553</v>
      </c>
      <c r="D10" s="59" t="s">
        <v>5554</v>
      </c>
      <c r="E10" s="59" t="s">
        <v>5555</v>
      </c>
      <c r="F10" s="59" t="s">
        <v>5556</v>
      </c>
      <c r="G10" s="59" t="s">
        <v>46</v>
      </c>
      <c r="H10" s="59" t="s">
        <v>5557</v>
      </c>
      <c r="I10" s="140" t="s">
        <v>13</v>
      </c>
    </row>
    <row r="11">
      <c r="A11" s="38" t="s">
        <v>129</v>
      </c>
      <c r="B11" s="59" t="s">
        <v>5529</v>
      </c>
      <c r="C11" s="59" t="s">
        <v>5558</v>
      </c>
      <c r="D11" s="59" t="s">
        <v>5559</v>
      </c>
      <c r="E11" s="59" t="s">
        <v>5560</v>
      </c>
      <c r="F11" s="59" t="s">
        <v>5561</v>
      </c>
      <c r="G11" s="59" t="s">
        <v>5562</v>
      </c>
      <c r="H11" s="59" t="s">
        <v>5563</v>
      </c>
      <c r="I11" s="140" t="s">
        <v>13</v>
      </c>
    </row>
    <row r="12">
      <c r="A12" s="38" t="s">
        <v>134</v>
      </c>
      <c r="B12" s="59" t="s">
        <v>5529</v>
      </c>
      <c r="C12" s="59" t="s">
        <v>5564</v>
      </c>
      <c r="D12" s="59" t="s">
        <v>5565</v>
      </c>
      <c r="E12" s="59" t="s">
        <v>5566</v>
      </c>
      <c r="F12" s="59" t="s">
        <v>5567</v>
      </c>
      <c r="G12" s="59" t="s">
        <v>5568</v>
      </c>
      <c r="H12" s="59" t="s">
        <v>5569</v>
      </c>
      <c r="I12" s="140" t="s">
        <v>13</v>
      </c>
    </row>
    <row r="13">
      <c r="A13" s="38" t="s">
        <v>139</v>
      </c>
      <c r="B13" s="59" t="s">
        <v>5529</v>
      </c>
      <c r="C13" s="59" t="s">
        <v>5570</v>
      </c>
      <c r="D13" s="59" t="s">
        <v>5571</v>
      </c>
      <c r="E13" s="59" t="s">
        <v>5572</v>
      </c>
      <c r="F13" s="59" t="s">
        <v>5573</v>
      </c>
      <c r="G13" s="59" t="s">
        <v>5568</v>
      </c>
      <c r="H13" s="59" t="s">
        <v>5574</v>
      </c>
      <c r="I13" s="140" t="s">
        <v>13</v>
      </c>
    </row>
    <row r="14">
      <c r="A14" s="38" t="s">
        <v>144</v>
      </c>
      <c r="B14" s="59" t="s">
        <v>5529</v>
      </c>
      <c r="C14" s="59" t="s">
        <v>5575</v>
      </c>
      <c r="D14" s="59" t="s">
        <v>5571</v>
      </c>
      <c r="E14" s="59" t="s">
        <v>5576</v>
      </c>
      <c r="F14" s="59" t="s">
        <v>5577</v>
      </c>
      <c r="G14" s="59" t="s">
        <v>5568</v>
      </c>
      <c r="H14" s="59" t="s">
        <v>5578</v>
      </c>
      <c r="I14" s="140" t="s">
        <v>13</v>
      </c>
    </row>
    <row r="15">
      <c r="A15" s="38" t="s">
        <v>149</v>
      </c>
      <c r="B15" s="59" t="s">
        <v>5529</v>
      </c>
      <c r="C15" s="59" t="s">
        <v>5579</v>
      </c>
      <c r="D15" s="59" t="s">
        <v>5571</v>
      </c>
      <c r="E15" s="59" t="s">
        <v>5580</v>
      </c>
      <c r="F15" s="59" t="s">
        <v>5581</v>
      </c>
      <c r="G15" s="59" t="s">
        <v>5582</v>
      </c>
      <c r="H15" s="59" t="s">
        <v>5583</v>
      </c>
      <c r="I15" s="140" t="s">
        <v>13</v>
      </c>
    </row>
    <row r="16">
      <c r="A16" s="38" t="s">
        <v>153</v>
      </c>
      <c r="B16" s="59" t="s">
        <v>5529</v>
      </c>
      <c r="C16" s="59" t="s">
        <v>5584</v>
      </c>
      <c r="D16" s="59" t="s">
        <v>5585</v>
      </c>
      <c r="E16" s="59" t="s">
        <v>5586</v>
      </c>
      <c r="F16" s="59" t="s">
        <v>5587</v>
      </c>
      <c r="G16" s="59" t="s">
        <v>5588</v>
      </c>
      <c r="H16" s="59" t="s">
        <v>5589</v>
      </c>
      <c r="I16" s="140" t="s">
        <v>18</v>
      </c>
    </row>
    <row r="17">
      <c r="A17" s="38" t="s">
        <v>158</v>
      </c>
      <c r="B17" s="59" t="s">
        <v>5529</v>
      </c>
      <c r="C17" s="59" t="s">
        <v>5584</v>
      </c>
      <c r="D17" s="59" t="s">
        <v>5590</v>
      </c>
      <c r="E17" s="59" t="s">
        <v>5591</v>
      </c>
      <c r="F17" s="59" t="s">
        <v>5592</v>
      </c>
      <c r="G17" s="59" t="s">
        <v>5593</v>
      </c>
      <c r="H17" s="59" t="s">
        <v>5589</v>
      </c>
      <c r="I17" s="140" t="s">
        <v>17</v>
      </c>
    </row>
    <row r="18">
      <c r="A18" s="38" t="s">
        <v>162</v>
      </c>
      <c r="B18" s="59" t="s">
        <v>5529</v>
      </c>
      <c r="C18" s="59" t="s">
        <v>5584</v>
      </c>
      <c r="D18" s="59" t="s">
        <v>5594</v>
      </c>
      <c r="E18" s="59" t="s">
        <v>5591</v>
      </c>
      <c r="F18" s="59"/>
      <c r="G18" s="59" t="s">
        <v>5593</v>
      </c>
      <c r="H18" s="59" t="s">
        <v>5589</v>
      </c>
      <c r="I18" s="140" t="s">
        <v>15</v>
      </c>
    </row>
    <row r="19">
      <c r="A19" s="38" t="s">
        <v>165</v>
      </c>
      <c r="B19" s="59" t="s">
        <v>5529</v>
      </c>
      <c r="C19" s="59" t="s">
        <v>5584</v>
      </c>
      <c r="D19" s="59" t="s">
        <v>5550</v>
      </c>
      <c r="E19" s="59" t="s">
        <v>5591</v>
      </c>
      <c r="F19" s="59"/>
      <c r="G19" s="59" t="s">
        <v>5593</v>
      </c>
      <c r="H19" s="59" t="s">
        <v>5589</v>
      </c>
      <c r="I19" s="140" t="s">
        <v>16</v>
      </c>
    </row>
    <row r="20">
      <c r="A20" s="38" t="s">
        <v>167</v>
      </c>
      <c r="B20" s="59" t="s">
        <v>5529</v>
      </c>
      <c r="C20" s="59" t="s">
        <v>5584</v>
      </c>
      <c r="D20" s="59" t="s">
        <v>5551</v>
      </c>
      <c r="E20" s="59" t="s">
        <v>5591</v>
      </c>
      <c r="F20" s="59"/>
      <c r="G20" s="59" t="s">
        <v>5593</v>
      </c>
      <c r="H20" s="59" t="s">
        <v>5589</v>
      </c>
      <c r="I20" s="140" t="s">
        <v>14</v>
      </c>
    </row>
    <row r="21">
      <c r="A21" s="38" t="s">
        <v>170</v>
      </c>
      <c r="B21" s="59" t="s">
        <v>5529</v>
      </c>
      <c r="C21" s="59" t="s">
        <v>5584</v>
      </c>
      <c r="D21" s="59" t="s">
        <v>5552</v>
      </c>
      <c r="E21" s="59" t="s">
        <v>5591</v>
      </c>
      <c r="F21" s="59"/>
      <c r="G21" s="59" t="s">
        <v>5593</v>
      </c>
      <c r="H21" s="59" t="s">
        <v>5589</v>
      </c>
      <c r="I21" s="140" t="s">
        <v>19</v>
      </c>
    </row>
    <row r="22">
      <c r="A22" s="38" t="s">
        <v>175</v>
      </c>
      <c r="B22" s="59" t="s">
        <v>5529</v>
      </c>
      <c r="C22" s="59" t="s">
        <v>5595</v>
      </c>
      <c r="D22" s="59" t="s">
        <v>5596</v>
      </c>
      <c r="E22" s="59" t="s">
        <v>5597</v>
      </c>
      <c r="F22" s="59" t="s">
        <v>5598</v>
      </c>
      <c r="G22" s="59" t="s">
        <v>5599</v>
      </c>
      <c r="H22" s="59" t="s">
        <v>5600</v>
      </c>
      <c r="I22" s="140" t="s">
        <v>13</v>
      </c>
    </row>
    <row r="23">
      <c r="A23" s="38" t="s">
        <v>180</v>
      </c>
      <c r="B23" s="59" t="s">
        <v>5529</v>
      </c>
      <c r="C23" s="59" t="s">
        <v>5601</v>
      </c>
      <c r="D23" s="59" t="s">
        <v>5602</v>
      </c>
      <c r="E23" s="59" t="s">
        <v>5603</v>
      </c>
      <c r="F23" s="59" t="s">
        <v>5604</v>
      </c>
      <c r="G23" s="59" t="s">
        <v>46</v>
      </c>
      <c r="H23" s="59" t="s">
        <v>5605</v>
      </c>
      <c r="I23" s="140" t="s">
        <v>13</v>
      </c>
    </row>
    <row r="24">
      <c r="A24" s="38" t="s">
        <v>185</v>
      </c>
      <c r="B24" s="59" t="s">
        <v>5529</v>
      </c>
      <c r="C24" s="59" t="s">
        <v>5601</v>
      </c>
      <c r="D24" s="59" t="s">
        <v>5602</v>
      </c>
      <c r="E24" s="59" t="s">
        <v>5606</v>
      </c>
      <c r="F24" s="59" t="s">
        <v>5607</v>
      </c>
      <c r="G24" s="59" t="s">
        <v>46</v>
      </c>
      <c r="H24" s="59" t="s">
        <v>5608</v>
      </c>
      <c r="I24" s="140" t="s">
        <v>13</v>
      </c>
    </row>
    <row r="25">
      <c r="A25" s="38" t="s">
        <v>190</v>
      </c>
      <c r="B25" s="59" t="s">
        <v>5529</v>
      </c>
      <c r="C25" s="59" t="s">
        <v>5609</v>
      </c>
      <c r="D25" s="59" t="s">
        <v>5610</v>
      </c>
      <c r="E25" s="59" t="s">
        <v>4630</v>
      </c>
      <c r="F25" s="59" t="s">
        <v>5611</v>
      </c>
      <c r="G25" s="59" t="s">
        <v>46</v>
      </c>
      <c r="H25" s="59" t="s">
        <v>4631</v>
      </c>
      <c r="I25" s="140" t="s">
        <v>13</v>
      </c>
    </row>
    <row r="26">
      <c r="A26" s="38" t="s">
        <v>195</v>
      </c>
      <c r="B26" s="59" t="s">
        <v>5529</v>
      </c>
      <c r="C26" s="59" t="s">
        <v>5612</v>
      </c>
      <c r="D26" s="59" t="s">
        <v>4633</v>
      </c>
      <c r="E26" s="59" t="s">
        <v>4639</v>
      </c>
      <c r="F26" s="59" t="s">
        <v>4634</v>
      </c>
      <c r="G26" s="59" t="s">
        <v>46</v>
      </c>
      <c r="H26" s="59" t="s">
        <v>4636</v>
      </c>
      <c r="I26" s="140" t="s">
        <v>13</v>
      </c>
    </row>
    <row r="27">
      <c r="A27" s="38" t="s">
        <v>200</v>
      </c>
      <c r="B27" s="59" t="s">
        <v>5529</v>
      </c>
      <c r="C27" s="59" t="s">
        <v>5612</v>
      </c>
      <c r="D27" s="59" t="s">
        <v>4633</v>
      </c>
      <c r="E27" s="59" t="s">
        <v>4639</v>
      </c>
      <c r="F27" s="59" t="s">
        <v>4638</v>
      </c>
      <c r="G27" s="59" t="s">
        <v>46</v>
      </c>
      <c r="H27" s="59" t="s">
        <v>4640</v>
      </c>
      <c r="I27" s="140" t="s">
        <v>13</v>
      </c>
    </row>
    <row r="28">
      <c r="A28" s="38" t="s">
        <v>205</v>
      </c>
      <c r="B28" s="59" t="s">
        <v>5529</v>
      </c>
      <c r="C28" s="59" t="s">
        <v>5612</v>
      </c>
      <c r="D28" s="59" t="s">
        <v>4633</v>
      </c>
      <c r="E28" s="59" t="s">
        <v>5613</v>
      </c>
      <c r="F28" s="59" t="s">
        <v>5614</v>
      </c>
      <c r="G28" s="59" t="s">
        <v>5615</v>
      </c>
      <c r="H28" s="59" t="s">
        <v>4643</v>
      </c>
      <c r="I28" s="140" t="s">
        <v>13</v>
      </c>
    </row>
    <row r="29">
      <c r="A29" s="38" t="s">
        <v>210</v>
      </c>
      <c r="B29" s="59" t="s">
        <v>5529</v>
      </c>
      <c r="C29" s="59" t="s">
        <v>5616</v>
      </c>
      <c r="D29" s="59" t="s">
        <v>5617</v>
      </c>
      <c r="E29" s="59" t="s">
        <v>5618</v>
      </c>
      <c r="F29" s="59" t="s">
        <v>5619</v>
      </c>
      <c r="G29" s="59" t="s">
        <v>5620</v>
      </c>
      <c r="H29" s="59" t="s">
        <v>5621</v>
      </c>
      <c r="I29" s="140" t="s">
        <v>13</v>
      </c>
    </row>
    <row r="30">
      <c r="A30" s="38" t="s">
        <v>215</v>
      </c>
      <c r="B30" s="59" t="s">
        <v>5529</v>
      </c>
      <c r="C30" s="59" t="s">
        <v>5616</v>
      </c>
      <c r="D30" s="59" t="s">
        <v>4720</v>
      </c>
      <c r="E30" s="59" t="s">
        <v>4708</v>
      </c>
      <c r="F30" s="59" t="s">
        <v>5622</v>
      </c>
      <c r="G30" s="59" t="s">
        <v>5623</v>
      </c>
      <c r="H30" s="59" t="s">
        <v>5624</v>
      </c>
      <c r="I30" s="140" t="s">
        <v>13</v>
      </c>
    </row>
    <row r="31">
      <c r="A31" s="38" t="s">
        <v>220</v>
      </c>
      <c r="B31" s="59" t="s">
        <v>5529</v>
      </c>
      <c r="C31" s="59" t="s">
        <v>5616</v>
      </c>
      <c r="D31" s="59" t="s">
        <v>4720</v>
      </c>
      <c r="E31" s="59" t="s">
        <v>4722</v>
      </c>
      <c r="F31" s="59" t="s">
        <v>5625</v>
      </c>
      <c r="G31" s="59" t="s">
        <v>5626</v>
      </c>
      <c r="H31" s="59" t="s">
        <v>4723</v>
      </c>
      <c r="I31" s="140" t="s">
        <v>13</v>
      </c>
    </row>
    <row r="32">
      <c r="A32" s="38" t="s">
        <v>224</v>
      </c>
      <c r="B32" s="59" t="s">
        <v>5529</v>
      </c>
      <c r="C32" s="59" t="s">
        <v>5616</v>
      </c>
      <c r="D32" s="59" t="s">
        <v>4720</v>
      </c>
      <c r="E32" s="59" t="s">
        <v>4725</v>
      </c>
      <c r="F32" s="59" t="s">
        <v>5625</v>
      </c>
      <c r="G32" s="59" t="s">
        <v>5627</v>
      </c>
      <c r="H32" s="59" t="s">
        <v>4723</v>
      </c>
      <c r="I32" s="140" t="s">
        <v>13</v>
      </c>
    </row>
    <row r="33">
      <c r="A33" s="38" t="s">
        <v>228</v>
      </c>
      <c r="B33" s="59" t="s">
        <v>5529</v>
      </c>
      <c r="C33" s="59" t="s">
        <v>5628</v>
      </c>
      <c r="D33" s="59" t="s">
        <v>5629</v>
      </c>
      <c r="E33" s="59" t="s">
        <v>5630</v>
      </c>
      <c r="F33" s="59" t="s">
        <v>5631</v>
      </c>
      <c r="G33" s="59" t="s">
        <v>46</v>
      </c>
      <c r="H33" s="59" t="s">
        <v>4626</v>
      </c>
      <c r="I33" s="140" t="s">
        <v>13</v>
      </c>
    </row>
    <row r="34">
      <c r="A34" s="38" t="s">
        <v>233</v>
      </c>
      <c r="B34" s="59" t="s">
        <v>5529</v>
      </c>
      <c r="C34" s="59" t="s">
        <v>5632</v>
      </c>
      <c r="D34" s="59" t="s">
        <v>402</v>
      </c>
      <c r="E34" s="59" t="s">
        <v>477</v>
      </c>
      <c r="F34" s="59" t="s">
        <v>5633</v>
      </c>
      <c r="G34" s="59" t="s">
        <v>46</v>
      </c>
      <c r="H34" s="59" t="s">
        <v>479</v>
      </c>
      <c r="I34" s="140" t="s">
        <v>13</v>
      </c>
    </row>
    <row r="35">
      <c r="A35" s="38" t="s">
        <v>237</v>
      </c>
      <c r="B35" s="59" t="s">
        <v>5529</v>
      </c>
      <c r="C35" s="59" t="s">
        <v>5632</v>
      </c>
      <c r="D35" s="59" t="s">
        <v>406</v>
      </c>
      <c r="E35" s="59" t="s">
        <v>477</v>
      </c>
      <c r="F35" s="59" t="s">
        <v>5634</v>
      </c>
      <c r="G35" s="59" t="s">
        <v>46</v>
      </c>
      <c r="H35" s="59" t="s">
        <v>479</v>
      </c>
      <c r="I35" s="140" t="s">
        <v>13</v>
      </c>
    </row>
    <row r="36">
      <c r="A36" s="38" t="s">
        <v>241</v>
      </c>
      <c r="B36" s="59" t="s">
        <v>4500</v>
      </c>
      <c r="C36" s="59" t="s">
        <v>409</v>
      </c>
      <c r="D36" s="59" t="s">
        <v>410</v>
      </c>
      <c r="E36" s="59" t="s">
        <v>411</v>
      </c>
      <c r="F36" s="59" t="s">
        <v>46</v>
      </c>
      <c r="G36" s="59" t="s">
        <v>46</v>
      </c>
      <c r="H36" s="59" t="s">
        <v>412</v>
      </c>
      <c r="I36" s="140" t="s">
        <v>13</v>
      </c>
    </row>
    <row r="37">
      <c r="A37" s="134"/>
    </row>
    <row r="38">
      <c r="A38" s="13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9.0"/>
    <col customWidth="1" min="3" max="3" width="18.88"/>
    <col customWidth="1" min="4" max="4" width="19.38"/>
    <col customWidth="1" min="5" max="5" width="49.38"/>
    <col customWidth="1" min="6" max="6" width="27.63"/>
    <col customWidth="1" min="7" max="7" width="19.75"/>
  </cols>
  <sheetData>
    <row r="1">
      <c r="A1" s="31" t="s">
        <v>78</v>
      </c>
      <c r="B1" s="32" t="s">
        <v>79</v>
      </c>
      <c r="C1" s="32" t="s">
        <v>80</v>
      </c>
      <c r="D1" s="32" t="s">
        <v>81</v>
      </c>
      <c r="E1" s="32" t="s">
        <v>82</v>
      </c>
      <c r="F1" s="31" t="s">
        <v>414</v>
      </c>
      <c r="G1" s="32" t="s">
        <v>83</v>
      </c>
      <c r="H1" s="191"/>
      <c r="I1" s="191"/>
      <c r="J1" s="191"/>
      <c r="K1" s="191"/>
      <c r="L1" s="191"/>
      <c r="M1" s="191"/>
      <c r="N1" s="191"/>
      <c r="O1" s="191"/>
      <c r="P1" s="191"/>
      <c r="Q1" s="191"/>
      <c r="R1" s="191"/>
      <c r="S1" s="191"/>
      <c r="T1" s="191"/>
      <c r="U1" s="191"/>
      <c r="V1" s="191"/>
      <c r="W1" s="191"/>
      <c r="X1" s="191"/>
      <c r="Y1" s="191"/>
    </row>
    <row r="2">
      <c r="A2" s="73" t="s">
        <v>5635</v>
      </c>
      <c r="B2" s="73" t="s">
        <v>5636</v>
      </c>
      <c r="C2" s="73" t="s">
        <v>5637</v>
      </c>
      <c r="D2" s="73" t="s">
        <v>5638</v>
      </c>
      <c r="E2" s="55" t="s">
        <v>5639</v>
      </c>
      <c r="F2" s="75"/>
      <c r="G2" s="73" t="s">
        <v>5640</v>
      </c>
      <c r="H2" s="58"/>
      <c r="I2" s="58"/>
      <c r="J2" s="58"/>
      <c r="K2" s="58"/>
      <c r="L2" s="58"/>
      <c r="M2" s="58"/>
      <c r="N2" s="58"/>
      <c r="O2" s="58"/>
      <c r="P2" s="58"/>
      <c r="Q2" s="58"/>
      <c r="R2" s="58"/>
      <c r="S2" s="58"/>
      <c r="T2" s="58"/>
      <c r="U2" s="58"/>
      <c r="V2" s="58"/>
      <c r="W2" s="58"/>
      <c r="X2" s="58"/>
      <c r="Y2" s="58"/>
    </row>
    <row r="3">
      <c r="A3" s="73" t="s">
        <v>5641</v>
      </c>
      <c r="B3" s="73" t="s">
        <v>5636</v>
      </c>
      <c r="C3" s="73" t="s">
        <v>5637</v>
      </c>
      <c r="D3" s="73" t="s">
        <v>5638</v>
      </c>
      <c r="E3" s="55" t="s">
        <v>5642</v>
      </c>
      <c r="F3" s="192"/>
      <c r="G3" s="73" t="s">
        <v>5643</v>
      </c>
      <c r="H3" s="58"/>
      <c r="I3" s="58"/>
      <c r="J3" s="58"/>
      <c r="K3" s="58"/>
      <c r="L3" s="58"/>
      <c r="M3" s="58"/>
      <c r="N3" s="58"/>
      <c r="O3" s="58"/>
      <c r="P3" s="58"/>
      <c r="Q3" s="58"/>
      <c r="R3" s="58"/>
      <c r="S3" s="58"/>
      <c r="T3" s="58"/>
      <c r="U3" s="58"/>
      <c r="V3" s="58"/>
      <c r="W3" s="58"/>
      <c r="X3" s="58"/>
      <c r="Y3" s="58"/>
    </row>
    <row r="4">
      <c r="A4" s="73" t="s">
        <v>5644</v>
      </c>
      <c r="B4" s="73" t="s">
        <v>5636</v>
      </c>
      <c r="C4" s="73" t="s">
        <v>5637</v>
      </c>
      <c r="D4" s="73" t="s">
        <v>5638</v>
      </c>
      <c r="E4" s="55" t="s">
        <v>5645</v>
      </c>
      <c r="F4" s="73" t="s">
        <v>5646</v>
      </c>
      <c r="G4" s="73" t="s">
        <v>5647</v>
      </c>
      <c r="H4" s="58"/>
      <c r="I4" s="58"/>
      <c r="J4" s="58"/>
      <c r="K4" s="58"/>
      <c r="L4" s="58"/>
      <c r="M4" s="58"/>
      <c r="N4" s="58"/>
      <c r="O4" s="58"/>
      <c r="P4" s="58"/>
      <c r="Q4" s="58"/>
      <c r="R4" s="58"/>
      <c r="S4" s="58"/>
      <c r="T4" s="58"/>
      <c r="U4" s="58"/>
      <c r="V4" s="58"/>
      <c r="W4" s="58"/>
      <c r="X4" s="58"/>
      <c r="Y4" s="58"/>
    </row>
    <row r="5">
      <c r="A5" s="73" t="s">
        <v>5648</v>
      </c>
      <c r="B5" s="73" t="s">
        <v>5636</v>
      </c>
      <c r="C5" s="73" t="s">
        <v>5637</v>
      </c>
      <c r="D5" s="73" t="s">
        <v>5638</v>
      </c>
      <c r="E5" s="55" t="s">
        <v>5649</v>
      </c>
      <c r="F5" s="73" t="s">
        <v>5650</v>
      </c>
      <c r="G5" s="73" t="s">
        <v>5651</v>
      </c>
      <c r="H5" s="58"/>
      <c r="I5" s="58"/>
      <c r="J5" s="58"/>
      <c r="K5" s="58"/>
      <c r="L5" s="58"/>
      <c r="M5" s="58"/>
      <c r="N5" s="58"/>
      <c r="O5" s="58"/>
      <c r="P5" s="58"/>
      <c r="Q5" s="58"/>
      <c r="R5" s="58"/>
      <c r="S5" s="58"/>
      <c r="T5" s="58"/>
      <c r="U5" s="58"/>
      <c r="V5" s="58"/>
      <c r="W5" s="58"/>
      <c r="X5" s="58"/>
      <c r="Y5" s="58"/>
    </row>
    <row r="6">
      <c r="A6" s="73" t="s">
        <v>5652</v>
      </c>
      <c r="B6" s="73" t="s">
        <v>5636</v>
      </c>
      <c r="C6" s="73" t="s">
        <v>5637</v>
      </c>
      <c r="D6" s="73" t="s">
        <v>5653</v>
      </c>
      <c r="E6" s="55" t="s">
        <v>5654</v>
      </c>
      <c r="F6" s="73" t="s">
        <v>5655</v>
      </c>
      <c r="G6" s="73" t="s">
        <v>5656</v>
      </c>
      <c r="H6" s="58"/>
      <c r="I6" s="58"/>
      <c r="J6" s="58"/>
      <c r="K6" s="58"/>
      <c r="L6" s="58"/>
      <c r="M6" s="58"/>
      <c r="N6" s="58"/>
      <c r="O6" s="58"/>
      <c r="P6" s="58"/>
      <c r="Q6" s="58"/>
      <c r="R6" s="58"/>
      <c r="S6" s="58"/>
      <c r="T6" s="58"/>
      <c r="U6" s="58"/>
      <c r="V6" s="58"/>
      <c r="W6" s="58"/>
      <c r="X6" s="58"/>
      <c r="Y6" s="58"/>
    </row>
    <row r="7">
      <c r="A7" s="73" t="s">
        <v>5657</v>
      </c>
      <c r="B7" s="73" t="s">
        <v>5636</v>
      </c>
      <c r="C7" s="73" t="s">
        <v>5637</v>
      </c>
      <c r="D7" s="73" t="s">
        <v>5658</v>
      </c>
      <c r="E7" s="55" t="s">
        <v>5659</v>
      </c>
      <c r="F7" s="73" t="s">
        <v>5655</v>
      </c>
      <c r="G7" s="73" t="s">
        <v>5656</v>
      </c>
      <c r="H7" s="58"/>
      <c r="I7" s="58"/>
      <c r="J7" s="58"/>
      <c r="K7" s="58"/>
      <c r="L7" s="58"/>
      <c r="M7" s="58"/>
      <c r="N7" s="58"/>
      <c r="O7" s="58"/>
      <c r="P7" s="58"/>
      <c r="Q7" s="58"/>
      <c r="R7" s="58"/>
      <c r="S7" s="58"/>
      <c r="T7" s="58"/>
      <c r="U7" s="58"/>
      <c r="V7" s="58"/>
      <c r="W7" s="58"/>
      <c r="X7" s="58"/>
      <c r="Y7" s="58"/>
    </row>
    <row r="8">
      <c r="A8" s="73" t="s">
        <v>5660</v>
      </c>
      <c r="B8" s="73" t="s">
        <v>5636</v>
      </c>
      <c r="C8" s="73" t="s">
        <v>5637</v>
      </c>
      <c r="D8" s="73" t="s">
        <v>5661</v>
      </c>
      <c r="E8" s="55" t="s">
        <v>5662</v>
      </c>
      <c r="F8" s="73" t="s">
        <v>5655</v>
      </c>
      <c r="G8" s="73" t="s">
        <v>5656</v>
      </c>
      <c r="H8" s="58"/>
      <c r="I8" s="58"/>
      <c r="J8" s="58"/>
      <c r="K8" s="58"/>
      <c r="L8" s="58"/>
      <c r="M8" s="58"/>
      <c r="N8" s="58"/>
      <c r="O8" s="58"/>
      <c r="P8" s="58"/>
      <c r="Q8" s="58"/>
      <c r="R8" s="58"/>
      <c r="S8" s="58"/>
      <c r="T8" s="58"/>
      <c r="U8" s="58"/>
      <c r="V8" s="58"/>
      <c r="W8" s="58"/>
      <c r="X8" s="58"/>
      <c r="Y8" s="58"/>
    </row>
    <row r="9">
      <c r="A9" s="73" t="s">
        <v>5663</v>
      </c>
      <c r="B9" s="73" t="s">
        <v>5636</v>
      </c>
      <c r="C9" s="73" t="s">
        <v>5637</v>
      </c>
      <c r="D9" s="73" t="s">
        <v>5638</v>
      </c>
      <c r="E9" s="55" t="s">
        <v>5664</v>
      </c>
      <c r="F9" s="73" t="s">
        <v>5665</v>
      </c>
      <c r="G9" s="73" t="s">
        <v>5666</v>
      </c>
      <c r="H9" s="58"/>
      <c r="I9" s="58"/>
      <c r="J9" s="58"/>
      <c r="K9" s="58"/>
      <c r="L9" s="58"/>
      <c r="M9" s="58"/>
      <c r="N9" s="58"/>
      <c r="O9" s="58"/>
      <c r="P9" s="58"/>
      <c r="Q9" s="58"/>
      <c r="R9" s="58"/>
      <c r="S9" s="58"/>
      <c r="T9" s="58"/>
      <c r="U9" s="58"/>
      <c r="V9" s="58"/>
      <c r="W9" s="58"/>
      <c r="X9" s="58"/>
      <c r="Y9" s="58"/>
    </row>
    <row r="10">
      <c r="A10" s="73" t="s">
        <v>5667</v>
      </c>
      <c r="B10" s="73" t="s">
        <v>5636</v>
      </c>
      <c r="C10" s="73" t="s">
        <v>5637</v>
      </c>
      <c r="D10" s="73" t="s">
        <v>5638</v>
      </c>
      <c r="E10" s="55" t="s">
        <v>5668</v>
      </c>
      <c r="F10" s="65"/>
      <c r="G10" s="73" t="s">
        <v>5669</v>
      </c>
      <c r="H10" s="58"/>
      <c r="I10" s="58"/>
      <c r="J10" s="58"/>
      <c r="K10" s="58"/>
      <c r="L10" s="58"/>
      <c r="M10" s="58"/>
      <c r="N10" s="58"/>
      <c r="O10" s="58"/>
      <c r="P10" s="58"/>
      <c r="Q10" s="58"/>
      <c r="R10" s="58"/>
      <c r="S10" s="58"/>
      <c r="T10" s="58"/>
      <c r="U10" s="58"/>
      <c r="V10" s="58"/>
      <c r="W10" s="58"/>
      <c r="X10" s="58"/>
      <c r="Y10" s="58"/>
    </row>
    <row r="11">
      <c r="A11" s="73" t="s">
        <v>5670</v>
      </c>
      <c r="B11" s="73" t="s">
        <v>5636</v>
      </c>
      <c r="C11" s="73" t="s">
        <v>5637</v>
      </c>
      <c r="D11" s="73" t="s">
        <v>5638</v>
      </c>
      <c r="E11" s="59" t="s">
        <v>5671</v>
      </c>
      <c r="F11" s="75"/>
      <c r="G11" s="73" t="s">
        <v>5672</v>
      </c>
      <c r="H11" s="58"/>
      <c r="I11" s="58"/>
      <c r="J11" s="58"/>
      <c r="K11" s="58"/>
      <c r="L11" s="58"/>
      <c r="M11" s="58"/>
      <c r="N11" s="58"/>
      <c r="O11" s="58"/>
      <c r="P11" s="58"/>
      <c r="Q11" s="58"/>
      <c r="R11" s="58"/>
      <c r="S11" s="58"/>
      <c r="T11" s="58"/>
      <c r="U11" s="58"/>
      <c r="V11" s="58"/>
      <c r="W11" s="58"/>
      <c r="X11" s="58"/>
      <c r="Y11" s="58"/>
    </row>
    <row r="12">
      <c r="A12" s="73" t="s">
        <v>5673</v>
      </c>
      <c r="B12" s="73" t="s">
        <v>5636</v>
      </c>
      <c r="C12" s="73" t="s">
        <v>5637</v>
      </c>
      <c r="D12" s="73" t="s">
        <v>5638</v>
      </c>
      <c r="E12" s="55" t="s">
        <v>5674</v>
      </c>
      <c r="F12" s="75"/>
      <c r="G12" s="73" t="s">
        <v>5672</v>
      </c>
      <c r="H12" s="58"/>
      <c r="I12" s="58"/>
      <c r="J12" s="58"/>
      <c r="K12" s="58"/>
      <c r="L12" s="58"/>
      <c r="M12" s="58"/>
      <c r="N12" s="58"/>
      <c r="O12" s="58"/>
      <c r="P12" s="58"/>
      <c r="Q12" s="58"/>
      <c r="R12" s="58"/>
      <c r="S12" s="58"/>
      <c r="T12" s="58"/>
      <c r="U12" s="58"/>
      <c r="V12" s="58"/>
      <c r="W12" s="58"/>
      <c r="X12" s="58"/>
      <c r="Y12" s="58"/>
    </row>
    <row r="13">
      <c r="A13" s="73" t="s">
        <v>5675</v>
      </c>
      <c r="B13" s="73" t="s">
        <v>5636</v>
      </c>
      <c r="C13" s="73" t="s">
        <v>5637</v>
      </c>
      <c r="D13" s="73" t="s">
        <v>5638</v>
      </c>
      <c r="E13" s="55" t="s">
        <v>5676</v>
      </c>
      <c r="F13" s="75"/>
      <c r="G13" s="73" t="s">
        <v>5672</v>
      </c>
      <c r="H13" s="58"/>
      <c r="I13" s="58"/>
      <c r="J13" s="58"/>
      <c r="K13" s="58"/>
      <c r="L13" s="58"/>
      <c r="M13" s="58"/>
      <c r="N13" s="58"/>
      <c r="O13" s="58"/>
      <c r="P13" s="58"/>
      <c r="Q13" s="58"/>
      <c r="R13" s="58"/>
      <c r="S13" s="58"/>
      <c r="T13" s="58"/>
      <c r="U13" s="58"/>
      <c r="V13" s="58"/>
      <c r="W13" s="58"/>
      <c r="X13" s="58"/>
      <c r="Y13" s="58"/>
    </row>
    <row r="14">
      <c r="A14" s="73" t="s">
        <v>5677</v>
      </c>
      <c r="B14" s="73" t="s">
        <v>5636</v>
      </c>
      <c r="C14" s="73" t="s">
        <v>5637</v>
      </c>
      <c r="D14" s="73" t="s">
        <v>5638</v>
      </c>
      <c r="E14" s="55" t="s">
        <v>5678</v>
      </c>
      <c r="F14" s="75"/>
      <c r="G14" s="73" t="s">
        <v>5672</v>
      </c>
      <c r="H14" s="58"/>
      <c r="I14" s="58"/>
      <c r="J14" s="58"/>
      <c r="K14" s="58"/>
      <c r="L14" s="58"/>
      <c r="M14" s="58"/>
      <c r="N14" s="58"/>
      <c r="O14" s="58"/>
      <c r="P14" s="58"/>
      <c r="Q14" s="58"/>
      <c r="R14" s="58"/>
      <c r="S14" s="58"/>
      <c r="T14" s="58"/>
      <c r="U14" s="58"/>
      <c r="V14" s="58"/>
      <c r="W14" s="58"/>
      <c r="X14" s="58"/>
      <c r="Y14" s="58"/>
    </row>
    <row r="15">
      <c r="A15" s="73" t="s">
        <v>5679</v>
      </c>
      <c r="B15" s="73" t="s">
        <v>5636</v>
      </c>
      <c r="C15" s="73" t="s">
        <v>5637</v>
      </c>
      <c r="D15" s="73" t="s">
        <v>5638</v>
      </c>
      <c r="E15" s="55" t="s">
        <v>5680</v>
      </c>
      <c r="F15" s="75"/>
      <c r="G15" s="73" t="s">
        <v>5672</v>
      </c>
      <c r="H15" s="58"/>
      <c r="I15" s="58"/>
      <c r="J15" s="58"/>
      <c r="K15" s="58"/>
      <c r="L15" s="58"/>
      <c r="M15" s="58"/>
      <c r="N15" s="58"/>
      <c r="O15" s="58"/>
      <c r="P15" s="58"/>
      <c r="Q15" s="58"/>
      <c r="R15" s="58"/>
      <c r="S15" s="58"/>
      <c r="T15" s="58"/>
      <c r="U15" s="58"/>
      <c r="V15" s="58"/>
      <c r="W15" s="58"/>
      <c r="X15" s="58"/>
      <c r="Y15" s="58"/>
    </row>
    <row r="16">
      <c r="A16" s="73" t="s">
        <v>5681</v>
      </c>
      <c r="B16" s="73" t="s">
        <v>5636</v>
      </c>
      <c r="C16" s="73" t="s">
        <v>5637</v>
      </c>
      <c r="D16" s="73" t="s">
        <v>5638</v>
      </c>
      <c r="E16" s="55" t="s">
        <v>5682</v>
      </c>
      <c r="F16" s="75"/>
      <c r="G16" s="73" t="s">
        <v>5683</v>
      </c>
      <c r="H16" s="58"/>
      <c r="I16" s="58"/>
      <c r="J16" s="58"/>
      <c r="K16" s="58"/>
      <c r="L16" s="58"/>
      <c r="M16" s="58"/>
      <c r="N16" s="58"/>
      <c r="O16" s="58"/>
      <c r="P16" s="58"/>
      <c r="Q16" s="58"/>
      <c r="R16" s="58"/>
      <c r="S16" s="58"/>
      <c r="T16" s="58"/>
      <c r="U16" s="58"/>
      <c r="V16" s="58"/>
      <c r="W16" s="58"/>
      <c r="X16" s="58"/>
      <c r="Y16" s="58"/>
    </row>
    <row r="17">
      <c r="A17" s="73" t="s">
        <v>5684</v>
      </c>
      <c r="B17" s="73" t="s">
        <v>5636</v>
      </c>
      <c r="C17" s="73" t="s">
        <v>5637</v>
      </c>
      <c r="D17" s="73" t="s">
        <v>5638</v>
      </c>
      <c r="E17" s="55" t="s">
        <v>5685</v>
      </c>
      <c r="F17" s="75"/>
      <c r="G17" s="73" t="s">
        <v>5686</v>
      </c>
      <c r="H17" s="58"/>
      <c r="I17" s="58"/>
      <c r="J17" s="58"/>
      <c r="K17" s="58"/>
      <c r="L17" s="58"/>
      <c r="M17" s="58"/>
      <c r="N17" s="58"/>
      <c r="O17" s="58"/>
      <c r="P17" s="58"/>
      <c r="Q17" s="58"/>
      <c r="R17" s="58"/>
      <c r="S17" s="58"/>
      <c r="T17" s="58"/>
      <c r="U17" s="58"/>
      <c r="V17" s="58"/>
      <c r="W17" s="58"/>
      <c r="X17" s="58"/>
      <c r="Y17" s="58"/>
    </row>
    <row r="18">
      <c r="A18" s="73" t="s">
        <v>5687</v>
      </c>
      <c r="B18" s="73" t="s">
        <v>5636</v>
      </c>
      <c r="C18" s="73" t="s">
        <v>5637</v>
      </c>
      <c r="D18" s="73" t="s">
        <v>5638</v>
      </c>
      <c r="E18" s="193"/>
      <c r="F18" s="75"/>
      <c r="G18" s="75"/>
      <c r="H18" s="58"/>
      <c r="I18" s="58"/>
      <c r="J18" s="58"/>
      <c r="K18" s="58"/>
      <c r="L18" s="58"/>
      <c r="M18" s="58"/>
      <c r="N18" s="58"/>
      <c r="O18" s="58"/>
      <c r="P18" s="58"/>
      <c r="Q18" s="58"/>
      <c r="R18" s="58"/>
      <c r="S18" s="58"/>
      <c r="T18" s="58"/>
      <c r="U18" s="58"/>
      <c r="V18" s="58"/>
      <c r="W18" s="58"/>
      <c r="X18" s="58"/>
      <c r="Y18" s="58"/>
    </row>
    <row r="19">
      <c r="A19" s="73" t="s">
        <v>5688</v>
      </c>
      <c r="B19" s="73" t="s">
        <v>5636</v>
      </c>
      <c r="C19" s="73" t="s">
        <v>5637</v>
      </c>
      <c r="D19" s="73" t="s">
        <v>5638</v>
      </c>
      <c r="E19" s="193"/>
      <c r="F19" s="75"/>
      <c r="G19" s="75"/>
      <c r="H19" s="58"/>
      <c r="I19" s="58"/>
      <c r="J19" s="58"/>
      <c r="K19" s="58"/>
      <c r="L19" s="58"/>
      <c r="M19" s="58"/>
      <c r="N19" s="58"/>
      <c r="O19" s="58"/>
      <c r="P19" s="58"/>
      <c r="Q19" s="58"/>
      <c r="R19" s="58"/>
      <c r="S19" s="58"/>
      <c r="T19" s="58"/>
      <c r="U19" s="58"/>
      <c r="V19" s="58"/>
      <c r="W19" s="58"/>
      <c r="X19" s="58"/>
      <c r="Y19" s="58"/>
    </row>
    <row r="20">
      <c r="A20" s="73" t="s">
        <v>5689</v>
      </c>
      <c r="B20" s="73" t="s">
        <v>5636</v>
      </c>
      <c r="C20" s="73" t="s">
        <v>5637</v>
      </c>
      <c r="D20" s="75"/>
      <c r="E20" s="193"/>
      <c r="F20" s="75"/>
      <c r="G20" s="75"/>
      <c r="H20" s="58"/>
      <c r="I20" s="58"/>
      <c r="J20" s="58"/>
      <c r="K20" s="58"/>
      <c r="L20" s="58"/>
      <c r="M20" s="58"/>
      <c r="N20" s="58"/>
      <c r="O20" s="58"/>
      <c r="P20" s="58"/>
      <c r="Q20" s="58"/>
      <c r="R20" s="58"/>
      <c r="S20" s="58"/>
      <c r="T20" s="58"/>
      <c r="U20" s="58"/>
      <c r="V20" s="58"/>
      <c r="W20" s="58"/>
      <c r="X20" s="58"/>
      <c r="Y20" s="58"/>
    </row>
    <row r="21">
      <c r="A21" s="73" t="s">
        <v>5690</v>
      </c>
      <c r="B21" s="73" t="s">
        <v>5636</v>
      </c>
      <c r="C21" s="73" t="s">
        <v>5637</v>
      </c>
      <c r="D21" s="75"/>
      <c r="E21" s="193"/>
      <c r="F21" s="75"/>
      <c r="G21" s="75"/>
      <c r="H21" s="58"/>
      <c r="I21" s="58"/>
      <c r="J21" s="58"/>
      <c r="K21" s="58"/>
      <c r="L21" s="58"/>
      <c r="M21" s="58"/>
      <c r="N21" s="58"/>
      <c r="O21" s="58"/>
      <c r="P21" s="58"/>
      <c r="Q21" s="58"/>
      <c r="R21" s="58"/>
      <c r="S21" s="58"/>
      <c r="T21" s="58"/>
      <c r="U21" s="58"/>
      <c r="V21" s="58"/>
      <c r="W21" s="58"/>
      <c r="X21" s="58"/>
      <c r="Y21" s="58"/>
    </row>
    <row r="22">
      <c r="A22" s="73" t="s">
        <v>5691</v>
      </c>
      <c r="B22" s="73" t="s">
        <v>5636</v>
      </c>
      <c r="C22" s="73" t="s">
        <v>5637</v>
      </c>
      <c r="D22" s="75"/>
      <c r="E22" s="193"/>
      <c r="F22" s="75"/>
      <c r="G22" s="75"/>
      <c r="H22" s="58"/>
      <c r="I22" s="58"/>
      <c r="J22" s="58"/>
      <c r="K22" s="58"/>
      <c r="L22" s="58"/>
      <c r="M22" s="58"/>
      <c r="N22" s="58"/>
      <c r="O22" s="58"/>
      <c r="P22" s="58"/>
      <c r="Q22" s="58"/>
      <c r="R22" s="58"/>
      <c r="S22" s="58"/>
      <c r="T22" s="58"/>
      <c r="U22" s="58"/>
      <c r="V22" s="58"/>
      <c r="W22" s="58"/>
      <c r="X22" s="58"/>
      <c r="Y22" s="58"/>
    </row>
    <row r="23">
      <c r="A23" s="73" t="s">
        <v>5692</v>
      </c>
      <c r="B23" s="73" t="s">
        <v>5636</v>
      </c>
      <c r="C23" s="73" t="s">
        <v>5637</v>
      </c>
      <c r="D23" s="75"/>
      <c r="E23" s="193"/>
      <c r="F23" s="75"/>
      <c r="G23" s="75"/>
      <c r="H23" s="58"/>
      <c r="I23" s="58"/>
      <c r="J23" s="58"/>
      <c r="K23" s="58"/>
      <c r="L23" s="58"/>
      <c r="M23" s="58"/>
      <c r="N23" s="58"/>
      <c r="O23" s="58"/>
      <c r="P23" s="58"/>
      <c r="Q23" s="58"/>
      <c r="R23" s="58"/>
      <c r="S23" s="58"/>
      <c r="T23" s="58"/>
      <c r="U23" s="58"/>
      <c r="V23" s="58"/>
      <c r="W23" s="58"/>
      <c r="X23" s="58"/>
      <c r="Y23" s="58"/>
    </row>
    <row r="24">
      <c r="A24" s="73" t="s">
        <v>5693</v>
      </c>
      <c r="B24" s="73" t="s">
        <v>5636</v>
      </c>
      <c r="C24" s="73" t="s">
        <v>5637</v>
      </c>
      <c r="D24" s="75"/>
      <c r="E24" s="193"/>
      <c r="F24" s="75"/>
      <c r="G24" s="75"/>
      <c r="H24" s="58"/>
      <c r="I24" s="58"/>
      <c r="J24" s="58"/>
      <c r="K24" s="58"/>
      <c r="L24" s="58"/>
      <c r="M24" s="58"/>
      <c r="N24" s="58"/>
      <c r="O24" s="58"/>
      <c r="P24" s="58"/>
      <c r="Q24" s="58"/>
      <c r="R24" s="58"/>
      <c r="S24" s="58"/>
      <c r="T24" s="58"/>
      <c r="U24" s="58"/>
      <c r="V24" s="58"/>
      <c r="W24" s="58"/>
      <c r="X24" s="58"/>
      <c r="Y24" s="58"/>
    </row>
    <row r="25">
      <c r="A25" s="73" t="s">
        <v>5694</v>
      </c>
      <c r="B25" s="73" t="s">
        <v>5636</v>
      </c>
      <c r="C25" s="73" t="s">
        <v>5637</v>
      </c>
      <c r="D25" s="75"/>
      <c r="E25" s="193"/>
      <c r="F25" s="75"/>
      <c r="G25" s="75"/>
      <c r="H25" s="58"/>
      <c r="I25" s="58"/>
      <c r="J25" s="58"/>
      <c r="K25" s="58"/>
      <c r="L25" s="58"/>
      <c r="M25" s="58"/>
      <c r="N25" s="58"/>
      <c r="O25" s="58"/>
      <c r="P25" s="58"/>
      <c r="Q25" s="58"/>
      <c r="R25" s="58"/>
      <c r="S25" s="58"/>
      <c r="T25" s="58"/>
      <c r="U25" s="58"/>
      <c r="V25" s="58"/>
      <c r="W25" s="58"/>
      <c r="X25" s="58"/>
      <c r="Y25" s="58"/>
    </row>
    <row r="26">
      <c r="A26" s="73" t="s">
        <v>5695</v>
      </c>
      <c r="B26" s="73" t="s">
        <v>5636</v>
      </c>
      <c r="C26" s="73" t="s">
        <v>5637</v>
      </c>
      <c r="D26" s="75"/>
      <c r="E26" s="193"/>
      <c r="F26" s="75"/>
      <c r="G26" s="75"/>
      <c r="H26" s="58"/>
      <c r="I26" s="58"/>
      <c r="J26" s="58"/>
      <c r="K26" s="58"/>
      <c r="L26" s="58"/>
      <c r="M26" s="58"/>
      <c r="N26" s="58"/>
      <c r="O26" s="58"/>
      <c r="P26" s="58"/>
      <c r="Q26" s="58"/>
      <c r="R26" s="58"/>
      <c r="S26" s="58"/>
      <c r="T26" s="58"/>
      <c r="U26" s="58"/>
      <c r="V26" s="58"/>
      <c r="W26" s="58"/>
      <c r="X26" s="58"/>
      <c r="Y26" s="58"/>
    </row>
    <row r="27">
      <c r="A27" s="73" t="s">
        <v>5696</v>
      </c>
      <c r="B27" s="73" t="s">
        <v>5636</v>
      </c>
      <c r="C27" s="73" t="s">
        <v>5637</v>
      </c>
      <c r="D27" s="75"/>
      <c r="E27" s="193"/>
      <c r="F27" s="75"/>
      <c r="G27" s="75"/>
      <c r="H27" s="58"/>
      <c r="I27" s="58"/>
      <c r="J27" s="58"/>
      <c r="K27" s="58"/>
      <c r="L27" s="58"/>
      <c r="M27" s="58"/>
      <c r="N27" s="58"/>
      <c r="O27" s="58"/>
      <c r="P27" s="58"/>
      <c r="Q27" s="58"/>
      <c r="R27" s="58"/>
      <c r="S27" s="58"/>
      <c r="T27" s="58"/>
      <c r="U27" s="58"/>
      <c r="V27" s="58"/>
      <c r="W27" s="58"/>
      <c r="X27" s="58"/>
      <c r="Y27" s="58"/>
    </row>
    <row r="28">
      <c r="A28" s="73" t="s">
        <v>5697</v>
      </c>
      <c r="B28" s="73" t="s">
        <v>5636</v>
      </c>
      <c r="C28" s="73" t="s">
        <v>5637</v>
      </c>
      <c r="D28" s="75"/>
      <c r="E28" s="193"/>
      <c r="F28" s="75"/>
      <c r="G28" s="75"/>
      <c r="H28" s="58"/>
      <c r="I28" s="58"/>
      <c r="J28" s="58"/>
      <c r="K28" s="58"/>
      <c r="L28" s="58"/>
      <c r="M28" s="58"/>
      <c r="N28" s="58"/>
      <c r="O28" s="58"/>
      <c r="P28" s="58"/>
      <c r="Q28" s="58"/>
      <c r="R28" s="58"/>
      <c r="S28" s="58"/>
      <c r="T28" s="58"/>
      <c r="U28" s="58"/>
      <c r="V28" s="58"/>
      <c r="W28" s="58"/>
      <c r="X28" s="58"/>
      <c r="Y28" s="58"/>
    </row>
    <row r="29">
      <c r="A29" s="73" t="s">
        <v>5698</v>
      </c>
      <c r="B29" s="73" t="s">
        <v>5636</v>
      </c>
      <c r="C29" s="73" t="s">
        <v>5637</v>
      </c>
      <c r="D29" s="75"/>
      <c r="E29" s="193"/>
      <c r="F29" s="75"/>
      <c r="G29" s="75"/>
      <c r="H29" s="58"/>
      <c r="I29" s="58"/>
      <c r="J29" s="58"/>
      <c r="K29" s="58"/>
      <c r="L29" s="58"/>
      <c r="M29" s="58"/>
      <c r="N29" s="58"/>
      <c r="O29" s="58"/>
      <c r="P29" s="58"/>
      <c r="Q29" s="58"/>
      <c r="R29" s="58"/>
      <c r="S29" s="58"/>
      <c r="T29" s="58"/>
      <c r="U29" s="58"/>
      <c r="V29" s="58"/>
      <c r="W29" s="58"/>
      <c r="X29" s="58"/>
      <c r="Y29" s="58"/>
    </row>
    <row r="30">
      <c r="A30" s="73" t="s">
        <v>5699</v>
      </c>
      <c r="B30" s="73" t="s">
        <v>5636</v>
      </c>
      <c r="C30" s="73" t="s">
        <v>5637</v>
      </c>
      <c r="D30" s="75"/>
      <c r="E30" s="193"/>
      <c r="F30" s="75"/>
      <c r="G30" s="75"/>
      <c r="H30" s="58"/>
      <c r="I30" s="58"/>
      <c r="J30" s="58"/>
      <c r="K30" s="58"/>
      <c r="L30" s="58"/>
      <c r="M30" s="58"/>
      <c r="N30" s="58"/>
      <c r="O30" s="58"/>
      <c r="P30" s="58"/>
      <c r="Q30" s="58"/>
      <c r="R30" s="58"/>
      <c r="S30" s="58"/>
      <c r="T30" s="58"/>
      <c r="U30" s="58"/>
      <c r="V30" s="58"/>
      <c r="W30" s="58"/>
      <c r="X30" s="58"/>
      <c r="Y30" s="58"/>
    </row>
    <row r="31">
      <c r="A31" s="73" t="s">
        <v>5700</v>
      </c>
      <c r="B31" s="73" t="s">
        <v>5636</v>
      </c>
      <c r="C31" s="73" t="s">
        <v>5637</v>
      </c>
      <c r="D31" s="75"/>
      <c r="E31" s="193"/>
      <c r="F31" s="75"/>
      <c r="G31" s="75"/>
      <c r="H31" s="58"/>
      <c r="I31" s="58"/>
      <c r="J31" s="58"/>
      <c r="K31" s="58"/>
      <c r="L31" s="58"/>
      <c r="M31" s="58"/>
      <c r="N31" s="58"/>
      <c r="O31" s="58"/>
      <c r="P31" s="58"/>
      <c r="Q31" s="58"/>
      <c r="R31" s="58"/>
      <c r="S31" s="58"/>
      <c r="T31" s="58"/>
      <c r="U31" s="58"/>
      <c r="V31" s="58"/>
      <c r="W31" s="58"/>
      <c r="X31" s="58"/>
      <c r="Y31" s="58"/>
    </row>
    <row r="32">
      <c r="A32" s="73" t="s">
        <v>5701</v>
      </c>
      <c r="B32" s="73" t="s">
        <v>5636</v>
      </c>
      <c r="C32" s="73" t="s">
        <v>5637</v>
      </c>
      <c r="D32" s="75"/>
      <c r="E32" s="193"/>
      <c r="F32" s="75"/>
      <c r="G32" s="75"/>
      <c r="H32" s="58"/>
      <c r="I32" s="58"/>
      <c r="J32" s="58"/>
      <c r="K32" s="58"/>
      <c r="L32" s="58"/>
      <c r="M32" s="58"/>
      <c r="N32" s="58"/>
      <c r="O32" s="58"/>
      <c r="P32" s="58"/>
      <c r="Q32" s="58"/>
      <c r="R32" s="58"/>
      <c r="S32" s="58"/>
      <c r="T32" s="58"/>
      <c r="U32" s="58"/>
      <c r="V32" s="58"/>
      <c r="W32" s="58"/>
      <c r="X32" s="58"/>
      <c r="Y32" s="58"/>
    </row>
    <row r="33">
      <c r="A33" s="73" t="s">
        <v>5702</v>
      </c>
      <c r="B33" s="73" t="s">
        <v>5636</v>
      </c>
      <c r="C33" s="73" t="s">
        <v>5637</v>
      </c>
      <c r="D33" s="75"/>
      <c r="E33" s="193"/>
      <c r="F33" s="75"/>
      <c r="G33" s="75"/>
      <c r="H33" s="58"/>
      <c r="I33" s="58"/>
      <c r="J33" s="58"/>
      <c r="K33" s="58"/>
      <c r="L33" s="58"/>
      <c r="M33" s="58"/>
      <c r="N33" s="58"/>
      <c r="O33" s="58"/>
      <c r="P33" s="58"/>
      <c r="Q33" s="58"/>
      <c r="R33" s="58"/>
      <c r="S33" s="58"/>
      <c r="T33" s="58"/>
      <c r="U33" s="58"/>
      <c r="V33" s="58"/>
      <c r="W33" s="58"/>
      <c r="X33" s="58"/>
      <c r="Y33" s="58"/>
    </row>
    <row r="34">
      <c r="A34" s="73" t="s">
        <v>5703</v>
      </c>
      <c r="B34" s="73" t="s">
        <v>5636</v>
      </c>
      <c r="C34" s="73" t="s">
        <v>5637</v>
      </c>
      <c r="D34" s="75"/>
      <c r="E34" s="193"/>
      <c r="F34" s="75"/>
      <c r="G34" s="75"/>
      <c r="H34" s="58"/>
      <c r="I34" s="58"/>
      <c r="J34" s="58"/>
      <c r="K34" s="58"/>
      <c r="L34" s="58"/>
      <c r="M34" s="58"/>
      <c r="N34" s="58"/>
      <c r="O34" s="58"/>
      <c r="P34" s="58"/>
      <c r="Q34" s="58"/>
      <c r="R34" s="58"/>
      <c r="S34" s="58"/>
      <c r="T34" s="58"/>
      <c r="U34" s="58"/>
      <c r="V34" s="58"/>
      <c r="W34" s="58"/>
      <c r="X34" s="58"/>
      <c r="Y34" s="58"/>
    </row>
    <row r="35">
      <c r="A35" s="58"/>
      <c r="B35" s="58"/>
      <c r="C35" s="58"/>
      <c r="D35" s="58"/>
      <c r="E35" s="194"/>
      <c r="F35" s="58"/>
      <c r="G35" s="58"/>
      <c r="H35" s="58"/>
      <c r="I35" s="58"/>
      <c r="J35" s="58"/>
      <c r="K35" s="58"/>
      <c r="L35" s="58"/>
      <c r="M35" s="58"/>
      <c r="N35" s="58"/>
      <c r="O35" s="58"/>
      <c r="P35" s="58"/>
      <c r="Q35" s="58"/>
      <c r="R35" s="58"/>
      <c r="S35" s="58"/>
      <c r="T35" s="58"/>
      <c r="U35" s="58"/>
      <c r="V35" s="58"/>
      <c r="W35" s="58"/>
      <c r="X35" s="58"/>
      <c r="Y35" s="58"/>
    </row>
    <row r="36">
      <c r="A36" s="58"/>
      <c r="B36" s="58"/>
      <c r="C36" s="58"/>
      <c r="D36" s="58"/>
      <c r="E36" s="194"/>
      <c r="F36" s="58"/>
      <c r="G36" s="58"/>
      <c r="H36" s="58"/>
      <c r="I36" s="58"/>
      <c r="J36" s="58"/>
      <c r="K36" s="58"/>
      <c r="L36" s="58"/>
      <c r="M36" s="58"/>
      <c r="N36" s="58"/>
      <c r="O36" s="58"/>
      <c r="P36" s="58"/>
      <c r="Q36" s="58"/>
      <c r="R36" s="58"/>
      <c r="S36" s="58"/>
      <c r="T36" s="58"/>
      <c r="U36" s="58"/>
      <c r="V36" s="58"/>
      <c r="W36" s="58"/>
      <c r="X36" s="58"/>
      <c r="Y36" s="58"/>
    </row>
    <row r="37">
      <c r="A37" s="58"/>
      <c r="B37" s="58"/>
      <c r="C37" s="58"/>
      <c r="D37" s="58"/>
      <c r="E37" s="194"/>
      <c r="F37" s="58"/>
      <c r="G37" s="58"/>
      <c r="H37" s="58"/>
      <c r="I37" s="58"/>
      <c r="J37" s="58"/>
      <c r="K37" s="58"/>
      <c r="L37" s="58"/>
      <c r="M37" s="58"/>
      <c r="N37" s="58"/>
      <c r="O37" s="58"/>
      <c r="P37" s="58"/>
      <c r="Q37" s="58"/>
      <c r="R37" s="58"/>
      <c r="S37" s="58"/>
      <c r="T37" s="58"/>
      <c r="U37" s="58"/>
      <c r="V37" s="58"/>
      <c r="W37" s="58"/>
      <c r="X37" s="58"/>
      <c r="Y37" s="58"/>
    </row>
    <row r="38">
      <c r="A38" s="58"/>
      <c r="B38" s="58"/>
      <c r="C38" s="58"/>
      <c r="D38" s="58"/>
      <c r="E38" s="194"/>
      <c r="F38" s="58"/>
      <c r="G38" s="58"/>
      <c r="H38" s="58"/>
      <c r="I38" s="58"/>
      <c r="J38" s="58"/>
      <c r="K38" s="58"/>
      <c r="L38" s="58"/>
      <c r="M38" s="58"/>
      <c r="N38" s="58"/>
      <c r="O38" s="58"/>
      <c r="P38" s="58"/>
      <c r="Q38" s="58"/>
      <c r="R38" s="58"/>
      <c r="S38" s="58"/>
      <c r="T38" s="58"/>
      <c r="U38" s="58"/>
      <c r="V38" s="58"/>
      <c r="W38" s="58"/>
      <c r="X38" s="58"/>
      <c r="Y38" s="58"/>
    </row>
    <row r="39">
      <c r="A39" s="58"/>
      <c r="B39" s="58"/>
      <c r="C39" s="58"/>
      <c r="D39" s="58"/>
      <c r="E39" s="194"/>
      <c r="F39" s="58"/>
      <c r="G39" s="58"/>
      <c r="H39" s="58"/>
      <c r="I39" s="58"/>
      <c r="J39" s="58"/>
      <c r="K39" s="58"/>
      <c r="L39" s="58"/>
      <c r="M39" s="58"/>
      <c r="N39" s="58"/>
      <c r="O39" s="58"/>
      <c r="P39" s="58"/>
      <c r="Q39" s="58"/>
      <c r="R39" s="58"/>
      <c r="S39" s="58"/>
      <c r="T39" s="58"/>
      <c r="U39" s="58"/>
      <c r="V39" s="58"/>
      <c r="W39" s="58"/>
      <c r="X39" s="58"/>
      <c r="Y39" s="58"/>
    </row>
    <row r="40">
      <c r="A40" s="58"/>
      <c r="B40" s="58"/>
      <c r="C40" s="58"/>
      <c r="D40" s="58"/>
      <c r="E40" s="194"/>
      <c r="F40" s="58"/>
      <c r="G40" s="58"/>
      <c r="H40" s="58"/>
      <c r="I40" s="58"/>
      <c r="J40" s="58"/>
      <c r="K40" s="58"/>
      <c r="L40" s="58"/>
      <c r="M40" s="58"/>
      <c r="N40" s="58"/>
      <c r="O40" s="58"/>
      <c r="P40" s="58"/>
      <c r="Q40" s="58"/>
      <c r="R40" s="58"/>
      <c r="S40" s="58"/>
      <c r="T40" s="58"/>
      <c r="U40" s="58"/>
      <c r="V40" s="58"/>
      <c r="W40" s="58"/>
      <c r="X40" s="58"/>
      <c r="Y40" s="58"/>
    </row>
    <row r="41">
      <c r="A41" s="58"/>
      <c r="B41" s="58"/>
      <c r="C41" s="58"/>
      <c r="D41" s="58"/>
      <c r="E41" s="194"/>
      <c r="F41" s="58"/>
      <c r="G41" s="58"/>
      <c r="H41" s="58"/>
      <c r="I41" s="58"/>
      <c r="J41" s="58"/>
      <c r="K41" s="58"/>
      <c r="L41" s="58"/>
      <c r="M41" s="58"/>
      <c r="N41" s="58"/>
      <c r="O41" s="58"/>
      <c r="P41" s="58"/>
      <c r="Q41" s="58"/>
      <c r="R41" s="58"/>
      <c r="S41" s="58"/>
      <c r="T41" s="58"/>
      <c r="U41" s="58"/>
      <c r="V41" s="58"/>
      <c r="W41" s="58"/>
      <c r="X41" s="58"/>
      <c r="Y41" s="58"/>
    </row>
    <row r="42">
      <c r="A42" s="58"/>
      <c r="B42" s="58"/>
      <c r="C42" s="58"/>
      <c r="D42" s="58"/>
      <c r="E42" s="194"/>
      <c r="F42" s="58"/>
      <c r="G42" s="58"/>
      <c r="H42" s="58"/>
      <c r="I42" s="58"/>
      <c r="J42" s="58"/>
      <c r="K42" s="58"/>
      <c r="L42" s="58"/>
      <c r="M42" s="58"/>
      <c r="N42" s="58"/>
      <c r="O42" s="58"/>
      <c r="P42" s="58"/>
      <c r="Q42" s="58"/>
      <c r="R42" s="58"/>
      <c r="S42" s="58"/>
      <c r="T42" s="58"/>
      <c r="U42" s="58"/>
      <c r="V42" s="58"/>
      <c r="W42" s="58"/>
      <c r="X42" s="58"/>
      <c r="Y42" s="58"/>
    </row>
    <row r="43">
      <c r="A43" s="58"/>
      <c r="B43" s="58"/>
      <c r="C43" s="58"/>
      <c r="D43" s="58"/>
      <c r="E43" s="194"/>
      <c r="F43" s="58"/>
      <c r="G43" s="58"/>
      <c r="H43" s="58"/>
      <c r="I43" s="58"/>
      <c r="J43" s="58"/>
      <c r="K43" s="58"/>
      <c r="L43" s="58"/>
      <c r="M43" s="58"/>
      <c r="N43" s="58"/>
      <c r="O43" s="58"/>
      <c r="P43" s="58"/>
      <c r="Q43" s="58"/>
      <c r="R43" s="58"/>
      <c r="S43" s="58"/>
      <c r="T43" s="58"/>
      <c r="U43" s="58"/>
      <c r="V43" s="58"/>
      <c r="W43" s="58"/>
      <c r="X43" s="58"/>
      <c r="Y43" s="58"/>
    </row>
    <row r="44">
      <c r="A44" s="58"/>
      <c r="B44" s="58"/>
      <c r="C44" s="58"/>
      <c r="D44" s="58"/>
      <c r="E44" s="194"/>
      <c r="F44" s="58"/>
      <c r="G44" s="58"/>
      <c r="H44" s="58"/>
      <c r="I44" s="58"/>
      <c r="J44" s="58"/>
      <c r="K44" s="58"/>
      <c r="L44" s="58"/>
      <c r="M44" s="58"/>
      <c r="N44" s="58"/>
      <c r="O44" s="58"/>
      <c r="P44" s="58"/>
      <c r="Q44" s="58"/>
      <c r="R44" s="58"/>
      <c r="S44" s="58"/>
      <c r="T44" s="58"/>
      <c r="U44" s="58"/>
      <c r="V44" s="58"/>
      <c r="W44" s="58"/>
      <c r="X44" s="58"/>
      <c r="Y44" s="58"/>
    </row>
    <row r="45">
      <c r="A45" s="58"/>
      <c r="B45" s="58"/>
      <c r="C45" s="58"/>
      <c r="D45" s="58"/>
      <c r="E45" s="194"/>
      <c r="F45" s="58"/>
      <c r="G45" s="58"/>
      <c r="H45" s="58"/>
      <c r="I45" s="58"/>
      <c r="J45" s="58"/>
      <c r="K45" s="58"/>
      <c r="L45" s="58"/>
      <c r="M45" s="58"/>
      <c r="N45" s="58"/>
      <c r="O45" s="58"/>
      <c r="P45" s="58"/>
      <c r="Q45" s="58"/>
      <c r="R45" s="58"/>
      <c r="S45" s="58"/>
      <c r="T45" s="58"/>
      <c r="U45" s="58"/>
      <c r="V45" s="58"/>
      <c r="W45" s="58"/>
      <c r="X45" s="58"/>
      <c r="Y45" s="58"/>
    </row>
    <row r="46">
      <c r="A46" s="58"/>
      <c r="B46" s="58"/>
      <c r="C46" s="58"/>
      <c r="D46" s="58"/>
      <c r="E46" s="194"/>
      <c r="F46" s="58"/>
      <c r="G46" s="58"/>
      <c r="H46" s="58"/>
      <c r="I46" s="58"/>
      <c r="J46" s="58"/>
      <c r="K46" s="58"/>
      <c r="L46" s="58"/>
      <c r="M46" s="58"/>
      <c r="N46" s="58"/>
      <c r="O46" s="58"/>
      <c r="P46" s="58"/>
      <c r="Q46" s="58"/>
      <c r="R46" s="58"/>
      <c r="S46" s="58"/>
      <c r="T46" s="58"/>
      <c r="U46" s="58"/>
      <c r="V46" s="58"/>
      <c r="W46" s="58"/>
      <c r="X46" s="58"/>
      <c r="Y46" s="58"/>
    </row>
    <row r="47">
      <c r="A47" s="58"/>
      <c r="B47" s="58"/>
      <c r="C47" s="58"/>
      <c r="D47" s="58"/>
      <c r="E47" s="194"/>
      <c r="F47" s="58"/>
      <c r="G47" s="58"/>
      <c r="H47" s="58"/>
      <c r="I47" s="58"/>
      <c r="J47" s="58"/>
      <c r="K47" s="58"/>
      <c r="L47" s="58"/>
      <c r="M47" s="58"/>
      <c r="N47" s="58"/>
      <c r="O47" s="58"/>
      <c r="P47" s="58"/>
      <c r="Q47" s="58"/>
      <c r="R47" s="58"/>
      <c r="S47" s="58"/>
      <c r="T47" s="58"/>
      <c r="U47" s="58"/>
      <c r="V47" s="58"/>
      <c r="W47" s="58"/>
      <c r="X47" s="58"/>
      <c r="Y47" s="58"/>
    </row>
    <row r="48">
      <c r="A48" s="58"/>
      <c r="B48" s="58"/>
      <c r="C48" s="58"/>
      <c r="D48" s="58"/>
      <c r="E48" s="194"/>
      <c r="F48" s="58"/>
      <c r="G48" s="58"/>
      <c r="H48" s="58"/>
      <c r="I48" s="58"/>
      <c r="J48" s="58"/>
      <c r="K48" s="58"/>
      <c r="L48" s="58"/>
      <c r="M48" s="58"/>
      <c r="N48" s="58"/>
      <c r="O48" s="58"/>
      <c r="P48" s="58"/>
      <c r="Q48" s="58"/>
      <c r="R48" s="58"/>
      <c r="S48" s="58"/>
      <c r="T48" s="58"/>
      <c r="U48" s="58"/>
      <c r="V48" s="58"/>
      <c r="W48" s="58"/>
      <c r="X48" s="58"/>
      <c r="Y48" s="58"/>
    </row>
    <row r="49">
      <c r="A49" s="58"/>
      <c r="B49" s="58"/>
      <c r="C49" s="58"/>
      <c r="D49" s="58"/>
      <c r="E49" s="194"/>
      <c r="F49" s="58"/>
      <c r="G49" s="58"/>
      <c r="H49" s="58"/>
      <c r="I49" s="58"/>
      <c r="J49" s="58"/>
      <c r="K49" s="58"/>
      <c r="L49" s="58"/>
      <c r="M49" s="58"/>
      <c r="N49" s="58"/>
      <c r="O49" s="58"/>
      <c r="P49" s="58"/>
      <c r="Q49" s="58"/>
      <c r="R49" s="58"/>
      <c r="S49" s="58"/>
      <c r="T49" s="58"/>
      <c r="U49" s="58"/>
      <c r="V49" s="58"/>
      <c r="W49" s="58"/>
      <c r="X49" s="58"/>
      <c r="Y49" s="58"/>
    </row>
    <row r="50">
      <c r="A50" s="58"/>
      <c r="B50" s="58"/>
      <c r="C50" s="58"/>
      <c r="D50" s="58"/>
      <c r="E50" s="194"/>
      <c r="F50" s="58"/>
      <c r="G50" s="58"/>
      <c r="H50" s="58"/>
      <c r="I50" s="58"/>
      <c r="J50" s="58"/>
      <c r="K50" s="58"/>
      <c r="L50" s="58"/>
      <c r="M50" s="58"/>
      <c r="N50" s="58"/>
      <c r="O50" s="58"/>
      <c r="P50" s="58"/>
      <c r="Q50" s="58"/>
      <c r="R50" s="58"/>
      <c r="S50" s="58"/>
      <c r="T50" s="58"/>
      <c r="U50" s="58"/>
      <c r="V50" s="58"/>
      <c r="W50" s="58"/>
      <c r="X50" s="58"/>
      <c r="Y50" s="58"/>
    </row>
    <row r="51">
      <c r="A51" s="58"/>
      <c r="B51" s="58"/>
      <c r="C51" s="58"/>
      <c r="D51" s="58"/>
      <c r="E51" s="194"/>
      <c r="F51" s="58"/>
      <c r="G51" s="58"/>
      <c r="H51" s="58"/>
      <c r="I51" s="58"/>
      <c r="J51" s="58"/>
      <c r="K51" s="58"/>
      <c r="L51" s="58"/>
      <c r="M51" s="58"/>
      <c r="N51" s="58"/>
      <c r="O51" s="58"/>
      <c r="P51" s="58"/>
      <c r="Q51" s="58"/>
      <c r="R51" s="58"/>
      <c r="S51" s="58"/>
      <c r="T51" s="58"/>
      <c r="U51" s="58"/>
      <c r="V51" s="58"/>
      <c r="W51" s="58"/>
      <c r="X51" s="58"/>
      <c r="Y51" s="58"/>
    </row>
    <row r="52">
      <c r="A52" s="58"/>
      <c r="B52" s="58"/>
      <c r="C52" s="58"/>
      <c r="D52" s="58"/>
      <c r="E52" s="194"/>
      <c r="F52" s="58"/>
      <c r="G52" s="58"/>
      <c r="H52" s="58"/>
      <c r="I52" s="58"/>
      <c r="J52" s="58"/>
      <c r="K52" s="58"/>
      <c r="L52" s="58"/>
      <c r="M52" s="58"/>
      <c r="N52" s="58"/>
      <c r="O52" s="58"/>
      <c r="P52" s="58"/>
      <c r="Q52" s="58"/>
      <c r="R52" s="58"/>
      <c r="S52" s="58"/>
      <c r="T52" s="58"/>
      <c r="U52" s="58"/>
      <c r="V52" s="58"/>
      <c r="W52" s="58"/>
      <c r="X52" s="58"/>
      <c r="Y52" s="58"/>
    </row>
    <row r="53">
      <c r="A53" s="58"/>
      <c r="B53" s="58"/>
      <c r="C53" s="58"/>
      <c r="D53" s="58"/>
      <c r="E53" s="194"/>
      <c r="F53" s="58"/>
      <c r="G53" s="58"/>
      <c r="H53" s="58"/>
      <c r="I53" s="58"/>
      <c r="J53" s="58"/>
      <c r="K53" s="58"/>
      <c r="L53" s="58"/>
      <c r="M53" s="58"/>
      <c r="N53" s="58"/>
      <c r="O53" s="58"/>
      <c r="P53" s="58"/>
      <c r="Q53" s="58"/>
      <c r="R53" s="58"/>
      <c r="S53" s="58"/>
      <c r="T53" s="58"/>
      <c r="U53" s="58"/>
      <c r="V53" s="58"/>
      <c r="W53" s="58"/>
      <c r="X53" s="58"/>
      <c r="Y53" s="58"/>
    </row>
    <row r="54">
      <c r="A54" s="58"/>
      <c r="B54" s="58"/>
      <c r="C54" s="58"/>
      <c r="D54" s="58"/>
      <c r="E54" s="194"/>
      <c r="F54" s="58"/>
      <c r="G54" s="58"/>
      <c r="H54" s="58"/>
      <c r="I54" s="58"/>
      <c r="J54" s="58"/>
      <c r="K54" s="58"/>
      <c r="L54" s="58"/>
      <c r="M54" s="58"/>
      <c r="N54" s="58"/>
      <c r="O54" s="58"/>
      <c r="P54" s="58"/>
      <c r="Q54" s="58"/>
      <c r="R54" s="58"/>
      <c r="S54" s="58"/>
      <c r="T54" s="58"/>
      <c r="U54" s="58"/>
      <c r="V54" s="58"/>
      <c r="W54" s="58"/>
      <c r="X54" s="58"/>
      <c r="Y54" s="58"/>
    </row>
    <row r="55">
      <c r="A55" s="58"/>
      <c r="B55" s="58"/>
      <c r="C55" s="58"/>
      <c r="D55" s="58"/>
      <c r="E55" s="194"/>
      <c r="F55" s="58"/>
      <c r="G55" s="58"/>
      <c r="H55" s="58"/>
      <c r="I55" s="58"/>
      <c r="J55" s="58"/>
      <c r="K55" s="58"/>
      <c r="L55" s="58"/>
      <c r="M55" s="58"/>
      <c r="N55" s="58"/>
      <c r="O55" s="58"/>
      <c r="P55" s="58"/>
      <c r="Q55" s="58"/>
      <c r="R55" s="58"/>
      <c r="S55" s="58"/>
      <c r="T55" s="58"/>
      <c r="U55" s="58"/>
      <c r="V55" s="58"/>
      <c r="W55" s="58"/>
      <c r="X55" s="58"/>
      <c r="Y55" s="58"/>
    </row>
    <row r="56">
      <c r="A56" s="58"/>
      <c r="B56" s="58"/>
      <c r="C56" s="58"/>
      <c r="D56" s="58"/>
      <c r="E56" s="194"/>
      <c r="F56" s="58"/>
      <c r="G56" s="58"/>
      <c r="H56" s="58"/>
      <c r="I56" s="58"/>
      <c r="J56" s="58"/>
      <c r="K56" s="58"/>
      <c r="L56" s="58"/>
      <c r="M56" s="58"/>
      <c r="N56" s="58"/>
      <c r="O56" s="58"/>
      <c r="P56" s="58"/>
      <c r="Q56" s="58"/>
      <c r="R56" s="58"/>
      <c r="S56" s="58"/>
      <c r="T56" s="58"/>
      <c r="U56" s="58"/>
      <c r="V56" s="58"/>
      <c r="W56" s="58"/>
      <c r="X56" s="58"/>
      <c r="Y56" s="58"/>
    </row>
    <row r="57">
      <c r="A57" s="58"/>
      <c r="B57" s="58"/>
      <c r="C57" s="58"/>
      <c r="D57" s="58"/>
      <c r="E57" s="194"/>
      <c r="F57" s="58"/>
      <c r="G57" s="58"/>
      <c r="H57" s="58"/>
      <c r="I57" s="58"/>
      <c r="J57" s="58"/>
      <c r="K57" s="58"/>
      <c r="L57" s="58"/>
      <c r="M57" s="58"/>
      <c r="N57" s="58"/>
      <c r="O57" s="58"/>
      <c r="P57" s="58"/>
      <c r="Q57" s="58"/>
      <c r="R57" s="58"/>
      <c r="S57" s="58"/>
      <c r="T57" s="58"/>
      <c r="U57" s="58"/>
      <c r="V57" s="58"/>
      <c r="W57" s="58"/>
      <c r="X57" s="58"/>
      <c r="Y57" s="58"/>
    </row>
    <row r="58">
      <c r="A58" s="58"/>
      <c r="B58" s="58"/>
      <c r="C58" s="58"/>
      <c r="D58" s="58"/>
      <c r="E58" s="194"/>
      <c r="F58" s="58"/>
      <c r="G58" s="58"/>
      <c r="H58" s="58"/>
      <c r="I58" s="58"/>
      <c r="J58" s="58"/>
      <c r="K58" s="58"/>
      <c r="L58" s="58"/>
      <c r="M58" s="58"/>
      <c r="N58" s="58"/>
      <c r="O58" s="58"/>
      <c r="P58" s="58"/>
      <c r="Q58" s="58"/>
      <c r="R58" s="58"/>
      <c r="S58" s="58"/>
      <c r="T58" s="58"/>
      <c r="U58" s="58"/>
      <c r="V58" s="58"/>
      <c r="W58" s="58"/>
      <c r="X58" s="58"/>
      <c r="Y58" s="58"/>
    </row>
    <row r="59">
      <c r="A59" s="58"/>
      <c r="B59" s="58"/>
      <c r="C59" s="58"/>
      <c r="D59" s="58"/>
      <c r="E59" s="194"/>
      <c r="F59" s="58"/>
      <c r="G59" s="58"/>
      <c r="H59" s="58"/>
      <c r="I59" s="58"/>
      <c r="J59" s="58"/>
      <c r="K59" s="58"/>
      <c r="L59" s="58"/>
      <c r="M59" s="58"/>
      <c r="N59" s="58"/>
      <c r="O59" s="58"/>
      <c r="P59" s="58"/>
      <c r="Q59" s="58"/>
      <c r="R59" s="58"/>
      <c r="S59" s="58"/>
      <c r="T59" s="58"/>
      <c r="U59" s="58"/>
      <c r="V59" s="58"/>
      <c r="W59" s="58"/>
      <c r="X59" s="58"/>
      <c r="Y59" s="58"/>
    </row>
    <row r="60">
      <c r="A60" s="58"/>
      <c r="B60" s="58"/>
      <c r="C60" s="58"/>
      <c r="D60" s="58"/>
      <c r="E60" s="194"/>
      <c r="F60" s="58"/>
      <c r="G60" s="58"/>
      <c r="H60" s="58"/>
      <c r="I60" s="58"/>
      <c r="J60" s="58"/>
      <c r="K60" s="58"/>
      <c r="L60" s="58"/>
      <c r="M60" s="58"/>
      <c r="N60" s="58"/>
      <c r="O60" s="58"/>
      <c r="P60" s="58"/>
      <c r="Q60" s="58"/>
      <c r="R60" s="58"/>
      <c r="S60" s="58"/>
      <c r="T60" s="58"/>
      <c r="U60" s="58"/>
      <c r="V60" s="58"/>
      <c r="W60" s="58"/>
      <c r="X60" s="58"/>
      <c r="Y60" s="58"/>
    </row>
    <row r="61">
      <c r="A61" s="58"/>
      <c r="B61" s="58"/>
      <c r="C61" s="58"/>
      <c r="D61" s="58"/>
      <c r="E61" s="194"/>
      <c r="F61" s="58"/>
      <c r="G61" s="58"/>
      <c r="H61" s="58"/>
      <c r="I61" s="58"/>
      <c r="J61" s="58"/>
      <c r="K61" s="58"/>
      <c r="L61" s="58"/>
      <c r="M61" s="58"/>
      <c r="N61" s="58"/>
      <c r="O61" s="58"/>
      <c r="P61" s="58"/>
      <c r="Q61" s="58"/>
      <c r="R61" s="58"/>
      <c r="S61" s="58"/>
      <c r="T61" s="58"/>
      <c r="U61" s="58"/>
      <c r="V61" s="58"/>
      <c r="W61" s="58"/>
      <c r="X61" s="58"/>
      <c r="Y61" s="58"/>
    </row>
    <row r="62">
      <c r="A62" s="58"/>
      <c r="B62" s="58"/>
      <c r="C62" s="58"/>
      <c r="D62" s="58"/>
      <c r="E62" s="194"/>
      <c r="F62" s="58"/>
      <c r="G62" s="58"/>
      <c r="H62" s="58"/>
      <c r="I62" s="58"/>
      <c r="J62" s="58"/>
      <c r="K62" s="58"/>
      <c r="L62" s="58"/>
      <c r="M62" s="58"/>
      <c r="N62" s="58"/>
      <c r="O62" s="58"/>
      <c r="P62" s="58"/>
      <c r="Q62" s="58"/>
      <c r="R62" s="58"/>
      <c r="S62" s="58"/>
      <c r="T62" s="58"/>
      <c r="U62" s="58"/>
      <c r="V62" s="58"/>
      <c r="W62" s="58"/>
      <c r="X62" s="58"/>
      <c r="Y62" s="58"/>
    </row>
    <row r="63">
      <c r="A63" s="58"/>
      <c r="B63" s="58"/>
      <c r="C63" s="58"/>
      <c r="D63" s="58"/>
      <c r="E63" s="194"/>
      <c r="F63" s="58"/>
      <c r="G63" s="58"/>
      <c r="H63" s="58"/>
      <c r="I63" s="58"/>
      <c r="J63" s="58"/>
      <c r="K63" s="58"/>
      <c r="L63" s="58"/>
      <c r="M63" s="58"/>
      <c r="N63" s="58"/>
      <c r="O63" s="58"/>
      <c r="P63" s="58"/>
      <c r="Q63" s="58"/>
      <c r="R63" s="58"/>
      <c r="S63" s="58"/>
      <c r="T63" s="58"/>
      <c r="U63" s="58"/>
      <c r="V63" s="58"/>
      <c r="W63" s="58"/>
      <c r="X63" s="58"/>
      <c r="Y63" s="58"/>
    </row>
    <row r="64">
      <c r="A64" s="58"/>
      <c r="B64" s="58"/>
      <c r="C64" s="58"/>
      <c r="D64" s="58"/>
      <c r="E64" s="194"/>
      <c r="F64" s="58"/>
      <c r="G64" s="58"/>
      <c r="H64" s="58"/>
      <c r="I64" s="58"/>
      <c r="J64" s="58"/>
      <c r="K64" s="58"/>
      <c r="L64" s="58"/>
      <c r="M64" s="58"/>
      <c r="N64" s="58"/>
      <c r="O64" s="58"/>
      <c r="P64" s="58"/>
      <c r="Q64" s="58"/>
      <c r="R64" s="58"/>
      <c r="S64" s="58"/>
      <c r="T64" s="58"/>
      <c r="U64" s="58"/>
      <c r="V64" s="58"/>
      <c r="W64" s="58"/>
      <c r="X64" s="58"/>
      <c r="Y64" s="58"/>
    </row>
    <row r="65">
      <c r="A65" s="58"/>
      <c r="B65" s="58"/>
      <c r="C65" s="58"/>
      <c r="D65" s="58"/>
      <c r="E65" s="194"/>
      <c r="F65" s="58"/>
      <c r="G65" s="58"/>
      <c r="H65" s="58"/>
      <c r="I65" s="58"/>
      <c r="J65" s="58"/>
      <c r="K65" s="58"/>
      <c r="L65" s="58"/>
      <c r="M65" s="58"/>
      <c r="N65" s="58"/>
      <c r="O65" s="58"/>
      <c r="P65" s="58"/>
      <c r="Q65" s="58"/>
      <c r="R65" s="58"/>
      <c r="S65" s="58"/>
      <c r="T65" s="58"/>
      <c r="U65" s="58"/>
      <c r="V65" s="58"/>
      <c r="W65" s="58"/>
      <c r="X65" s="58"/>
      <c r="Y65" s="58"/>
    </row>
    <row r="66">
      <c r="A66" s="58"/>
      <c r="B66" s="58"/>
      <c r="C66" s="58"/>
      <c r="D66" s="58"/>
      <c r="E66" s="194"/>
      <c r="F66" s="58"/>
      <c r="G66" s="58"/>
      <c r="H66" s="58"/>
      <c r="I66" s="58"/>
      <c r="J66" s="58"/>
      <c r="K66" s="58"/>
      <c r="L66" s="58"/>
      <c r="M66" s="58"/>
      <c r="N66" s="58"/>
      <c r="O66" s="58"/>
      <c r="P66" s="58"/>
      <c r="Q66" s="58"/>
      <c r="R66" s="58"/>
      <c r="S66" s="58"/>
      <c r="T66" s="58"/>
      <c r="U66" s="58"/>
      <c r="V66" s="58"/>
      <c r="W66" s="58"/>
      <c r="X66" s="58"/>
      <c r="Y66" s="58"/>
    </row>
    <row r="67">
      <c r="A67" s="58"/>
      <c r="B67" s="58"/>
      <c r="C67" s="58"/>
      <c r="D67" s="58"/>
      <c r="E67" s="194"/>
      <c r="F67" s="58"/>
      <c r="G67" s="58"/>
      <c r="H67" s="58"/>
      <c r="I67" s="58"/>
      <c r="J67" s="58"/>
      <c r="K67" s="58"/>
      <c r="L67" s="58"/>
      <c r="M67" s="58"/>
      <c r="N67" s="58"/>
      <c r="O67" s="58"/>
      <c r="P67" s="58"/>
      <c r="Q67" s="58"/>
      <c r="R67" s="58"/>
      <c r="S67" s="58"/>
      <c r="T67" s="58"/>
      <c r="U67" s="58"/>
      <c r="V67" s="58"/>
      <c r="W67" s="58"/>
      <c r="X67" s="58"/>
      <c r="Y67" s="58"/>
    </row>
    <row r="68">
      <c r="A68" s="58"/>
      <c r="B68" s="58"/>
      <c r="C68" s="58"/>
      <c r="D68" s="58"/>
      <c r="E68" s="194"/>
      <c r="F68" s="58"/>
      <c r="G68" s="58"/>
      <c r="H68" s="58"/>
      <c r="I68" s="58"/>
      <c r="J68" s="58"/>
      <c r="K68" s="58"/>
      <c r="L68" s="58"/>
      <c r="M68" s="58"/>
      <c r="N68" s="58"/>
      <c r="O68" s="58"/>
      <c r="P68" s="58"/>
      <c r="Q68" s="58"/>
      <c r="R68" s="58"/>
      <c r="S68" s="58"/>
      <c r="T68" s="58"/>
      <c r="U68" s="58"/>
      <c r="V68" s="58"/>
      <c r="W68" s="58"/>
      <c r="X68" s="58"/>
      <c r="Y68" s="58"/>
    </row>
    <row r="69">
      <c r="A69" s="58"/>
      <c r="B69" s="58"/>
      <c r="C69" s="58"/>
      <c r="D69" s="58"/>
      <c r="E69" s="194"/>
      <c r="F69" s="58"/>
      <c r="G69" s="58"/>
      <c r="H69" s="58"/>
      <c r="I69" s="58"/>
      <c r="J69" s="58"/>
      <c r="K69" s="58"/>
      <c r="L69" s="58"/>
      <c r="M69" s="58"/>
      <c r="N69" s="58"/>
      <c r="O69" s="58"/>
      <c r="P69" s="58"/>
      <c r="Q69" s="58"/>
      <c r="R69" s="58"/>
      <c r="S69" s="58"/>
      <c r="T69" s="58"/>
      <c r="U69" s="58"/>
      <c r="V69" s="58"/>
      <c r="W69" s="58"/>
      <c r="X69" s="58"/>
      <c r="Y69" s="58"/>
    </row>
    <row r="70">
      <c r="A70" s="58"/>
      <c r="B70" s="58"/>
      <c r="C70" s="58"/>
      <c r="D70" s="58"/>
      <c r="E70" s="194"/>
      <c r="F70" s="58"/>
      <c r="G70" s="58"/>
      <c r="H70" s="58"/>
      <c r="I70" s="58"/>
      <c r="J70" s="58"/>
      <c r="K70" s="58"/>
      <c r="L70" s="58"/>
      <c r="M70" s="58"/>
      <c r="N70" s="58"/>
      <c r="O70" s="58"/>
      <c r="P70" s="58"/>
      <c r="Q70" s="58"/>
      <c r="R70" s="58"/>
      <c r="S70" s="58"/>
      <c r="T70" s="58"/>
      <c r="U70" s="58"/>
      <c r="V70" s="58"/>
      <c r="W70" s="58"/>
      <c r="X70" s="58"/>
      <c r="Y70" s="58"/>
    </row>
    <row r="71">
      <c r="A71" s="58"/>
      <c r="B71" s="58"/>
      <c r="C71" s="58"/>
      <c r="D71" s="58"/>
      <c r="E71" s="194"/>
      <c r="F71" s="58"/>
      <c r="G71" s="58"/>
      <c r="H71" s="58"/>
      <c r="I71" s="58"/>
      <c r="J71" s="58"/>
      <c r="K71" s="58"/>
      <c r="L71" s="58"/>
      <c r="M71" s="58"/>
      <c r="N71" s="58"/>
      <c r="O71" s="58"/>
      <c r="P71" s="58"/>
      <c r="Q71" s="58"/>
      <c r="R71" s="58"/>
      <c r="S71" s="58"/>
      <c r="T71" s="58"/>
      <c r="U71" s="58"/>
      <c r="V71" s="58"/>
      <c r="W71" s="58"/>
      <c r="X71" s="58"/>
      <c r="Y71" s="58"/>
    </row>
    <row r="72">
      <c r="A72" s="58"/>
      <c r="B72" s="58"/>
      <c r="C72" s="58"/>
      <c r="D72" s="58"/>
      <c r="E72" s="194"/>
      <c r="F72" s="58"/>
      <c r="G72" s="58"/>
      <c r="H72" s="58"/>
      <c r="I72" s="58"/>
      <c r="J72" s="58"/>
      <c r="K72" s="58"/>
      <c r="L72" s="58"/>
      <c r="M72" s="58"/>
      <c r="N72" s="58"/>
      <c r="O72" s="58"/>
      <c r="P72" s="58"/>
      <c r="Q72" s="58"/>
      <c r="R72" s="58"/>
      <c r="S72" s="58"/>
      <c r="T72" s="58"/>
      <c r="U72" s="58"/>
      <c r="V72" s="58"/>
      <c r="W72" s="58"/>
      <c r="X72" s="58"/>
      <c r="Y72" s="58"/>
    </row>
    <row r="73">
      <c r="A73" s="58"/>
      <c r="B73" s="58"/>
      <c r="C73" s="58"/>
      <c r="D73" s="58"/>
      <c r="E73" s="194"/>
      <c r="F73" s="58"/>
      <c r="G73" s="58"/>
      <c r="H73" s="58"/>
      <c r="I73" s="58"/>
      <c r="J73" s="58"/>
      <c r="K73" s="58"/>
      <c r="L73" s="58"/>
      <c r="M73" s="58"/>
      <c r="N73" s="58"/>
      <c r="O73" s="58"/>
      <c r="P73" s="58"/>
      <c r="Q73" s="58"/>
      <c r="R73" s="58"/>
      <c r="S73" s="58"/>
      <c r="T73" s="58"/>
      <c r="U73" s="58"/>
      <c r="V73" s="58"/>
      <c r="W73" s="58"/>
      <c r="X73" s="58"/>
      <c r="Y73" s="58"/>
    </row>
    <row r="74">
      <c r="A74" s="58"/>
      <c r="B74" s="58"/>
      <c r="C74" s="58"/>
      <c r="D74" s="58"/>
      <c r="E74" s="194"/>
      <c r="F74" s="58"/>
      <c r="G74" s="58"/>
      <c r="H74" s="58"/>
      <c r="I74" s="58"/>
      <c r="J74" s="58"/>
      <c r="K74" s="58"/>
      <c r="L74" s="58"/>
      <c r="M74" s="58"/>
      <c r="N74" s="58"/>
      <c r="O74" s="58"/>
      <c r="P74" s="58"/>
      <c r="Q74" s="58"/>
      <c r="R74" s="58"/>
      <c r="S74" s="58"/>
      <c r="T74" s="58"/>
      <c r="U74" s="58"/>
      <c r="V74" s="58"/>
      <c r="W74" s="58"/>
      <c r="X74" s="58"/>
      <c r="Y74" s="58"/>
    </row>
    <row r="75">
      <c r="A75" s="58"/>
      <c r="B75" s="58"/>
      <c r="C75" s="58"/>
      <c r="D75" s="58"/>
      <c r="E75" s="194"/>
      <c r="F75" s="58"/>
      <c r="G75" s="58"/>
      <c r="H75" s="58"/>
      <c r="I75" s="58"/>
      <c r="J75" s="58"/>
      <c r="K75" s="58"/>
      <c r="L75" s="58"/>
      <c r="M75" s="58"/>
      <c r="N75" s="58"/>
      <c r="O75" s="58"/>
      <c r="P75" s="58"/>
      <c r="Q75" s="58"/>
      <c r="R75" s="58"/>
      <c r="S75" s="58"/>
      <c r="T75" s="58"/>
      <c r="U75" s="58"/>
      <c r="V75" s="58"/>
      <c r="W75" s="58"/>
      <c r="X75" s="58"/>
      <c r="Y75" s="58"/>
    </row>
    <row r="76">
      <c r="A76" s="58"/>
      <c r="B76" s="58"/>
      <c r="C76" s="58"/>
      <c r="D76" s="58"/>
      <c r="E76" s="194"/>
      <c r="F76" s="58"/>
      <c r="G76" s="58"/>
      <c r="H76" s="58"/>
      <c r="I76" s="58"/>
      <c r="J76" s="58"/>
      <c r="K76" s="58"/>
      <c r="L76" s="58"/>
      <c r="M76" s="58"/>
      <c r="N76" s="58"/>
      <c r="O76" s="58"/>
      <c r="P76" s="58"/>
      <c r="Q76" s="58"/>
      <c r="R76" s="58"/>
      <c r="S76" s="58"/>
      <c r="T76" s="58"/>
      <c r="U76" s="58"/>
      <c r="V76" s="58"/>
      <c r="W76" s="58"/>
      <c r="X76" s="58"/>
      <c r="Y76" s="58"/>
    </row>
    <row r="77">
      <c r="A77" s="58"/>
      <c r="B77" s="58"/>
      <c r="C77" s="58"/>
      <c r="D77" s="58"/>
      <c r="E77" s="194"/>
      <c r="F77" s="58"/>
      <c r="G77" s="58"/>
      <c r="H77" s="58"/>
      <c r="I77" s="58"/>
      <c r="J77" s="58"/>
      <c r="K77" s="58"/>
      <c r="L77" s="58"/>
      <c r="M77" s="58"/>
      <c r="N77" s="58"/>
      <c r="O77" s="58"/>
      <c r="P77" s="58"/>
      <c r="Q77" s="58"/>
      <c r="R77" s="58"/>
      <c r="S77" s="58"/>
      <c r="T77" s="58"/>
      <c r="U77" s="58"/>
      <c r="V77" s="58"/>
      <c r="W77" s="58"/>
      <c r="X77" s="58"/>
      <c r="Y77" s="58"/>
    </row>
    <row r="78">
      <c r="A78" s="58"/>
      <c r="B78" s="58"/>
      <c r="C78" s="58"/>
      <c r="D78" s="58"/>
      <c r="E78" s="194"/>
      <c r="F78" s="58"/>
      <c r="G78" s="58"/>
      <c r="H78" s="58"/>
      <c r="I78" s="58"/>
      <c r="J78" s="58"/>
      <c r="K78" s="58"/>
      <c r="L78" s="58"/>
      <c r="M78" s="58"/>
      <c r="N78" s="58"/>
      <c r="O78" s="58"/>
      <c r="P78" s="58"/>
      <c r="Q78" s="58"/>
      <c r="R78" s="58"/>
      <c r="S78" s="58"/>
      <c r="T78" s="58"/>
      <c r="U78" s="58"/>
      <c r="V78" s="58"/>
      <c r="W78" s="58"/>
      <c r="X78" s="58"/>
      <c r="Y78" s="58"/>
    </row>
    <row r="79">
      <c r="A79" s="58"/>
      <c r="B79" s="58"/>
      <c r="C79" s="58"/>
      <c r="D79" s="58"/>
      <c r="E79" s="194"/>
      <c r="F79" s="58"/>
      <c r="G79" s="58"/>
      <c r="H79" s="58"/>
      <c r="I79" s="58"/>
      <c r="J79" s="58"/>
      <c r="K79" s="58"/>
      <c r="L79" s="58"/>
      <c r="M79" s="58"/>
      <c r="N79" s="58"/>
      <c r="O79" s="58"/>
      <c r="P79" s="58"/>
      <c r="Q79" s="58"/>
      <c r="R79" s="58"/>
      <c r="S79" s="58"/>
      <c r="T79" s="58"/>
      <c r="U79" s="58"/>
      <c r="V79" s="58"/>
      <c r="W79" s="58"/>
      <c r="X79" s="58"/>
      <c r="Y79" s="58"/>
    </row>
    <row r="80">
      <c r="A80" s="58"/>
      <c r="B80" s="58"/>
      <c r="C80" s="58"/>
      <c r="D80" s="58"/>
      <c r="E80" s="194"/>
      <c r="F80" s="58"/>
      <c r="G80" s="58"/>
      <c r="H80" s="58"/>
      <c r="I80" s="58"/>
      <c r="J80" s="58"/>
      <c r="K80" s="58"/>
      <c r="L80" s="58"/>
      <c r="M80" s="58"/>
      <c r="N80" s="58"/>
      <c r="O80" s="58"/>
      <c r="P80" s="58"/>
      <c r="Q80" s="58"/>
      <c r="R80" s="58"/>
      <c r="S80" s="58"/>
      <c r="T80" s="58"/>
      <c r="U80" s="58"/>
      <c r="V80" s="58"/>
      <c r="W80" s="58"/>
      <c r="X80" s="58"/>
      <c r="Y80" s="58"/>
    </row>
    <row r="81">
      <c r="A81" s="58"/>
      <c r="B81" s="58"/>
      <c r="C81" s="58"/>
      <c r="D81" s="58"/>
      <c r="E81" s="194"/>
      <c r="F81" s="58"/>
      <c r="G81" s="58"/>
      <c r="H81" s="58"/>
      <c r="I81" s="58"/>
      <c r="J81" s="58"/>
      <c r="K81" s="58"/>
      <c r="L81" s="58"/>
      <c r="M81" s="58"/>
      <c r="N81" s="58"/>
      <c r="O81" s="58"/>
      <c r="P81" s="58"/>
      <c r="Q81" s="58"/>
      <c r="R81" s="58"/>
      <c r="S81" s="58"/>
      <c r="T81" s="58"/>
      <c r="U81" s="58"/>
      <c r="V81" s="58"/>
      <c r="W81" s="58"/>
      <c r="X81" s="58"/>
      <c r="Y81" s="58"/>
    </row>
    <row r="82">
      <c r="A82" s="58"/>
      <c r="B82" s="58"/>
      <c r="C82" s="58"/>
      <c r="D82" s="58"/>
      <c r="E82" s="194"/>
      <c r="F82" s="58"/>
      <c r="G82" s="58"/>
      <c r="H82" s="58"/>
      <c r="I82" s="58"/>
      <c r="J82" s="58"/>
      <c r="K82" s="58"/>
      <c r="L82" s="58"/>
      <c r="M82" s="58"/>
      <c r="N82" s="58"/>
      <c r="O82" s="58"/>
      <c r="P82" s="58"/>
      <c r="Q82" s="58"/>
      <c r="R82" s="58"/>
      <c r="S82" s="58"/>
      <c r="T82" s="58"/>
      <c r="U82" s="58"/>
      <c r="V82" s="58"/>
      <c r="W82" s="58"/>
      <c r="X82" s="58"/>
      <c r="Y82" s="58"/>
    </row>
    <row r="83">
      <c r="A83" s="58"/>
      <c r="B83" s="58"/>
      <c r="C83" s="58"/>
      <c r="D83" s="58"/>
      <c r="E83" s="194"/>
      <c r="F83" s="58"/>
      <c r="G83" s="58"/>
      <c r="H83" s="58"/>
      <c r="I83" s="58"/>
      <c r="J83" s="58"/>
      <c r="K83" s="58"/>
      <c r="L83" s="58"/>
      <c r="M83" s="58"/>
      <c r="N83" s="58"/>
      <c r="O83" s="58"/>
      <c r="P83" s="58"/>
      <c r="Q83" s="58"/>
      <c r="R83" s="58"/>
      <c r="S83" s="58"/>
      <c r="T83" s="58"/>
      <c r="U83" s="58"/>
      <c r="V83" s="58"/>
      <c r="W83" s="58"/>
      <c r="X83" s="58"/>
      <c r="Y83" s="58"/>
    </row>
    <row r="84">
      <c r="A84" s="58"/>
      <c r="B84" s="58"/>
      <c r="C84" s="58"/>
      <c r="D84" s="58"/>
      <c r="E84" s="194"/>
      <c r="F84" s="58"/>
      <c r="G84" s="58"/>
      <c r="H84" s="58"/>
      <c r="I84" s="58"/>
      <c r="J84" s="58"/>
      <c r="K84" s="58"/>
      <c r="L84" s="58"/>
      <c r="M84" s="58"/>
      <c r="N84" s="58"/>
      <c r="O84" s="58"/>
      <c r="P84" s="58"/>
      <c r="Q84" s="58"/>
      <c r="R84" s="58"/>
      <c r="S84" s="58"/>
      <c r="T84" s="58"/>
      <c r="U84" s="58"/>
      <c r="V84" s="58"/>
      <c r="W84" s="58"/>
      <c r="X84" s="58"/>
      <c r="Y84" s="58"/>
    </row>
    <row r="85">
      <c r="A85" s="58"/>
      <c r="B85" s="58"/>
      <c r="C85" s="58"/>
      <c r="D85" s="58"/>
      <c r="E85" s="194"/>
      <c r="F85" s="58"/>
      <c r="G85" s="58"/>
      <c r="H85" s="58"/>
      <c r="I85" s="58"/>
      <c r="J85" s="58"/>
      <c r="K85" s="58"/>
      <c r="L85" s="58"/>
      <c r="M85" s="58"/>
      <c r="N85" s="58"/>
      <c r="O85" s="58"/>
      <c r="P85" s="58"/>
      <c r="Q85" s="58"/>
      <c r="R85" s="58"/>
      <c r="S85" s="58"/>
      <c r="T85" s="58"/>
      <c r="U85" s="58"/>
      <c r="V85" s="58"/>
      <c r="W85" s="58"/>
      <c r="X85" s="58"/>
      <c r="Y85" s="58"/>
    </row>
    <row r="86">
      <c r="A86" s="58"/>
      <c r="B86" s="58"/>
      <c r="C86" s="58"/>
      <c r="D86" s="58"/>
      <c r="E86" s="194"/>
      <c r="F86" s="58"/>
      <c r="G86" s="58"/>
      <c r="H86" s="58"/>
      <c r="I86" s="58"/>
      <c r="J86" s="58"/>
      <c r="K86" s="58"/>
      <c r="L86" s="58"/>
      <c r="M86" s="58"/>
      <c r="N86" s="58"/>
      <c r="O86" s="58"/>
      <c r="P86" s="58"/>
      <c r="Q86" s="58"/>
      <c r="R86" s="58"/>
      <c r="S86" s="58"/>
      <c r="T86" s="58"/>
      <c r="U86" s="58"/>
      <c r="V86" s="58"/>
      <c r="W86" s="58"/>
      <c r="X86" s="58"/>
      <c r="Y86" s="58"/>
    </row>
    <row r="87">
      <c r="A87" s="58"/>
      <c r="B87" s="58"/>
      <c r="C87" s="58"/>
      <c r="D87" s="58"/>
      <c r="E87" s="194"/>
      <c r="F87" s="58"/>
      <c r="G87" s="58"/>
      <c r="H87" s="58"/>
      <c r="I87" s="58"/>
      <c r="J87" s="58"/>
      <c r="K87" s="58"/>
      <c r="L87" s="58"/>
      <c r="M87" s="58"/>
      <c r="N87" s="58"/>
      <c r="O87" s="58"/>
      <c r="P87" s="58"/>
      <c r="Q87" s="58"/>
      <c r="R87" s="58"/>
      <c r="S87" s="58"/>
      <c r="T87" s="58"/>
      <c r="U87" s="58"/>
      <c r="V87" s="58"/>
      <c r="W87" s="58"/>
      <c r="X87" s="58"/>
      <c r="Y87" s="58"/>
    </row>
    <row r="88">
      <c r="A88" s="58"/>
      <c r="B88" s="58"/>
      <c r="C88" s="58"/>
      <c r="D88" s="58"/>
      <c r="E88" s="194"/>
      <c r="F88" s="58"/>
      <c r="G88" s="58"/>
      <c r="H88" s="58"/>
      <c r="I88" s="58"/>
      <c r="J88" s="58"/>
      <c r="K88" s="58"/>
      <c r="L88" s="58"/>
      <c r="M88" s="58"/>
      <c r="N88" s="58"/>
      <c r="O88" s="58"/>
      <c r="P88" s="58"/>
      <c r="Q88" s="58"/>
      <c r="R88" s="58"/>
      <c r="S88" s="58"/>
      <c r="T88" s="58"/>
      <c r="U88" s="58"/>
      <c r="V88" s="58"/>
      <c r="W88" s="58"/>
      <c r="X88" s="58"/>
      <c r="Y88" s="58"/>
    </row>
    <row r="89">
      <c r="A89" s="58"/>
      <c r="B89" s="58"/>
      <c r="C89" s="58"/>
      <c r="D89" s="58"/>
      <c r="E89" s="194"/>
      <c r="F89" s="58"/>
      <c r="G89" s="58"/>
      <c r="H89" s="58"/>
      <c r="I89" s="58"/>
      <c r="J89" s="58"/>
      <c r="K89" s="58"/>
      <c r="L89" s="58"/>
      <c r="M89" s="58"/>
      <c r="N89" s="58"/>
      <c r="O89" s="58"/>
      <c r="P89" s="58"/>
      <c r="Q89" s="58"/>
      <c r="R89" s="58"/>
      <c r="S89" s="58"/>
      <c r="T89" s="58"/>
      <c r="U89" s="58"/>
      <c r="V89" s="58"/>
      <c r="W89" s="58"/>
      <c r="X89" s="58"/>
      <c r="Y89" s="58"/>
    </row>
    <row r="90">
      <c r="A90" s="58"/>
      <c r="B90" s="58"/>
      <c r="C90" s="58"/>
      <c r="D90" s="58"/>
      <c r="E90" s="194"/>
      <c r="F90" s="58"/>
      <c r="G90" s="58"/>
      <c r="H90" s="58"/>
      <c r="I90" s="58"/>
      <c r="J90" s="58"/>
      <c r="K90" s="58"/>
      <c r="L90" s="58"/>
      <c r="M90" s="58"/>
      <c r="N90" s="58"/>
      <c r="O90" s="58"/>
      <c r="P90" s="58"/>
      <c r="Q90" s="58"/>
      <c r="R90" s="58"/>
      <c r="S90" s="58"/>
      <c r="T90" s="58"/>
      <c r="U90" s="58"/>
      <c r="V90" s="58"/>
      <c r="W90" s="58"/>
      <c r="X90" s="58"/>
      <c r="Y90" s="58"/>
    </row>
    <row r="91">
      <c r="A91" s="58"/>
      <c r="B91" s="58"/>
      <c r="C91" s="58"/>
      <c r="D91" s="58"/>
      <c r="E91" s="194"/>
      <c r="F91" s="58"/>
      <c r="G91" s="58"/>
      <c r="H91" s="58"/>
      <c r="I91" s="58"/>
      <c r="J91" s="58"/>
      <c r="K91" s="58"/>
      <c r="L91" s="58"/>
      <c r="M91" s="58"/>
      <c r="N91" s="58"/>
      <c r="O91" s="58"/>
      <c r="P91" s="58"/>
      <c r="Q91" s="58"/>
      <c r="R91" s="58"/>
      <c r="S91" s="58"/>
      <c r="T91" s="58"/>
      <c r="U91" s="58"/>
      <c r="V91" s="58"/>
      <c r="W91" s="58"/>
      <c r="X91" s="58"/>
      <c r="Y91" s="58"/>
    </row>
    <row r="92">
      <c r="A92" s="58"/>
      <c r="B92" s="58"/>
      <c r="C92" s="58"/>
      <c r="D92" s="58"/>
      <c r="E92" s="194"/>
      <c r="F92" s="58"/>
      <c r="G92" s="58"/>
      <c r="H92" s="58"/>
      <c r="I92" s="58"/>
      <c r="J92" s="58"/>
      <c r="K92" s="58"/>
      <c r="L92" s="58"/>
      <c r="M92" s="58"/>
      <c r="N92" s="58"/>
      <c r="O92" s="58"/>
      <c r="P92" s="58"/>
      <c r="Q92" s="58"/>
      <c r="R92" s="58"/>
      <c r="S92" s="58"/>
      <c r="T92" s="58"/>
      <c r="U92" s="58"/>
      <c r="V92" s="58"/>
      <c r="W92" s="58"/>
      <c r="X92" s="58"/>
      <c r="Y92" s="58"/>
    </row>
    <row r="93">
      <c r="A93" s="58"/>
      <c r="B93" s="58"/>
      <c r="C93" s="58"/>
      <c r="D93" s="58"/>
      <c r="E93" s="194"/>
      <c r="F93" s="58"/>
      <c r="G93" s="58"/>
      <c r="H93" s="58"/>
      <c r="I93" s="58"/>
      <c r="J93" s="58"/>
      <c r="K93" s="58"/>
      <c r="L93" s="58"/>
      <c r="M93" s="58"/>
      <c r="N93" s="58"/>
      <c r="O93" s="58"/>
      <c r="P93" s="58"/>
      <c r="Q93" s="58"/>
      <c r="R93" s="58"/>
      <c r="S93" s="58"/>
      <c r="T93" s="58"/>
      <c r="U93" s="58"/>
      <c r="V93" s="58"/>
      <c r="W93" s="58"/>
      <c r="X93" s="58"/>
      <c r="Y93" s="58"/>
    </row>
    <row r="94">
      <c r="A94" s="58"/>
      <c r="B94" s="58"/>
      <c r="C94" s="58"/>
      <c r="D94" s="58"/>
      <c r="E94" s="194"/>
      <c r="F94" s="58"/>
      <c r="G94" s="58"/>
      <c r="H94" s="58"/>
      <c r="I94" s="58"/>
      <c r="J94" s="58"/>
      <c r="K94" s="58"/>
      <c r="L94" s="58"/>
      <c r="M94" s="58"/>
      <c r="N94" s="58"/>
      <c r="O94" s="58"/>
      <c r="P94" s="58"/>
      <c r="Q94" s="58"/>
      <c r="R94" s="58"/>
      <c r="S94" s="58"/>
      <c r="T94" s="58"/>
      <c r="U94" s="58"/>
      <c r="V94" s="58"/>
      <c r="W94" s="58"/>
      <c r="X94" s="58"/>
      <c r="Y94" s="58"/>
    </row>
    <row r="95">
      <c r="A95" s="58"/>
      <c r="B95" s="58"/>
      <c r="C95" s="58"/>
      <c r="D95" s="58"/>
      <c r="E95" s="194"/>
      <c r="F95" s="58"/>
      <c r="G95" s="58"/>
      <c r="H95" s="58"/>
      <c r="I95" s="58"/>
      <c r="J95" s="58"/>
      <c r="K95" s="58"/>
      <c r="L95" s="58"/>
      <c r="M95" s="58"/>
      <c r="N95" s="58"/>
      <c r="O95" s="58"/>
      <c r="P95" s="58"/>
      <c r="Q95" s="58"/>
      <c r="R95" s="58"/>
      <c r="S95" s="58"/>
      <c r="T95" s="58"/>
      <c r="U95" s="58"/>
      <c r="V95" s="58"/>
      <c r="W95" s="58"/>
      <c r="X95" s="58"/>
      <c r="Y95" s="58"/>
    </row>
    <row r="96">
      <c r="A96" s="58"/>
      <c r="B96" s="58"/>
      <c r="C96" s="58"/>
      <c r="D96" s="58"/>
      <c r="E96" s="194"/>
      <c r="F96" s="58"/>
      <c r="G96" s="58"/>
      <c r="H96" s="58"/>
      <c r="I96" s="58"/>
      <c r="J96" s="58"/>
      <c r="K96" s="58"/>
      <c r="L96" s="58"/>
      <c r="M96" s="58"/>
      <c r="N96" s="58"/>
      <c r="O96" s="58"/>
      <c r="P96" s="58"/>
      <c r="Q96" s="58"/>
      <c r="R96" s="58"/>
      <c r="S96" s="58"/>
      <c r="T96" s="58"/>
      <c r="U96" s="58"/>
      <c r="V96" s="58"/>
      <c r="W96" s="58"/>
      <c r="X96" s="58"/>
      <c r="Y96" s="58"/>
    </row>
    <row r="97">
      <c r="A97" s="58"/>
      <c r="B97" s="58"/>
      <c r="C97" s="58"/>
      <c r="D97" s="58"/>
      <c r="E97" s="194"/>
      <c r="F97" s="58"/>
      <c r="G97" s="58"/>
      <c r="H97" s="58"/>
      <c r="I97" s="58"/>
      <c r="J97" s="58"/>
      <c r="K97" s="58"/>
      <c r="L97" s="58"/>
      <c r="M97" s="58"/>
      <c r="N97" s="58"/>
      <c r="O97" s="58"/>
      <c r="P97" s="58"/>
      <c r="Q97" s="58"/>
      <c r="R97" s="58"/>
      <c r="S97" s="58"/>
      <c r="T97" s="58"/>
      <c r="U97" s="58"/>
      <c r="V97" s="58"/>
      <c r="W97" s="58"/>
      <c r="X97" s="58"/>
      <c r="Y97" s="58"/>
    </row>
    <row r="98">
      <c r="A98" s="58"/>
      <c r="B98" s="58"/>
      <c r="C98" s="58"/>
      <c r="D98" s="58"/>
      <c r="E98" s="194"/>
      <c r="F98" s="58"/>
      <c r="G98" s="58"/>
      <c r="H98" s="58"/>
      <c r="I98" s="58"/>
      <c r="J98" s="58"/>
      <c r="K98" s="58"/>
      <c r="L98" s="58"/>
      <c r="M98" s="58"/>
      <c r="N98" s="58"/>
      <c r="O98" s="58"/>
      <c r="P98" s="58"/>
      <c r="Q98" s="58"/>
      <c r="R98" s="58"/>
      <c r="S98" s="58"/>
      <c r="T98" s="58"/>
      <c r="U98" s="58"/>
      <c r="V98" s="58"/>
      <c r="W98" s="58"/>
      <c r="X98" s="58"/>
      <c r="Y98" s="58"/>
    </row>
    <row r="99">
      <c r="A99" s="58"/>
      <c r="B99" s="58"/>
      <c r="C99" s="58"/>
      <c r="D99" s="58"/>
      <c r="E99" s="194"/>
      <c r="F99" s="58"/>
      <c r="G99" s="58"/>
      <c r="H99" s="58"/>
      <c r="I99" s="58"/>
      <c r="J99" s="58"/>
      <c r="K99" s="58"/>
      <c r="L99" s="58"/>
      <c r="M99" s="58"/>
      <c r="N99" s="58"/>
      <c r="O99" s="58"/>
      <c r="P99" s="58"/>
      <c r="Q99" s="58"/>
      <c r="R99" s="58"/>
      <c r="S99" s="58"/>
      <c r="T99" s="58"/>
      <c r="U99" s="58"/>
      <c r="V99" s="58"/>
      <c r="W99" s="58"/>
      <c r="X99" s="58"/>
      <c r="Y99" s="58"/>
    </row>
    <row r="100">
      <c r="A100" s="58"/>
      <c r="B100" s="58"/>
      <c r="C100" s="58"/>
      <c r="D100" s="58"/>
      <c r="E100" s="194"/>
      <c r="F100" s="58"/>
      <c r="G100" s="58"/>
      <c r="H100" s="58"/>
      <c r="I100" s="58"/>
      <c r="J100" s="58"/>
      <c r="K100" s="58"/>
      <c r="L100" s="58"/>
      <c r="M100" s="58"/>
      <c r="N100" s="58"/>
      <c r="O100" s="58"/>
      <c r="P100" s="58"/>
      <c r="Q100" s="58"/>
      <c r="R100" s="58"/>
      <c r="S100" s="58"/>
      <c r="T100" s="58"/>
      <c r="U100" s="58"/>
      <c r="V100" s="58"/>
      <c r="W100" s="58"/>
      <c r="X100" s="58"/>
      <c r="Y100" s="58"/>
    </row>
    <row r="101">
      <c r="A101" s="58"/>
      <c r="B101" s="58"/>
      <c r="C101" s="58"/>
      <c r="D101" s="58"/>
      <c r="E101" s="194"/>
      <c r="F101" s="58"/>
      <c r="G101" s="58"/>
      <c r="H101" s="58"/>
      <c r="I101" s="58"/>
      <c r="J101" s="58"/>
      <c r="K101" s="58"/>
      <c r="L101" s="58"/>
      <c r="M101" s="58"/>
      <c r="N101" s="58"/>
      <c r="O101" s="58"/>
      <c r="P101" s="58"/>
      <c r="Q101" s="58"/>
      <c r="R101" s="58"/>
      <c r="S101" s="58"/>
      <c r="T101" s="58"/>
      <c r="U101" s="58"/>
      <c r="V101" s="58"/>
      <c r="W101" s="58"/>
      <c r="X101" s="58"/>
      <c r="Y101" s="58"/>
    </row>
    <row r="102">
      <c r="A102" s="58"/>
      <c r="B102" s="58"/>
      <c r="C102" s="58"/>
      <c r="D102" s="58"/>
      <c r="E102" s="194"/>
      <c r="F102" s="58"/>
      <c r="G102" s="58"/>
      <c r="H102" s="58"/>
      <c r="I102" s="58"/>
      <c r="J102" s="58"/>
      <c r="K102" s="58"/>
      <c r="L102" s="58"/>
      <c r="M102" s="58"/>
      <c r="N102" s="58"/>
      <c r="O102" s="58"/>
      <c r="P102" s="58"/>
      <c r="Q102" s="58"/>
      <c r="R102" s="58"/>
      <c r="S102" s="58"/>
      <c r="T102" s="58"/>
      <c r="U102" s="58"/>
      <c r="V102" s="58"/>
      <c r="W102" s="58"/>
      <c r="X102" s="58"/>
      <c r="Y102" s="58"/>
    </row>
    <row r="103">
      <c r="A103" s="58"/>
      <c r="B103" s="58"/>
      <c r="C103" s="58"/>
      <c r="D103" s="58"/>
      <c r="E103" s="194"/>
      <c r="F103" s="58"/>
      <c r="G103" s="58"/>
      <c r="H103" s="58"/>
      <c r="I103" s="58"/>
      <c r="J103" s="58"/>
      <c r="K103" s="58"/>
      <c r="L103" s="58"/>
      <c r="M103" s="58"/>
      <c r="N103" s="58"/>
      <c r="O103" s="58"/>
      <c r="P103" s="58"/>
      <c r="Q103" s="58"/>
      <c r="R103" s="58"/>
      <c r="S103" s="58"/>
      <c r="T103" s="58"/>
      <c r="U103" s="58"/>
      <c r="V103" s="58"/>
      <c r="W103" s="58"/>
      <c r="X103" s="58"/>
      <c r="Y103" s="58"/>
    </row>
    <row r="104">
      <c r="A104" s="58"/>
      <c r="B104" s="58"/>
      <c r="C104" s="58"/>
      <c r="D104" s="58"/>
      <c r="E104" s="194"/>
      <c r="F104" s="58"/>
      <c r="G104" s="58"/>
      <c r="H104" s="58"/>
      <c r="I104" s="58"/>
      <c r="J104" s="58"/>
      <c r="K104" s="58"/>
      <c r="L104" s="58"/>
      <c r="M104" s="58"/>
      <c r="N104" s="58"/>
      <c r="O104" s="58"/>
      <c r="P104" s="58"/>
      <c r="Q104" s="58"/>
      <c r="R104" s="58"/>
      <c r="S104" s="58"/>
      <c r="T104" s="58"/>
      <c r="U104" s="58"/>
      <c r="V104" s="58"/>
      <c r="W104" s="58"/>
      <c r="X104" s="58"/>
      <c r="Y104" s="58"/>
    </row>
    <row r="105">
      <c r="A105" s="58"/>
      <c r="B105" s="58"/>
      <c r="C105" s="58"/>
      <c r="D105" s="58"/>
      <c r="E105" s="194"/>
      <c r="F105" s="58"/>
      <c r="G105" s="58"/>
      <c r="H105" s="58"/>
      <c r="I105" s="58"/>
      <c r="J105" s="58"/>
      <c r="K105" s="58"/>
      <c r="L105" s="58"/>
      <c r="M105" s="58"/>
      <c r="N105" s="58"/>
      <c r="O105" s="58"/>
      <c r="P105" s="58"/>
      <c r="Q105" s="58"/>
      <c r="R105" s="58"/>
      <c r="S105" s="58"/>
      <c r="T105" s="58"/>
      <c r="U105" s="58"/>
      <c r="V105" s="58"/>
      <c r="W105" s="58"/>
      <c r="X105" s="58"/>
      <c r="Y105" s="58"/>
    </row>
    <row r="106">
      <c r="A106" s="58"/>
      <c r="B106" s="58"/>
      <c r="C106" s="58"/>
      <c r="D106" s="58"/>
      <c r="E106" s="194"/>
      <c r="F106" s="58"/>
      <c r="G106" s="58"/>
      <c r="H106" s="58"/>
      <c r="I106" s="58"/>
      <c r="J106" s="58"/>
      <c r="K106" s="58"/>
      <c r="L106" s="58"/>
      <c r="M106" s="58"/>
      <c r="N106" s="58"/>
      <c r="O106" s="58"/>
      <c r="P106" s="58"/>
      <c r="Q106" s="58"/>
      <c r="R106" s="58"/>
      <c r="S106" s="58"/>
      <c r="T106" s="58"/>
      <c r="U106" s="58"/>
      <c r="V106" s="58"/>
      <c r="W106" s="58"/>
      <c r="X106" s="58"/>
      <c r="Y106" s="58"/>
    </row>
    <row r="107">
      <c r="A107" s="58"/>
      <c r="B107" s="58"/>
      <c r="C107" s="58"/>
      <c r="D107" s="58"/>
      <c r="E107" s="194"/>
      <c r="F107" s="58"/>
      <c r="G107" s="58"/>
      <c r="H107" s="58"/>
      <c r="I107" s="58"/>
      <c r="J107" s="58"/>
      <c r="K107" s="58"/>
      <c r="L107" s="58"/>
      <c r="M107" s="58"/>
      <c r="N107" s="58"/>
      <c r="O107" s="58"/>
      <c r="P107" s="58"/>
      <c r="Q107" s="58"/>
      <c r="R107" s="58"/>
      <c r="S107" s="58"/>
      <c r="T107" s="58"/>
      <c r="U107" s="58"/>
      <c r="V107" s="58"/>
      <c r="W107" s="58"/>
      <c r="X107" s="58"/>
      <c r="Y107" s="58"/>
    </row>
    <row r="108">
      <c r="A108" s="58"/>
      <c r="B108" s="58"/>
      <c r="C108" s="58"/>
      <c r="D108" s="58"/>
      <c r="E108" s="194"/>
      <c r="F108" s="58"/>
      <c r="G108" s="58"/>
      <c r="H108" s="58"/>
      <c r="I108" s="58"/>
      <c r="J108" s="58"/>
      <c r="K108" s="58"/>
      <c r="L108" s="58"/>
      <c r="M108" s="58"/>
      <c r="N108" s="58"/>
      <c r="O108" s="58"/>
      <c r="P108" s="58"/>
      <c r="Q108" s="58"/>
      <c r="R108" s="58"/>
      <c r="S108" s="58"/>
      <c r="T108" s="58"/>
      <c r="U108" s="58"/>
      <c r="V108" s="58"/>
      <c r="W108" s="58"/>
      <c r="X108" s="58"/>
      <c r="Y108" s="58"/>
    </row>
    <row r="109">
      <c r="A109" s="58"/>
      <c r="B109" s="58"/>
      <c r="C109" s="58"/>
      <c r="D109" s="58"/>
      <c r="E109" s="194"/>
      <c r="F109" s="58"/>
      <c r="G109" s="58"/>
      <c r="H109" s="58"/>
      <c r="I109" s="58"/>
      <c r="J109" s="58"/>
      <c r="K109" s="58"/>
      <c r="L109" s="58"/>
      <c r="M109" s="58"/>
      <c r="N109" s="58"/>
      <c r="O109" s="58"/>
      <c r="P109" s="58"/>
      <c r="Q109" s="58"/>
      <c r="R109" s="58"/>
      <c r="S109" s="58"/>
      <c r="T109" s="58"/>
      <c r="U109" s="58"/>
      <c r="V109" s="58"/>
      <c r="W109" s="58"/>
      <c r="X109" s="58"/>
      <c r="Y109" s="58"/>
    </row>
    <row r="110">
      <c r="A110" s="58"/>
      <c r="B110" s="58"/>
      <c r="C110" s="58"/>
      <c r="D110" s="58"/>
      <c r="E110" s="194"/>
      <c r="F110" s="58"/>
      <c r="G110" s="58"/>
      <c r="H110" s="58"/>
      <c r="I110" s="58"/>
      <c r="J110" s="58"/>
      <c r="K110" s="58"/>
      <c r="L110" s="58"/>
      <c r="M110" s="58"/>
      <c r="N110" s="58"/>
      <c r="O110" s="58"/>
      <c r="P110" s="58"/>
      <c r="Q110" s="58"/>
      <c r="R110" s="58"/>
      <c r="S110" s="58"/>
      <c r="T110" s="58"/>
      <c r="U110" s="58"/>
      <c r="V110" s="58"/>
      <c r="W110" s="58"/>
      <c r="X110" s="58"/>
      <c r="Y110" s="58"/>
    </row>
    <row r="111">
      <c r="A111" s="58"/>
      <c r="B111" s="58"/>
      <c r="C111" s="58"/>
      <c r="D111" s="58"/>
      <c r="E111" s="194"/>
      <c r="F111" s="58"/>
      <c r="G111" s="58"/>
      <c r="H111" s="58"/>
      <c r="I111" s="58"/>
      <c r="J111" s="58"/>
      <c r="K111" s="58"/>
      <c r="L111" s="58"/>
      <c r="M111" s="58"/>
      <c r="N111" s="58"/>
      <c r="O111" s="58"/>
      <c r="P111" s="58"/>
      <c r="Q111" s="58"/>
      <c r="R111" s="58"/>
      <c r="S111" s="58"/>
      <c r="T111" s="58"/>
      <c r="U111" s="58"/>
      <c r="V111" s="58"/>
      <c r="W111" s="58"/>
      <c r="X111" s="58"/>
      <c r="Y111" s="58"/>
    </row>
    <row r="112">
      <c r="A112" s="58"/>
      <c r="B112" s="58"/>
      <c r="C112" s="58"/>
      <c r="D112" s="58"/>
      <c r="E112" s="194"/>
      <c r="F112" s="58"/>
      <c r="G112" s="58"/>
      <c r="H112" s="58"/>
      <c r="I112" s="58"/>
      <c r="J112" s="58"/>
      <c r="K112" s="58"/>
      <c r="L112" s="58"/>
      <c r="M112" s="58"/>
      <c r="N112" s="58"/>
      <c r="O112" s="58"/>
      <c r="P112" s="58"/>
      <c r="Q112" s="58"/>
      <c r="R112" s="58"/>
      <c r="S112" s="58"/>
      <c r="T112" s="58"/>
      <c r="U112" s="58"/>
      <c r="V112" s="58"/>
      <c r="W112" s="58"/>
      <c r="X112" s="58"/>
      <c r="Y112" s="58"/>
    </row>
    <row r="113">
      <c r="A113" s="58"/>
      <c r="B113" s="58"/>
      <c r="C113" s="58"/>
      <c r="D113" s="58"/>
      <c r="E113" s="194"/>
      <c r="F113" s="58"/>
      <c r="G113" s="58"/>
      <c r="H113" s="58"/>
      <c r="I113" s="58"/>
      <c r="J113" s="58"/>
      <c r="K113" s="58"/>
      <c r="L113" s="58"/>
      <c r="M113" s="58"/>
      <c r="N113" s="58"/>
      <c r="O113" s="58"/>
      <c r="P113" s="58"/>
      <c r="Q113" s="58"/>
      <c r="R113" s="58"/>
      <c r="S113" s="58"/>
      <c r="T113" s="58"/>
      <c r="U113" s="58"/>
      <c r="V113" s="58"/>
      <c r="W113" s="58"/>
      <c r="X113" s="58"/>
      <c r="Y113" s="58"/>
    </row>
    <row r="114">
      <c r="A114" s="58"/>
      <c r="B114" s="58"/>
      <c r="C114" s="58"/>
      <c r="D114" s="58"/>
      <c r="E114" s="194"/>
      <c r="F114" s="58"/>
      <c r="G114" s="58"/>
      <c r="H114" s="58"/>
      <c r="I114" s="58"/>
      <c r="J114" s="58"/>
      <c r="K114" s="58"/>
      <c r="L114" s="58"/>
      <c r="M114" s="58"/>
      <c r="N114" s="58"/>
      <c r="O114" s="58"/>
      <c r="P114" s="58"/>
      <c r="Q114" s="58"/>
      <c r="R114" s="58"/>
      <c r="S114" s="58"/>
      <c r="T114" s="58"/>
      <c r="U114" s="58"/>
      <c r="V114" s="58"/>
      <c r="W114" s="58"/>
      <c r="X114" s="58"/>
      <c r="Y114" s="58"/>
    </row>
    <row r="115">
      <c r="A115" s="58"/>
      <c r="B115" s="58"/>
      <c r="C115" s="58"/>
      <c r="D115" s="58"/>
      <c r="E115" s="194"/>
      <c r="F115" s="58"/>
      <c r="G115" s="58"/>
      <c r="H115" s="58"/>
      <c r="I115" s="58"/>
      <c r="J115" s="58"/>
      <c r="K115" s="58"/>
      <c r="L115" s="58"/>
      <c r="M115" s="58"/>
      <c r="N115" s="58"/>
      <c r="O115" s="58"/>
      <c r="P115" s="58"/>
      <c r="Q115" s="58"/>
      <c r="R115" s="58"/>
      <c r="S115" s="58"/>
      <c r="T115" s="58"/>
      <c r="U115" s="58"/>
      <c r="V115" s="58"/>
      <c r="W115" s="58"/>
      <c r="X115" s="58"/>
      <c r="Y115" s="58"/>
    </row>
    <row r="116">
      <c r="A116" s="58"/>
      <c r="B116" s="58"/>
      <c r="C116" s="58"/>
      <c r="D116" s="58"/>
      <c r="E116" s="194"/>
      <c r="F116" s="58"/>
      <c r="G116" s="58"/>
      <c r="H116" s="58"/>
      <c r="I116" s="58"/>
      <c r="J116" s="58"/>
      <c r="K116" s="58"/>
      <c r="L116" s="58"/>
      <c r="M116" s="58"/>
      <c r="N116" s="58"/>
      <c r="O116" s="58"/>
      <c r="P116" s="58"/>
      <c r="Q116" s="58"/>
      <c r="R116" s="58"/>
      <c r="S116" s="58"/>
      <c r="T116" s="58"/>
      <c r="U116" s="58"/>
      <c r="V116" s="58"/>
      <c r="W116" s="58"/>
      <c r="X116" s="58"/>
      <c r="Y116" s="58"/>
    </row>
    <row r="117">
      <c r="A117" s="58"/>
      <c r="B117" s="58"/>
      <c r="C117" s="58"/>
      <c r="D117" s="58"/>
      <c r="E117" s="194"/>
      <c r="F117" s="58"/>
      <c r="G117" s="58"/>
      <c r="H117" s="58"/>
      <c r="I117" s="58"/>
      <c r="J117" s="58"/>
      <c r="K117" s="58"/>
      <c r="L117" s="58"/>
      <c r="M117" s="58"/>
      <c r="N117" s="58"/>
      <c r="O117" s="58"/>
      <c r="P117" s="58"/>
      <c r="Q117" s="58"/>
      <c r="R117" s="58"/>
      <c r="S117" s="58"/>
      <c r="T117" s="58"/>
      <c r="U117" s="58"/>
      <c r="V117" s="58"/>
      <c r="W117" s="58"/>
      <c r="X117" s="58"/>
      <c r="Y117" s="58"/>
    </row>
    <row r="118">
      <c r="A118" s="58"/>
      <c r="B118" s="58"/>
      <c r="C118" s="58"/>
      <c r="D118" s="58"/>
      <c r="E118" s="194"/>
      <c r="F118" s="58"/>
      <c r="G118" s="58"/>
      <c r="H118" s="58"/>
      <c r="I118" s="58"/>
      <c r="J118" s="58"/>
      <c r="K118" s="58"/>
      <c r="L118" s="58"/>
      <c r="M118" s="58"/>
      <c r="N118" s="58"/>
      <c r="O118" s="58"/>
      <c r="P118" s="58"/>
      <c r="Q118" s="58"/>
      <c r="R118" s="58"/>
      <c r="S118" s="58"/>
      <c r="T118" s="58"/>
      <c r="U118" s="58"/>
      <c r="V118" s="58"/>
      <c r="W118" s="58"/>
      <c r="X118" s="58"/>
      <c r="Y118" s="58"/>
    </row>
    <row r="119">
      <c r="A119" s="58"/>
      <c r="B119" s="58"/>
      <c r="C119" s="58"/>
      <c r="D119" s="58"/>
      <c r="E119" s="194"/>
      <c r="F119" s="58"/>
      <c r="G119" s="58"/>
      <c r="H119" s="58"/>
      <c r="I119" s="58"/>
      <c r="J119" s="58"/>
      <c r="K119" s="58"/>
      <c r="L119" s="58"/>
      <c r="M119" s="58"/>
      <c r="N119" s="58"/>
      <c r="O119" s="58"/>
      <c r="P119" s="58"/>
      <c r="Q119" s="58"/>
      <c r="R119" s="58"/>
      <c r="S119" s="58"/>
      <c r="T119" s="58"/>
      <c r="U119" s="58"/>
      <c r="V119" s="58"/>
      <c r="W119" s="58"/>
      <c r="X119" s="58"/>
      <c r="Y119" s="58"/>
    </row>
    <row r="120">
      <c r="A120" s="58"/>
      <c r="B120" s="58"/>
      <c r="C120" s="58"/>
      <c r="D120" s="58"/>
      <c r="E120" s="194"/>
      <c r="F120" s="58"/>
      <c r="G120" s="58"/>
      <c r="H120" s="58"/>
      <c r="I120" s="58"/>
      <c r="J120" s="58"/>
      <c r="K120" s="58"/>
      <c r="L120" s="58"/>
      <c r="M120" s="58"/>
      <c r="N120" s="58"/>
      <c r="O120" s="58"/>
      <c r="P120" s="58"/>
      <c r="Q120" s="58"/>
      <c r="R120" s="58"/>
      <c r="S120" s="58"/>
      <c r="T120" s="58"/>
      <c r="U120" s="58"/>
      <c r="V120" s="58"/>
      <c r="W120" s="58"/>
      <c r="X120" s="58"/>
      <c r="Y120" s="58"/>
    </row>
    <row r="121">
      <c r="A121" s="58"/>
      <c r="B121" s="58"/>
      <c r="C121" s="58"/>
      <c r="D121" s="58"/>
      <c r="E121" s="194"/>
      <c r="F121" s="58"/>
      <c r="G121" s="58"/>
      <c r="H121" s="58"/>
      <c r="I121" s="58"/>
      <c r="J121" s="58"/>
      <c r="K121" s="58"/>
      <c r="L121" s="58"/>
      <c r="M121" s="58"/>
      <c r="N121" s="58"/>
      <c r="O121" s="58"/>
      <c r="P121" s="58"/>
      <c r="Q121" s="58"/>
      <c r="R121" s="58"/>
      <c r="S121" s="58"/>
      <c r="T121" s="58"/>
      <c r="U121" s="58"/>
      <c r="V121" s="58"/>
      <c r="W121" s="58"/>
      <c r="X121" s="58"/>
      <c r="Y121" s="58"/>
    </row>
    <row r="122">
      <c r="A122" s="58"/>
      <c r="B122" s="58"/>
      <c r="C122" s="58"/>
      <c r="D122" s="58"/>
      <c r="E122" s="194"/>
      <c r="F122" s="58"/>
      <c r="G122" s="58"/>
      <c r="H122" s="58"/>
      <c r="I122" s="58"/>
      <c r="J122" s="58"/>
      <c r="K122" s="58"/>
      <c r="L122" s="58"/>
      <c r="M122" s="58"/>
      <c r="N122" s="58"/>
      <c r="O122" s="58"/>
      <c r="P122" s="58"/>
      <c r="Q122" s="58"/>
      <c r="R122" s="58"/>
      <c r="S122" s="58"/>
      <c r="T122" s="58"/>
      <c r="U122" s="58"/>
      <c r="V122" s="58"/>
      <c r="W122" s="58"/>
      <c r="X122" s="58"/>
      <c r="Y122" s="58"/>
    </row>
    <row r="123">
      <c r="A123" s="58"/>
      <c r="B123" s="58"/>
      <c r="C123" s="58"/>
      <c r="D123" s="58"/>
      <c r="E123" s="194"/>
      <c r="F123" s="58"/>
      <c r="G123" s="58"/>
      <c r="H123" s="58"/>
      <c r="I123" s="58"/>
      <c r="J123" s="58"/>
      <c r="K123" s="58"/>
      <c r="L123" s="58"/>
      <c r="M123" s="58"/>
      <c r="N123" s="58"/>
      <c r="O123" s="58"/>
      <c r="P123" s="58"/>
      <c r="Q123" s="58"/>
      <c r="R123" s="58"/>
      <c r="S123" s="58"/>
      <c r="T123" s="58"/>
      <c r="U123" s="58"/>
      <c r="V123" s="58"/>
      <c r="W123" s="58"/>
      <c r="X123" s="58"/>
      <c r="Y123" s="58"/>
    </row>
    <row r="124">
      <c r="A124" s="58"/>
      <c r="B124" s="58"/>
      <c r="C124" s="58"/>
      <c r="D124" s="58"/>
      <c r="E124" s="194"/>
      <c r="F124" s="58"/>
      <c r="G124" s="58"/>
      <c r="H124" s="58"/>
      <c r="I124" s="58"/>
      <c r="J124" s="58"/>
      <c r="K124" s="58"/>
      <c r="L124" s="58"/>
      <c r="M124" s="58"/>
      <c r="N124" s="58"/>
      <c r="O124" s="58"/>
      <c r="P124" s="58"/>
      <c r="Q124" s="58"/>
      <c r="R124" s="58"/>
      <c r="S124" s="58"/>
      <c r="T124" s="58"/>
      <c r="U124" s="58"/>
      <c r="V124" s="58"/>
      <c r="W124" s="58"/>
      <c r="X124" s="58"/>
      <c r="Y124" s="58"/>
    </row>
    <row r="125">
      <c r="A125" s="58"/>
      <c r="B125" s="58"/>
      <c r="C125" s="58"/>
      <c r="D125" s="58"/>
      <c r="E125" s="194"/>
      <c r="F125" s="58"/>
      <c r="G125" s="58"/>
      <c r="H125" s="58"/>
      <c r="I125" s="58"/>
      <c r="J125" s="58"/>
      <c r="K125" s="58"/>
      <c r="L125" s="58"/>
      <c r="M125" s="58"/>
      <c r="N125" s="58"/>
      <c r="O125" s="58"/>
      <c r="P125" s="58"/>
      <c r="Q125" s="58"/>
      <c r="R125" s="58"/>
      <c r="S125" s="58"/>
      <c r="T125" s="58"/>
      <c r="U125" s="58"/>
      <c r="V125" s="58"/>
      <c r="W125" s="58"/>
      <c r="X125" s="58"/>
      <c r="Y125" s="58"/>
    </row>
    <row r="126">
      <c r="A126" s="58"/>
      <c r="B126" s="58"/>
      <c r="C126" s="58"/>
      <c r="D126" s="58"/>
      <c r="E126" s="194"/>
      <c r="F126" s="58"/>
      <c r="G126" s="58"/>
      <c r="H126" s="58"/>
      <c r="I126" s="58"/>
      <c r="J126" s="58"/>
      <c r="K126" s="58"/>
      <c r="L126" s="58"/>
      <c r="M126" s="58"/>
      <c r="N126" s="58"/>
      <c r="O126" s="58"/>
      <c r="P126" s="58"/>
      <c r="Q126" s="58"/>
      <c r="R126" s="58"/>
      <c r="S126" s="58"/>
      <c r="T126" s="58"/>
      <c r="U126" s="58"/>
      <c r="V126" s="58"/>
      <c r="W126" s="58"/>
      <c r="X126" s="58"/>
      <c r="Y126" s="58"/>
    </row>
    <row r="127">
      <c r="A127" s="58"/>
      <c r="B127" s="58"/>
      <c r="C127" s="58"/>
      <c r="D127" s="58"/>
      <c r="E127" s="194"/>
      <c r="F127" s="58"/>
      <c r="G127" s="58"/>
      <c r="H127" s="58"/>
      <c r="I127" s="58"/>
      <c r="J127" s="58"/>
      <c r="K127" s="58"/>
      <c r="L127" s="58"/>
      <c r="M127" s="58"/>
      <c r="N127" s="58"/>
      <c r="O127" s="58"/>
      <c r="P127" s="58"/>
      <c r="Q127" s="58"/>
      <c r="R127" s="58"/>
      <c r="S127" s="58"/>
      <c r="T127" s="58"/>
      <c r="U127" s="58"/>
      <c r="V127" s="58"/>
      <c r="W127" s="58"/>
      <c r="X127" s="58"/>
      <c r="Y127" s="58"/>
    </row>
    <row r="128">
      <c r="A128" s="58"/>
      <c r="B128" s="58"/>
      <c r="C128" s="58"/>
      <c r="D128" s="58"/>
      <c r="E128" s="194"/>
      <c r="F128" s="58"/>
      <c r="G128" s="58"/>
      <c r="H128" s="58"/>
      <c r="I128" s="58"/>
      <c r="J128" s="58"/>
      <c r="K128" s="58"/>
      <c r="L128" s="58"/>
      <c r="M128" s="58"/>
      <c r="N128" s="58"/>
      <c r="O128" s="58"/>
      <c r="P128" s="58"/>
      <c r="Q128" s="58"/>
      <c r="R128" s="58"/>
      <c r="S128" s="58"/>
      <c r="T128" s="58"/>
      <c r="U128" s="58"/>
      <c r="V128" s="58"/>
      <c r="W128" s="58"/>
      <c r="X128" s="58"/>
      <c r="Y128" s="58"/>
    </row>
    <row r="129">
      <c r="A129" s="58"/>
      <c r="B129" s="58"/>
      <c r="C129" s="58"/>
      <c r="D129" s="58"/>
      <c r="E129" s="194"/>
      <c r="F129" s="58"/>
      <c r="G129" s="58"/>
      <c r="H129" s="58"/>
      <c r="I129" s="58"/>
      <c r="J129" s="58"/>
      <c r="K129" s="58"/>
      <c r="L129" s="58"/>
      <c r="M129" s="58"/>
      <c r="N129" s="58"/>
      <c r="O129" s="58"/>
      <c r="P129" s="58"/>
      <c r="Q129" s="58"/>
      <c r="R129" s="58"/>
      <c r="S129" s="58"/>
      <c r="T129" s="58"/>
      <c r="U129" s="58"/>
      <c r="V129" s="58"/>
      <c r="W129" s="58"/>
      <c r="X129" s="58"/>
      <c r="Y129" s="58"/>
    </row>
    <row r="130">
      <c r="A130" s="58"/>
      <c r="B130" s="58"/>
      <c r="C130" s="58"/>
      <c r="D130" s="58"/>
      <c r="E130" s="194"/>
      <c r="F130" s="58"/>
      <c r="G130" s="58"/>
      <c r="H130" s="58"/>
      <c r="I130" s="58"/>
      <c r="J130" s="58"/>
      <c r="K130" s="58"/>
      <c r="L130" s="58"/>
      <c r="M130" s="58"/>
      <c r="N130" s="58"/>
      <c r="O130" s="58"/>
      <c r="P130" s="58"/>
      <c r="Q130" s="58"/>
      <c r="R130" s="58"/>
      <c r="S130" s="58"/>
      <c r="T130" s="58"/>
      <c r="U130" s="58"/>
      <c r="V130" s="58"/>
      <c r="W130" s="58"/>
      <c r="X130" s="58"/>
      <c r="Y130" s="58"/>
    </row>
    <row r="131">
      <c r="A131" s="58"/>
      <c r="B131" s="58"/>
      <c r="C131" s="58"/>
      <c r="D131" s="58"/>
      <c r="E131" s="194"/>
      <c r="F131" s="58"/>
      <c r="G131" s="58"/>
      <c r="H131" s="58"/>
      <c r="I131" s="58"/>
      <c r="J131" s="58"/>
      <c r="K131" s="58"/>
      <c r="L131" s="58"/>
      <c r="M131" s="58"/>
      <c r="N131" s="58"/>
      <c r="O131" s="58"/>
      <c r="P131" s="58"/>
      <c r="Q131" s="58"/>
      <c r="R131" s="58"/>
      <c r="S131" s="58"/>
      <c r="T131" s="58"/>
      <c r="U131" s="58"/>
      <c r="V131" s="58"/>
      <c r="W131" s="58"/>
      <c r="X131" s="58"/>
      <c r="Y131" s="58"/>
    </row>
    <row r="132">
      <c r="A132" s="58"/>
      <c r="B132" s="58"/>
      <c r="C132" s="58"/>
      <c r="D132" s="58"/>
      <c r="E132" s="194"/>
      <c r="F132" s="58"/>
      <c r="G132" s="58"/>
      <c r="H132" s="58"/>
      <c r="I132" s="58"/>
      <c r="J132" s="58"/>
      <c r="K132" s="58"/>
      <c r="L132" s="58"/>
      <c r="M132" s="58"/>
      <c r="N132" s="58"/>
      <c r="O132" s="58"/>
      <c r="P132" s="58"/>
      <c r="Q132" s="58"/>
      <c r="R132" s="58"/>
      <c r="S132" s="58"/>
      <c r="T132" s="58"/>
      <c r="U132" s="58"/>
      <c r="V132" s="58"/>
      <c r="W132" s="58"/>
      <c r="X132" s="58"/>
      <c r="Y132" s="58"/>
    </row>
    <row r="133">
      <c r="A133" s="58"/>
      <c r="B133" s="58"/>
      <c r="C133" s="58"/>
      <c r="D133" s="58"/>
      <c r="E133" s="194"/>
      <c r="F133" s="58"/>
      <c r="G133" s="58"/>
      <c r="H133" s="58"/>
      <c r="I133" s="58"/>
      <c r="J133" s="58"/>
      <c r="K133" s="58"/>
      <c r="L133" s="58"/>
      <c r="M133" s="58"/>
      <c r="N133" s="58"/>
      <c r="O133" s="58"/>
      <c r="P133" s="58"/>
      <c r="Q133" s="58"/>
      <c r="R133" s="58"/>
      <c r="S133" s="58"/>
      <c r="T133" s="58"/>
      <c r="U133" s="58"/>
      <c r="V133" s="58"/>
      <c r="W133" s="58"/>
      <c r="X133" s="58"/>
      <c r="Y133" s="58"/>
    </row>
    <row r="134">
      <c r="A134" s="58"/>
      <c r="B134" s="58"/>
      <c r="C134" s="58"/>
      <c r="D134" s="58"/>
      <c r="E134" s="194"/>
      <c r="F134" s="58"/>
      <c r="G134" s="58"/>
      <c r="H134" s="58"/>
      <c r="I134" s="58"/>
      <c r="J134" s="58"/>
      <c r="K134" s="58"/>
      <c r="L134" s="58"/>
      <c r="M134" s="58"/>
      <c r="N134" s="58"/>
      <c r="O134" s="58"/>
      <c r="P134" s="58"/>
      <c r="Q134" s="58"/>
      <c r="R134" s="58"/>
      <c r="S134" s="58"/>
      <c r="T134" s="58"/>
      <c r="U134" s="58"/>
      <c r="V134" s="58"/>
      <c r="W134" s="58"/>
      <c r="X134" s="58"/>
      <c r="Y134" s="58"/>
    </row>
    <row r="135">
      <c r="A135" s="58"/>
      <c r="B135" s="58"/>
      <c r="C135" s="58"/>
      <c r="D135" s="58"/>
      <c r="E135" s="194"/>
      <c r="F135" s="58"/>
      <c r="G135" s="58"/>
      <c r="H135" s="58"/>
      <c r="I135" s="58"/>
      <c r="J135" s="58"/>
      <c r="K135" s="58"/>
      <c r="L135" s="58"/>
      <c r="M135" s="58"/>
      <c r="N135" s="58"/>
      <c r="O135" s="58"/>
      <c r="P135" s="58"/>
      <c r="Q135" s="58"/>
      <c r="R135" s="58"/>
      <c r="S135" s="58"/>
      <c r="T135" s="58"/>
      <c r="U135" s="58"/>
      <c r="V135" s="58"/>
      <c r="W135" s="58"/>
      <c r="X135" s="58"/>
      <c r="Y135" s="58"/>
    </row>
    <row r="136">
      <c r="A136" s="58"/>
      <c r="B136" s="58"/>
      <c r="C136" s="58"/>
      <c r="D136" s="58"/>
      <c r="E136" s="194"/>
      <c r="F136" s="58"/>
      <c r="G136" s="58"/>
      <c r="H136" s="58"/>
      <c r="I136" s="58"/>
      <c r="J136" s="58"/>
      <c r="K136" s="58"/>
      <c r="L136" s="58"/>
      <c r="M136" s="58"/>
      <c r="N136" s="58"/>
      <c r="O136" s="58"/>
      <c r="P136" s="58"/>
      <c r="Q136" s="58"/>
      <c r="R136" s="58"/>
      <c r="S136" s="58"/>
      <c r="T136" s="58"/>
      <c r="U136" s="58"/>
      <c r="V136" s="58"/>
      <c r="W136" s="58"/>
      <c r="X136" s="58"/>
      <c r="Y136" s="58"/>
    </row>
    <row r="137">
      <c r="A137" s="58"/>
      <c r="B137" s="58"/>
      <c r="C137" s="58"/>
      <c r="D137" s="58"/>
      <c r="E137" s="194"/>
      <c r="F137" s="58"/>
      <c r="G137" s="58"/>
      <c r="H137" s="58"/>
      <c r="I137" s="58"/>
      <c r="J137" s="58"/>
      <c r="K137" s="58"/>
      <c r="L137" s="58"/>
      <c r="M137" s="58"/>
      <c r="N137" s="58"/>
      <c r="O137" s="58"/>
      <c r="P137" s="58"/>
      <c r="Q137" s="58"/>
      <c r="R137" s="58"/>
      <c r="S137" s="58"/>
      <c r="T137" s="58"/>
      <c r="U137" s="58"/>
      <c r="V137" s="58"/>
      <c r="W137" s="58"/>
      <c r="X137" s="58"/>
      <c r="Y137" s="58"/>
    </row>
    <row r="138">
      <c r="A138" s="58"/>
      <c r="B138" s="58"/>
      <c r="C138" s="58"/>
      <c r="D138" s="58"/>
      <c r="E138" s="194"/>
      <c r="F138" s="58"/>
      <c r="G138" s="58"/>
      <c r="H138" s="58"/>
      <c r="I138" s="58"/>
      <c r="J138" s="58"/>
      <c r="K138" s="58"/>
      <c r="L138" s="58"/>
      <c r="M138" s="58"/>
      <c r="N138" s="58"/>
      <c r="O138" s="58"/>
      <c r="P138" s="58"/>
      <c r="Q138" s="58"/>
      <c r="R138" s="58"/>
      <c r="S138" s="58"/>
      <c r="T138" s="58"/>
      <c r="U138" s="58"/>
      <c r="V138" s="58"/>
      <c r="W138" s="58"/>
      <c r="X138" s="58"/>
      <c r="Y138" s="58"/>
    </row>
    <row r="139">
      <c r="A139" s="58"/>
      <c r="B139" s="58"/>
      <c r="C139" s="58"/>
      <c r="D139" s="58"/>
      <c r="E139" s="194"/>
      <c r="F139" s="58"/>
      <c r="G139" s="58"/>
      <c r="H139" s="58"/>
      <c r="I139" s="58"/>
      <c r="J139" s="58"/>
      <c r="K139" s="58"/>
      <c r="L139" s="58"/>
      <c r="M139" s="58"/>
      <c r="N139" s="58"/>
      <c r="O139" s="58"/>
      <c r="P139" s="58"/>
      <c r="Q139" s="58"/>
      <c r="R139" s="58"/>
      <c r="S139" s="58"/>
      <c r="T139" s="58"/>
      <c r="U139" s="58"/>
      <c r="V139" s="58"/>
      <c r="W139" s="58"/>
      <c r="X139" s="58"/>
      <c r="Y139" s="58"/>
    </row>
    <row r="140">
      <c r="A140" s="58"/>
      <c r="B140" s="58"/>
      <c r="C140" s="58"/>
      <c r="D140" s="58"/>
      <c r="E140" s="194"/>
      <c r="F140" s="58"/>
      <c r="G140" s="58"/>
      <c r="H140" s="58"/>
      <c r="I140" s="58"/>
      <c r="J140" s="58"/>
      <c r="K140" s="58"/>
      <c r="L140" s="58"/>
      <c r="M140" s="58"/>
      <c r="N140" s="58"/>
      <c r="O140" s="58"/>
      <c r="P140" s="58"/>
      <c r="Q140" s="58"/>
      <c r="R140" s="58"/>
      <c r="S140" s="58"/>
      <c r="T140" s="58"/>
      <c r="U140" s="58"/>
      <c r="V140" s="58"/>
      <c r="W140" s="58"/>
      <c r="X140" s="58"/>
      <c r="Y140" s="58"/>
    </row>
    <row r="141">
      <c r="A141" s="58"/>
      <c r="B141" s="58"/>
      <c r="C141" s="58"/>
      <c r="D141" s="58"/>
      <c r="E141" s="194"/>
      <c r="F141" s="58"/>
      <c r="G141" s="58"/>
      <c r="H141" s="58"/>
      <c r="I141" s="58"/>
      <c r="J141" s="58"/>
      <c r="K141" s="58"/>
      <c r="L141" s="58"/>
      <c r="M141" s="58"/>
      <c r="N141" s="58"/>
      <c r="O141" s="58"/>
      <c r="P141" s="58"/>
      <c r="Q141" s="58"/>
      <c r="R141" s="58"/>
      <c r="S141" s="58"/>
      <c r="T141" s="58"/>
      <c r="U141" s="58"/>
      <c r="V141" s="58"/>
      <c r="W141" s="58"/>
      <c r="X141" s="58"/>
      <c r="Y141" s="58"/>
    </row>
    <row r="142">
      <c r="A142" s="58"/>
      <c r="B142" s="58"/>
      <c r="C142" s="58"/>
      <c r="D142" s="58"/>
      <c r="E142" s="194"/>
      <c r="F142" s="58"/>
      <c r="G142" s="58"/>
      <c r="H142" s="58"/>
      <c r="I142" s="58"/>
      <c r="J142" s="58"/>
      <c r="K142" s="58"/>
      <c r="L142" s="58"/>
      <c r="M142" s="58"/>
      <c r="N142" s="58"/>
      <c r="O142" s="58"/>
      <c r="P142" s="58"/>
      <c r="Q142" s="58"/>
      <c r="R142" s="58"/>
      <c r="S142" s="58"/>
      <c r="T142" s="58"/>
      <c r="U142" s="58"/>
      <c r="V142" s="58"/>
      <c r="W142" s="58"/>
      <c r="X142" s="58"/>
      <c r="Y142" s="58"/>
    </row>
    <row r="143">
      <c r="A143" s="58"/>
      <c r="B143" s="58"/>
      <c r="C143" s="58"/>
      <c r="D143" s="58"/>
      <c r="E143" s="194"/>
      <c r="F143" s="58"/>
      <c r="G143" s="58"/>
      <c r="H143" s="58"/>
      <c r="I143" s="58"/>
      <c r="J143" s="58"/>
      <c r="K143" s="58"/>
      <c r="L143" s="58"/>
      <c r="M143" s="58"/>
      <c r="N143" s="58"/>
      <c r="O143" s="58"/>
      <c r="P143" s="58"/>
      <c r="Q143" s="58"/>
      <c r="R143" s="58"/>
      <c r="S143" s="58"/>
      <c r="T143" s="58"/>
      <c r="U143" s="58"/>
      <c r="V143" s="58"/>
      <c r="W143" s="58"/>
      <c r="X143" s="58"/>
      <c r="Y143" s="58"/>
    </row>
    <row r="144">
      <c r="A144" s="58"/>
      <c r="B144" s="58"/>
      <c r="C144" s="58"/>
      <c r="D144" s="58"/>
      <c r="E144" s="194"/>
      <c r="F144" s="58"/>
      <c r="G144" s="58"/>
      <c r="H144" s="58"/>
      <c r="I144" s="58"/>
      <c r="J144" s="58"/>
      <c r="K144" s="58"/>
      <c r="L144" s="58"/>
      <c r="M144" s="58"/>
      <c r="N144" s="58"/>
      <c r="O144" s="58"/>
      <c r="P144" s="58"/>
      <c r="Q144" s="58"/>
      <c r="R144" s="58"/>
      <c r="S144" s="58"/>
      <c r="T144" s="58"/>
      <c r="U144" s="58"/>
      <c r="V144" s="58"/>
      <c r="W144" s="58"/>
      <c r="X144" s="58"/>
      <c r="Y144" s="58"/>
    </row>
    <row r="145">
      <c r="A145" s="58"/>
      <c r="B145" s="58"/>
      <c r="C145" s="58"/>
      <c r="D145" s="58"/>
      <c r="E145" s="194"/>
      <c r="F145" s="58"/>
      <c r="G145" s="58"/>
      <c r="H145" s="58"/>
      <c r="I145" s="58"/>
      <c r="J145" s="58"/>
      <c r="K145" s="58"/>
      <c r="L145" s="58"/>
      <c r="M145" s="58"/>
      <c r="N145" s="58"/>
      <c r="O145" s="58"/>
      <c r="P145" s="58"/>
      <c r="Q145" s="58"/>
      <c r="R145" s="58"/>
      <c r="S145" s="58"/>
      <c r="T145" s="58"/>
      <c r="U145" s="58"/>
      <c r="V145" s="58"/>
      <c r="W145" s="58"/>
      <c r="X145" s="58"/>
      <c r="Y145" s="58"/>
    </row>
    <row r="146">
      <c r="A146" s="58"/>
      <c r="B146" s="58"/>
      <c r="C146" s="58"/>
      <c r="D146" s="58"/>
      <c r="E146" s="194"/>
      <c r="F146" s="58"/>
      <c r="G146" s="58"/>
      <c r="H146" s="58"/>
      <c r="I146" s="58"/>
      <c r="J146" s="58"/>
      <c r="K146" s="58"/>
      <c r="L146" s="58"/>
      <c r="M146" s="58"/>
      <c r="N146" s="58"/>
      <c r="O146" s="58"/>
      <c r="P146" s="58"/>
      <c r="Q146" s="58"/>
      <c r="R146" s="58"/>
      <c r="S146" s="58"/>
      <c r="T146" s="58"/>
      <c r="U146" s="58"/>
      <c r="V146" s="58"/>
      <c r="W146" s="58"/>
      <c r="X146" s="58"/>
      <c r="Y146" s="58"/>
    </row>
    <row r="147">
      <c r="A147" s="58"/>
      <c r="B147" s="58"/>
      <c r="C147" s="58"/>
      <c r="D147" s="58"/>
      <c r="E147" s="194"/>
      <c r="F147" s="58"/>
      <c r="G147" s="58"/>
      <c r="H147" s="58"/>
      <c r="I147" s="58"/>
      <c r="J147" s="58"/>
      <c r="K147" s="58"/>
      <c r="L147" s="58"/>
      <c r="M147" s="58"/>
      <c r="N147" s="58"/>
      <c r="O147" s="58"/>
      <c r="P147" s="58"/>
      <c r="Q147" s="58"/>
      <c r="R147" s="58"/>
      <c r="S147" s="58"/>
      <c r="T147" s="58"/>
      <c r="U147" s="58"/>
      <c r="V147" s="58"/>
      <c r="W147" s="58"/>
      <c r="X147" s="58"/>
      <c r="Y147" s="58"/>
    </row>
    <row r="148">
      <c r="A148" s="58"/>
      <c r="B148" s="58"/>
      <c r="C148" s="58"/>
      <c r="D148" s="58"/>
      <c r="E148" s="194"/>
      <c r="F148" s="58"/>
      <c r="G148" s="58"/>
      <c r="H148" s="58"/>
      <c r="I148" s="58"/>
      <c r="J148" s="58"/>
      <c r="K148" s="58"/>
      <c r="L148" s="58"/>
      <c r="M148" s="58"/>
      <c r="N148" s="58"/>
      <c r="O148" s="58"/>
      <c r="P148" s="58"/>
      <c r="Q148" s="58"/>
      <c r="R148" s="58"/>
      <c r="S148" s="58"/>
      <c r="T148" s="58"/>
      <c r="U148" s="58"/>
      <c r="V148" s="58"/>
      <c r="W148" s="58"/>
      <c r="X148" s="58"/>
      <c r="Y148" s="58"/>
    </row>
    <row r="149">
      <c r="A149" s="58"/>
      <c r="B149" s="58"/>
      <c r="C149" s="58"/>
      <c r="D149" s="58"/>
      <c r="E149" s="194"/>
      <c r="F149" s="58"/>
      <c r="G149" s="58"/>
      <c r="H149" s="58"/>
      <c r="I149" s="58"/>
      <c r="J149" s="58"/>
      <c r="K149" s="58"/>
      <c r="L149" s="58"/>
      <c r="M149" s="58"/>
      <c r="N149" s="58"/>
      <c r="O149" s="58"/>
      <c r="P149" s="58"/>
      <c r="Q149" s="58"/>
      <c r="R149" s="58"/>
      <c r="S149" s="58"/>
      <c r="T149" s="58"/>
      <c r="U149" s="58"/>
      <c r="V149" s="58"/>
      <c r="W149" s="58"/>
      <c r="X149" s="58"/>
      <c r="Y149" s="58"/>
    </row>
    <row r="150">
      <c r="A150" s="58"/>
      <c r="B150" s="58"/>
      <c r="C150" s="58"/>
      <c r="D150" s="58"/>
      <c r="E150" s="194"/>
      <c r="F150" s="58"/>
      <c r="G150" s="58"/>
      <c r="H150" s="58"/>
      <c r="I150" s="58"/>
      <c r="J150" s="58"/>
      <c r="K150" s="58"/>
      <c r="L150" s="58"/>
      <c r="M150" s="58"/>
      <c r="N150" s="58"/>
      <c r="O150" s="58"/>
      <c r="P150" s="58"/>
      <c r="Q150" s="58"/>
      <c r="R150" s="58"/>
      <c r="S150" s="58"/>
      <c r="T150" s="58"/>
      <c r="U150" s="58"/>
      <c r="V150" s="58"/>
      <c r="W150" s="58"/>
      <c r="X150" s="58"/>
      <c r="Y150" s="58"/>
    </row>
    <row r="151">
      <c r="A151" s="58"/>
      <c r="B151" s="58"/>
      <c r="C151" s="58"/>
      <c r="D151" s="58"/>
      <c r="E151" s="194"/>
      <c r="F151" s="58"/>
      <c r="G151" s="58"/>
      <c r="H151" s="58"/>
      <c r="I151" s="58"/>
      <c r="J151" s="58"/>
      <c r="K151" s="58"/>
      <c r="L151" s="58"/>
      <c r="M151" s="58"/>
      <c r="N151" s="58"/>
      <c r="O151" s="58"/>
      <c r="P151" s="58"/>
      <c r="Q151" s="58"/>
      <c r="R151" s="58"/>
      <c r="S151" s="58"/>
      <c r="T151" s="58"/>
      <c r="U151" s="58"/>
      <c r="V151" s="58"/>
      <c r="W151" s="58"/>
      <c r="X151" s="58"/>
      <c r="Y151" s="58"/>
    </row>
    <row r="152">
      <c r="A152" s="58"/>
      <c r="B152" s="58"/>
      <c r="C152" s="58"/>
      <c r="D152" s="58"/>
      <c r="E152" s="194"/>
      <c r="F152" s="58"/>
      <c r="G152" s="58"/>
      <c r="H152" s="58"/>
      <c r="I152" s="58"/>
      <c r="J152" s="58"/>
      <c r="K152" s="58"/>
      <c r="L152" s="58"/>
      <c r="M152" s="58"/>
      <c r="N152" s="58"/>
      <c r="O152" s="58"/>
      <c r="P152" s="58"/>
      <c r="Q152" s="58"/>
      <c r="R152" s="58"/>
      <c r="S152" s="58"/>
      <c r="T152" s="58"/>
      <c r="U152" s="58"/>
      <c r="V152" s="58"/>
      <c r="W152" s="58"/>
      <c r="X152" s="58"/>
      <c r="Y152" s="58"/>
    </row>
    <row r="153">
      <c r="A153" s="58"/>
      <c r="B153" s="58"/>
      <c r="C153" s="58"/>
      <c r="D153" s="58"/>
      <c r="E153" s="194"/>
      <c r="F153" s="58"/>
      <c r="G153" s="58"/>
      <c r="H153" s="58"/>
      <c r="I153" s="58"/>
      <c r="J153" s="58"/>
      <c r="K153" s="58"/>
      <c r="L153" s="58"/>
      <c r="M153" s="58"/>
      <c r="N153" s="58"/>
      <c r="O153" s="58"/>
      <c r="P153" s="58"/>
      <c r="Q153" s="58"/>
      <c r="R153" s="58"/>
      <c r="S153" s="58"/>
      <c r="T153" s="58"/>
      <c r="U153" s="58"/>
      <c r="V153" s="58"/>
      <c r="W153" s="58"/>
      <c r="X153" s="58"/>
      <c r="Y153" s="58"/>
    </row>
    <row r="154">
      <c r="A154" s="58"/>
      <c r="B154" s="58"/>
      <c r="C154" s="58"/>
      <c r="D154" s="58"/>
      <c r="E154" s="194"/>
      <c r="F154" s="58"/>
      <c r="G154" s="58"/>
      <c r="H154" s="58"/>
      <c r="I154" s="58"/>
      <c r="J154" s="58"/>
      <c r="K154" s="58"/>
      <c r="L154" s="58"/>
      <c r="M154" s="58"/>
      <c r="N154" s="58"/>
      <c r="O154" s="58"/>
      <c r="P154" s="58"/>
      <c r="Q154" s="58"/>
      <c r="R154" s="58"/>
      <c r="S154" s="58"/>
      <c r="T154" s="58"/>
      <c r="U154" s="58"/>
      <c r="V154" s="58"/>
      <c r="W154" s="58"/>
      <c r="X154" s="58"/>
      <c r="Y154" s="58"/>
    </row>
    <row r="155">
      <c r="A155" s="58"/>
      <c r="B155" s="58"/>
      <c r="C155" s="58"/>
      <c r="D155" s="58"/>
      <c r="E155" s="194"/>
      <c r="F155" s="58"/>
      <c r="G155" s="58"/>
      <c r="H155" s="58"/>
      <c r="I155" s="58"/>
      <c r="J155" s="58"/>
      <c r="K155" s="58"/>
      <c r="L155" s="58"/>
      <c r="M155" s="58"/>
      <c r="N155" s="58"/>
      <c r="O155" s="58"/>
      <c r="P155" s="58"/>
      <c r="Q155" s="58"/>
      <c r="R155" s="58"/>
      <c r="S155" s="58"/>
      <c r="T155" s="58"/>
      <c r="U155" s="58"/>
      <c r="V155" s="58"/>
      <c r="W155" s="58"/>
      <c r="X155" s="58"/>
      <c r="Y155" s="58"/>
    </row>
    <row r="156">
      <c r="A156" s="58"/>
      <c r="B156" s="58"/>
      <c r="C156" s="58"/>
      <c r="D156" s="58"/>
      <c r="E156" s="194"/>
      <c r="F156" s="58"/>
      <c r="G156" s="58"/>
      <c r="H156" s="58"/>
      <c r="I156" s="58"/>
      <c r="J156" s="58"/>
      <c r="K156" s="58"/>
      <c r="L156" s="58"/>
      <c r="M156" s="58"/>
      <c r="N156" s="58"/>
      <c r="O156" s="58"/>
      <c r="P156" s="58"/>
      <c r="Q156" s="58"/>
      <c r="R156" s="58"/>
      <c r="S156" s="58"/>
      <c r="T156" s="58"/>
      <c r="U156" s="58"/>
      <c r="V156" s="58"/>
      <c r="W156" s="58"/>
      <c r="X156" s="58"/>
      <c r="Y156" s="58"/>
    </row>
    <row r="157">
      <c r="A157" s="58"/>
      <c r="B157" s="58"/>
      <c r="C157" s="58"/>
      <c r="D157" s="58"/>
      <c r="E157" s="194"/>
      <c r="F157" s="58"/>
      <c r="G157" s="58"/>
      <c r="H157" s="58"/>
      <c r="I157" s="58"/>
      <c r="J157" s="58"/>
      <c r="K157" s="58"/>
      <c r="L157" s="58"/>
      <c r="M157" s="58"/>
      <c r="N157" s="58"/>
      <c r="O157" s="58"/>
      <c r="P157" s="58"/>
      <c r="Q157" s="58"/>
      <c r="R157" s="58"/>
      <c r="S157" s="58"/>
      <c r="T157" s="58"/>
      <c r="U157" s="58"/>
      <c r="V157" s="58"/>
      <c r="W157" s="58"/>
      <c r="X157" s="58"/>
      <c r="Y157" s="58"/>
    </row>
    <row r="158">
      <c r="A158" s="58"/>
      <c r="B158" s="58"/>
      <c r="C158" s="58"/>
      <c r="D158" s="58"/>
      <c r="E158" s="194"/>
      <c r="F158" s="58"/>
      <c r="G158" s="58"/>
      <c r="H158" s="58"/>
      <c r="I158" s="58"/>
      <c r="J158" s="58"/>
      <c r="K158" s="58"/>
      <c r="L158" s="58"/>
      <c r="M158" s="58"/>
      <c r="N158" s="58"/>
      <c r="O158" s="58"/>
      <c r="P158" s="58"/>
      <c r="Q158" s="58"/>
      <c r="R158" s="58"/>
      <c r="S158" s="58"/>
      <c r="T158" s="58"/>
      <c r="U158" s="58"/>
      <c r="V158" s="58"/>
      <c r="W158" s="58"/>
      <c r="X158" s="58"/>
      <c r="Y158" s="58"/>
    </row>
    <row r="159">
      <c r="A159" s="58"/>
      <c r="B159" s="58"/>
      <c r="C159" s="58"/>
      <c r="D159" s="58"/>
      <c r="E159" s="194"/>
      <c r="F159" s="58"/>
      <c r="G159" s="58"/>
      <c r="H159" s="58"/>
      <c r="I159" s="58"/>
      <c r="J159" s="58"/>
      <c r="K159" s="58"/>
      <c r="L159" s="58"/>
      <c r="M159" s="58"/>
      <c r="N159" s="58"/>
      <c r="O159" s="58"/>
      <c r="P159" s="58"/>
      <c r="Q159" s="58"/>
      <c r="R159" s="58"/>
      <c r="S159" s="58"/>
      <c r="T159" s="58"/>
      <c r="U159" s="58"/>
      <c r="V159" s="58"/>
      <c r="W159" s="58"/>
      <c r="X159" s="58"/>
      <c r="Y159" s="58"/>
    </row>
    <row r="160">
      <c r="A160" s="58"/>
      <c r="B160" s="58"/>
      <c r="C160" s="58"/>
      <c r="D160" s="58"/>
      <c r="E160" s="194"/>
      <c r="F160" s="58"/>
      <c r="G160" s="58"/>
      <c r="H160" s="58"/>
      <c r="I160" s="58"/>
      <c r="J160" s="58"/>
      <c r="K160" s="58"/>
      <c r="L160" s="58"/>
      <c r="M160" s="58"/>
      <c r="N160" s="58"/>
      <c r="O160" s="58"/>
      <c r="P160" s="58"/>
      <c r="Q160" s="58"/>
      <c r="R160" s="58"/>
      <c r="S160" s="58"/>
      <c r="T160" s="58"/>
      <c r="U160" s="58"/>
      <c r="V160" s="58"/>
      <c r="W160" s="58"/>
      <c r="X160" s="58"/>
      <c r="Y160" s="58"/>
    </row>
    <row r="161">
      <c r="A161" s="58"/>
      <c r="B161" s="58"/>
      <c r="C161" s="58"/>
      <c r="D161" s="58"/>
      <c r="E161" s="194"/>
      <c r="F161" s="58"/>
      <c r="G161" s="58"/>
      <c r="H161" s="58"/>
      <c r="I161" s="58"/>
      <c r="J161" s="58"/>
      <c r="K161" s="58"/>
      <c r="L161" s="58"/>
      <c r="M161" s="58"/>
      <c r="N161" s="58"/>
      <c r="O161" s="58"/>
      <c r="P161" s="58"/>
      <c r="Q161" s="58"/>
      <c r="R161" s="58"/>
      <c r="S161" s="58"/>
      <c r="T161" s="58"/>
      <c r="U161" s="58"/>
      <c r="V161" s="58"/>
      <c r="W161" s="58"/>
      <c r="X161" s="58"/>
      <c r="Y161" s="58"/>
    </row>
    <row r="162">
      <c r="A162" s="58"/>
      <c r="B162" s="58"/>
      <c r="C162" s="58"/>
      <c r="D162" s="58"/>
      <c r="E162" s="194"/>
      <c r="F162" s="58"/>
      <c r="G162" s="58"/>
      <c r="H162" s="58"/>
      <c r="I162" s="58"/>
      <c r="J162" s="58"/>
      <c r="K162" s="58"/>
      <c r="L162" s="58"/>
      <c r="M162" s="58"/>
      <c r="N162" s="58"/>
      <c r="O162" s="58"/>
      <c r="P162" s="58"/>
      <c r="Q162" s="58"/>
      <c r="R162" s="58"/>
      <c r="S162" s="58"/>
      <c r="T162" s="58"/>
      <c r="U162" s="58"/>
      <c r="V162" s="58"/>
      <c r="W162" s="58"/>
      <c r="X162" s="58"/>
      <c r="Y162" s="58"/>
    </row>
    <row r="163">
      <c r="A163" s="58"/>
      <c r="B163" s="58"/>
      <c r="C163" s="58"/>
      <c r="D163" s="58"/>
      <c r="E163" s="194"/>
      <c r="F163" s="58"/>
      <c r="G163" s="58"/>
      <c r="H163" s="58"/>
      <c r="I163" s="58"/>
      <c r="J163" s="58"/>
      <c r="K163" s="58"/>
      <c r="L163" s="58"/>
      <c r="M163" s="58"/>
      <c r="N163" s="58"/>
      <c r="O163" s="58"/>
      <c r="P163" s="58"/>
      <c r="Q163" s="58"/>
      <c r="R163" s="58"/>
      <c r="S163" s="58"/>
      <c r="T163" s="58"/>
      <c r="U163" s="58"/>
      <c r="V163" s="58"/>
      <c r="W163" s="58"/>
      <c r="X163" s="58"/>
      <c r="Y163" s="58"/>
    </row>
    <row r="164">
      <c r="A164" s="58"/>
      <c r="B164" s="58"/>
      <c r="C164" s="58"/>
      <c r="D164" s="58"/>
      <c r="E164" s="194"/>
      <c r="F164" s="58"/>
      <c r="G164" s="58"/>
      <c r="H164" s="58"/>
      <c r="I164" s="58"/>
      <c r="J164" s="58"/>
      <c r="K164" s="58"/>
      <c r="L164" s="58"/>
      <c r="M164" s="58"/>
      <c r="N164" s="58"/>
      <c r="O164" s="58"/>
      <c r="P164" s="58"/>
      <c r="Q164" s="58"/>
      <c r="R164" s="58"/>
      <c r="S164" s="58"/>
      <c r="T164" s="58"/>
      <c r="U164" s="58"/>
      <c r="V164" s="58"/>
      <c r="W164" s="58"/>
      <c r="X164" s="58"/>
      <c r="Y164" s="58"/>
    </row>
    <row r="165">
      <c r="A165" s="58"/>
      <c r="B165" s="58"/>
      <c r="C165" s="58"/>
      <c r="D165" s="58"/>
      <c r="E165" s="194"/>
      <c r="F165" s="58"/>
      <c r="G165" s="58"/>
      <c r="H165" s="58"/>
      <c r="I165" s="58"/>
      <c r="J165" s="58"/>
      <c r="K165" s="58"/>
      <c r="L165" s="58"/>
      <c r="M165" s="58"/>
      <c r="N165" s="58"/>
      <c r="O165" s="58"/>
      <c r="P165" s="58"/>
      <c r="Q165" s="58"/>
      <c r="R165" s="58"/>
      <c r="S165" s="58"/>
      <c r="T165" s="58"/>
      <c r="U165" s="58"/>
      <c r="V165" s="58"/>
      <c r="W165" s="58"/>
      <c r="X165" s="58"/>
      <c r="Y165" s="58"/>
    </row>
    <row r="166">
      <c r="A166" s="58"/>
      <c r="B166" s="58"/>
      <c r="C166" s="58"/>
      <c r="D166" s="58"/>
      <c r="E166" s="194"/>
      <c r="F166" s="58"/>
      <c r="G166" s="58"/>
      <c r="H166" s="58"/>
      <c r="I166" s="58"/>
      <c r="J166" s="58"/>
      <c r="K166" s="58"/>
      <c r="L166" s="58"/>
      <c r="M166" s="58"/>
      <c r="N166" s="58"/>
      <c r="O166" s="58"/>
      <c r="P166" s="58"/>
      <c r="Q166" s="58"/>
      <c r="R166" s="58"/>
      <c r="S166" s="58"/>
      <c r="T166" s="58"/>
      <c r="U166" s="58"/>
      <c r="V166" s="58"/>
      <c r="W166" s="58"/>
      <c r="X166" s="58"/>
      <c r="Y166" s="58"/>
    </row>
    <row r="167">
      <c r="A167" s="58"/>
      <c r="B167" s="58"/>
      <c r="C167" s="58"/>
      <c r="D167" s="58"/>
      <c r="E167" s="194"/>
      <c r="F167" s="58"/>
      <c r="G167" s="58"/>
      <c r="H167" s="58"/>
      <c r="I167" s="58"/>
      <c r="J167" s="58"/>
      <c r="K167" s="58"/>
      <c r="L167" s="58"/>
      <c r="M167" s="58"/>
      <c r="N167" s="58"/>
      <c r="O167" s="58"/>
      <c r="P167" s="58"/>
      <c r="Q167" s="58"/>
      <c r="R167" s="58"/>
      <c r="S167" s="58"/>
      <c r="T167" s="58"/>
      <c r="U167" s="58"/>
      <c r="V167" s="58"/>
      <c r="W167" s="58"/>
      <c r="X167" s="58"/>
      <c r="Y167" s="58"/>
    </row>
    <row r="168">
      <c r="A168" s="58"/>
      <c r="B168" s="58"/>
      <c r="C168" s="58"/>
      <c r="D168" s="58"/>
      <c r="E168" s="194"/>
      <c r="F168" s="58"/>
      <c r="G168" s="58"/>
      <c r="H168" s="58"/>
      <c r="I168" s="58"/>
      <c r="J168" s="58"/>
      <c r="K168" s="58"/>
      <c r="L168" s="58"/>
      <c r="M168" s="58"/>
      <c r="N168" s="58"/>
      <c r="O168" s="58"/>
      <c r="P168" s="58"/>
      <c r="Q168" s="58"/>
      <c r="R168" s="58"/>
      <c r="S168" s="58"/>
      <c r="T168" s="58"/>
      <c r="U168" s="58"/>
      <c r="V168" s="58"/>
      <c r="W168" s="58"/>
      <c r="X168" s="58"/>
      <c r="Y168" s="58"/>
    </row>
    <row r="169">
      <c r="A169" s="58"/>
      <c r="B169" s="58"/>
      <c r="C169" s="58"/>
      <c r="D169" s="58"/>
      <c r="E169" s="194"/>
      <c r="F169" s="58"/>
      <c r="G169" s="58"/>
      <c r="H169" s="58"/>
      <c r="I169" s="58"/>
      <c r="J169" s="58"/>
      <c r="K169" s="58"/>
      <c r="L169" s="58"/>
      <c r="M169" s="58"/>
      <c r="N169" s="58"/>
      <c r="O169" s="58"/>
      <c r="P169" s="58"/>
      <c r="Q169" s="58"/>
      <c r="R169" s="58"/>
      <c r="S169" s="58"/>
      <c r="T169" s="58"/>
      <c r="U169" s="58"/>
      <c r="V169" s="58"/>
      <c r="W169" s="58"/>
      <c r="X169" s="58"/>
      <c r="Y169" s="58"/>
    </row>
    <row r="170">
      <c r="A170" s="58"/>
      <c r="B170" s="58"/>
      <c r="C170" s="58"/>
      <c r="D170" s="58"/>
      <c r="E170" s="194"/>
      <c r="F170" s="58"/>
      <c r="G170" s="58"/>
      <c r="H170" s="58"/>
      <c r="I170" s="58"/>
      <c r="J170" s="58"/>
      <c r="K170" s="58"/>
      <c r="L170" s="58"/>
      <c r="M170" s="58"/>
      <c r="N170" s="58"/>
      <c r="O170" s="58"/>
      <c r="P170" s="58"/>
      <c r="Q170" s="58"/>
      <c r="R170" s="58"/>
      <c r="S170" s="58"/>
      <c r="T170" s="58"/>
      <c r="U170" s="58"/>
      <c r="V170" s="58"/>
      <c r="W170" s="58"/>
      <c r="X170" s="58"/>
      <c r="Y170" s="58"/>
    </row>
    <row r="171">
      <c r="A171" s="58"/>
      <c r="B171" s="58"/>
      <c r="C171" s="58"/>
      <c r="D171" s="58"/>
      <c r="E171" s="194"/>
      <c r="F171" s="58"/>
      <c r="G171" s="58"/>
      <c r="H171" s="58"/>
      <c r="I171" s="58"/>
      <c r="J171" s="58"/>
      <c r="K171" s="58"/>
      <c r="L171" s="58"/>
      <c r="M171" s="58"/>
      <c r="N171" s="58"/>
      <c r="O171" s="58"/>
      <c r="P171" s="58"/>
      <c r="Q171" s="58"/>
      <c r="R171" s="58"/>
      <c r="S171" s="58"/>
      <c r="T171" s="58"/>
      <c r="U171" s="58"/>
      <c r="V171" s="58"/>
      <c r="W171" s="58"/>
      <c r="X171" s="58"/>
      <c r="Y171" s="58"/>
    </row>
    <row r="172">
      <c r="A172" s="58"/>
      <c r="B172" s="58"/>
      <c r="C172" s="58"/>
      <c r="D172" s="58"/>
      <c r="E172" s="194"/>
      <c r="F172" s="58"/>
      <c r="G172" s="58"/>
      <c r="H172" s="58"/>
      <c r="I172" s="58"/>
      <c r="J172" s="58"/>
      <c r="K172" s="58"/>
      <c r="L172" s="58"/>
      <c r="M172" s="58"/>
      <c r="N172" s="58"/>
      <c r="O172" s="58"/>
      <c r="P172" s="58"/>
      <c r="Q172" s="58"/>
      <c r="R172" s="58"/>
      <c r="S172" s="58"/>
      <c r="T172" s="58"/>
      <c r="U172" s="58"/>
      <c r="V172" s="58"/>
      <c r="W172" s="58"/>
      <c r="X172" s="58"/>
      <c r="Y172" s="58"/>
    </row>
    <row r="173">
      <c r="A173" s="58"/>
      <c r="B173" s="58"/>
      <c r="C173" s="58"/>
      <c r="D173" s="58"/>
      <c r="E173" s="194"/>
      <c r="F173" s="58"/>
      <c r="G173" s="58"/>
      <c r="H173" s="58"/>
      <c r="I173" s="58"/>
      <c r="J173" s="58"/>
      <c r="K173" s="58"/>
      <c r="L173" s="58"/>
      <c r="M173" s="58"/>
      <c r="N173" s="58"/>
      <c r="O173" s="58"/>
      <c r="P173" s="58"/>
      <c r="Q173" s="58"/>
      <c r="R173" s="58"/>
      <c r="S173" s="58"/>
      <c r="T173" s="58"/>
      <c r="U173" s="58"/>
      <c r="V173" s="58"/>
      <c r="W173" s="58"/>
      <c r="X173" s="58"/>
      <c r="Y173" s="58"/>
    </row>
    <row r="174">
      <c r="A174" s="58"/>
      <c r="B174" s="58"/>
      <c r="C174" s="58"/>
      <c r="D174" s="58"/>
      <c r="E174" s="194"/>
      <c r="F174" s="58"/>
      <c r="G174" s="58"/>
      <c r="H174" s="58"/>
      <c r="I174" s="58"/>
      <c r="J174" s="58"/>
      <c r="K174" s="58"/>
      <c r="L174" s="58"/>
      <c r="M174" s="58"/>
      <c r="N174" s="58"/>
      <c r="O174" s="58"/>
      <c r="P174" s="58"/>
      <c r="Q174" s="58"/>
      <c r="R174" s="58"/>
      <c r="S174" s="58"/>
      <c r="T174" s="58"/>
      <c r="U174" s="58"/>
      <c r="V174" s="58"/>
      <c r="W174" s="58"/>
      <c r="X174" s="58"/>
      <c r="Y174" s="58"/>
    </row>
    <row r="175">
      <c r="A175" s="58"/>
      <c r="B175" s="58"/>
      <c r="C175" s="58"/>
      <c r="D175" s="58"/>
      <c r="E175" s="194"/>
      <c r="F175" s="58"/>
      <c r="G175" s="58"/>
      <c r="H175" s="58"/>
      <c r="I175" s="58"/>
      <c r="J175" s="58"/>
      <c r="K175" s="58"/>
      <c r="L175" s="58"/>
      <c r="M175" s="58"/>
      <c r="N175" s="58"/>
      <c r="O175" s="58"/>
      <c r="P175" s="58"/>
      <c r="Q175" s="58"/>
      <c r="R175" s="58"/>
      <c r="S175" s="58"/>
      <c r="T175" s="58"/>
      <c r="U175" s="58"/>
      <c r="V175" s="58"/>
      <c r="W175" s="58"/>
      <c r="X175" s="58"/>
      <c r="Y175" s="58"/>
    </row>
    <row r="176">
      <c r="A176" s="58"/>
      <c r="B176" s="58"/>
      <c r="C176" s="58"/>
      <c r="D176" s="58"/>
      <c r="E176" s="194"/>
      <c r="F176" s="58"/>
      <c r="G176" s="58"/>
      <c r="H176" s="58"/>
      <c r="I176" s="58"/>
      <c r="J176" s="58"/>
      <c r="K176" s="58"/>
      <c r="L176" s="58"/>
      <c r="M176" s="58"/>
      <c r="N176" s="58"/>
      <c r="O176" s="58"/>
      <c r="P176" s="58"/>
      <c r="Q176" s="58"/>
      <c r="R176" s="58"/>
      <c r="S176" s="58"/>
      <c r="T176" s="58"/>
      <c r="U176" s="58"/>
      <c r="V176" s="58"/>
      <c r="W176" s="58"/>
      <c r="X176" s="58"/>
      <c r="Y176" s="58"/>
    </row>
    <row r="177">
      <c r="A177" s="58"/>
      <c r="B177" s="58"/>
      <c r="C177" s="58"/>
      <c r="D177" s="58"/>
      <c r="E177" s="194"/>
      <c r="F177" s="58"/>
      <c r="G177" s="58"/>
      <c r="H177" s="58"/>
      <c r="I177" s="58"/>
      <c r="J177" s="58"/>
      <c r="K177" s="58"/>
      <c r="L177" s="58"/>
      <c r="M177" s="58"/>
      <c r="N177" s="58"/>
      <c r="O177" s="58"/>
      <c r="P177" s="58"/>
      <c r="Q177" s="58"/>
      <c r="R177" s="58"/>
      <c r="S177" s="58"/>
      <c r="T177" s="58"/>
      <c r="U177" s="58"/>
      <c r="V177" s="58"/>
      <c r="W177" s="58"/>
      <c r="X177" s="58"/>
      <c r="Y177" s="58"/>
    </row>
    <row r="178">
      <c r="A178" s="58"/>
      <c r="B178" s="58"/>
      <c r="C178" s="58"/>
      <c r="D178" s="58"/>
      <c r="E178" s="194"/>
      <c r="F178" s="58"/>
      <c r="G178" s="58"/>
      <c r="H178" s="58"/>
      <c r="I178" s="58"/>
      <c r="J178" s="58"/>
      <c r="K178" s="58"/>
      <c r="L178" s="58"/>
      <c r="M178" s="58"/>
      <c r="N178" s="58"/>
      <c r="O178" s="58"/>
      <c r="P178" s="58"/>
      <c r="Q178" s="58"/>
      <c r="R178" s="58"/>
      <c r="S178" s="58"/>
      <c r="T178" s="58"/>
      <c r="U178" s="58"/>
      <c r="V178" s="58"/>
      <c r="W178" s="58"/>
      <c r="X178" s="58"/>
      <c r="Y178" s="58"/>
    </row>
    <row r="179">
      <c r="A179" s="58"/>
      <c r="B179" s="58"/>
      <c r="C179" s="58"/>
      <c r="D179" s="58"/>
      <c r="E179" s="194"/>
      <c r="F179" s="58"/>
      <c r="G179" s="58"/>
      <c r="H179" s="58"/>
      <c r="I179" s="58"/>
      <c r="J179" s="58"/>
      <c r="K179" s="58"/>
      <c r="L179" s="58"/>
      <c r="M179" s="58"/>
      <c r="N179" s="58"/>
      <c r="O179" s="58"/>
      <c r="P179" s="58"/>
      <c r="Q179" s="58"/>
      <c r="R179" s="58"/>
      <c r="S179" s="58"/>
      <c r="T179" s="58"/>
      <c r="U179" s="58"/>
      <c r="V179" s="58"/>
      <c r="W179" s="58"/>
      <c r="X179" s="58"/>
      <c r="Y179" s="58"/>
    </row>
    <row r="180">
      <c r="A180" s="58"/>
      <c r="B180" s="58"/>
      <c r="C180" s="58"/>
      <c r="D180" s="58"/>
      <c r="E180" s="194"/>
      <c r="F180" s="58"/>
      <c r="G180" s="58"/>
      <c r="H180" s="58"/>
      <c r="I180" s="58"/>
      <c r="J180" s="58"/>
      <c r="K180" s="58"/>
      <c r="L180" s="58"/>
      <c r="M180" s="58"/>
      <c r="N180" s="58"/>
      <c r="O180" s="58"/>
      <c r="P180" s="58"/>
      <c r="Q180" s="58"/>
      <c r="R180" s="58"/>
      <c r="S180" s="58"/>
      <c r="T180" s="58"/>
      <c r="U180" s="58"/>
      <c r="V180" s="58"/>
      <c r="W180" s="58"/>
      <c r="X180" s="58"/>
      <c r="Y180" s="58"/>
    </row>
    <row r="181">
      <c r="A181" s="58"/>
      <c r="B181" s="58"/>
      <c r="C181" s="58"/>
      <c r="D181" s="58"/>
      <c r="E181" s="194"/>
      <c r="F181" s="58"/>
      <c r="G181" s="58"/>
      <c r="H181" s="58"/>
      <c r="I181" s="58"/>
      <c r="J181" s="58"/>
      <c r="K181" s="58"/>
      <c r="L181" s="58"/>
      <c r="M181" s="58"/>
      <c r="N181" s="58"/>
      <c r="O181" s="58"/>
      <c r="P181" s="58"/>
      <c r="Q181" s="58"/>
      <c r="R181" s="58"/>
      <c r="S181" s="58"/>
      <c r="T181" s="58"/>
      <c r="U181" s="58"/>
      <c r="V181" s="58"/>
      <c r="W181" s="58"/>
      <c r="X181" s="58"/>
      <c r="Y181" s="58"/>
    </row>
    <row r="182">
      <c r="A182" s="58"/>
      <c r="B182" s="58"/>
      <c r="C182" s="58"/>
      <c r="D182" s="58"/>
      <c r="E182" s="194"/>
      <c r="F182" s="58"/>
      <c r="G182" s="58"/>
      <c r="H182" s="58"/>
      <c r="I182" s="58"/>
      <c r="J182" s="58"/>
      <c r="K182" s="58"/>
      <c r="L182" s="58"/>
      <c r="M182" s="58"/>
      <c r="N182" s="58"/>
      <c r="O182" s="58"/>
      <c r="P182" s="58"/>
      <c r="Q182" s="58"/>
      <c r="R182" s="58"/>
      <c r="S182" s="58"/>
      <c r="T182" s="58"/>
      <c r="U182" s="58"/>
      <c r="V182" s="58"/>
      <c r="W182" s="58"/>
      <c r="X182" s="58"/>
      <c r="Y182" s="58"/>
    </row>
    <row r="183">
      <c r="A183" s="58"/>
      <c r="B183" s="58"/>
      <c r="C183" s="58"/>
      <c r="D183" s="58"/>
      <c r="E183" s="194"/>
      <c r="F183" s="58"/>
      <c r="G183" s="58"/>
      <c r="H183" s="58"/>
      <c r="I183" s="58"/>
      <c r="J183" s="58"/>
      <c r="K183" s="58"/>
      <c r="L183" s="58"/>
      <c r="M183" s="58"/>
      <c r="N183" s="58"/>
      <c r="O183" s="58"/>
      <c r="P183" s="58"/>
      <c r="Q183" s="58"/>
      <c r="R183" s="58"/>
      <c r="S183" s="58"/>
      <c r="T183" s="58"/>
      <c r="U183" s="58"/>
      <c r="V183" s="58"/>
      <c r="W183" s="58"/>
      <c r="X183" s="58"/>
      <c r="Y183" s="58"/>
    </row>
    <row r="184">
      <c r="A184" s="58"/>
      <c r="B184" s="58"/>
      <c r="C184" s="58"/>
      <c r="D184" s="58"/>
      <c r="E184" s="194"/>
      <c r="F184" s="58"/>
      <c r="G184" s="58"/>
      <c r="H184" s="58"/>
      <c r="I184" s="58"/>
      <c r="J184" s="58"/>
      <c r="K184" s="58"/>
      <c r="L184" s="58"/>
      <c r="M184" s="58"/>
      <c r="N184" s="58"/>
      <c r="O184" s="58"/>
      <c r="P184" s="58"/>
      <c r="Q184" s="58"/>
      <c r="R184" s="58"/>
      <c r="S184" s="58"/>
      <c r="T184" s="58"/>
      <c r="U184" s="58"/>
      <c r="V184" s="58"/>
      <c r="W184" s="58"/>
      <c r="X184" s="58"/>
      <c r="Y184" s="58"/>
    </row>
    <row r="185">
      <c r="A185" s="58"/>
      <c r="B185" s="58"/>
      <c r="C185" s="58"/>
      <c r="D185" s="58"/>
      <c r="E185" s="194"/>
      <c r="F185" s="58"/>
      <c r="G185" s="58"/>
      <c r="H185" s="58"/>
      <c r="I185" s="58"/>
      <c r="J185" s="58"/>
      <c r="K185" s="58"/>
      <c r="L185" s="58"/>
      <c r="M185" s="58"/>
      <c r="N185" s="58"/>
      <c r="O185" s="58"/>
      <c r="P185" s="58"/>
      <c r="Q185" s="58"/>
      <c r="R185" s="58"/>
      <c r="S185" s="58"/>
      <c r="T185" s="58"/>
      <c r="U185" s="58"/>
      <c r="V185" s="58"/>
      <c r="W185" s="58"/>
      <c r="X185" s="58"/>
      <c r="Y185" s="58"/>
    </row>
    <row r="186">
      <c r="A186" s="58"/>
      <c r="B186" s="58"/>
      <c r="C186" s="58"/>
      <c r="D186" s="58"/>
      <c r="E186" s="194"/>
      <c r="F186" s="58"/>
      <c r="G186" s="58"/>
      <c r="H186" s="58"/>
      <c r="I186" s="58"/>
      <c r="J186" s="58"/>
      <c r="K186" s="58"/>
      <c r="L186" s="58"/>
      <c r="M186" s="58"/>
      <c r="N186" s="58"/>
      <c r="O186" s="58"/>
      <c r="P186" s="58"/>
      <c r="Q186" s="58"/>
      <c r="R186" s="58"/>
      <c r="S186" s="58"/>
      <c r="T186" s="58"/>
      <c r="U186" s="58"/>
      <c r="V186" s="58"/>
      <c r="W186" s="58"/>
      <c r="X186" s="58"/>
      <c r="Y186" s="58"/>
    </row>
    <row r="187">
      <c r="A187" s="58"/>
      <c r="B187" s="58"/>
      <c r="C187" s="58"/>
      <c r="D187" s="58"/>
      <c r="E187" s="194"/>
      <c r="F187" s="58"/>
      <c r="G187" s="58"/>
      <c r="H187" s="58"/>
      <c r="I187" s="58"/>
      <c r="J187" s="58"/>
      <c r="K187" s="58"/>
      <c r="L187" s="58"/>
      <c r="M187" s="58"/>
      <c r="N187" s="58"/>
      <c r="O187" s="58"/>
      <c r="P187" s="58"/>
      <c r="Q187" s="58"/>
      <c r="R187" s="58"/>
      <c r="S187" s="58"/>
      <c r="T187" s="58"/>
      <c r="U187" s="58"/>
      <c r="V187" s="58"/>
      <c r="W187" s="58"/>
      <c r="X187" s="58"/>
      <c r="Y187" s="58"/>
    </row>
    <row r="188">
      <c r="A188" s="58"/>
      <c r="B188" s="58"/>
      <c r="C188" s="58"/>
      <c r="D188" s="58"/>
      <c r="E188" s="194"/>
      <c r="F188" s="58"/>
      <c r="G188" s="58"/>
      <c r="H188" s="58"/>
      <c r="I188" s="58"/>
      <c r="J188" s="58"/>
      <c r="K188" s="58"/>
      <c r="L188" s="58"/>
      <c r="M188" s="58"/>
      <c r="N188" s="58"/>
      <c r="O188" s="58"/>
      <c r="P188" s="58"/>
      <c r="Q188" s="58"/>
      <c r="R188" s="58"/>
      <c r="S188" s="58"/>
      <c r="T188" s="58"/>
      <c r="U188" s="58"/>
      <c r="V188" s="58"/>
      <c r="W188" s="58"/>
      <c r="X188" s="58"/>
      <c r="Y188" s="58"/>
    </row>
    <row r="189">
      <c r="A189" s="58"/>
      <c r="B189" s="58"/>
      <c r="C189" s="58"/>
      <c r="D189" s="58"/>
      <c r="E189" s="194"/>
      <c r="F189" s="58"/>
      <c r="G189" s="58"/>
      <c r="H189" s="58"/>
      <c r="I189" s="58"/>
      <c r="J189" s="58"/>
      <c r="K189" s="58"/>
      <c r="L189" s="58"/>
      <c r="M189" s="58"/>
      <c r="N189" s="58"/>
      <c r="O189" s="58"/>
      <c r="P189" s="58"/>
      <c r="Q189" s="58"/>
      <c r="R189" s="58"/>
      <c r="S189" s="58"/>
      <c r="T189" s="58"/>
      <c r="U189" s="58"/>
      <c r="V189" s="58"/>
      <c r="W189" s="58"/>
      <c r="X189" s="58"/>
      <c r="Y189" s="58"/>
    </row>
    <row r="190">
      <c r="A190" s="58"/>
      <c r="B190" s="58"/>
      <c r="C190" s="58"/>
      <c r="D190" s="58"/>
      <c r="E190" s="194"/>
      <c r="F190" s="58"/>
      <c r="G190" s="58"/>
      <c r="H190" s="58"/>
      <c r="I190" s="58"/>
      <c r="J190" s="58"/>
      <c r="K190" s="58"/>
      <c r="L190" s="58"/>
      <c r="M190" s="58"/>
      <c r="N190" s="58"/>
      <c r="O190" s="58"/>
      <c r="P190" s="58"/>
      <c r="Q190" s="58"/>
      <c r="R190" s="58"/>
      <c r="S190" s="58"/>
      <c r="T190" s="58"/>
      <c r="U190" s="58"/>
      <c r="V190" s="58"/>
      <c r="W190" s="58"/>
      <c r="X190" s="58"/>
      <c r="Y190" s="58"/>
    </row>
    <row r="191">
      <c r="A191" s="58"/>
      <c r="B191" s="58"/>
      <c r="C191" s="58"/>
      <c r="D191" s="58"/>
      <c r="E191" s="194"/>
      <c r="F191" s="58"/>
      <c r="G191" s="58"/>
      <c r="H191" s="58"/>
      <c r="I191" s="58"/>
      <c r="J191" s="58"/>
      <c r="K191" s="58"/>
      <c r="L191" s="58"/>
      <c r="M191" s="58"/>
      <c r="N191" s="58"/>
      <c r="O191" s="58"/>
      <c r="P191" s="58"/>
      <c r="Q191" s="58"/>
      <c r="R191" s="58"/>
      <c r="S191" s="58"/>
      <c r="T191" s="58"/>
      <c r="U191" s="58"/>
      <c r="V191" s="58"/>
      <c r="W191" s="58"/>
      <c r="X191" s="58"/>
      <c r="Y191" s="58"/>
    </row>
    <row r="192">
      <c r="A192" s="58"/>
      <c r="B192" s="58"/>
      <c r="C192" s="58"/>
      <c r="D192" s="58"/>
      <c r="E192" s="194"/>
      <c r="F192" s="58"/>
      <c r="G192" s="58"/>
      <c r="H192" s="58"/>
      <c r="I192" s="58"/>
      <c r="J192" s="58"/>
      <c r="K192" s="58"/>
      <c r="L192" s="58"/>
      <c r="M192" s="58"/>
      <c r="N192" s="58"/>
      <c r="O192" s="58"/>
      <c r="P192" s="58"/>
      <c r="Q192" s="58"/>
      <c r="R192" s="58"/>
      <c r="S192" s="58"/>
      <c r="T192" s="58"/>
      <c r="U192" s="58"/>
      <c r="V192" s="58"/>
      <c r="W192" s="58"/>
      <c r="X192" s="58"/>
      <c r="Y192" s="58"/>
    </row>
    <row r="193">
      <c r="A193" s="58"/>
      <c r="B193" s="58"/>
      <c r="C193" s="58"/>
      <c r="D193" s="58"/>
      <c r="E193" s="194"/>
      <c r="F193" s="58"/>
      <c r="G193" s="58"/>
      <c r="H193" s="58"/>
      <c r="I193" s="58"/>
      <c r="J193" s="58"/>
      <c r="K193" s="58"/>
      <c r="L193" s="58"/>
      <c r="M193" s="58"/>
      <c r="N193" s="58"/>
      <c r="O193" s="58"/>
      <c r="P193" s="58"/>
      <c r="Q193" s="58"/>
      <c r="R193" s="58"/>
      <c r="S193" s="58"/>
      <c r="T193" s="58"/>
      <c r="U193" s="58"/>
      <c r="V193" s="58"/>
      <c r="W193" s="58"/>
      <c r="X193" s="58"/>
      <c r="Y193" s="58"/>
    </row>
    <row r="194">
      <c r="A194" s="58"/>
      <c r="B194" s="58"/>
      <c r="C194" s="58"/>
      <c r="D194" s="58"/>
      <c r="E194" s="194"/>
      <c r="F194" s="58"/>
      <c r="G194" s="58"/>
      <c r="H194" s="58"/>
      <c r="I194" s="58"/>
      <c r="J194" s="58"/>
      <c r="K194" s="58"/>
      <c r="L194" s="58"/>
      <c r="M194" s="58"/>
      <c r="N194" s="58"/>
      <c r="O194" s="58"/>
      <c r="P194" s="58"/>
      <c r="Q194" s="58"/>
      <c r="R194" s="58"/>
      <c r="S194" s="58"/>
      <c r="T194" s="58"/>
      <c r="U194" s="58"/>
      <c r="V194" s="58"/>
      <c r="W194" s="58"/>
      <c r="X194" s="58"/>
      <c r="Y194" s="58"/>
    </row>
    <row r="195">
      <c r="A195" s="58"/>
      <c r="B195" s="58"/>
      <c r="C195" s="58"/>
      <c r="D195" s="58"/>
      <c r="E195" s="194"/>
      <c r="F195" s="58"/>
      <c r="G195" s="58"/>
      <c r="H195" s="58"/>
      <c r="I195" s="58"/>
      <c r="J195" s="58"/>
      <c r="K195" s="58"/>
      <c r="L195" s="58"/>
      <c r="M195" s="58"/>
      <c r="N195" s="58"/>
      <c r="O195" s="58"/>
      <c r="P195" s="58"/>
      <c r="Q195" s="58"/>
      <c r="R195" s="58"/>
      <c r="S195" s="58"/>
      <c r="T195" s="58"/>
      <c r="U195" s="58"/>
      <c r="V195" s="58"/>
      <c r="W195" s="58"/>
      <c r="X195" s="58"/>
      <c r="Y195" s="58"/>
    </row>
    <row r="196">
      <c r="A196" s="58"/>
      <c r="B196" s="58"/>
      <c r="C196" s="58"/>
      <c r="D196" s="58"/>
      <c r="E196" s="194"/>
      <c r="F196" s="58"/>
      <c r="G196" s="58"/>
      <c r="H196" s="58"/>
      <c r="I196" s="58"/>
      <c r="J196" s="58"/>
      <c r="K196" s="58"/>
      <c r="L196" s="58"/>
      <c r="M196" s="58"/>
      <c r="N196" s="58"/>
      <c r="O196" s="58"/>
      <c r="P196" s="58"/>
      <c r="Q196" s="58"/>
      <c r="R196" s="58"/>
      <c r="S196" s="58"/>
      <c r="T196" s="58"/>
      <c r="U196" s="58"/>
      <c r="V196" s="58"/>
      <c r="W196" s="58"/>
      <c r="X196" s="58"/>
      <c r="Y196" s="58"/>
    </row>
    <row r="197">
      <c r="A197" s="58"/>
      <c r="B197" s="58"/>
      <c r="C197" s="58"/>
      <c r="D197" s="58"/>
      <c r="E197" s="194"/>
      <c r="F197" s="58"/>
      <c r="G197" s="58"/>
      <c r="H197" s="58"/>
      <c r="I197" s="58"/>
      <c r="J197" s="58"/>
      <c r="K197" s="58"/>
      <c r="L197" s="58"/>
      <c r="M197" s="58"/>
      <c r="N197" s="58"/>
      <c r="O197" s="58"/>
      <c r="P197" s="58"/>
      <c r="Q197" s="58"/>
      <c r="R197" s="58"/>
      <c r="S197" s="58"/>
      <c r="T197" s="58"/>
      <c r="U197" s="58"/>
      <c r="V197" s="58"/>
      <c r="W197" s="58"/>
      <c r="X197" s="58"/>
      <c r="Y197" s="58"/>
    </row>
    <row r="198">
      <c r="A198" s="58"/>
      <c r="B198" s="58"/>
      <c r="C198" s="58"/>
      <c r="D198" s="58"/>
      <c r="E198" s="194"/>
      <c r="F198" s="58"/>
      <c r="G198" s="58"/>
      <c r="H198" s="58"/>
      <c r="I198" s="58"/>
      <c r="J198" s="58"/>
      <c r="K198" s="58"/>
      <c r="L198" s="58"/>
      <c r="M198" s="58"/>
      <c r="N198" s="58"/>
      <c r="O198" s="58"/>
      <c r="P198" s="58"/>
      <c r="Q198" s="58"/>
      <c r="R198" s="58"/>
      <c r="S198" s="58"/>
      <c r="T198" s="58"/>
      <c r="U198" s="58"/>
      <c r="V198" s="58"/>
      <c r="W198" s="58"/>
      <c r="X198" s="58"/>
      <c r="Y198" s="58"/>
    </row>
    <row r="199">
      <c r="A199" s="58"/>
      <c r="B199" s="58"/>
      <c r="C199" s="58"/>
      <c r="D199" s="58"/>
      <c r="E199" s="194"/>
      <c r="F199" s="58"/>
      <c r="G199" s="58"/>
      <c r="H199" s="58"/>
      <c r="I199" s="58"/>
      <c r="J199" s="58"/>
      <c r="K199" s="58"/>
      <c r="L199" s="58"/>
      <c r="M199" s="58"/>
      <c r="N199" s="58"/>
      <c r="O199" s="58"/>
      <c r="P199" s="58"/>
      <c r="Q199" s="58"/>
      <c r="R199" s="58"/>
      <c r="S199" s="58"/>
      <c r="T199" s="58"/>
      <c r="U199" s="58"/>
      <c r="V199" s="58"/>
      <c r="W199" s="58"/>
      <c r="X199" s="58"/>
      <c r="Y199" s="58"/>
    </row>
    <row r="200">
      <c r="A200" s="58"/>
      <c r="B200" s="58"/>
      <c r="C200" s="58"/>
      <c r="D200" s="58"/>
      <c r="E200" s="194"/>
      <c r="F200" s="58"/>
      <c r="G200" s="58"/>
      <c r="H200" s="58"/>
      <c r="I200" s="58"/>
      <c r="J200" s="58"/>
      <c r="K200" s="58"/>
      <c r="L200" s="58"/>
      <c r="M200" s="58"/>
      <c r="N200" s="58"/>
      <c r="O200" s="58"/>
      <c r="P200" s="58"/>
      <c r="Q200" s="58"/>
      <c r="R200" s="58"/>
      <c r="S200" s="58"/>
      <c r="T200" s="58"/>
      <c r="U200" s="58"/>
      <c r="V200" s="58"/>
      <c r="W200" s="58"/>
      <c r="X200" s="58"/>
      <c r="Y200" s="58"/>
    </row>
    <row r="201">
      <c r="A201" s="58"/>
      <c r="B201" s="58"/>
      <c r="C201" s="58"/>
      <c r="D201" s="58"/>
      <c r="E201" s="194"/>
      <c r="F201" s="58"/>
      <c r="G201" s="58"/>
      <c r="H201" s="58"/>
      <c r="I201" s="58"/>
      <c r="J201" s="58"/>
      <c r="K201" s="58"/>
      <c r="L201" s="58"/>
      <c r="M201" s="58"/>
      <c r="N201" s="58"/>
      <c r="O201" s="58"/>
      <c r="P201" s="58"/>
      <c r="Q201" s="58"/>
      <c r="R201" s="58"/>
      <c r="S201" s="58"/>
      <c r="T201" s="58"/>
      <c r="U201" s="58"/>
      <c r="V201" s="58"/>
      <c r="W201" s="58"/>
      <c r="X201" s="58"/>
      <c r="Y201" s="58"/>
    </row>
    <row r="202">
      <c r="A202" s="58"/>
      <c r="B202" s="58"/>
      <c r="C202" s="58"/>
      <c r="D202" s="58"/>
      <c r="E202" s="194"/>
      <c r="F202" s="58"/>
      <c r="G202" s="58"/>
      <c r="H202" s="58"/>
      <c r="I202" s="58"/>
      <c r="J202" s="58"/>
      <c r="K202" s="58"/>
      <c r="L202" s="58"/>
      <c r="M202" s="58"/>
      <c r="N202" s="58"/>
      <c r="O202" s="58"/>
      <c r="P202" s="58"/>
      <c r="Q202" s="58"/>
      <c r="R202" s="58"/>
      <c r="S202" s="58"/>
      <c r="T202" s="58"/>
      <c r="U202" s="58"/>
      <c r="V202" s="58"/>
      <c r="W202" s="58"/>
      <c r="X202" s="58"/>
      <c r="Y202" s="58"/>
    </row>
    <row r="203">
      <c r="A203" s="58"/>
      <c r="B203" s="58"/>
      <c r="C203" s="58"/>
      <c r="D203" s="58"/>
      <c r="E203" s="194"/>
      <c r="F203" s="58"/>
      <c r="G203" s="58"/>
      <c r="H203" s="58"/>
      <c r="I203" s="58"/>
      <c r="J203" s="58"/>
      <c r="K203" s="58"/>
      <c r="L203" s="58"/>
      <c r="M203" s="58"/>
      <c r="N203" s="58"/>
      <c r="O203" s="58"/>
      <c r="P203" s="58"/>
      <c r="Q203" s="58"/>
      <c r="R203" s="58"/>
      <c r="S203" s="58"/>
      <c r="T203" s="58"/>
      <c r="U203" s="58"/>
      <c r="V203" s="58"/>
      <c r="W203" s="58"/>
      <c r="X203" s="58"/>
      <c r="Y203" s="58"/>
    </row>
    <row r="204">
      <c r="A204" s="58"/>
      <c r="B204" s="58"/>
      <c r="C204" s="58"/>
      <c r="D204" s="58"/>
      <c r="E204" s="194"/>
      <c r="F204" s="58"/>
      <c r="G204" s="58"/>
      <c r="H204" s="58"/>
      <c r="I204" s="58"/>
      <c r="J204" s="58"/>
      <c r="K204" s="58"/>
      <c r="L204" s="58"/>
      <c r="M204" s="58"/>
      <c r="N204" s="58"/>
      <c r="O204" s="58"/>
      <c r="P204" s="58"/>
      <c r="Q204" s="58"/>
      <c r="R204" s="58"/>
      <c r="S204" s="58"/>
      <c r="T204" s="58"/>
      <c r="U204" s="58"/>
      <c r="V204" s="58"/>
      <c r="W204" s="58"/>
      <c r="X204" s="58"/>
      <c r="Y204" s="58"/>
    </row>
    <row r="205">
      <c r="A205" s="58"/>
      <c r="B205" s="58"/>
      <c r="C205" s="58"/>
      <c r="D205" s="58"/>
      <c r="E205" s="194"/>
      <c r="F205" s="58"/>
      <c r="G205" s="58"/>
      <c r="H205" s="58"/>
      <c r="I205" s="58"/>
      <c r="J205" s="58"/>
      <c r="K205" s="58"/>
      <c r="L205" s="58"/>
      <c r="M205" s="58"/>
      <c r="N205" s="58"/>
      <c r="O205" s="58"/>
      <c r="P205" s="58"/>
      <c r="Q205" s="58"/>
      <c r="R205" s="58"/>
      <c r="S205" s="58"/>
      <c r="T205" s="58"/>
      <c r="U205" s="58"/>
      <c r="V205" s="58"/>
      <c r="W205" s="58"/>
      <c r="X205" s="58"/>
      <c r="Y205" s="58"/>
    </row>
    <row r="206">
      <c r="A206" s="58"/>
      <c r="B206" s="58"/>
      <c r="C206" s="58"/>
      <c r="D206" s="58"/>
      <c r="E206" s="194"/>
      <c r="F206" s="58"/>
      <c r="G206" s="58"/>
      <c r="H206" s="58"/>
      <c r="I206" s="58"/>
      <c r="J206" s="58"/>
      <c r="K206" s="58"/>
      <c r="L206" s="58"/>
      <c r="M206" s="58"/>
      <c r="N206" s="58"/>
      <c r="O206" s="58"/>
      <c r="P206" s="58"/>
      <c r="Q206" s="58"/>
      <c r="R206" s="58"/>
      <c r="S206" s="58"/>
      <c r="T206" s="58"/>
      <c r="U206" s="58"/>
      <c r="V206" s="58"/>
      <c r="W206" s="58"/>
      <c r="X206" s="58"/>
      <c r="Y206" s="58"/>
    </row>
    <row r="207">
      <c r="A207" s="58"/>
      <c r="B207" s="58"/>
      <c r="C207" s="58"/>
      <c r="D207" s="58"/>
      <c r="E207" s="194"/>
      <c r="F207" s="58"/>
      <c r="G207" s="58"/>
      <c r="H207" s="58"/>
      <c r="I207" s="58"/>
      <c r="J207" s="58"/>
      <c r="K207" s="58"/>
      <c r="L207" s="58"/>
      <c r="M207" s="58"/>
      <c r="N207" s="58"/>
      <c r="O207" s="58"/>
      <c r="P207" s="58"/>
      <c r="Q207" s="58"/>
      <c r="R207" s="58"/>
      <c r="S207" s="58"/>
      <c r="T207" s="58"/>
      <c r="U207" s="58"/>
      <c r="V207" s="58"/>
      <c r="W207" s="58"/>
      <c r="X207" s="58"/>
      <c r="Y207" s="58"/>
    </row>
    <row r="208">
      <c r="A208" s="58"/>
      <c r="B208" s="58"/>
      <c r="C208" s="58"/>
      <c r="D208" s="58"/>
      <c r="E208" s="194"/>
      <c r="F208" s="58"/>
      <c r="G208" s="58"/>
      <c r="H208" s="58"/>
      <c r="I208" s="58"/>
      <c r="J208" s="58"/>
      <c r="K208" s="58"/>
      <c r="L208" s="58"/>
      <c r="M208" s="58"/>
      <c r="N208" s="58"/>
      <c r="O208" s="58"/>
      <c r="P208" s="58"/>
      <c r="Q208" s="58"/>
      <c r="R208" s="58"/>
      <c r="S208" s="58"/>
      <c r="T208" s="58"/>
      <c r="U208" s="58"/>
      <c r="V208" s="58"/>
      <c r="W208" s="58"/>
      <c r="X208" s="58"/>
      <c r="Y208" s="58"/>
    </row>
    <row r="209">
      <c r="A209" s="58"/>
      <c r="B209" s="58"/>
      <c r="C209" s="58"/>
      <c r="D209" s="58"/>
      <c r="E209" s="194"/>
      <c r="F209" s="58"/>
      <c r="G209" s="58"/>
      <c r="H209" s="58"/>
      <c r="I209" s="58"/>
      <c r="J209" s="58"/>
      <c r="K209" s="58"/>
      <c r="L209" s="58"/>
      <c r="M209" s="58"/>
      <c r="N209" s="58"/>
      <c r="O209" s="58"/>
      <c r="P209" s="58"/>
      <c r="Q209" s="58"/>
      <c r="R209" s="58"/>
      <c r="S209" s="58"/>
      <c r="T209" s="58"/>
      <c r="U209" s="58"/>
      <c r="V209" s="58"/>
      <c r="W209" s="58"/>
      <c r="X209" s="58"/>
      <c r="Y209" s="58"/>
    </row>
    <row r="210">
      <c r="A210" s="58"/>
      <c r="B210" s="58"/>
      <c r="C210" s="58"/>
      <c r="D210" s="58"/>
      <c r="E210" s="194"/>
      <c r="F210" s="58"/>
      <c r="G210" s="58"/>
      <c r="H210" s="58"/>
      <c r="I210" s="58"/>
      <c r="J210" s="58"/>
      <c r="K210" s="58"/>
      <c r="L210" s="58"/>
      <c r="M210" s="58"/>
      <c r="N210" s="58"/>
      <c r="O210" s="58"/>
      <c r="P210" s="58"/>
      <c r="Q210" s="58"/>
      <c r="R210" s="58"/>
      <c r="S210" s="58"/>
      <c r="T210" s="58"/>
      <c r="U210" s="58"/>
      <c r="V210" s="58"/>
      <c r="W210" s="58"/>
      <c r="X210" s="58"/>
      <c r="Y210" s="58"/>
    </row>
    <row r="211">
      <c r="A211" s="58"/>
      <c r="B211" s="58"/>
      <c r="C211" s="58"/>
      <c r="D211" s="58"/>
      <c r="E211" s="194"/>
      <c r="F211" s="58"/>
      <c r="G211" s="58"/>
      <c r="H211" s="58"/>
      <c r="I211" s="58"/>
      <c r="J211" s="58"/>
      <c r="K211" s="58"/>
      <c r="L211" s="58"/>
      <c r="M211" s="58"/>
      <c r="N211" s="58"/>
      <c r="O211" s="58"/>
      <c r="P211" s="58"/>
      <c r="Q211" s="58"/>
      <c r="R211" s="58"/>
      <c r="S211" s="58"/>
      <c r="T211" s="58"/>
      <c r="U211" s="58"/>
      <c r="V211" s="58"/>
      <c r="W211" s="58"/>
      <c r="X211" s="58"/>
      <c r="Y211" s="58"/>
    </row>
    <row r="212">
      <c r="A212" s="58"/>
      <c r="B212" s="58"/>
      <c r="C212" s="58"/>
      <c r="D212" s="58"/>
      <c r="E212" s="194"/>
      <c r="F212" s="58"/>
      <c r="G212" s="58"/>
      <c r="H212" s="58"/>
      <c r="I212" s="58"/>
      <c r="J212" s="58"/>
      <c r="K212" s="58"/>
      <c r="L212" s="58"/>
      <c r="M212" s="58"/>
      <c r="N212" s="58"/>
      <c r="O212" s="58"/>
      <c r="P212" s="58"/>
      <c r="Q212" s="58"/>
      <c r="R212" s="58"/>
      <c r="S212" s="58"/>
      <c r="T212" s="58"/>
      <c r="U212" s="58"/>
      <c r="V212" s="58"/>
      <c r="W212" s="58"/>
      <c r="X212" s="58"/>
      <c r="Y212" s="58"/>
    </row>
    <row r="213">
      <c r="A213" s="58"/>
      <c r="B213" s="58"/>
      <c r="C213" s="58"/>
      <c r="D213" s="58"/>
      <c r="E213" s="194"/>
      <c r="F213" s="58"/>
      <c r="G213" s="58"/>
      <c r="H213" s="58"/>
      <c r="I213" s="58"/>
      <c r="J213" s="58"/>
      <c r="K213" s="58"/>
      <c r="L213" s="58"/>
      <c r="M213" s="58"/>
      <c r="N213" s="58"/>
      <c r="O213" s="58"/>
      <c r="P213" s="58"/>
      <c r="Q213" s="58"/>
      <c r="R213" s="58"/>
      <c r="S213" s="58"/>
      <c r="T213" s="58"/>
      <c r="U213" s="58"/>
      <c r="V213" s="58"/>
      <c r="W213" s="58"/>
      <c r="X213" s="58"/>
      <c r="Y213" s="58"/>
    </row>
    <row r="214">
      <c r="A214" s="58"/>
      <c r="B214" s="58"/>
      <c r="C214" s="58"/>
      <c r="D214" s="58"/>
      <c r="E214" s="194"/>
      <c r="F214" s="58"/>
      <c r="G214" s="58"/>
      <c r="H214" s="58"/>
      <c r="I214" s="58"/>
      <c r="J214" s="58"/>
      <c r="K214" s="58"/>
      <c r="L214" s="58"/>
      <c r="M214" s="58"/>
      <c r="N214" s="58"/>
      <c r="O214" s="58"/>
      <c r="P214" s="58"/>
      <c r="Q214" s="58"/>
      <c r="R214" s="58"/>
      <c r="S214" s="58"/>
      <c r="T214" s="58"/>
      <c r="U214" s="58"/>
      <c r="V214" s="58"/>
      <c r="W214" s="58"/>
      <c r="X214" s="58"/>
      <c r="Y214" s="58"/>
    </row>
    <row r="215">
      <c r="A215" s="58"/>
      <c r="B215" s="58"/>
      <c r="C215" s="58"/>
      <c r="D215" s="58"/>
      <c r="E215" s="194"/>
      <c r="F215" s="58"/>
      <c r="G215" s="58"/>
      <c r="H215" s="58"/>
      <c r="I215" s="58"/>
      <c r="J215" s="58"/>
      <c r="K215" s="58"/>
      <c r="L215" s="58"/>
      <c r="M215" s="58"/>
      <c r="N215" s="58"/>
      <c r="O215" s="58"/>
      <c r="P215" s="58"/>
      <c r="Q215" s="58"/>
      <c r="R215" s="58"/>
      <c r="S215" s="58"/>
      <c r="T215" s="58"/>
      <c r="U215" s="58"/>
      <c r="V215" s="58"/>
      <c r="W215" s="58"/>
      <c r="X215" s="58"/>
      <c r="Y215" s="58"/>
    </row>
    <row r="216">
      <c r="A216" s="58"/>
      <c r="B216" s="58"/>
      <c r="C216" s="58"/>
      <c r="D216" s="58"/>
      <c r="E216" s="194"/>
      <c r="F216" s="58"/>
      <c r="G216" s="58"/>
      <c r="H216" s="58"/>
      <c r="I216" s="58"/>
      <c r="J216" s="58"/>
      <c r="K216" s="58"/>
      <c r="L216" s="58"/>
      <c r="M216" s="58"/>
      <c r="N216" s="58"/>
      <c r="O216" s="58"/>
      <c r="P216" s="58"/>
      <c r="Q216" s="58"/>
      <c r="R216" s="58"/>
      <c r="S216" s="58"/>
      <c r="T216" s="58"/>
      <c r="U216" s="58"/>
      <c r="V216" s="58"/>
      <c r="W216" s="58"/>
      <c r="X216" s="58"/>
      <c r="Y216" s="58"/>
    </row>
    <row r="217">
      <c r="A217" s="58"/>
      <c r="B217" s="58"/>
      <c r="C217" s="58"/>
      <c r="D217" s="58"/>
      <c r="E217" s="194"/>
      <c r="F217" s="58"/>
      <c r="G217" s="58"/>
      <c r="H217" s="58"/>
      <c r="I217" s="58"/>
      <c r="J217" s="58"/>
      <c r="K217" s="58"/>
      <c r="L217" s="58"/>
      <c r="M217" s="58"/>
      <c r="N217" s="58"/>
      <c r="O217" s="58"/>
      <c r="P217" s="58"/>
      <c r="Q217" s="58"/>
      <c r="R217" s="58"/>
      <c r="S217" s="58"/>
      <c r="T217" s="58"/>
      <c r="U217" s="58"/>
      <c r="V217" s="58"/>
      <c r="W217" s="58"/>
      <c r="X217" s="58"/>
      <c r="Y217" s="58"/>
    </row>
    <row r="218">
      <c r="A218" s="58"/>
      <c r="B218" s="58"/>
      <c r="C218" s="58"/>
      <c r="D218" s="58"/>
      <c r="E218" s="194"/>
      <c r="F218" s="58"/>
      <c r="G218" s="58"/>
      <c r="H218" s="58"/>
      <c r="I218" s="58"/>
      <c r="J218" s="58"/>
      <c r="K218" s="58"/>
      <c r="L218" s="58"/>
      <c r="M218" s="58"/>
      <c r="N218" s="58"/>
      <c r="O218" s="58"/>
      <c r="P218" s="58"/>
      <c r="Q218" s="58"/>
      <c r="R218" s="58"/>
      <c r="S218" s="58"/>
      <c r="T218" s="58"/>
      <c r="U218" s="58"/>
      <c r="V218" s="58"/>
      <c r="W218" s="58"/>
      <c r="X218" s="58"/>
      <c r="Y218" s="58"/>
    </row>
    <row r="219">
      <c r="A219" s="58"/>
      <c r="B219" s="58"/>
      <c r="C219" s="58"/>
      <c r="D219" s="58"/>
      <c r="E219" s="194"/>
      <c r="F219" s="58"/>
      <c r="G219" s="58"/>
      <c r="H219" s="58"/>
      <c r="I219" s="58"/>
      <c r="J219" s="58"/>
      <c r="K219" s="58"/>
      <c r="L219" s="58"/>
      <c r="M219" s="58"/>
      <c r="N219" s="58"/>
      <c r="O219" s="58"/>
      <c r="P219" s="58"/>
      <c r="Q219" s="58"/>
      <c r="R219" s="58"/>
      <c r="S219" s="58"/>
      <c r="T219" s="58"/>
      <c r="U219" s="58"/>
      <c r="V219" s="58"/>
      <c r="W219" s="58"/>
      <c r="X219" s="58"/>
      <c r="Y219" s="58"/>
    </row>
    <row r="220">
      <c r="A220" s="58"/>
      <c r="B220" s="58"/>
      <c r="C220" s="58"/>
      <c r="D220" s="58"/>
      <c r="E220" s="194"/>
      <c r="F220" s="58"/>
      <c r="G220" s="58"/>
      <c r="H220" s="58"/>
      <c r="I220" s="58"/>
      <c r="J220" s="58"/>
      <c r="K220" s="58"/>
      <c r="L220" s="58"/>
      <c r="M220" s="58"/>
      <c r="N220" s="58"/>
      <c r="O220" s="58"/>
      <c r="P220" s="58"/>
      <c r="Q220" s="58"/>
      <c r="R220" s="58"/>
      <c r="S220" s="58"/>
      <c r="T220" s="58"/>
      <c r="U220" s="58"/>
      <c r="V220" s="58"/>
      <c r="W220" s="58"/>
      <c r="X220" s="58"/>
      <c r="Y220" s="58"/>
    </row>
    <row r="221">
      <c r="A221" s="58"/>
      <c r="B221" s="58"/>
      <c r="C221" s="58"/>
      <c r="D221" s="58"/>
      <c r="E221" s="194"/>
      <c r="F221" s="58"/>
      <c r="G221" s="58"/>
      <c r="H221" s="58"/>
      <c r="I221" s="58"/>
      <c r="J221" s="58"/>
      <c r="K221" s="58"/>
      <c r="L221" s="58"/>
      <c r="M221" s="58"/>
      <c r="N221" s="58"/>
      <c r="O221" s="58"/>
      <c r="P221" s="58"/>
      <c r="Q221" s="58"/>
      <c r="R221" s="58"/>
      <c r="S221" s="58"/>
      <c r="T221" s="58"/>
      <c r="U221" s="58"/>
      <c r="V221" s="58"/>
      <c r="W221" s="58"/>
      <c r="X221" s="58"/>
      <c r="Y221" s="58"/>
    </row>
    <row r="222">
      <c r="A222" s="58"/>
      <c r="B222" s="58"/>
      <c r="C222" s="58"/>
      <c r="D222" s="58"/>
      <c r="E222" s="194"/>
      <c r="F222" s="58"/>
      <c r="G222" s="58"/>
      <c r="H222" s="58"/>
      <c r="I222" s="58"/>
      <c r="J222" s="58"/>
      <c r="K222" s="58"/>
      <c r="L222" s="58"/>
      <c r="M222" s="58"/>
      <c r="N222" s="58"/>
      <c r="O222" s="58"/>
      <c r="P222" s="58"/>
      <c r="Q222" s="58"/>
      <c r="R222" s="58"/>
      <c r="S222" s="58"/>
      <c r="T222" s="58"/>
      <c r="U222" s="58"/>
      <c r="V222" s="58"/>
      <c r="W222" s="58"/>
      <c r="X222" s="58"/>
      <c r="Y222" s="58"/>
    </row>
    <row r="223">
      <c r="A223" s="58"/>
      <c r="B223" s="58"/>
      <c r="C223" s="58"/>
      <c r="D223" s="58"/>
      <c r="E223" s="194"/>
      <c r="F223" s="58"/>
      <c r="G223" s="58"/>
      <c r="H223" s="58"/>
      <c r="I223" s="58"/>
      <c r="J223" s="58"/>
      <c r="K223" s="58"/>
      <c r="L223" s="58"/>
      <c r="M223" s="58"/>
      <c r="N223" s="58"/>
      <c r="O223" s="58"/>
      <c r="P223" s="58"/>
      <c r="Q223" s="58"/>
      <c r="R223" s="58"/>
      <c r="S223" s="58"/>
      <c r="T223" s="58"/>
      <c r="U223" s="58"/>
      <c r="V223" s="58"/>
      <c r="W223" s="58"/>
      <c r="X223" s="58"/>
      <c r="Y223" s="58"/>
    </row>
    <row r="224">
      <c r="A224" s="58"/>
      <c r="B224" s="58"/>
      <c r="C224" s="58"/>
      <c r="D224" s="58"/>
      <c r="E224" s="194"/>
      <c r="F224" s="58"/>
      <c r="G224" s="58"/>
      <c r="H224" s="58"/>
      <c r="I224" s="58"/>
      <c r="J224" s="58"/>
      <c r="K224" s="58"/>
      <c r="L224" s="58"/>
      <c r="M224" s="58"/>
      <c r="N224" s="58"/>
      <c r="O224" s="58"/>
      <c r="P224" s="58"/>
      <c r="Q224" s="58"/>
      <c r="R224" s="58"/>
      <c r="S224" s="58"/>
      <c r="T224" s="58"/>
      <c r="U224" s="58"/>
      <c r="V224" s="58"/>
      <c r="W224" s="58"/>
      <c r="X224" s="58"/>
      <c r="Y224" s="58"/>
    </row>
    <row r="225">
      <c r="A225" s="58"/>
      <c r="B225" s="58"/>
      <c r="C225" s="58"/>
      <c r="D225" s="58"/>
      <c r="E225" s="194"/>
      <c r="F225" s="58"/>
      <c r="G225" s="58"/>
      <c r="H225" s="58"/>
      <c r="I225" s="58"/>
      <c r="J225" s="58"/>
      <c r="K225" s="58"/>
      <c r="L225" s="58"/>
      <c r="M225" s="58"/>
      <c r="N225" s="58"/>
      <c r="O225" s="58"/>
      <c r="P225" s="58"/>
      <c r="Q225" s="58"/>
      <c r="R225" s="58"/>
      <c r="S225" s="58"/>
      <c r="T225" s="58"/>
      <c r="U225" s="58"/>
      <c r="V225" s="58"/>
      <c r="W225" s="58"/>
      <c r="X225" s="58"/>
      <c r="Y225" s="58"/>
    </row>
    <row r="226">
      <c r="A226" s="58"/>
      <c r="B226" s="58"/>
      <c r="C226" s="58"/>
      <c r="D226" s="58"/>
      <c r="E226" s="194"/>
      <c r="F226" s="58"/>
      <c r="G226" s="58"/>
      <c r="H226" s="58"/>
      <c r="I226" s="58"/>
      <c r="J226" s="58"/>
      <c r="K226" s="58"/>
      <c r="L226" s="58"/>
      <c r="M226" s="58"/>
      <c r="N226" s="58"/>
      <c r="O226" s="58"/>
      <c r="P226" s="58"/>
      <c r="Q226" s="58"/>
      <c r="R226" s="58"/>
      <c r="S226" s="58"/>
      <c r="T226" s="58"/>
      <c r="U226" s="58"/>
      <c r="V226" s="58"/>
      <c r="W226" s="58"/>
      <c r="X226" s="58"/>
      <c r="Y226" s="58"/>
    </row>
    <row r="227">
      <c r="A227" s="58"/>
      <c r="B227" s="58"/>
      <c r="C227" s="58"/>
      <c r="D227" s="58"/>
      <c r="E227" s="194"/>
      <c r="F227" s="58"/>
      <c r="G227" s="58"/>
      <c r="H227" s="58"/>
      <c r="I227" s="58"/>
      <c r="J227" s="58"/>
      <c r="K227" s="58"/>
      <c r="L227" s="58"/>
      <c r="M227" s="58"/>
      <c r="N227" s="58"/>
      <c r="O227" s="58"/>
      <c r="P227" s="58"/>
      <c r="Q227" s="58"/>
      <c r="R227" s="58"/>
      <c r="S227" s="58"/>
      <c r="T227" s="58"/>
      <c r="U227" s="58"/>
      <c r="V227" s="58"/>
      <c r="W227" s="58"/>
      <c r="X227" s="58"/>
      <c r="Y227" s="58"/>
    </row>
    <row r="228">
      <c r="A228" s="58"/>
      <c r="B228" s="58"/>
      <c r="C228" s="58"/>
      <c r="D228" s="58"/>
      <c r="E228" s="194"/>
      <c r="F228" s="58"/>
      <c r="G228" s="58"/>
      <c r="H228" s="58"/>
      <c r="I228" s="58"/>
      <c r="J228" s="58"/>
      <c r="K228" s="58"/>
      <c r="L228" s="58"/>
      <c r="M228" s="58"/>
      <c r="N228" s="58"/>
      <c r="O228" s="58"/>
      <c r="P228" s="58"/>
      <c r="Q228" s="58"/>
      <c r="R228" s="58"/>
      <c r="S228" s="58"/>
      <c r="T228" s="58"/>
      <c r="U228" s="58"/>
      <c r="V228" s="58"/>
      <c r="W228" s="58"/>
      <c r="X228" s="58"/>
      <c r="Y228" s="58"/>
    </row>
    <row r="229">
      <c r="A229" s="58"/>
      <c r="B229" s="58"/>
      <c r="C229" s="58"/>
      <c r="D229" s="58"/>
      <c r="E229" s="194"/>
      <c r="F229" s="58"/>
      <c r="G229" s="58"/>
      <c r="H229" s="58"/>
      <c r="I229" s="58"/>
      <c r="J229" s="58"/>
      <c r="K229" s="58"/>
      <c r="L229" s="58"/>
      <c r="M229" s="58"/>
      <c r="N229" s="58"/>
      <c r="O229" s="58"/>
      <c r="P229" s="58"/>
      <c r="Q229" s="58"/>
      <c r="R229" s="58"/>
      <c r="S229" s="58"/>
      <c r="T229" s="58"/>
      <c r="U229" s="58"/>
      <c r="V229" s="58"/>
      <c r="W229" s="58"/>
      <c r="X229" s="58"/>
      <c r="Y229" s="58"/>
    </row>
    <row r="230">
      <c r="A230" s="58"/>
      <c r="B230" s="58"/>
      <c r="C230" s="58"/>
      <c r="D230" s="58"/>
      <c r="E230" s="194"/>
      <c r="F230" s="58"/>
      <c r="G230" s="58"/>
      <c r="H230" s="58"/>
      <c r="I230" s="58"/>
      <c r="J230" s="58"/>
      <c r="K230" s="58"/>
      <c r="L230" s="58"/>
      <c r="M230" s="58"/>
      <c r="N230" s="58"/>
      <c r="O230" s="58"/>
      <c r="P230" s="58"/>
      <c r="Q230" s="58"/>
      <c r="R230" s="58"/>
      <c r="S230" s="58"/>
      <c r="T230" s="58"/>
      <c r="U230" s="58"/>
      <c r="V230" s="58"/>
      <c r="W230" s="58"/>
      <c r="X230" s="58"/>
      <c r="Y230" s="58"/>
    </row>
    <row r="231">
      <c r="A231" s="58"/>
      <c r="B231" s="58"/>
      <c r="C231" s="58"/>
      <c r="D231" s="58"/>
      <c r="E231" s="194"/>
      <c r="F231" s="58"/>
      <c r="G231" s="58"/>
      <c r="H231" s="58"/>
      <c r="I231" s="58"/>
      <c r="J231" s="58"/>
      <c r="K231" s="58"/>
      <c r="L231" s="58"/>
      <c r="M231" s="58"/>
      <c r="N231" s="58"/>
      <c r="O231" s="58"/>
      <c r="P231" s="58"/>
      <c r="Q231" s="58"/>
      <c r="R231" s="58"/>
      <c r="S231" s="58"/>
      <c r="T231" s="58"/>
      <c r="U231" s="58"/>
      <c r="V231" s="58"/>
      <c r="W231" s="58"/>
      <c r="X231" s="58"/>
      <c r="Y231" s="58"/>
    </row>
    <row r="232">
      <c r="A232" s="58"/>
      <c r="B232" s="58"/>
      <c r="C232" s="58"/>
      <c r="D232" s="58"/>
      <c r="E232" s="194"/>
      <c r="F232" s="58"/>
      <c r="G232" s="58"/>
      <c r="H232" s="58"/>
      <c r="I232" s="58"/>
      <c r="J232" s="58"/>
      <c r="K232" s="58"/>
      <c r="L232" s="58"/>
      <c r="M232" s="58"/>
      <c r="N232" s="58"/>
      <c r="O232" s="58"/>
      <c r="P232" s="58"/>
      <c r="Q232" s="58"/>
      <c r="R232" s="58"/>
      <c r="S232" s="58"/>
      <c r="T232" s="58"/>
      <c r="U232" s="58"/>
      <c r="V232" s="58"/>
      <c r="W232" s="58"/>
      <c r="X232" s="58"/>
      <c r="Y232" s="58"/>
    </row>
    <row r="233">
      <c r="A233" s="58"/>
      <c r="B233" s="58"/>
      <c r="C233" s="58"/>
      <c r="D233" s="58"/>
      <c r="E233" s="194"/>
      <c r="F233" s="58"/>
      <c r="G233" s="58"/>
      <c r="H233" s="58"/>
      <c r="I233" s="58"/>
      <c r="J233" s="58"/>
      <c r="K233" s="58"/>
      <c r="L233" s="58"/>
      <c r="M233" s="58"/>
      <c r="N233" s="58"/>
      <c r="O233" s="58"/>
      <c r="P233" s="58"/>
      <c r="Q233" s="58"/>
      <c r="R233" s="58"/>
      <c r="S233" s="58"/>
      <c r="T233" s="58"/>
      <c r="U233" s="58"/>
      <c r="V233" s="58"/>
      <c r="W233" s="58"/>
      <c r="X233" s="58"/>
      <c r="Y233" s="58"/>
    </row>
    <row r="234">
      <c r="A234" s="58"/>
      <c r="B234" s="58"/>
      <c r="C234" s="58"/>
      <c r="D234" s="58"/>
      <c r="E234" s="194"/>
      <c r="F234" s="58"/>
      <c r="G234" s="58"/>
      <c r="H234" s="58"/>
      <c r="I234" s="58"/>
      <c r="J234" s="58"/>
      <c r="K234" s="58"/>
      <c r="L234" s="58"/>
      <c r="M234" s="58"/>
      <c r="N234" s="58"/>
      <c r="O234" s="58"/>
      <c r="P234" s="58"/>
      <c r="Q234" s="58"/>
      <c r="R234" s="58"/>
      <c r="S234" s="58"/>
      <c r="T234" s="58"/>
      <c r="U234" s="58"/>
      <c r="V234" s="58"/>
      <c r="W234" s="58"/>
      <c r="X234" s="58"/>
      <c r="Y234" s="58"/>
    </row>
    <row r="235">
      <c r="A235" s="58"/>
      <c r="B235" s="58"/>
      <c r="C235" s="58"/>
      <c r="D235" s="58"/>
      <c r="E235" s="194"/>
      <c r="F235" s="58"/>
      <c r="G235" s="58"/>
      <c r="H235" s="58"/>
      <c r="I235" s="58"/>
      <c r="J235" s="58"/>
      <c r="K235" s="58"/>
      <c r="L235" s="58"/>
      <c r="M235" s="58"/>
      <c r="N235" s="58"/>
      <c r="O235" s="58"/>
      <c r="P235" s="58"/>
      <c r="Q235" s="58"/>
      <c r="R235" s="58"/>
      <c r="S235" s="58"/>
      <c r="T235" s="58"/>
      <c r="U235" s="58"/>
      <c r="V235" s="58"/>
      <c r="W235" s="58"/>
      <c r="X235" s="58"/>
      <c r="Y235" s="58"/>
    </row>
    <row r="236">
      <c r="A236" s="58"/>
      <c r="B236" s="58"/>
      <c r="C236" s="58"/>
      <c r="D236" s="58"/>
      <c r="E236" s="194"/>
      <c r="F236" s="58"/>
      <c r="G236" s="58"/>
      <c r="H236" s="58"/>
      <c r="I236" s="58"/>
      <c r="J236" s="58"/>
      <c r="K236" s="58"/>
      <c r="L236" s="58"/>
      <c r="M236" s="58"/>
      <c r="N236" s="58"/>
      <c r="O236" s="58"/>
      <c r="P236" s="58"/>
      <c r="Q236" s="58"/>
      <c r="R236" s="58"/>
      <c r="S236" s="58"/>
      <c r="T236" s="58"/>
      <c r="U236" s="58"/>
      <c r="V236" s="58"/>
      <c r="W236" s="58"/>
      <c r="X236" s="58"/>
      <c r="Y236" s="58"/>
    </row>
    <row r="237">
      <c r="A237" s="58"/>
      <c r="B237" s="58"/>
      <c r="C237" s="58"/>
      <c r="D237" s="58"/>
      <c r="E237" s="194"/>
      <c r="F237" s="58"/>
      <c r="G237" s="58"/>
      <c r="H237" s="58"/>
      <c r="I237" s="58"/>
      <c r="J237" s="58"/>
      <c r="K237" s="58"/>
      <c r="L237" s="58"/>
      <c r="M237" s="58"/>
      <c r="N237" s="58"/>
      <c r="O237" s="58"/>
      <c r="P237" s="58"/>
      <c r="Q237" s="58"/>
      <c r="R237" s="58"/>
      <c r="S237" s="58"/>
      <c r="T237" s="58"/>
      <c r="U237" s="58"/>
      <c r="V237" s="58"/>
      <c r="W237" s="58"/>
      <c r="X237" s="58"/>
      <c r="Y237" s="58"/>
    </row>
    <row r="238">
      <c r="A238" s="58"/>
      <c r="B238" s="58"/>
      <c r="C238" s="58"/>
      <c r="D238" s="58"/>
      <c r="E238" s="194"/>
      <c r="F238" s="58"/>
      <c r="G238" s="58"/>
      <c r="H238" s="58"/>
      <c r="I238" s="58"/>
      <c r="J238" s="58"/>
      <c r="K238" s="58"/>
      <c r="L238" s="58"/>
      <c r="M238" s="58"/>
      <c r="N238" s="58"/>
      <c r="O238" s="58"/>
      <c r="P238" s="58"/>
      <c r="Q238" s="58"/>
      <c r="R238" s="58"/>
      <c r="S238" s="58"/>
      <c r="T238" s="58"/>
      <c r="U238" s="58"/>
      <c r="V238" s="58"/>
      <c r="W238" s="58"/>
      <c r="X238" s="58"/>
      <c r="Y238" s="58"/>
    </row>
    <row r="239">
      <c r="A239" s="58"/>
      <c r="B239" s="58"/>
      <c r="C239" s="58"/>
      <c r="D239" s="58"/>
      <c r="E239" s="194"/>
      <c r="F239" s="58"/>
      <c r="G239" s="58"/>
      <c r="H239" s="58"/>
      <c r="I239" s="58"/>
      <c r="J239" s="58"/>
      <c r="K239" s="58"/>
      <c r="L239" s="58"/>
      <c r="M239" s="58"/>
      <c r="N239" s="58"/>
      <c r="O239" s="58"/>
      <c r="P239" s="58"/>
      <c r="Q239" s="58"/>
      <c r="R239" s="58"/>
      <c r="S239" s="58"/>
      <c r="T239" s="58"/>
      <c r="U239" s="58"/>
      <c r="V239" s="58"/>
      <c r="W239" s="58"/>
      <c r="X239" s="58"/>
      <c r="Y239" s="58"/>
    </row>
    <row r="240">
      <c r="A240" s="58"/>
      <c r="B240" s="58"/>
      <c r="C240" s="58"/>
      <c r="D240" s="58"/>
      <c r="E240" s="194"/>
      <c r="F240" s="58"/>
      <c r="G240" s="58"/>
      <c r="H240" s="58"/>
      <c r="I240" s="58"/>
      <c r="J240" s="58"/>
      <c r="K240" s="58"/>
      <c r="L240" s="58"/>
      <c r="M240" s="58"/>
      <c r="N240" s="58"/>
      <c r="O240" s="58"/>
      <c r="P240" s="58"/>
      <c r="Q240" s="58"/>
      <c r="R240" s="58"/>
      <c r="S240" s="58"/>
      <c r="T240" s="58"/>
      <c r="U240" s="58"/>
      <c r="V240" s="58"/>
      <c r="W240" s="58"/>
      <c r="X240" s="58"/>
      <c r="Y240" s="58"/>
    </row>
    <row r="241">
      <c r="A241" s="58"/>
      <c r="B241" s="58"/>
      <c r="C241" s="58"/>
      <c r="D241" s="58"/>
      <c r="E241" s="194"/>
      <c r="F241" s="58"/>
      <c r="G241" s="58"/>
      <c r="H241" s="58"/>
      <c r="I241" s="58"/>
      <c r="J241" s="58"/>
      <c r="K241" s="58"/>
      <c r="L241" s="58"/>
      <c r="M241" s="58"/>
      <c r="N241" s="58"/>
      <c r="O241" s="58"/>
      <c r="P241" s="58"/>
      <c r="Q241" s="58"/>
      <c r="R241" s="58"/>
      <c r="S241" s="58"/>
      <c r="T241" s="58"/>
      <c r="U241" s="58"/>
      <c r="V241" s="58"/>
      <c r="W241" s="58"/>
      <c r="X241" s="58"/>
      <c r="Y241" s="58"/>
    </row>
    <row r="242">
      <c r="A242" s="58"/>
      <c r="B242" s="58"/>
      <c r="C242" s="58"/>
      <c r="D242" s="58"/>
      <c r="E242" s="194"/>
      <c r="F242" s="58"/>
      <c r="G242" s="58"/>
      <c r="H242" s="58"/>
      <c r="I242" s="58"/>
      <c r="J242" s="58"/>
      <c r="K242" s="58"/>
      <c r="L242" s="58"/>
      <c r="M242" s="58"/>
      <c r="N242" s="58"/>
      <c r="O242" s="58"/>
      <c r="P242" s="58"/>
      <c r="Q242" s="58"/>
      <c r="R242" s="58"/>
      <c r="S242" s="58"/>
      <c r="T242" s="58"/>
      <c r="U242" s="58"/>
      <c r="V242" s="58"/>
      <c r="W242" s="58"/>
      <c r="X242" s="58"/>
      <c r="Y242" s="58"/>
    </row>
    <row r="243">
      <c r="A243" s="58"/>
      <c r="B243" s="58"/>
      <c r="C243" s="58"/>
      <c r="D243" s="58"/>
      <c r="E243" s="194"/>
      <c r="F243" s="58"/>
      <c r="G243" s="58"/>
      <c r="H243" s="58"/>
      <c r="I243" s="58"/>
      <c r="J243" s="58"/>
      <c r="K243" s="58"/>
      <c r="L243" s="58"/>
      <c r="M243" s="58"/>
      <c r="N243" s="58"/>
      <c r="O243" s="58"/>
      <c r="P243" s="58"/>
      <c r="Q243" s="58"/>
      <c r="R243" s="58"/>
      <c r="S243" s="58"/>
      <c r="T243" s="58"/>
      <c r="U243" s="58"/>
      <c r="V243" s="58"/>
      <c r="W243" s="58"/>
      <c r="X243" s="58"/>
      <c r="Y243" s="58"/>
    </row>
    <row r="244">
      <c r="A244" s="58"/>
      <c r="B244" s="58"/>
      <c r="C244" s="58"/>
      <c r="D244" s="58"/>
      <c r="E244" s="194"/>
      <c r="F244" s="58"/>
      <c r="G244" s="58"/>
      <c r="H244" s="58"/>
      <c r="I244" s="58"/>
      <c r="J244" s="58"/>
      <c r="K244" s="58"/>
      <c r="L244" s="58"/>
      <c r="M244" s="58"/>
      <c r="N244" s="58"/>
      <c r="O244" s="58"/>
      <c r="P244" s="58"/>
      <c r="Q244" s="58"/>
      <c r="R244" s="58"/>
      <c r="S244" s="58"/>
      <c r="T244" s="58"/>
      <c r="U244" s="58"/>
      <c r="V244" s="58"/>
      <c r="W244" s="58"/>
      <c r="X244" s="58"/>
      <c r="Y244" s="58"/>
    </row>
    <row r="245">
      <c r="A245" s="58"/>
      <c r="B245" s="58"/>
      <c r="C245" s="58"/>
      <c r="D245" s="58"/>
      <c r="E245" s="194"/>
      <c r="F245" s="58"/>
      <c r="G245" s="58"/>
      <c r="H245" s="58"/>
      <c r="I245" s="58"/>
      <c r="J245" s="58"/>
      <c r="K245" s="58"/>
      <c r="L245" s="58"/>
      <c r="M245" s="58"/>
      <c r="N245" s="58"/>
      <c r="O245" s="58"/>
      <c r="P245" s="58"/>
      <c r="Q245" s="58"/>
      <c r="R245" s="58"/>
      <c r="S245" s="58"/>
      <c r="T245" s="58"/>
      <c r="U245" s="58"/>
      <c r="V245" s="58"/>
      <c r="W245" s="58"/>
      <c r="X245" s="58"/>
      <c r="Y245" s="58"/>
    </row>
    <row r="246">
      <c r="A246" s="58"/>
      <c r="B246" s="58"/>
      <c r="C246" s="58"/>
      <c r="D246" s="58"/>
      <c r="E246" s="194"/>
      <c r="F246" s="58"/>
      <c r="G246" s="58"/>
      <c r="H246" s="58"/>
      <c r="I246" s="58"/>
      <c r="J246" s="58"/>
      <c r="K246" s="58"/>
      <c r="L246" s="58"/>
      <c r="M246" s="58"/>
      <c r="N246" s="58"/>
      <c r="O246" s="58"/>
      <c r="P246" s="58"/>
      <c r="Q246" s="58"/>
      <c r="R246" s="58"/>
      <c r="S246" s="58"/>
      <c r="T246" s="58"/>
      <c r="U246" s="58"/>
      <c r="V246" s="58"/>
      <c r="W246" s="58"/>
      <c r="X246" s="58"/>
      <c r="Y246" s="58"/>
    </row>
    <row r="247">
      <c r="A247" s="58"/>
      <c r="B247" s="58"/>
      <c r="C247" s="58"/>
      <c r="D247" s="58"/>
      <c r="E247" s="194"/>
      <c r="F247" s="58"/>
      <c r="G247" s="58"/>
      <c r="H247" s="58"/>
      <c r="I247" s="58"/>
      <c r="J247" s="58"/>
      <c r="K247" s="58"/>
      <c r="L247" s="58"/>
      <c r="M247" s="58"/>
      <c r="N247" s="58"/>
      <c r="O247" s="58"/>
      <c r="P247" s="58"/>
      <c r="Q247" s="58"/>
      <c r="R247" s="58"/>
      <c r="S247" s="58"/>
      <c r="T247" s="58"/>
      <c r="U247" s="58"/>
      <c r="V247" s="58"/>
      <c r="W247" s="58"/>
      <c r="X247" s="58"/>
      <c r="Y247" s="58"/>
    </row>
    <row r="248">
      <c r="A248" s="58"/>
      <c r="B248" s="58"/>
      <c r="C248" s="58"/>
      <c r="D248" s="58"/>
      <c r="E248" s="194"/>
      <c r="F248" s="58"/>
      <c r="G248" s="58"/>
      <c r="H248" s="58"/>
      <c r="I248" s="58"/>
      <c r="J248" s="58"/>
      <c r="K248" s="58"/>
      <c r="L248" s="58"/>
      <c r="M248" s="58"/>
      <c r="N248" s="58"/>
      <c r="O248" s="58"/>
      <c r="P248" s="58"/>
      <c r="Q248" s="58"/>
      <c r="R248" s="58"/>
      <c r="S248" s="58"/>
      <c r="T248" s="58"/>
      <c r="U248" s="58"/>
      <c r="V248" s="58"/>
      <c r="W248" s="58"/>
      <c r="X248" s="58"/>
      <c r="Y248" s="58"/>
    </row>
    <row r="249">
      <c r="A249" s="58"/>
      <c r="B249" s="58"/>
      <c r="C249" s="58"/>
      <c r="D249" s="58"/>
      <c r="E249" s="194"/>
      <c r="F249" s="58"/>
      <c r="G249" s="58"/>
      <c r="H249" s="58"/>
      <c r="I249" s="58"/>
      <c r="J249" s="58"/>
      <c r="K249" s="58"/>
      <c r="L249" s="58"/>
      <c r="M249" s="58"/>
      <c r="N249" s="58"/>
      <c r="O249" s="58"/>
      <c r="P249" s="58"/>
      <c r="Q249" s="58"/>
      <c r="R249" s="58"/>
      <c r="S249" s="58"/>
      <c r="T249" s="58"/>
      <c r="U249" s="58"/>
      <c r="V249" s="58"/>
      <c r="W249" s="58"/>
      <c r="X249" s="58"/>
      <c r="Y249" s="58"/>
    </row>
    <row r="250">
      <c r="A250" s="58"/>
      <c r="B250" s="58"/>
      <c r="C250" s="58"/>
      <c r="D250" s="58"/>
      <c r="E250" s="194"/>
      <c r="F250" s="58"/>
      <c r="G250" s="58"/>
      <c r="H250" s="58"/>
      <c r="I250" s="58"/>
      <c r="J250" s="58"/>
      <c r="K250" s="58"/>
      <c r="L250" s="58"/>
      <c r="M250" s="58"/>
      <c r="N250" s="58"/>
      <c r="O250" s="58"/>
      <c r="P250" s="58"/>
      <c r="Q250" s="58"/>
      <c r="R250" s="58"/>
      <c r="S250" s="58"/>
      <c r="T250" s="58"/>
      <c r="U250" s="58"/>
      <c r="V250" s="58"/>
      <c r="W250" s="58"/>
      <c r="X250" s="58"/>
      <c r="Y250" s="58"/>
    </row>
    <row r="251">
      <c r="A251" s="58"/>
      <c r="B251" s="58"/>
      <c r="C251" s="58"/>
      <c r="D251" s="58"/>
      <c r="E251" s="194"/>
      <c r="F251" s="58"/>
      <c r="G251" s="58"/>
      <c r="H251" s="58"/>
      <c r="I251" s="58"/>
      <c r="J251" s="58"/>
      <c r="K251" s="58"/>
      <c r="L251" s="58"/>
      <c r="M251" s="58"/>
      <c r="N251" s="58"/>
      <c r="O251" s="58"/>
      <c r="P251" s="58"/>
      <c r="Q251" s="58"/>
      <c r="R251" s="58"/>
      <c r="S251" s="58"/>
      <c r="T251" s="58"/>
      <c r="U251" s="58"/>
      <c r="V251" s="58"/>
      <c r="W251" s="58"/>
      <c r="X251" s="58"/>
      <c r="Y251" s="58"/>
    </row>
    <row r="252">
      <c r="A252" s="58"/>
      <c r="B252" s="58"/>
      <c r="C252" s="58"/>
      <c r="D252" s="58"/>
      <c r="E252" s="194"/>
      <c r="F252" s="58"/>
      <c r="G252" s="58"/>
      <c r="H252" s="58"/>
      <c r="I252" s="58"/>
      <c r="J252" s="58"/>
      <c r="K252" s="58"/>
      <c r="L252" s="58"/>
      <c r="M252" s="58"/>
      <c r="N252" s="58"/>
      <c r="O252" s="58"/>
      <c r="P252" s="58"/>
      <c r="Q252" s="58"/>
      <c r="R252" s="58"/>
      <c r="S252" s="58"/>
      <c r="T252" s="58"/>
      <c r="U252" s="58"/>
      <c r="V252" s="58"/>
      <c r="W252" s="58"/>
      <c r="X252" s="58"/>
      <c r="Y252" s="58"/>
    </row>
    <row r="253">
      <c r="A253" s="58"/>
      <c r="B253" s="58"/>
      <c r="C253" s="58"/>
      <c r="D253" s="58"/>
      <c r="E253" s="194"/>
      <c r="F253" s="58"/>
      <c r="G253" s="58"/>
      <c r="H253" s="58"/>
      <c r="I253" s="58"/>
      <c r="J253" s="58"/>
      <c r="K253" s="58"/>
      <c r="L253" s="58"/>
      <c r="M253" s="58"/>
      <c r="N253" s="58"/>
      <c r="O253" s="58"/>
      <c r="P253" s="58"/>
      <c r="Q253" s="58"/>
      <c r="R253" s="58"/>
      <c r="S253" s="58"/>
      <c r="T253" s="58"/>
      <c r="U253" s="58"/>
      <c r="V253" s="58"/>
      <c r="W253" s="58"/>
      <c r="X253" s="58"/>
      <c r="Y253" s="58"/>
    </row>
    <row r="254">
      <c r="A254" s="58"/>
      <c r="B254" s="58"/>
      <c r="C254" s="58"/>
      <c r="D254" s="58"/>
      <c r="E254" s="194"/>
      <c r="F254" s="58"/>
      <c r="G254" s="58"/>
      <c r="H254" s="58"/>
      <c r="I254" s="58"/>
      <c r="J254" s="58"/>
      <c r="K254" s="58"/>
      <c r="L254" s="58"/>
      <c r="M254" s="58"/>
      <c r="N254" s="58"/>
      <c r="O254" s="58"/>
      <c r="P254" s="58"/>
      <c r="Q254" s="58"/>
      <c r="R254" s="58"/>
      <c r="S254" s="58"/>
      <c r="T254" s="58"/>
      <c r="U254" s="58"/>
      <c r="V254" s="58"/>
      <c r="W254" s="58"/>
      <c r="X254" s="58"/>
      <c r="Y254" s="58"/>
    </row>
    <row r="255">
      <c r="A255" s="58"/>
      <c r="B255" s="58"/>
      <c r="C255" s="58"/>
      <c r="D255" s="58"/>
      <c r="E255" s="194"/>
      <c r="F255" s="58"/>
      <c r="G255" s="58"/>
      <c r="H255" s="58"/>
      <c r="I255" s="58"/>
      <c r="J255" s="58"/>
      <c r="K255" s="58"/>
      <c r="L255" s="58"/>
      <c r="M255" s="58"/>
      <c r="N255" s="58"/>
      <c r="O255" s="58"/>
      <c r="P255" s="58"/>
      <c r="Q255" s="58"/>
      <c r="R255" s="58"/>
      <c r="S255" s="58"/>
      <c r="T255" s="58"/>
      <c r="U255" s="58"/>
      <c r="V255" s="58"/>
      <c r="W255" s="58"/>
      <c r="X255" s="58"/>
      <c r="Y255" s="58"/>
    </row>
    <row r="256">
      <c r="A256" s="58"/>
      <c r="B256" s="58"/>
      <c r="C256" s="58"/>
      <c r="D256" s="58"/>
      <c r="E256" s="194"/>
      <c r="F256" s="58"/>
      <c r="G256" s="58"/>
      <c r="H256" s="58"/>
      <c r="I256" s="58"/>
      <c r="J256" s="58"/>
      <c r="K256" s="58"/>
      <c r="L256" s="58"/>
      <c r="M256" s="58"/>
      <c r="N256" s="58"/>
      <c r="O256" s="58"/>
      <c r="P256" s="58"/>
      <c r="Q256" s="58"/>
      <c r="R256" s="58"/>
      <c r="S256" s="58"/>
      <c r="T256" s="58"/>
      <c r="U256" s="58"/>
      <c r="V256" s="58"/>
      <c r="W256" s="58"/>
      <c r="X256" s="58"/>
      <c r="Y256" s="58"/>
    </row>
    <row r="257">
      <c r="A257" s="58"/>
      <c r="B257" s="58"/>
      <c r="C257" s="58"/>
      <c r="D257" s="58"/>
      <c r="E257" s="194"/>
      <c r="F257" s="58"/>
      <c r="G257" s="58"/>
      <c r="H257" s="58"/>
      <c r="I257" s="58"/>
      <c r="J257" s="58"/>
      <c r="K257" s="58"/>
      <c r="L257" s="58"/>
      <c r="M257" s="58"/>
      <c r="N257" s="58"/>
      <c r="O257" s="58"/>
      <c r="P257" s="58"/>
      <c r="Q257" s="58"/>
      <c r="R257" s="58"/>
      <c r="S257" s="58"/>
      <c r="T257" s="58"/>
      <c r="U257" s="58"/>
      <c r="V257" s="58"/>
      <c r="W257" s="58"/>
      <c r="X257" s="58"/>
      <c r="Y257" s="58"/>
    </row>
    <row r="258">
      <c r="A258" s="58"/>
      <c r="B258" s="58"/>
      <c r="C258" s="58"/>
      <c r="D258" s="58"/>
      <c r="E258" s="194"/>
      <c r="F258" s="58"/>
      <c r="G258" s="58"/>
      <c r="H258" s="58"/>
      <c r="I258" s="58"/>
      <c r="J258" s="58"/>
      <c r="K258" s="58"/>
      <c r="L258" s="58"/>
      <c r="M258" s="58"/>
      <c r="N258" s="58"/>
      <c r="O258" s="58"/>
      <c r="P258" s="58"/>
      <c r="Q258" s="58"/>
      <c r="R258" s="58"/>
      <c r="S258" s="58"/>
      <c r="T258" s="58"/>
      <c r="U258" s="58"/>
      <c r="V258" s="58"/>
      <c r="W258" s="58"/>
      <c r="X258" s="58"/>
      <c r="Y258" s="58"/>
    </row>
    <row r="259">
      <c r="A259" s="58"/>
      <c r="B259" s="58"/>
      <c r="C259" s="58"/>
      <c r="D259" s="58"/>
      <c r="E259" s="194"/>
      <c r="F259" s="58"/>
      <c r="G259" s="58"/>
      <c r="H259" s="58"/>
      <c r="I259" s="58"/>
      <c r="J259" s="58"/>
      <c r="K259" s="58"/>
      <c r="L259" s="58"/>
      <c r="M259" s="58"/>
      <c r="N259" s="58"/>
      <c r="O259" s="58"/>
      <c r="P259" s="58"/>
      <c r="Q259" s="58"/>
      <c r="R259" s="58"/>
      <c r="S259" s="58"/>
      <c r="T259" s="58"/>
      <c r="U259" s="58"/>
      <c r="V259" s="58"/>
      <c r="W259" s="58"/>
      <c r="X259" s="58"/>
      <c r="Y259" s="58"/>
    </row>
    <row r="260">
      <c r="A260" s="58"/>
      <c r="B260" s="58"/>
      <c r="C260" s="58"/>
      <c r="D260" s="58"/>
      <c r="E260" s="194"/>
      <c r="F260" s="58"/>
      <c r="G260" s="58"/>
      <c r="H260" s="58"/>
      <c r="I260" s="58"/>
      <c r="J260" s="58"/>
      <c r="K260" s="58"/>
      <c r="L260" s="58"/>
      <c r="M260" s="58"/>
      <c r="N260" s="58"/>
      <c r="O260" s="58"/>
      <c r="P260" s="58"/>
      <c r="Q260" s="58"/>
      <c r="R260" s="58"/>
      <c r="S260" s="58"/>
      <c r="T260" s="58"/>
      <c r="U260" s="58"/>
      <c r="V260" s="58"/>
      <c r="W260" s="58"/>
      <c r="X260" s="58"/>
      <c r="Y260" s="58"/>
    </row>
    <row r="261">
      <c r="A261" s="58"/>
      <c r="B261" s="58"/>
      <c r="C261" s="58"/>
      <c r="D261" s="58"/>
      <c r="E261" s="194"/>
      <c r="F261" s="58"/>
      <c r="G261" s="58"/>
      <c r="H261" s="58"/>
      <c r="I261" s="58"/>
      <c r="J261" s="58"/>
      <c r="K261" s="58"/>
      <c r="L261" s="58"/>
      <c r="M261" s="58"/>
      <c r="N261" s="58"/>
      <c r="O261" s="58"/>
      <c r="P261" s="58"/>
      <c r="Q261" s="58"/>
      <c r="R261" s="58"/>
      <c r="S261" s="58"/>
      <c r="T261" s="58"/>
      <c r="U261" s="58"/>
      <c r="V261" s="58"/>
      <c r="W261" s="58"/>
      <c r="X261" s="58"/>
      <c r="Y261" s="58"/>
    </row>
    <row r="262">
      <c r="A262" s="58"/>
      <c r="B262" s="58"/>
      <c r="C262" s="58"/>
      <c r="D262" s="58"/>
      <c r="E262" s="194"/>
      <c r="F262" s="58"/>
      <c r="G262" s="58"/>
      <c r="H262" s="58"/>
      <c r="I262" s="58"/>
      <c r="J262" s="58"/>
      <c r="K262" s="58"/>
      <c r="L262" s="58"/>
      <c r="M262" s="58"/>
      <c r="N262" s="58"/>
      <c r="O262" s="58"/>
      <c r="P262" s="58"/>
      <c r="Q262" s="58"/>
      <c r="R262" s="58"/>
      <c r="S262" s="58"/>
      <c r="T262" s="58"/>
      <c r="U262" s="58"/>
      <c r="V262" s="58"/>
      <c r="W262" s="58"/>
      <c r="X262" s="58"/>
      <c r="Y262" s="58"/>
    </row>
    <row r="263">
      <c r="A263" s="58"/>
      <c r="B263" s="58"/>
      <c r="C263" s="58"/>
      <c r="D263" s="58"/>
      <c r="E263" s="194"/>
      <c r="F263" s="58"/>
      <c r="G263" s="58"/>
      <c r="H263" s="58"/>
      <c r="I263" s="58"/>
      <c r="J263" s="58"/>
      <c r="K263" s="58"/>
      <c r="L263" s="58"/>
      <c r="M263" s="58"/>
      <c r="N263" s="58"/>
      <c r="O263" s="58"/>
      <c r="P263" s="58"/>
      <c r="Q263" s="58"/>
      <c r="R263" s="58"/>
      <c r="S263" s="58"/>
      <c r="T263" s="58"/>
      <c r="U263" s="58"/>
      <c r="V263" s="58"/>
      <c r="W263" s="58"/>
      <c r="X263" s="58"/>
      <c r="Y263" s="58"/>
    </row>
    <row r="264">
      <c r="A264" s="58"/>
      <c r="B264" s="58"/>
      <c r="C264" s="58"/>
      <c r="D264" s="58"/>
      <c r="E264" s="194"/>
      <c r="F264" s="58"/>
      <c r="G264" s="58"/>
      <c r="H264" s="58"/>
      <c r="I264" s="58"/>
      <c r="J264" s="58"/>
      <c r="K264" s="58"/>
      <c r="L264" s="58"/>
      <c r="M264" s="58"/>
      <c r="N264" s="58"/>
      <c r="O264" s="58"/>
      <c r="P264" s="58"/>
      <c r="Q264" s="58"/>
      <c r="R264" s="58"/>
      <c r="S264" s="58"/>
      <c r="T264" s="58"/>
      <c r="U264" s="58"/>
      <c r="V264" s="58"/>
      <c r="W264" s="58"/>
      <c r="X264" s="58"/>
      <c r="Y264" s="58"/>
    </row>
    <row r="265">
      <c r="A265" s="58"/>
      <c r="B265" s="58"/>
      <c r="C265" s="58"/>
      <c r="D265" s="58"/>
      <c r="E265" s="194"/>
      <c r="F265" s="58"/>
      <c r="G265" s="58"/>
      <c r="H265" s="58"/>
      <c r="I265" s="58"/>
      <c r="J265" s="58"/>
      <c r="K265" s="58"/>
      <c r="L265" s="58"/>
      <c r="M265" s="58"/>
      <c r="N265" s="58"/>
      <c r="O265" s="58"/>
      <c r="P265" s="58"/>
      <c r="Q265" s="58"/>
      <c r="R265" s="58"/>
      <c r="S265" s="58"/>
      <c r="T265" s="58"/>
      <c r="U265" s="58"/>
      <c r="V265" s="58"/>
      <c r="W265" s="58"/>
      <c r="X265" s="58"/>
      <c r="Y265" s="58"/>
    </row>
    <row r="266">
      <c r="A266" s="58"/>
      <c r="B266" s="58"/>
      <c r="C266" s="58"/>
      <c r="D266" s="58"/>
      <c r="E266" s="194"/>
      <c r="F266" s="58"/>
      <c r="G266" s="58"/>
      <c r="H266" s="58"/>
      <c r="I266" s="58"/>
      <c r="J266" s="58"/>
      <c r="K266" s="58"/>
      <c r="L266" s="58"/>
      <c r="M266" s="58"/>
      <c r="N266" s="58"/>
      <c r="O266" s="58"/>
      <c r="P266" s="58"/>
      <c r="Q266" s="58"/>
      <c r="R266" s="58"/>
      <c r="S266" s="58"/>
      <c r="T266" s="58"/>
      <c r="U266" s="58"/>
      <c r="V266" s="58"/>
      <c r="W266" s="58"/>
      <c r="X266" s="58"/>
      <c r="Y266" s="58"/>
    </row>
    <row r="267">
      <c r="A267" s="58"/>
      <c r="B267" s="58"/>
      <c r="C267" s="58"/>
      <c r="D267" s="58"/>
      <c r="E267" s="194"/>
      <c r="F267" s="58"/>
      <c r="G267" s="58"/>
      <c r="H267" s="58"/>
      <c r="I267" s="58"/>
      <c r="J267" s="58"/>
      <c r="K267" s="58"/>
      <c r="L267" s="58"/>
      <c r="M267" s="58"/>
      <c r="N267" s="58"/>
      <c r="O267" s="58"/>
      <c r="P267" s="58"/>
      <c r="Q267" s="58"/>
      <c r="R267" s="58"/>
      <c r="S267" s="58"/>
      <c r="T267" s="58"/>
      <c r="U267" s="58"/>
      <c r="V267" s="58"/>
      <c r="W267" s="58"/>
      <c r="X267" s="58"/>
      <c r="Y267" s="58"/>
    </row>
    <row r="268">
      <c r="A268" s="58"/>
      <c r="B268" s="58"/>
      <c r="C268" s="58"/>
      <c r="D268" s="58"/>
      <c r="E268" s="194"/>
      <c r="F268" s="58"/>
      <c r="G268" s="58"/>
      <c r="H268" s="58"/>
      <c r="I268" s="58"/>
      <c r="J268" s="58"/>
      <c r="K268" s="58"/>
      <c r="L268" s="58"/>
      <c r="M268" s="58"/>
      <c r="N268" s="58"/>
      <c r="O268" s="58"/>
      <c r="P268" s="58"/>
      <c r="Q268" s="58"/>
      <c r="R268" s="58"/>
      <c r="S268" s="58"/>
      <c r="T268" s="58"/>
      <c r="U268" s="58"/>
      <c r="V268" s="58"/>
      <c r="W268" s="58"/>
      <c r="X268" s="58"/>
      <c r="Y268" s="58"/>
    </row>
    <row r="269">
      <c r="A269" s="58"/>
      <c r="B269" s="58"/>
      <c r="C269" s="58"/>
      <c r="D269" s="58"/>
      <c r="E269" s="194"/>
      <c r="F269" s="58"/>
      <c r="G269" s="58"/>
      <c r="H269" s="58"/>
      <c r="I269" s="58"/>
      <c r="J269" s="58"/>
      <c r="K269" s="58"/>
      <c r="L269" s="58"/>
      <c r="M269" s="58"/>
      <c r="N269" s="58"/>
      <c r="O269" s="58"/>
      <c r="P269" s="58"/>
      <c r="Q269" s="58"/>
      <c r="R269" s="58"/>
      <c r="S269" s="58"/>
      <c r="T269" s="58"/>
      <c r="U269" s="58"/>
      <c r="V269" s="58"/>
      <c r="W269" s="58"/>
      <c r="X269" s="58"/>
      <c r="Y269" s="58"/>
    </row>
    <row r="270">
      <c r="A270" s="58"/>
      <c r="B270" s="58"/>
      <c r="C270" s="58"/>
      <c r="D270" s="58"/>
      <c r="E270" s="194"/>
      <c r="F270" s="58"/>
      <c r="G270" s="58"/>
      <c r="H270" s="58"/>
      <c r="I270" s="58"/>
      <c r="J270" s="58"/>
      <c r="K270" s="58"/>
      <c r="L270" s="58"/>
      <c r="M270" s="58"/>
      <c r="N270" s="58"/>
      <c r="O270" s="58"/>
      <c r="P270" s="58"/>
      <c r="Q270" s="58"/>
      <c r="R270" s="58"/>
      <c r="S270" s="58"/>
      <c r="T270" s="58"/>
      <c r="U270" s="58"/>
      <c r="V270" s="58"/>
      <c r="W270" s="58"/>
      <c r="X270" s="58"/>
      <c r="Y270" s="58"/>
    </row>
    <row r="271">
      <c r="A271" s="58"/>
      <c r="B271" s="58"/>
      <c r="C271" s="58"/>
      <c r="D271" s="58"/>
      <c r="E271" s="194"/>
      <c r="F271" s="58"/>
      <c r="G271" s="58"/>
      <c r="H271" s="58"/>
      <c r="I271" s="58"/>
      <c r="J271" s="58"/>
      <c r="K271" s="58"/>
      <c r="L271" s="58"/>
      <c r="M271" s="58"/>
      <c r="N271" s="58"/>
      <c r="O271" s="58"/>
      <c r="P271" s="58"/>
      <c r="Q271" s="58"/>
      <c r="R271" s="58"/>
      <c r="S271" s="58"/>
      <c r="T271" s="58"/>
      <c r="U271" s="58"/>
      <c r="V271" s="58"/>
      <c r="W271" s="58"/>
      <c r="X271" s="58"/>
      <c r="Y271" s="58"/>
    </row>
    <row r="272">
      <c r="A272" s="58"/>
      <c r="B272" s="58"/>
      <c r="C272" s="58"/>
      <c r="D272" s="58"/>
      <c r="E272" s="194"/>
      <c r="F272" s="58"/>
      <c r="G272" s="58"/>
      <c r="H272" s="58"/>
      <c r="I272" s="58"/>
      <c r="J272" s="58"/>
      <c r="K272" s="58"/>
      <c r="L272" s="58"/>
      <c r="M272" s="58"/>
      <c r="N272" s="58"/>
      <c r="O272" s="58"/>
      <c r="P272" s="58"/>
      <c r="Q272" s="58"/>
      <c r="R272" s="58"/>
      <c r="S272" s="58"/>
      <c r="T272" s="58"/>
      <c r="U272" s="58"/>
      <c r="V272" s="58"/>
      <c r="W272" s="58"/>
      <c r="X272" s="58"/>
      <c r="Y272" s="58"/>
    </row>
    <row r="273">
      <c r="A273" s="58"/>
      <c r="B273" s="58"/>
      <c r="C273" s="58"/>
      <c r="D273" s="58"/>
      <c r="E273" s="194"/>
      <c r="F273" s="58"/>
      <c r="G273" s="58"/>
      <c r="H273" s="58"/>
      <c r="I273" s="58"/>
      <c r="J273" s="58"/>
      <c r="K273" s="58"/>
      <c r="L273" s="58"/>
      <c r="M273" s="58"/>
      <c r="N273" s="58"/>
      <c r="O273" s="58"/>
      <c r="P273" s="58"/>
      <c r="Q273" s="58"/>
      <c r="R273" s="58"/>
      <c r="S273" s="58"/>
      <c r="T273" s="58"/>
      <c r="U273" s="58"/>
      <c r="V273" s="58"/>
      <c r="W273" s="58"/>
      <c r="X273" s="58"/>
      <c r="Y273" s="58"/>
    </row>
    <row r="274">
      <c r="A274" s="58"/>
      <c r="B274" s="58"/>
      <c r="C274" s="58"/>
      <c r="D274" s="58"/>
      <c r="E274" s="194"/>
      <c r="F274" s="58"/>
      <c r="G274" s="58"/>
      <c r="H274" s="58"/>
      <c r="I274" s="58"/>
      <c r="J274" s="58"/>
      <c r="K274" s="58"/>
      <c r="L274" s="58"/>
      <c r="M274" s="58"/>
      <c r="N274" s="58"/>
      <c r="O274" s="58"/>
      <c r="P274" s="58"/>
      <c r="Q274" s="58"/>
      <c r="R274" s="58"/>
      <c r="S274" s="58"/>
      <c r="T274" s="58"/>
      <c r="U274" s="58"/>
      <c r="V274" s="58"/>
      <c r="W274" s="58"/>
      <c r="X274" s="58"/>
      <c r="Y274" s="58"/>
    </row>
    <row r="275">
      <c r="A275" s="58"/>
      <c r="B275" s="58"/>
      <c r="C275" s="58"/>
      <c r="D275" s="58"/>
      <c r="E275" s="194"/>
      <c r="F275" s="58"/>
      <c r="G275" s="58"/>
      <c r="H275" s="58"/>
      <c r="I275" s="58"/>
      <c r="J275" s="58"/>
      <c r="K275" s="58"/>
      <c r="L275" s="58"/>
      <c r="M275" s="58"/>
      <c r="N275" s="58"/>
      <c r="O275" s="58"/>
      <c r="P275" s="58"/>
      <c r="Q275" s="58"/>
      <c r="R275" s="58"/>
      <c r="S275" s="58"/>
      <c r="T275" s="58"/>
      <c r="U275" s="58"/>
      <c r="V275" s="58"/>
      <c r="W275" s="58"/>
      <c r="X275" s="58"/>
      <c r="Y275" s="58"/>
    </row>
    <row r="276">
      <c r="A276" s="58"/>
      <c r="B276" s="58"/>
      <c r="C276" s="58"/>
      <c r="D276" s="58"/>
      <c r="E276" s="194"/>
      <c r="F276" s="58"/>
      <c r="G276" s="58"/>
      <c r="H276" s="58"/>
      <c r="I276" s="58"/>
      <c r="J276" s="58"/>
      <c r="K276" s="58"/>
      <c r="L276" s="58"/>
      <c r="M276" s="58"/>
      <c r="N276" s="58"/>
      <c r="O276" s="58"/>
      <c r="P276" s="58"/>
      <c r="Q276" s="58"/>
      <c r="R276" s="58"/>
      <c r="S276" s="58"/>
      <c r="T276" s="58"/>
      <c r="U276" s="58"/>
      <c r="V276" s="58"/>
      <c r="W276" s="58"/>
      <c r="X276" s="58"/>
      <c r="Y276" s="58"/>
    </row>
    <row r="277">
      <c r="A277" s="58"/>
      <c r="B277" s="58"/>
      <c r="C277" s="58"/>
      <c r="D277" s="58"/>
      <c r="E277" s="194"/>
      <c r="F277" s="58"/>
      <c r="G277" s="58"/>
      <c r="H277" s="58"/>
      <c r="I277" s="58"/>
      <c r="J277" s="58"/>
      <c r="K277" s="58"/>
      <c r="L277" s="58"/>
      <c r="M277" s="58"/>
      <c r="N277" s="58"/>
      <c r="O277" s="58"/>
      <c r="P277" s="58"/>
      <c r="Q277" s="58"/>
      <c r="R277" s="58"/>
      <c r="S277" s="58"/>
      <c r="T277" s="58"/>
      <c r="U277" s="58"/>
      <c r="V277" s="58"/>
      <c r="W277" s="58"/>
      <c r="X277" s="58"/>
      <c r="Y277" s="58"/>
    </row>
    <row r="278">
      <c r="A278" s="58"/>
      <c r="B278" s="58"/>
      <c r="C278" s="58"/>
      <c r="D278" s="58"/>
      <c r="E278" s="194"/>
      <c r="F278" s="58"/>
      <c r="G278" s="58"/>
      <c r="H278" s="58"/>
      <c r="I278" s="58"/>
      <c r="J278" s="58"/>
      <c r="K278" s="58"/>
      <c r="L278" s="58"/>
      <c r="M278" s="58"/>
      <c r="N278" s="58"/>
      <c r="O278" s="58"/>
      <c r="P278" s="58"/>
      <c r="Q278" s="58"/>
      <c r="R278" s="58"/>
      <c r="S278" s="58"/>
      <c r="T278" s="58"/>
      <c r="U278" s="58"/>
      <c r="V278" s="58"/>
      <c r="W278" s="58"/>
      <c r="X278" s="58"/>
      <c r="Y278" s="58"/>
    </row>
    <row r="279">
      <c r="A279" s="58"/>
      <c r="B279" s="58"/>
      <c r="C279" s="58"/>
      <c r="D279" s="58"/>
      <c r="E279" s="194"/>
      <c r="F279" s="58"/>
      <c r="G279" s="58"/>
      <c r="H279" s="58"/>
      <c r="I279" s="58"/>
      <c r="J279" s="58"/>
      <c r="K279" s="58"/>
      <c r="L279" s="58"/>
      <c r="M279" s="58"/>
      <c r="N279" s="58"/>
      <c r="O279" s="58"/>
      <c r="P279" s="58"/>
      <c r="Q279" s="58"/>
      <c r="R279" s="58"/>
      <c r="S279" s="58"/>
      <c r="T279" s="58"/>
      <c r="U279" s="58"/>
      <c r="V279" s="58"/>
      <c r="W279" s="58"/>
      <c r="X279" s="58"/>
      <c r="Y279" s="58"/>
    </row>
    <row r="280">
      <c r="A280" s="58"/>
      <c r="B280" s="58"/>
      <c r="C280" s="58"/>
      <c r="D280" s="58"/>
      <c r="E280" s="194"/>
      <c r="F280" s="58"/>
      <c r="G280" s="58"/>
      <c r="H280" s="58"/>
      <c r="I280" s="58"/>
      <c r="J280" s="58"/>
      <c r="K280" s="58"/>
      <c r="L280" s="58"/>
      <c r="M280" s="58"/>
      <c r="N280" s="58"/>
      <c r="O280" s="58"/>
      <c r="P280" s="58"/>
      <c r="Q280" s="58"/>
      <c r="R280" s="58"/>
      <c r="S280" s="58"/>
      <c r="T280" s="58"/>
      <c r="U280" s="58"/>
      <c r="V280" s="58"/>
      <c r="W280" s="58"/>
      <c r="X280" s="58"/>
      <c r="Y280" s="58"/>
    </row>
    <row r="281">
      <c r="A281" s="58"/>
      <c r="B281" s="58"/>
      <c r="C281" s="58"/>
      <c r="D281" s="58"/>
      <c r="E281" s="194"/>
      <c r="F281" s="58"/>
      <c r="G281" s="58"/>
      <c r="H281" s="58"/>
      <c r="I281" s="58"/>
      <c r="J281" s="58"/>
      <c r="K281" s="58"/>
      <c r="L281" s="58"/>
      <c r="M281" s="58"/>
      <c r="N281" s="58"/>
      <c r="O281" s="58"/>
      <c r="P281" s="58"/>
      <c r="Q281" s="58"/>
      <c r="R281" s="58"/>
      <c r="S281" s="58"/>
      <c r="T281" s="58"/>
      <c r="U281" s="58"/>
      <c r="V281" s="58"/>
      <c r="W281" s="58"/>
      <c r="X281" s="58"/>
      <c r="Y281" s="58"/>
    </row>
    <row r="282">
      <c r="A282" s="58"/>
      <c r="B282" s="58"/>
      <c r="C282" s="58"/>
      <c r="D282" s="58"/>
      <c r="E282" s="194"/>
      <c r="F282" s="58"/>
      <c r="G282" s="58"/>
      <c r="H282" s="58"/>
      <c r="I282" s="58"/>
      <c r="J282" s="58"/>
      <c r="K282" s="58"/>
      <c r="L282" s="58"/>
      <c r="M282" s="58"/>
      <c r="N282" s="58"/>
      <c r="O282" s="58"/>
      <c r="P282" s="58"/>
      <c r="Q282" s="58"/>
      <c r="R282" s="58"/>
      <c r="S282" s="58"/>
      <c r="T282" s="58"/>
      <c r="U282" s="58"/>
      <c r="V282" s="58"/>
      <c r="W282" s="58"/>
      <c r="X282" s="58"/>
      <c r="Y282" s="58"/>
    </row>
    <row r="283">
      <c r="A283" s="58"/>
      <c r="B283" s="58"/>
      <c r="C283" s="58"/>
      <c r="D283" s="58"/>
      <c r="E283" s="194"/>
      <c r="F283" s="58"/>
      <c r="G283" s="58"/>
      <c r="H283" s="58"/>
      <c r="I283" s="58"/>
      <c r="J283" s="58"/>
      <c r="K283" s="58"/>
      <c r="L283" s="58"/>
      <c r="M283" s="58"/>
      <c r="N283" s="58"/>
      <c r="O283" s="58"/>
      <c r="P283" s="58"/>
      <c r="Q283" s="58"/>
      <c r="R283" s="58"/>
      <c r="S283" s="58"/>
      <c r="T283" s="58"/>
      <c r="U283" s="58"/>
      <c r="V283" s="58"/>
      <c r="W283" s="58"/>
      <c r="X283" s="58"/>
      <c r="Y283" s="58"/>
    </row>
    <row r="284">
      <c r="A284" s="58"/>
      <c r="B284" s="58"/>
      <c r="C284" s="58"/>
      <c r="D284" s="58"/>
      <c r="E284" s="194"/>
      <c r="F284" s="58"/>
      <c r="G284" s="58"/>
      <c r="H284" s="58"/>
      <c r="I284" s="58"/>
      <c r="J284" s="58"/>
      <c r="K284" s="58"/>
      <c r="L284" s="58"/>
      <c r="M284" s="58"/>
      <c r="N284" s="58"/>
      <c r="O284" s="58"/>
      <c r="P284" s="58"/>
      <c r="Q284" s="58"/>
      <c r="R284" s="58"/>
      <c r="S284" s="58"/>
      <c r="T284" s="58"/>
      <c r="U284" s="58"/>
      <c r="V284" s="58"/>
      <c r="W284" s="58"/>
      <c r="X284" s="58"/>
      <c r="Y284" s="58"/>
    </row>
    <row r="285">
      <c r="A285" s="58"/>
      <c r="B285" s="58"/>
      <c r="C285" s="58"/>
      <c r="D285" s="58"/>
      <c r="E285" s="194"/>
      <c r="F285" s="58"/>
      <c r="G285" s="58"/>
      <c r="H285" s="58"/>
      <c r="I285" s="58"/>
      <c r="J285" s="58"/>
      <c r="K285" s="58"/>
      <c r="L285" s="58"/>
      <c r="M285" s="58"/>
      <c r="N285" s="58"/>
      <c r="O285" s="58"/>
      <c r="P285" s="58"/>
      <c r="Q285" s="58"/>
      <c r="R285" s="58"/>
      <c r="S285" s="58"/>
      <c r="T285" s="58"/>
      <c r="U285" s="58"/>
      <c r="V285" s="58"/>
      <c r="W285" s="58"/>
      <c r="X285" s="58"/>
      <c r="Y285" s="58"/>
    </row>
    <row r="286">
      <c r="A286" s="58"/>
      <c r="B286" s="58"/>
      <c r="C286" s="58"/>
      <c r="D286" s="58"/>
      <c r="E286" s="194"/>
      <c r="F286" s="58"/>
      <c r="G286" s="58"/>
      <c r="H286" s="58"/>
      <c r="I286" s="58"/>
      <c r="J286" s="58"/>
      <c r="K286" s="58"/>
      <c r="L286" s="58"/>
      <c r="M286" s="58"/>
      <c r="N286" s="58"/>
      <c r="O286" s="58"/>
      <c r="P286" s="58"/>
      <c r="Q286" s="58"/>
      <c r="R286" s="58"/>
      <c r="S286" s="58"/>
      <c r="T286" s="58"/>
      <c r="U286" s="58"/>
      <c r="V286" s="58"/>
      <c r="W286" s="58"/>
      <c r="X286" s="58"/>
      <c r="Y286" s="58"/>
    </row>
    <row r="287">
      <c r="A287" s="58"/>
      <c r="B287" s="58"/>
      <c r="C287" s="58"/>
      <c r="D287" s="58"/>
      <c r="E287" s="194"/>
      <c r="F287" s="58"/>
      <c r="G287" s="58"/>
      <c r="H287" s="58"/>
      <c r="I287" s="58"/>
      <c r="J287" s="58"/>
      <c r="K287" s="58"/>
      <c r="L287" s="58"/>
      <c r="M287" s="58"/>
      <c r="N287" s="58"/>
      <c r="O287" s="58"/>
      <c r="P287" s="58"/>
      <c r="Q287" s="58"/>
      <c r="R287" s="58"/>
      <c r="S287" s="58"/>
      <c r="T287" s="58"/>
      <c r="U287" s="58"/>
      <c r="V287" s="58"/>
      <c r="W287" s="58"/>
      <c r="X287" s="58"/>
      <c r="Y287" s="58"/>
    </row>
    <row r="288">
      <c r="A288" s="58"/>
      <c r="B288" s="58"/>
      <c r="C288" s="58"/>
      <c r="D288" s="58"/>
      <c r="E288" s="194"/>
      <c r="F288" s="58"/>
      <c r="G288" s="58"/>
      <c r="H288" s="58"/>
      <c r="I288" s="58"/>
      <c r="J288" s="58"/>
      <c r="K288" s="58"/>
      <c r="L288" s="58"/>
      <c r="M288" s="58"/>
      <c r="N288" s="58"/>
      <c r="O288" s="58"/>
      <c r="P288" s="58"/>
      <c r="Q288" s="58"/>
      <c r="R288" s="58"/>
      <c r="S288" s="58"/>
      <c r="T288" s="58"/>
      <c r="U288" s="58"/>
      <c r="V288" s="58"/>
      <c r="W288" s="58"/>
      <c r="X288" s="58"/>
      <c r="Y288" s="58"/>
    </row>
    <row r="289">
      <c r="A289" s="58"/>
      <c r="B289" s="58"/>
      <c r="C289" s="58"/>
      <c r="D289" s="58"/>
      <c r="E289" s="194"/>
      <c r="F289" s="58"/>
      <c r="G289" s="58"/>
      <c r="H289" s="58"/>
      <c r="I289" s="58"/>
      <c r="J289" s="58"/>
      <c r="K289" s="58"/>
      <c r="L289" s="58"/>
      <c r="M289" s="58"/>
      <c r="N289" s="58"/>
      <c r="O289" s="58"/>
      <c r="P289" s="58"/>
      <c r="Q289" s="58"/>
      <c r="R289" s="58"/>
      <c r="S289" s="58"/>
      <c r="T289" s="58"/>
      <c r="U289" s="58"/>
      <c r="V289" s="58"/>
      <c r="W289" s="58"/>
      <c r="X289" s="58"/>
      <c r="Y289" s="58"/>
    </row>
    <row r="290">
      <c r="A290" s="58"/>
      <c r="B290" s="58"/>
      <c r="C290" s="58"/>
      <c r="D290" s="58"/>
      <c r="E290" s="194"/>
      <c r="F290" s="58"/>
      <c r="G290" s="58"/>
      <c r="H290" s="58"/>
      <c r="I290" s="58"/>
      <c r="J290" s="58"/>
      <c r="K290" s="58"/>
      <c r="L290" s="58"/>
      <c r="M290" s="58"/>
      <c r="N290" s="58"/>
      <c r="O290" s="58"/>
      <c r="P290" s="58"/>
      <c r="Q290" s="58"/>
      <c r="R290" s="58"/>
      <c r="S290" s="58"/>
      <c r="T290" s="58"/>
      <c r="U290" s="58"/>
      <c r="V290" s="58"/>
      <c r="W290" s="58"/>
      <c r="X290" s="58"/>
      <c r="Y290" s="58"/>
    </row>
    <row r="291">
      <c r="A291" s="58"/>
      <c r="B291" s="58"/>
      <c r="C291" s="58"/>
      <c r="D291" s="58"/>
      <c r="E291" s="194"/>
      <c r="F291" s="58"/>
      <c r="G291" s="58"/>
      <c r="H291" s="58"/>
      <c r="I291" s="58"/>
      <c r="J291" s="58"/>
      <c r="K291" s="58"/>
      <c r="L291" s="58"/>
      <c r="M291" s="58"/>
      <c r="N291" s="58"/>
      <c r="O291" s="58"/>
      <c r="P291" s="58"/>
      <c r="Q291" s="58"/>
      <c r="R291" s="58"/>
      <c r="S291" s="58"/>
      <c r="T291" s="58"/>
      <c r="U291" s="58"/>
      <c r="V291" s="58"/>
      <c r="W291" s="58"/>
      <c r="X291" s="58"/>
      <c r="Y291" s="58"/>
    </row>
    <row r="292">
      <c r="A292" s="58"/>
      <c r="B292" s="58"/>
      <c r="C292" s="58"/>
      <c r="D292" s="58"/>
      <c r="E292" s="194"/>
      <c r="F292" s="58"/>
      <c r="G292" s="58"/>
      <c r="H292" s="58"/>
      <c r="I292" s="58"/>
      <c r="J292" s="58"/>
      <c r="K292" s="58"/>
      <c r="L292" s="58"/>
      <c r="M292" s="58"/>
      <c r="N292" s="58"/>
      <c r="O292" s="58"/>
      <c r="P292" s="58"/>
      <c r="Q292" s="58"/>
      <c r="R292" s="58"/>
      <c r="S292" s="58"/>
      <c r="T292" s="58"/>
      <c r="U292" s="58"/>
      <c r="V292" s="58"/>
      <c r="W292" s="58"/>
      <c r="X292" s="58"/>
      <c r="Y292" s="58"/>
    </row>
    <row r="293">
      <c r="A293" s="58"/>
      <c r="B293" s="58"/>
      <c r="C293" s="58"/>
      <c r="D293" s="58"/>
      <c r="E293" s="194"/>
      <c r="F293" s="58"/>
      <c r="G293" s="58"/>
      <c r="H293" s="58"/>
      <c r="I293" s="58"/>
      <c r="J293" s="58"/>
      <c r="K293" s="58"/>
      <c r="L293" s="58"/>
      <c r="M293" s="58"/>
      <c r="N293" s="58"/>
      <c r="O293" s="58"/>
      <c r="P293" s="58"/>
      <c r="Q293" s="58"/>
      <c r="R293" s="58"/>
      <c r="S293" s="58"/>
      <c r="T293" s="58"/>
      <c r="U293" s="58"/>
      <c r="V293" s="58"/>
      <c r="W293" s="58"/>
      <c r="X293" s="58"/>
      <c r="Y293" s="58"/>
    </row>
    <row r="294">
      <c r="A294" s="58"/>
      <c r="B294" s="58"/>
      <c r="C294" s="58"/>
      <c r="D294" s="58"/>
      <c r="E294" s="194"/>
      <c r="F294" s="58"/>
      <c r="G294" s="58"/>
      <c r="H294" s="58"/>
      <c r="I294" s="58"/>
      <c r="J294" s="58"/>
      <c r="K294" s="58"/>
      <c r="L294" s="58"/>
      <c r="M294" s="58"/>
      <c r="N294" s="58"/>
      <c r="O294" s="58"/>
      <c r="P294" s="58"/>
      <c r="Q294" s="58"/>
      <c r="R294" s="58"/>
      <c r="S294" s="58"/>
      <c r="T294" s="58"/>
      <c r="U294" s="58"/>
      <c r="V294" s="58"/>
      <c r="W294" s="58"/>
      <c r="X294" s="58"/>
      <c r="Y294" s="58"/>
    </row>
    <row r="295">
      <c r="A295" s="58"/>
      <c r="B295" s="58"/>
      <c r="C295" s="58"/>
      <c r="D295" s="58"/>
      <c r="E295" s="194"/>
      <c r="F295" s="58"/>
      <c r="G295" s="58"/>
      <c r="H295" s="58"/>
      <c r="I295" s="58"/>
      <c r="J295" s="58"/>
      <c r="K295" s="58"/>
      <c r="L295" s="58"/>
      <c r="M295" s="58"/>
      <c r="N295" s="58"/>
      <c r="O295" s="58"/>
      <c r="P295" s="58"/>
      <c r="Q295" s="58"/>
      <c r="R295" s="58"/>
      <c r="S295" s="58"/>
      <c r="T295" s="58"/>
      <c r="U295" s="58"/>
      <c r="V295" s="58"/>
      <c r="W295" s="58"/>
      <c r="X295" s="58"/>
      <c r="Y295" s="58"/>
    </row>
    <row r="296">
      <c r="A296" s="58"/>
      <c r="B296" s="58"/>
      <c r="C296" s="58"/>
      <c r="D296" s="58"/>
      <c r="E296" s="194"/>
      <c r="F296" s="58"/>
      <c r="G296" s="58"/>
      <c r="H296" s="58"/>
      <c r="I296" s="58"/>
      <c r="J296" s="58"/>
      <c r="K296" s="58"/>
      <c r="L296" s="58"/>
      <c r="M296" s="58"/>
      <c r="N296" s="58"/>
      <c r="O296" s="58"/>
      <c r="P296" s="58"/>
      <c r="Q296" s="58"/>
      <c r="R296" s="58"/>
      <c r="S296" s="58"/>
      <c r="T296" s="58"/>
      <c r="U296" s="58"/>
      <c r="V296" s="58"/>
      <c r="W296" s="58"/>
      <c r="X296" s="58"/>
      <c r="Y296" s="58"/>
    </row>
    <row r="297">
      <c r="A297" s="58"/>
      <c r="B297" s="58"/>
      <c r="C297" s="58"/>
      <c r="D297" s="58"/>
      <c r="E297" s="194"/>
      <c r="F297" s="58"/>
      <c r="G297" s="58"/>
      <c r="H297" s="58"/>
      <c r="I297" s="58"/>
      <c r="J297" s="58"/>
      <c r="K297" s="58"/>
      <c r="L297" s="58"/>
      <c r="M297" s="58"/>
      <c r="N297" s="58"/>
      <c r="O297" s="58"/>
      <c r="P297" s="58"/>
      <c r="Q297" s="58"/>
      <c r="R297" s="58"/>
      <c r="S297" s="58"/>
      <c r="T297" s="58"/>
      <c r="U297" s="58"/>
      <c r="V297" s="58"/>
      <c r="W297" s="58"/>
      <c r="X297" s="58"/>
      <c r="Y297" s="58"/>
    </row>
    <row r="298">
      <c r="A298" s="58"/>
      <c r="B298" s="58"/>
      <c r="C298" s="58"/>
      <c r="D298" s="58"/>
      <c r="E298" s="194"/>
      <c r="F298" s="58"/>
      <c r="G298" s="58"/>
      <c r="H298" s="58"/>
      <c r="I298" s="58"/>
      <c r="J298" s="58"/>
      <c r="K298" s="58"/>
      <c r="L298" s="58"/>
      <c r="M298" s="58"/>
      <c r="N298" s="58"/>
      <c r="O298" s="58"/>
      <c r="P298" s="58"/>
      <c r="Q298" s="58"/>
      <c r="R298" s="58"/>
      <c r="S298" s="58"/>
      <c r="T298" s="58"/>
      <c r="U298" s="58"/>
      <c r="V298" s="58"/>
      <c r="W298" s="58"/>
      <c r="X298" s="58"/>
      <c r="Y298" s="58"/>
    </row>
    <row r="299">
      <c r="A299" s="58"/>
      <c r="B299" s="58"/>
      <c r="C299" s="58"/>
      <c r="D299" s="58"/>
      <c r="E299" s="194"/>
      <c r="F299" s="58"/>
      <c r="G299" s="58"/>
      <c r="H299" s="58"/>
      <c r="I299" s="58"/>
      <c r="J299" s="58"/>
      <c r="K299" s="58"/>
      <c r="L299" s="58"/>
      <c r="M299" s="58"/>
      <c r="N299" s="58"/>
      <c r="O299" s="58"/>
      <c r="P299" s="58"/>
      <c r="Q299" s="58"/>
      <c r="R299" s="58"/>
      <c r="S299" s="58"/>
      <c r="T299" s="58"/>
      <c r="U299" s="58"/>
      <c r="V299" s="58"/>
      <c r="W299" s="58"/>
      <c r="X299" s="58"/>
      <c r="Y299" s="58"/>
    </row>
    <row r="300">
      <c r="A300" s="58"/>
      <c r="B300" s="58"/>
      <c r="C300" s="58"/>
      <c r="D300" s="58"/>
      <c r="E300" s="194"/>
      <c r="F300" s="58"/>
      <c r="G300" s="58"/>
      <c r="H300" s="58"/>
      <c r="I300" s="58"/>
      <c r="J300" s="58"/>
      <c r="K300" s="58"/>
      <c r="L300" s="58"/>
      <c r="M300" s="58"/>
      <c r="N300" s="58"/>
      <c r="O300" s="58"/>
      <c r="P300" s="58"/>
      <c r="Q300" s="58"/>
      <c r="R300" s="58"/>
      <c r="S300" s="58"/>
      <c r="T300" s="58"/>
      <c r="U300" s="58"/>
      <c r="V300" s="58"/>
      <c r="W300" s="58"/>
      <c r="X300" s="58"/>
      <c r="Y300" s="58"/>
    </row>
    <row r="301">
      <c r="A301" s="58"/>
      <c r="B301" s="58"/>
      <c r="C301" s="58"/>
      <c r="D301" s="58"/>
      <c r="E301" s="194"/>
      <c r="F301" s="58"/>
      <c r="G301" s="58"/>
      <c r="H301" s="58"/>
      <c r="I301" s="58"/>
      <c r="J301" s="58"/>
      <c r="K301" s="58"/>
      <c r="L301" s="58"/>
      <c r="M301" s="58"/>
      <c r="N301" s="58"/>
      <c r="O301" s="58"/>
      <c r="P301" s="58"/>
      <c r="Q301" s="58"/>
      <c r="R301" s="58"/>
      <c r="S301" s="58"/>
      <c r="T301" s="58"/>
      <c r="U301" s="58"/>
      <c r="V301" s="58"/>
      <c r="W301" s="58"/>
      <c r="X301" s="58"/>
      <c r="Y301" s="58"/>
    </row>
    <row r="302">
      <c r="A302" s="58"/>
      <c r="B302" s="58"/>
      <c r="C302" s="58"/>
      <c r="D302" s="58"/>
      <c r="E302" s="194"/>
      <c r="F302" s="58"/>
      <c r="G302" s="58"/>
      <c r="H302" s="58"/>
      <c r="I302" s="58"/>
      <c r="J302" s="58"/>
      <c r="K302" s="58"/>
      <c r="L302" s="58"/>
      <c r="M302" s="58"/>
      <c r="N302" s="58"/>
      <c r="O302" s="58"/>
      <c r="P302" s="58"/>
      <c r="Q302" s="58"/>
      <c r="R302" s="58"/>
      <c r="S302" s="58"/>
      <c r="T302" s="58"/>
      <c r="U302" s="58"/>
      <c r="V302" s="58"/>
      <c r="W302" s="58"/>
      <c r="X302" s="58"/>
      <c r="Y302" s="58"/>
    </row>
    <row r="303">
      <c r="A303" s="58"/>
      <c r="B303" s="58"/>
      <c r="C303" s="58"/>
      <c r="D303" s="58"/>
      <c r="E303" s="194"/>
      <c r="F303" s="58"/>
      <c r="G303" s="58"/>
      <c r="H303" s="58"/>
      <c r="I303" s="58"/>
      <c r="J303" s="58"/>
      <c r="K303" s="58"/>
      <c r="L303" s="58"/>
      <c r="M303" s="58"/>
      <c r="N303" s="58"/>
      <c r="O303" s="58"/>
      <c r="P303" s="58"/>
      <c r="Q303" s="58"/>
      <c r="R303" s="58"/>
      <c r="S303" s="58"/>
      <c r="T303" s="58"/>
      <c r="U303" s="58"/>
      <c r="V303" s="58"/>
      <c r="W303" s="58"/>
      <c r="X303" s="58"/>
      <c r="Y303" s="58"/>
    </row>
    <row r="304">
      <c r="A304" s="58"/>
      <c r="B304" s="58"/>
      <c r="C304" s="58"/>
      <c r="D304" s="58"/>
      <c r="E304" s="194"/>
      <c r="F304" s="58"/>
      <c r="G304" s="58"/>
      <c r="H304" s="58"/>
      <c r="I304" s="58"/>
      <c r="J304" s="58"/>
      <c r="K304" s="58"/>
      <c r="L304" s="58"/>
      <c r="M304" s="58"/>
      <c r="N304" s="58"/>
      <c r="O304" s="58"/>
      <c r="P304" s="58"/>
      <c r="Q304" s="58"/>
      <c r="R304" s="58"/>
      <c r="S304" s="58"/>
      <c r="T304" s="58"/>
      <c r="U304" s="58"/>
      <c r="V304" s="58"/>
      <c r="W304" s="58"/>
      <c r="X304" s="58"/>
      <c r="Y304" s="58"/>
    </row>
    <row r="305">
      <c r="A305" s="58"/>
      <c r="B305" s="58"/>
      <c r="C305" s="58"/>
      <c r="D305" s="58"/>
      <c r="E305" s="194"/>
      <c r="F305" s="58"/>
      <c r="G305" s="58"/>
      <c r="H305" s="58"/>
      <c r="I305" s="58"/>
      <c r="J305" s="58"/>
      <c r="K305" s="58"/>
      <c r="L305" s="58"/>
      <c r="M305" s="58"/>
      <c r="N305" s="58"/>
      <c r="O305" s="58"/>
      <c r="P305" s="58"/>
      <c r="Q305" s="58"/>
      <c r="R305" s="58"/>
      <c r="S305" s="58"/>
      <c r="T305" s="58"/>
      <c r="U305" s="58"/>
      <c r="V305" s="58"/>
      <c r="W305" s="58"/>
      <c r="X305" s="58"/>
      <c r="Y305" s="58"/>
    </row>
    <row r="306">
      <c r="A306" s="58"/>
      <c r="B306" s="58"/>
      <c r="C306" s="58"/>
      <c r="D306" s="58"/>
      <c r="E306" s="194"/>
      <c r="F306" s="58"/>
      <c r="G306" s="58"/>
      <c r="H306" s="58"/>
      <c r="I306" s="58"/>
      <c r="J306" s="58"/>
      <c r="K306" s="58"/>
      <c r="L306" s="58"/>
      <c r="M306" s="58"/>
      <c r="N306" s="58"/>
      <c r="O306" s="58"/>
      <c r="P306" s="58"/>
      <c r="Q306" s="58"/>
      <c r="R306" s="58"/>
      <c r="S306" s="58"/>
      <c r="T306" s="58"/>
      <c r="U306" s="58"/>
      <c r="V306" s="58"/>
      <c r="W306" s="58"/>
      <c r="X306" s="58"/>
      <c r="Y306" s="58"/>
    </row>
    <row r="307">
      <c r="A307" s="58"/>
      <c r="B307" s="58"/>
      <c r="C307" s="58"/>
      <c r="D307" s="58"/>
      <c r="E307" s="194"/>
      <c r="F307" s="58"/>
      <c r="G307" s="58"/>
      <c r="H307" s="58"/>
      <c r="I307" s="58"/>
      <c r="J307" s="58"/>
      <c r="K307" s="58"/>
      <c r="L307" s="58"/>
      <c r="M307" s="58"/>
      <c r="N307" s="58"/>
      <c r="O307" s="58"/>
      <c r="P307" s="58"/>
      <c r="Q307" s="58"/>
      <c r="R307" s="58"/>
      <c r="S307" s="58"/>
      <c r="T307" s="58"/>
      <c r="U307" s="58"/>
      <c r="V307" s="58"/>
      <c r="W307" s="58"/>
      <c r="X307" s="58"/>
      <c r="Y307" s="58"/>
    </row>
    <row r="308">
      <c r="A308" s="58"/>
      <c r="B308" s="58"/>
      <c r="C308" s="58"/>
      <c r="D308" s="58"/>
      <c r="E308" s="194"/>
      <c r="F308" s="58"/>
      <c r="G308" s="58"/>
      <c r="H308" s="58"/>
      <c r="I308" s="58"/>
      <c r="J308" s="58"/>
      <c r="K308" s="58"/>
      <c r="L308" s="58"/>
      <c r="M308" s="58"/>
      <c r="N308" s="58"/>
      <c r="O308" s="58"/>
      <c r="P308" s="58"/>
      <c r="Q308" s="58"/>
      <c r="R308" s="58"/>
      <c r="S308" s="58"/>
      <c r="T308" s="58"/>
      <c r="U308" s="58"/>
      <c r="V308" s="58"/>
      <c r="W308" s="58"/>
      <c r="X308" s="58"/>
      <c r="Y308" s="58"/>
    </row>
    <row r="309">
      <c r="A309" s="58"/>
      <c r="B309" s="58"/>
      <c r="C309" s="58"/>
      <c r="D309" s="58"/>
      <c r="E309" s="194"/>
      <c r="F309" s="58"/>
      <c r="G309" s="58"/>
      <c r="H309" s="58"/>
      <c r="I309" s="58"/>
      <c r="J309" s="58"/>
      <c r="K309" s="58"/>
      <c r="L309" s="58"/>
      <c r="M309" s="58"/>
      <c r="N309" s="58"/>
      <c r="O309" s="58"/>
      <c r="P309" s="58"/>
      <c r="Q309" s="58"/>
      <c r="R309" s="58"/>
      <c r="S309" s="58"/>
      <c r="T309" s="58"/>
      <c r="U309" s="58"/>
      <c r="V309" s="58"/>
      <c r="W309" s="58"/>
      <c r="X309" s="58"/>
      <c r="Y309" s="58"/>
    </row>
    <row r="310">
      <c r="A310" s="58"/>
      <c r="B310" s="58"/>
      <c r="C310" s="58"/>
      <c r="D310" s="58"/>
      <c r="E310" s="194"/>
      <c r="F310" s="58"/>
      <c r="G310" s="58"/>
      <c r="H310" s="58"/>
      <c r="I310" s="58"/>
      <c r="J310" s="58"/>
      <c r="K310" s="58"/>
      <c r="L310" s="58"/>
      <c r="M310" s="58"/>
      <c r="N310" s="58"/>
      <c r="O310" s="58"/>
      <c r="P310" s="58"/>
      <c r="Q310" s="58"/>
      <c r="R310" s="58"/>
      <c r="S310" s="58"/>
      <c r="T310" s="58"/>
      <c r="U310" s="58"/>
      <c r="V310" s="58"/>
      <c r="W310" s="58"/>
      <c r="X310" s="58"/>
      <c r="Y310" s="58"/>
    </row>
    <row r="311">
      <c r="A311" s="58"/>
      <c r="B311" s="58"/>
      <c r="C311" s="58"/>
      <c r="D311" s="58"/>
      <c r="E311" s="194"/>
      <c r="F311" s="58"/>
      <c r="G311" s="58"/>
      <c r="H311" s="58"/>
      <c r="I311" s="58"/>
      <c r="J311" s="58"/>
      <c r="K311" s="58"/>
      <c r="L311" s="58"/>
      <c r="M311" s="58"/>
      <c r="N311" s="58"/>
      <c r="O311" s="58"/>
      <c r="P311" s="58"/>
      <c r="Q311" s="58"/>
      <c r="R311" s="58"/>
      <c r="S311" s="58"/>
      <c r="T311" s="58"/>
      <c r="U311" s="58"/>
      <c r="V311" s="58"/>
      <c r="W311" s="58"/>
      <c r="X311" s="58"/>
      <c r="Y311" s="58"/>
    </row>
    <row r="312">
      <c r="A312" s="58"/>
      <c r="B312" s="58"/>
      <c r="C312" s="58"/>
      <c r="D312" s="58"/>
      <c r="E312" s="194"/>
      <c r="F312" s="58"/>
      <c r="G312" s="58"/>
      <c r="H312" s="58"/>
      <c r="I312" s="58"/>
      <c r="J312" s="58"/>
      <c r="K312" s="58"/>
      <c r="L312" s="58"/>
      <c r="M312" s="58"/>
      <c r="N312" s="58"/>
      <c r="O312" s="58"/>
      <c r="P312" s="58"/>
      <c r="Q312" s="58"/>
      <c r="R312" s="58"/>
      <c r="S312" s="58"/>
      <c r="T312" s="58"/>
      <c r="U312" s="58"/>
      <c r="V312" s="58"/>
      <c r="W312" s="58"/>
      <c r="X312" s="58"/>
      <c r="Y312" s="58"/>
    </row>
    <row r="313">
      <c r="A313" s="58"/>
      <c r="B313" s="58"/>
      <c r="C313" s="58"/>
      <c r="D313" s="58"/>
      <c r="E313" s="194"/>
      <c r="F313" s="58"/>
      <c r="G313" s="58"/>
      <c r="H313" s="58"/>
      <c r="I313" s="58"/>
      <c r="J313" s="58"/>
      <c r="K313" s="58"/>
      <c r="L313" s="58"/>
      <c r="M313" s="58"/>
      <c r="N313" s="58"/>
      <c r="O313" s="58"/>
      <c r="P313" s="58"/>
      <c r="Q313" s="58"/>
      <c r="R313" s="58"/>
      <c r="S313" s="58"/>
      <c r="T313" s="58"/>
      <c r="U313" s="58"/>
      <c r="V313" s="58"/>
      <c r="W313" s="58"/>
      <c r="X313" s="58"/>
      <c r="Y313" s="58"/>
    </row>
    <row r="314">
      <c r="A314" s="58"/>
      <c r="B314" s="58"/>
      <c r="C314" s="58"/>
      <c r="D314" s="58"/>
      <c r="E314" s="194"/>
      <c r="F314" s="58"/>
      <c r="G314" s="58"/>
      <c r="H314" s="58"/>
      <c r="I314" s="58"/>
      <c r="J314" s="58"/>
      <c r="K314" s="58"/>
      <c r="L314" s="58"/>
      <c r="M314" s="58"/>
      <c r="N314" s="58"/>
      <c r="O314" s="58"/>
      <c r="P314" s="58"/>
      <c r="Q314" s="58"/>
      <c r="R314" s="58"/>
      <c r="S314" s="58"/>
      <c r="T314" s="58"/>
      <c r="U314" s="58"/>
      <c r="V314" s="58"/>
      <c r="W314" s="58"/>
      <c r="X314" s="58"/>
      <c r="Y314" s="58"/>
    </row>
    <row r="315">
      <c r="A315" s="58"/>
      <c r="B315" s="58"/>
      <c r="C315" s="58"/>
      <c r="D315" s="58"/>
      <c r="E315" s="194"/>
      <c r="F315" s="58"/>
      <c r="G315" s="58"/>
      <c r="H315" s="58"/>
      <c r="I315" s="58"/>
      <c r="J315" s="58"/>
      <c r="K315" s="58"/>
      <c r="L315" s="58"/>
      <c r="M315" s="58"/>
      <c r="N315" s="58"/>
      <c r="O315" s="58"/>
      <c r="P315" s="58"/>
      <c r="Q315" s="58"/>
      <c r="R315" s="58"/>
      <c r="S315" s="58"/>
      <c r="T315" s="58"/>
      <c r="U315" s="58"/>
      <c r="V315" s="58"/>
      <c r="W315" s="58"/>
      <c r="X315" s="58"/>
      <c r="Y315" s="58"/>
    </row>
    <row r="316">
      <c r="A316" s="58"/>
      <c r="B316" s="58"/>
      <c r="C316" s="58"/>
      <c r="D316" s="58"/>
      <c r="E316" s="194"/>
      <c r="F316" s="58"/>
      <c r="G316" s="58"/>
      <c r="H316" s="58"/>
      <c r="I316" s="58"/>
      <c r="J316" s="58"/>
      <c r="K316" s="58"/>
      <c r="L316" s="58"/>
      <c r="M316" s="58"/>
      <c r="N316" s="58"/>
      <c r="O316" s="58"/>
      <c r="P316" s="58"/>
      <c r="Q316" s="58"/>
      <c r="R316" s="58"/>
      <c r="S316" s="58"/>
      <c r="T316" s="58"/>
      <c r="U316" s="58"/>
      <c r="V316" s="58"/>
      <c r="W316" s="58"/>
      <c r="X316" s="58"/>
      <c r="Y316" s="58"/>
    </row>
    <row r="317">
      <c r="A317" s="58"/>
      <c r="B317" s="58"/>
      <c r="C317" s="58"/>
      <c r="D317" s="58"/>
      <c r="E317" s="194"/>
      <c r="F317" s="58"/>
      <c r="G317" s="58"/>
      <c r="H317" s="58"/>
      <c r="I317" s="58"/>
      <c r="J317" s="58"/>
      <c r="K317" s="58"/>
      <c r="L317" s="58"/>
      <c r="M317" s="58"/>
      <c r="N317" s="58"/>
      <c r="O317" s="58"/>
      <c r="P317" s="58"/>
      <c r="Q317" s="58"/>
      <c r="R317" s="58"/>
      <c r="S317" s="58"/>
      <c r="T317" s="58"/>
      <c r="U317" s="58"/>
      <c r="V317" s="58"/>
      <c r="W317" s="58"/>
      <c r="X317" s="58"/>
      <c r="Y317" s="58"/>
    </row>
    <row r="318">
      <c r="A318" s="58"/>
      <c r="B318" s="58"/>
      <c r="C318" s="58"/>
      <c r="D318" s="58"/>
      <c r="E318" s="194"/>
      <c r="F318" s="58"/>
      <c r="G318" s="58"/>
      <c r="H318" s="58"/>
      <c r="I318" s="58"/>
      <c r="J318" s="58"/>
      <c r="K318" s="58"/>
      <c r="L318" s="58"/>
      <c r="M318" s="58"/>
      <c r="N318" s="58"/>
      <c r="O318" s="58"/>
      <c r="P318" s="58"/>
      <c r="Q318" s="58"/>
      <c r="R318" s="58"/>
      <c r="S318" s="58"/>
      <c r="T318" s="58"/>
      <c r="U318" s="58"/>
      <c r="V318" s="58"/>
      <c r="W318" s="58"/>
      <c r="X318" s="58"/>
      <c r="Y318" s="58"/>
    </row>
    <row r="319">
      <c r="A319" s="58"/>
      <c r="B319" s="58"/>
      <c r="C319" s="58"/>
      <c r="D319" s="58"/>
      <c r="E319" s="194"/>
      <c r="F319" s="58"/>
      <c r="G319" s="58"/>
      <c r="H319" s="58"/>
      <c r="I319" s="58"/>
      <c r="J319" s="58"/>
      <c r="K319" s="58"/>
      <c r="L319" s="58"/>
      <c r="M319" s="58"/>
      <c r="N319" s="58"/>
      <c r="O319" s="58"/>
      <c r="P319" s="58"/>
      <c r="Q319" s="58"/>
      <c r="R319" s="58"/>
      <c r="S319" s="58"/>
      <c r="T319" s="58"/>
      <c r="U319" s="58"/>
      <c r="V319" s="58"/>
      <c r="W319" s="58"/>
      <c r="X319" s="58"/>
      <c r="Y319" s="58"/>
    </row>
    <row r="320">
      <c r="A320" s="58"/>
      <c r="B320" s="58"/>
      <c r="C320" s="58"/>
      <c r="D320" s="58"/>
      <c r="E320" s="194"/>
      <c r="F320" s="58"/>
      <c r="G320" s="58"/>
      <c r="H320" s="58"/>
      <c r="I320" s="58"/>
      <c r="J320" s="58"/>
      <c r="K320" s="58"/>
      <c r="L320" s="58"/>
      <c r="M320" s="58"/>
      <c r="N320" s="58"/>
      <c r="O320" s="58"/>
      <c r="P320" s="58"/>
      <c r="Q320" s="58"/>
      <c r="R320" s="58"/>
      <c r="S320" s="58"/>
      <c r="T320" s="58"/>
      <c r="U320" s="58"/>
      <c r="V320" s="58"/>
      <c r="W320" s="58"/>
      <c r="X320" s="58"/>
      <c r="Y320" s="58"/>
    </row>
    <row r="321">
      <c r="A321" s="58"/>
      <c r="B321" s="58"/>
      <c r="C321" s="58"/>
      <c r="D321" s="58"/>
      <c r="E321" s="194"/>
      <c r="F321" s="58"/>
      <c r="G321" s="58"/>
      <c r="H321" s="58"/>
      <c r="I321" s="58"/>
      <c r="J321" s="58"/>
      <c r="K321" s="58"/>
      <c r="L321" s="58"/>
      <c r="M321" s="58"/>
      <c r="N321" s="58"/>
      <c r="O321" s="58"/>
      <c r="P321" s="58"/>
      <c r="Q321" s="58"/>
      <c r="R321" s="58"/>
      <c r="S321" s="58"/>
      <c r="T321" s="58"/>
      <c r="U321" s="58"/>
      <c r="V321" s="58"/>
      <c r="W321" s="58"/>
      <c r="X321" s="58"/>
      <c r="Y321" s="58"/>
    </row>
    <row r="322">
      <c r="A322" s="58"/>
      <c r="B322" s="58"/>
      <c r="C322" s="58"/>
      <c r="D322" s="58"/>
      <c r="E322" s="194"/>
      <c r="F322" s="58"/>
      <c r="G322" s="58"/>
      <c r="H322" s="58"/>
      <c r="I322" s="58"/>
      <c r="J322" s="58"/>
      <c r="K322" s="58"/>
      <c r="L322" s="58"/>
      <c r="M322" s="58"/>
      <c r="N322" s="58"/>
      <c r="O322" s="58"/>
      <c r="P322" s="58"/>
      <c r="Q322" s="58"/>
      <c r="R322" s="58"/>
      <c r="S322" s="58"/>
      <c r="T322" s="58"/>
      <c r="U322" s="58"/>
      <c r="V322" s="58"/>
      <c r="W322" s="58"/>
      <c r="X322" s="58"/>
      <c r="Y322" s="58"/>
    </row>
    <row r="323">
      <c r="A323" s="58"/>
      <c r="B323" s="58"/>
      <c r="C323" s="58"/>
      <c r="D323" s="58"/>
      <c r="E323" s="194"/>
      <c r="F323" s="58"/>
      <c r="G323" s="58"/>
      <c r="H323" s="58"/>
      <c r="I323" s="58"/>
      <c r="J323" s="58"/>
      <c r="K323" s="58"/>
      <c r="L323" s="58"/>
      <c r="M323" s="58"/>
      <c r="N323" s="58"/>
      <c r="O323" s="58"/>
      <c r="P323" s="58"/>
      <c r="Q323" s="58"/>
      <c r="R323" s="58"/>
      <c r="S323" s="58"/>
      <c r="T323" s="58"/>
      <c r="U323" s="58"/>
      <c r="V323" s="58"/>
      <c r="W323" s="58"/>
      <c r="X323" s="58"/>
      <c r="Y323" s="58"/>
    </row>
    <row r="324">
      <c r="A324" s="58"/>
      <c r="B324" s="58"/>
      <c r="C324" s="58"/>
      <c r="D324" s="58"/>
      <c r="E324" s="194"/>
      <c r="F324" s="58"/>
      <c r="G324" s="58"/>
      <c r="H324" s="58"/>
      <c r="I324" s="58"/>
      <c r="J324" s="58"/>
      <c r="K324" s="58"/>
      <c r="L324" s="58"/>
      <c r="M324" s="58"/>
      <c r="N324" s="58"/>
      <c r="O324" s="58"/>
      <c r="P324" s="58"/>
      <c r="Q324" s="58"/>
      <c r="R324" s="58"/>
      <c r="S324" s="58"/>
      <c r="T324" s="58"/>
      <c r="U324" s="58"/>
      <c r="V324" s="58"/>
      <c r="W324" s="58"/>
      <c r="X324" s="58"/>
      <c r="Y324" s="58"/>
    </row>
    <row r="325">
      <c r="A325" s="58"/>
      <c r="B325" s="58"/>
      <c r="C325" s="58"/>
      <c r="D325" s="58"/>
      <c r="E325" s="194"/>
      <c r="F325" s="58"/>
      <c r="G325" s="58"/>
      <c r="H325" s="58"/>
      <c r="I325" s="58"/>
      <c r="J325" s="58"/>
      <c r="K325" s="58"/>
      <c r="L325" s="58"/>
      <c r="M325" s="58"/>
      <c r="N325" s="58"/>
      <c r="O325" s="58"/>
      <c r="P325" s="58"/>
      <c r="Q325" s="58"/>
      <c r="R325" s="58"/>
      <c r="S325" s="58"/>
      <c r="T325" s="58"/>
      <c r="U325" s="58"/>
      <c r="V325" s="58"/>
      <c r="W325" s="58"/>
      <c r="X325" s="58"/>
      <c r="Y325" s="58"/>
    </row>
    <row r="326">
      <c r="A326" s="58"/>
      <c r="B326" s="58"/>
      <c r="C326" s="58"/>
      <c r="D326" s="58"/>
      <c r="E326" s="194"/>
      <c r="F326" s="58"/>
      <c r="G326" s="58"/>
      <c r="H326" s="58"/>
      <c r="I326" s="58"/>
      <c r="J326" s="58"/>
      <c r="K326" s="58"/>
      <c r="L326" s="58"/>
      <c r="M326" s="58"/>
      <c r="N326" s="58"/>
      <c r="O326" s="58"/>
      <c r="P326" s="58"/>
      <c r="Q326" s="58"/>
      <c r="R326" s="58"/>
      <c r="S326" s="58"/>
      <c r="T326" s="58"/>
      <c r="U326" s="58"/>
      <c r="V326" s="58"/>
      <c r="W326" s="58"/>
      <c r="X326" s="58"/>
      <c r="Y326" s="58"/>
    </row>
    <row r="327">
      <c r="A327" s="58"/>
      <c r="B327" s="58"/>
      <c r="C327" s="58"/>
      <c r="D327" s="58"/>
      <c r="E327" s="194"/>
      <c r="F327" s="58"/>
      <c r="G327" s="58"/>
      <c r="H327" s="58"/>
      <c r="I327" s="58"/>
      <c r="J327" s="58"/>
      <c r="K327" s="58"/>
      <c r="L327" s="58"/>
      <c r="M327" s="58"/>
      <c r="N327" s="58"/>
      <c r="O327" s="58"/>
      <c r="P327" s="58"/>
      <c r="Q327" s="58"/>
      <c r="R327" s="58"/>
      <c r="S327" s="58"/>
      <c r="T327" s="58"/>
      <c r="U327" s="58"/>
      <c r="V327" s="58"/>
      <c r="W327" s="58"/>
      <c r="X327" s="58"/>
      <c r="Y327" s="58"/>
    </row>
    <row r="328">
      <c r="A328" s="58"/>
      <c r="B328" s="58"/>
      <c r="C328" s="58"/>
      <c r="D328" s="58"/>
      <c r="E328" s="194"/>
      <c r="F328" s="58"/>
      <c r="G328" s="58"/>
      <c r="H328" s="58"/>
      <c r="I328" s="58"/>
      <c r="J328" s="58"/>
      <c r="K328" s="58"/>
      <c r="L328" s="58"/>
      <c r="M328" s="58"/>
      <c r="N328" s="58"/>
      <c r="O328" s="58"/>
      <c r="P328" s="58"/>
      <c r="Q328" s="58"/>
      <c r="R328" s="58"/>
      <c r="S328" s="58"/>
      <c r="T328" s="58"/>
      <c r="U328" s="58"/>
      <c r="V328" s="58"/>
      <c r="W328" s="58"/>
      <c r="X328" s="58"/>
      <c r="Y328" s="58"/>
    </row>
    <row r="329">
      <c r="A329" s="58"/>
      <c r="B329" s="58"/>
      <c r="C329" s="58"/>
      <c r="D329" s="58"/>
      <c r="E329" s="194"/>
      <c r="F329" s="58"/>
      <c r="G329" s="58"/>
      <c r="H329" s="58"/>
      <c r="I329" s="58"/>
      <c r="J329" s="58"/>
      <c r="K329" s="58"/>
      <c r="L329" s="58"/>
      <c r="M329" s="58"/>
      <c r="N329" s="58"/>
      <c r="O329" s="58"/>
      <c r="P329" s="58"/>
      <c r="Q329" s="58"/>
      <c r="R329" s="58"/>
      <c r="S329" s="58"/>
      <c r="T329" s="58"/>
      <c r="U329" s="58"/>
      <c r="V329" s="58"/>
      <c r="W329" s="58"/>
      <c r="X329" s="58"/>
      <c r="Y329" s="58"/>
    </row>
    <row r="330">
      <c r="A330" s="58"/>
      <c r="B330" s="58"/>
      <c r="C330" s="58"/>
      <c r="D330" s="58"/>
      <c r="E330" s="194"/>
      <c r="F330" s="58"/>
      <c r="G330" s="58"/>
      <c r="H330" s="58"/>
      <c r="I330" s="58"/>
      <c r="J330" s="58"/>
      <c r="K330" s="58"/>
      <c r="L330" s="58"/>
      <c r="M330" s="58"/>
      <c r="N330" s="58"/>
      <c r="O330" s="58"/>
      <c r="P330" s="58"/>
      <c r="Q330" s="58"/>
      <c r="R330" s="58"/>
      <c r="S330" s="58"/>
      <c r="T330" s="58"/>
      <c r="U330" s="58"/>
      <c r="V330" s="58"/>
      <c r="W330" s="58"/>
      <c r="X330" s="58"/>
      <c r="Y330" s="58"/>
    </row>
    <row r="331">
      <c r="A331" s="58"/>
      <c r="B331" s="58"/>
      <c r="C331" s="58"/>
      <c r="D331" s="58"/>
      <c r="E331" s="194"/>
      <c r="F331" s="58"/>
      <c r="G331" s="58"/>
      <c r="H331" s="58"/>
      <c r="I331" s="58"/>
      <c r="J331" s="58"/>
      <c r="K331" s="58"/>
      <c r="L331" s="58"/>
      <c r="M331" s="58"/>
      <c r="N331" s="58"/>
      <c r="O331" s="58"/>
      <c r="P331" s="58"/>
      <c r="Q331" s="58"/>
      <c r="R331" s="58"/>
      <c r="S331" s="58"/>
      <c r="T331" s="58"/>
      <c r="U331" s="58"/>
      <c r="V331" s="58"/>
      <c r="W331" s="58"/>
      <c r="X331" s="58"/>
      <c r="Y331" s="58"/>
    </row>
    <row r="332">
      <c r="A332" s="58"/>
      <c r="B332" s="58"/>
      <c r="C332" s="58"/>
      <c r="D332" s="58"/>
      <c r="E332" s="194"/>
      <c r="F332" s="58"/>
      <c r="G332" s="58"/>
      <c r="H332" s="58"/>
      <c r="I332" s="58"/>
      <c r="J332" s="58"/>
      <c r="K332" s="58"/>
      <c r="L332" s="58"/>
      <c r="M332" s="58"/>
      <c r="N332" s="58"/>
      <c r="O332" s="58"/>
      <c r="P332" s="58"/>
      <c r="Q332" s="58"/>
      <c r="R332" s="58"/>
      <c r="S332" s="58"/>
      <c r="T332" s="58"/>
      <c r="U332" s="58"/>
      <c r="V332" s="58"/>
      <c r="W332" s="58"/>
      <c r="X332" s="58"/>
      <c r="Y332" s="58"/>
    </row>
    <row r="333">
      <c r="A333" s="58"/>
      <c r="B333" s="58"/>
      <c r="C333" s="58"/>
      <c r="D333" s="58"/>
      <c r="E333" s="194"/>
      <c r="F333" s="58"/>
      <c r="G333" s="58"/>
      <c r="H333" s="58"/>
      <c r="I333" s="58"/>
      <c r="J333" s="58"/>
      <c r="K333" s="58"/>
      <c r="L333" s="58"/>
      <c r="M333" s="58"/>
      <c r="N333" s="58"/>
      <c r="O333" s="58"/>
      <c r="P333" s="58"/>
      <c r="Q333" s="58"/>
      <c r="R333" s="58"/>
      <c r="S333" s="58"/>
      <c r="T333" s="58"/>
      <c r="U333" s="58"/>
      <c r="V333" s="58"/>
      <c r="W333" s="58"/>
      <c r="X333" s="58"/>
      <c r="Y333" s="58"/>
    </row>
    <row r="334">
      <c r="A334" s="58"/>
      <c r="B334" s="58"/>
      <c r="C334" s="58"/>
      <c r="D334" s="58"/>
      <c r="E334" s="194"/>
      <c r="F334" s="58"/>
      <c r="G334" s="58"/>
      <c r="H334" s="58"/>
      <c r="I334" s="58"/>
      <c r="J334" s="58"/>
      <c r="K334" s="58"/>
      <c r="L334" s="58"/>
      <c r="M334" s="58"/>
      <c r="N334" s="58"/>
      <c r="O334" s="58"/>
      <c r="P334" s="58"/>
      <c r="Q334" s="58"/>
      <c r="R334" s="58"/>
      <c r="S334" s="58"/>
      <c r="T334" s="58"/>
      <c r="U334" s="58"/>
      <c r="V334" s="58"/>
      <c r="W334" s="58"/>
      <c r="X334" s="58"/>
      <c r="Y334" s="58"/>
    </row>
    <row r="335">
      <c r="A335" s="58"/>
      <c r="B335" s="58"/>
      <c r="C335" s="58"/>
      <c r="D335" s="58"/>
      <c r="E335" s="194"/>
      <c r="F335" s="58"/>
      <c r="G335" s="58"/>
      <c r="H335" s="58"/>
      <c r="I335" s="58"/>
      <c r="J335" s="58"/>
      <c r="K335" s="58"/>
      <c r="L335" s="58"/>
      <c r="M335" s="58"/>
      <c r="N335" s="58"/>
      <c r="O335" s="58"/>
      <c r="P335" s="58"/>
      <c r="Q335" s="58"/>
      <c r="R335" s="58"/>
      <c r="S335" s="58"/>
      <c r="T335" s="58"/>
      <c r="U335" s="58"/>
      <c r="V335" s="58"/>
      <c r="W335" s="58"/>
      <c r="X335" s="58"/>
      <c r="Y335" s="58"/>
    </row>
    <row r="336">
      <c r="A336" s="58"/>
      <c r="B336" s="58"/>
      <c r="C336" s="58"/>
      <c r="D336" s="58"/>
      <c r="E336" s="194"/>
      <c r="F336" s="58"/>
      <c r="G336" s="58"/>
      <c r="H336" s="58"/>
      <c r="I336" s="58"/>
      <c r="J336" s="58"/>
      <c r="K336" s="58"/>
      <c r="L336" s="58"/>
      <c r="M336" s="58"/>
      <c r="N336" s="58"/>
      <c r="O336" s="58"/>
      <c r="P336" s="58"/>
      <c r="Q336" s="58"/>
      <c r="R336" s="58"/>
      <c r="S336" s="58"/>
      <c r="T336" s="58"/>
      <c r="U336" s="58"/>
      <c r="V336" s="58"/>
      <c r="W336" s="58"/>
      <c r="X336" s="58"/>
      <c r="Y336" s="58"/>
    </row>
    <row r="337">
      <c r="A337" s="58"/>
      <c r="B337" s="58"/>
      <c r="C337" s="58"/>
      <c r="D337" s="58"/>
      <c r="E337" s="194"/>
      <c r="F337" s="58"/>
      <c r="G337" s="58"/>
      <c r="H337" s="58"/>
      <c r="I337" s="58"/>
      <c r="J337" s="58"/>
      <c r="K337" s="58"/>
      <c r="L337" s="58"/>
      <c r="M337" s="58"/>
      <c r="N337" s="58"/>
      <c r="O337" s="58"/>
      <c r="P337" s="58"/>
      <c r="Q337" s="58"/>
      <c r="R337" s="58"/>
      <c r="S337" s="58"/>
      <c r="T337" s="58"/>
      <c r="U337" s="58"/>
      <c r="V337" s="58"/>
      <c r="W337" s="58"/>
      <c r="X337" s="58"/>
      <c r="Y337" s="58"/>
    </row>
    <row r="338">
      <c r="A338" s="58"/>
      <c r="B338" s="58"/>
      <c r="C338" s="58"/>
      <c r="D338" s="58"/>
      <c r="E338" s="194"/>
      <c r="F338" s="58"/>
      <c r="G338" s="58"/>
      <c r="H338" s="58"/>
      <c r="I338" s="58"/>
      <c r="J338" s="58"/>
      <c r="K338" s="58"/>
      <c r="L338" s="58"/>
      <c r="M338" s="58"/>
      <c r="N338" s="58"/>
      <c r="O338" s="58"/>
      <c r="P338" s="58"/>
      <c r="Q338" s="58"/>
      <c r="R338" s="58"/>
      <c r="S338" s="58"/>
      <c r="T338" s="58"/>
      <c r="U338" s="58"/>
      <c r="V338" s="58"/>
      <c r="W338" s="58"/>
      <c r="X338" s="58"/>
      <c r="Y338" s="58"/>
    </row>
    <row r="339">
      <c r="A339" s="58"/>
      <c r="B339" s="58"/>
      <c r="C339" s="58"/>
      <c r="D339" s="58"/>
      <c r="E339" s="194"/>
      <c r="F339" s="58"/>
      <c r="G339" s="58"/>
      <c r="H339" s="58"/>
      <c r="I339" s="58"/>
      <c r="J339" s="58"/>
      <c r="K339" s="58"/>
      <c r="L339" s="58"/>
      <c r="M339" s="58"/>
      <c r="N339" s="58"/>
      <c r="O339" s="58"/>
      <c r="P339" s="58"/>
      <c r="Q339" s="58"/>
      <c r="R339" s="58"/>
      <c r="S339" s="58"/>
      <c r="T339" s="58"/>
      <c r="U339" s="58"/>
      <c r="V339" s="58"/>
      <c r="W339" s="58"/>
      <c r="X339" s="58"/>
      <c r="Y339" s="58"/>
    </row>
    <row r="340">
      <c r="A340" s="58"/>
      <c r="B340" s="58"/>
      <c r="C340" s="58"/>
      <c r="D340" s="58"/>
      <c r="E340" s="194"/>
      <c r="F340" s="58"/>
      <c r="G340" s="58"/>
      <c r="H340" s="58"/>
      <c r="I340" s="58"/>
      <c r="J340" s="58"/>
      <c r="K340" s="58"/>
      <c r="L340" s="58"/>
      <c r="M340" s="58"/>
      <c r="N340" s="58"/>
      <c r="O340" s="58"/>
      <c r="P340" s="58"/>
      <c r="Q340" s="58"/>
      <c r="R340" s="58"/>
      <c r="S340" s="58"/>
      <c r="T340" s="58"/>
      <c r="U340" s="58"/>
      <c r="V340" s="58"/>
      <c r="W340" s="58"/>
      <c r="X340" s="58"/>
      <c r="Y340" s="58"/>
    </row>
    <row r="341">
      <c r="A341" s="58"/>
      <c r="B341" s="58"/>
      <c r="C341" s="58"/>
      <c r="D341" s="58"/>
      <c r="E341" s="194"/>
      <c r="F341" s="58"/>
      <c r="G341" s="58"/>
      <c r="H341" s="58"/>
      <c r="I341" s="58"/>
      <c r="J341" s="58"/>
      <c r="K341" s="58"/>
      <c r="L341" s="58"/>
      <c r="M341" s="58"/>
      <c r="N341" s="58"/>
      <c r="O341" s="58"/>
      <c r="P341" s="58"/>
      <c r="Q341" s="58"/>
      <c r="R341" s="58"/>
      <c r="S341" s="58"/>
      <c r="T341" s="58"/>
      <c r="U341" s="58"/>
      <c r="V341" s="58"/>
      <c r="W341" s="58"/>
      <c r="X341" s="58"/>
      <c r="Y341" s="58"/>
    </row>
    <row r="342">
      <c r="A342" s="58"/>
      <c r="B342" s="58"/>
      <c r="C342" s="58"/>
      <c r="D342" s="58"/>
      <c r="E342" s="194"/>
      <c r="F342" s="58"/>
      <c r="G342" s="58"/>
      <c r="H342" s="58"/>
      <c r="I342" s="58"/>
      <c r="J342" s="58"/>
      <c r="K342" s="58"/>
      <c r="L342" s="58"/>
      <c r="M342" s="58"/>
      <c r="N342" s="58"/>
      <c r="O342" s="58"/>
      <c r="P342" s="58"/>
      <c r="Q342" s="58"/>
      <c r="R342" s="58"/>
      <c r="S342" s="58"/>
      <c r="T342" s="58"/>
      <c r="U342" s="58"/>
      <c r="V342" s="58"/>
      <c r="W342" s="58"/>
      <c r="X342" s="58"/>
      <c r="Y342" s="58"/>
    </row>
    <row r="343">
      <c r="A343" s="58"/>
      <c r="B343" s="58"/>
      <c r="C343" s="58"/>
      <c r="D343" s="58"/>
      <c r="E343" s="194"/>
      <c r="F343" s="58"/>
      <c r="G343" s="58"/>
      <c r="H343" s="58"/>
      <c r="I343" s="58"/>
      <c r="J343" s="58"/>
      <c r="K343" s="58"/>
      <c r="L343" s="58"/>
      <c r="M343" s="58"/>
      <c r="N343" s="58"/>
      <c r="O343" s="58"/>
      <c r="P343" s="58"/>
      <c r="Q343" s="58"/>
      <c r="R343" s="58"/>
      <c r="S343" s="58"/>
      <c r="T343" s="58"/>
      <c r="U343" s="58"/>
      <c r="V343" s="58"/>
      <c r="W343" s="58"/>
      <c r="X343" s="58"/>
      <c r="Y343" s="58"/>
    </row>
    <row r="344">
      <c r="A344" s="58"/>
      <c r="B344" s="58"/>
      <c r="C344" s="58"/>
      <c r="D344" s="58"/>
      <c r="E344" s="194"/>
      <c r="F344" s="58"/>
      <c r="G344" s="58"/>
      <c r="H344" s="58"/>
      <c r="I344" s="58"/>
      <c r="J344" s="58"/>
      <c r="K344" s="58"/>
      <c r="L344" s="58"/>
      <c r="M344" s="58"/>
      <c r="N344" s="58"/>
      <c r="O344" s="58"/>
      <c r="P344" s="58"/>
      <c r="Q344" s="58"/>
      <c r="R344" s="58"/>
      <c r="S344" s="58"/>
      <c r="T344" s="58"/>
      <c r="U344" s="58"/>
      <c r="V344" s="58"/>
      <c r="W344" s="58"/>
      <c r="X344" s="58"/>
      <c r="Y344" s="58"/>
    </row>
    <row r="345">
      <c r="A345" s="58"/>
      <c r="B345" s="58"/>
      <c r="C345" s="58"/>
      <c r="D345" s="58"/>
      <c r="E345" s="194"/>
      <c r="F345" s="58"/>
      <c r="G345" s="58"/>
      <c r="H345" s="58"/>
      <c r="I345" s="58"/>
      <c r="J345" s="58"/>
      <c r="K345" s="58"/>
      <c r="L345" s="58"/>
      <c r="M345" s="58"/>
      <c r="N345" s="58"/>
      <c r="O345" s="58"/>
      <c r="P345" s="58"/>
      <c r="Q345" s="58"/>
      <c r="R345" s="58"/>
      <c r="S345" s="58"/>
      <c r="T345" s="58"/>
      <c r="U345" s="58"/>
      <c r="V345" s="58"/>
      <c r="W345" s="58"/>
      <c r="X345" s="58"/>
      <c r="Y345" s="58"/>
    </row>
    <row r="346">
      <c r="A346" s="58"/>
      <c r="B346" s="58"/>
      <c r="C346" s="58"/>
      <c r="D346" s="58"/>
      <c r="E346" s="194"/>
      <c r="F346" s="58"/>
      <c r="G346" s="58"/>
      <c r="H346" s="58"/>
      <c r="I346" s="58"/>
      <c r="J346" s="58"/>
      <c r="K346" s="58"/>
      <c r="L346" s="58"/>
      <c r="M346" s="58"/>
      <c r="N346" s="58"/>
      <c r="O346" s="58"/>
      <c r="P346" s="58"/>
      <c r="Q346" s="58"/>
      <c r="R346" s="58"/>
      <c r="S346" s="58"/>
      <c r="T346" s="58"/>
      <c r="U346" s="58"/>
      <c r="V346" s="58"/>
      <c r="W346" s="58"/>
      <c r="X346" s="58"/>
      <c r="Y346" s="58"/>
    </row>
    <row r="347">
      <c r="A347" s="58"/>
      <c r="B347" s="58"/>
      <c r="C347" s="58"/>
      <c r="D347" s="58"/>
      <c r="E347" s="194"/>
      <c r="F347" s="58"/>
      <c r="G347" s="58"/>
      <c r="H347" s="58"/>
      <c r="I347" s="58"/>
      <c r="J347" s="58"/>
      <c r="K347" s="58"/>
      <c r="L347" s="58"/>
      <c r="M347" s="58"/>
      <c r="N347" s="58"/>
      <c r="O347" s="58"/>
      <c r="P347" s="58"/>
      <c r="Q347" s="58"/>
      <c r="R347" s="58"/>
      <c r="S347" s="58"/>
      <c r="T347" s="58"/>
      <c r="U347" s="58"/>
      <c r="V347" s="58"/>
      <c r="W347" s="58"/>
      <c r="X347" s="58"/>
      <c r="Y347" s="58"/>
    </row>
    <row r="348">
      <c r="A348" s="58"/>
      <c r="B348" s="58"/>
      <c r="C348" s="58"/>
      <c r="D348" s="58"/>
      <c r="E348" s="194"/>
      <c r="F348" s="58"/>
      <c r="G348" s="58"/>
      <c r="H348" s="58"/>
      <c r="I348" s="58"/>
      <c r="J348" s="58"/>
      <c r="K348" s="58"/>
      <c r="L348" s="58"/>
      <c r="M348" s="58"/>
      <c r="N348" s="58"/>
      <c r="O348" s="58"/>
      <c r="P348" s="58"/>
      <c r="Q348" s="58"/>
      <c r="R348" s="58"/>
      <c r="S348" s="58"/>
      <c r="T348" s="58"/>
      <c r="U348" s="58"/>
      <c r="V348" s="58"/>
      <c r="W348" s="58"/>
      <c r="X348" s="58"/>
      <c r="Y348" s="58"/>
    </row>
    <row r="349">
      <c r="A349" s="58"/>
      <c r="B349" s="58"/>
      <c r="C349" s="58"/>
      <c r="D349" s="58"/>
      <c r="E349" s="194"/>
      <c r="F349" s="58"/>
      <c r="G349" s="58"/>
      <c r="H349" s="58"/>
      <c r="I349" s="58"/>
      <c r="J349" s="58"/>
      <c r="K349" s="58"/>
      <c r="L349" s="58"/>
      <c r="M349" s="58"/>
      <c r="N349" s="58"/>
      <c r="O349" s="58"/>
      <c r="P349" s="58"/>
      <c r="Q349" s="58"/>
      <c r="R349" s="58"/>
      <c r="S349" s="58"/>
      <c r="T349" s="58"/>
      <c r="U349" s="58"/>
      <c r="V349" s="58"/>
      <c r="W349" s="58"/>
      <c r="X349" s="58"/>
      <c r="Y349" s="58"/>
    </row>
    <row r="350">
      <c r="A350" s="58"/>
      <c r="B350" s="58"/>
      <c r="C350" s="58"/>
      <c r="D350" s="58"/>
      <c r="E350" s="194"/>
      <c r="F350" s="58"/>
      <c r="G350" s="58"/>
      <c r="H350" s="58"/>
      <c r="I350" s="58"/>
      <c r="J350" s="58"/>
      <c r="K350" s="58"/>
      <c r="L350" s="58"/>
      <c r="M350" s="58"/>
      <c r="N350" s="58"/>
      <c r="O350" s="58"/>
      <c r="P350" s="58"/>
      <c r="Q350" s="58"/>
      <c r="R350" s="58"/>
      <c r="S350" s="58"/>
      <c r="T350" s="58"/>
      <c r="U350" s="58"/>
      <c r="V350" s="58"/>
      <c r="W350" s="58"/>
      <c r="X350" s="58"/>
      <c r="Y350" s="58"/>
    </row>
    <row r="351">
      <c r="A351" s="58"/>
      <c r="B351" s="58"/>
      <c r="C351" s="58"/>
      <c r="D351" s="58"/>
      <c r="E351" s="194"/>
      <c r="F351" s="58"/>
      <c r="G351" s="58"/>
      <c r="H351" s="58"/>
      <c r="I351" s="58"/>
      <c r="J351" s="58"/>
      <c r="K351" s="58"/>
      <c r="L351" s="58"/>
      <c r="M351" s="58"/>
      <c r="N351" s="58"/>
      <c r="O351" s="58"/>
      <c r="P351" s="58"/>
      <c r="Q351" s="58"/>
      <c r="R351" s="58"/>
      <c r="S351" s="58"/>
      <c r="T351" s="58"/>
      <c r="U351" s="58"/>
      <c r="V351" s="58"/>
      <c r="W351" s="58"/>
      <c r="X351" s="58"/>
      <c r="Y351" s="58"/>
    </row>
    <row r="352">
      <c r="A352" s="58"/>
      <c r="B352" s="58"/>
      <c r="C352" s="58"/>
      <c r="D352" s="58"/>
      <c r="E352" s="194"/>
      <c r="F352" s="58"/>
      <c r="G352" s="58"/>
      <c r="H352" s="58"/>
      <c r="I352" s="58"/>
      <c r="J352" s="58"/>
      <c r="K352" s="58"/>
      <c r="L352" s="58"/>
      <c r="M352" s="58"/>
      <c r="N352" s="58"/>
      <c r="O352" s="58"/>
      <c r="P352" s="58"/>
      <c r="Q352" s="58"/>
      <c r="R352" s="58"/>
      <c r="S352" s="58"/>
      <c r="T352" s="58"/>
      <c r="U352" s="58"/>
      <c r="V352" s="58"/>
      <c r="W352" s="58"/>
      <c r="X352" s="58"/>
      <c r="Y352" s="58"/>
    </row>
    <row r="353">
      <c r="A353" s="58"/>
      <c r="B353" s="58"/>
      <c r="C353" s="58"/>
      <c r="D353" s="58"/>
      <c r="E353" s="194"/>
      <c r="F353" s="58"/>
      <c r="G353" s="58"/>
      <c r="H353" s="58"/>
      <c r="I353" s="58"/>
      <c r="J353" s="58"/>
      <c r="K353" s="58"/>
      <c r="L353" s="58"/>
      <c r="M353" s="58"/>
      <c r="N353" s="58"/>
      <c r="O353" s="58"/>
      <c r="P353" s="58"/>
      <c r="Q353" s="58"/>
      <c r="R353" s="58"/>
      <c r="S353" s="58"/>
      <c r="T353" s="58"/>
      <c r="U353" s="58"/>
      <c r="V353" s="58"/>
      <c r="W353" s="58"/>
      <c r="X353" s="58"/>
      <c r="Y353" s="58"/>
    </row>
    <row r="354">
      <c r="A354" s="58"/>
      <c r="B354" s="58"/>
      <c r="C354" s="58"/>
      <c r="D354" s="58"/>
      <c r="E354" s="194"/>
      <c r="F354" s="58"/>
      <c r="G354" s="58"/>
      <c r="H354" s="58"/>
      <c r="I354" s="58"/>
      <c r="J354" s="58"/>
      <c r="K354" s="58"/>
      <c r="L354" s="58"/>
      <c r="M354" s="58"/>
      <c r="N354" s="58"/>
      <c r="O354" s="58"/>
      <c r="P354" s="58"/>
      <c r="Q354" s="58"/>
      <c r="R354" s="58"/>
      <c r="S354" s="58"/>
      <c r="T354" s="58"/>
      <c r="U354" s="58"/>
      <c r="V354" s="58"/>
      <c r="W354" s="58"/>
      <c r="X354" s="58"/>
      <c r="Y354" s="58"/>
    </row>
    <row r="355">
      <c r="A355" s="58"/>
      <c r="B355" s="58"/>
      <c r="C355" s="58"/>
      <c r="D355" s="58"/>
      <c r="E355" s="194"/>
      <c r="F355" s="58"/>
      <c r="G355" s="58"/>
      <c r="H355" s="58"/>
      <c r="I355" s="58"/>
      <c r="J355" s="58"/>
      <c r="K355" s="58"/>
      <c r="L355" s="58"/>
      <c r="M355" s="58"/>
      <c r="N355" s="58"/>
      <c r="O355" s="58"/>
      <c r="P355" s="58"/>
      <c r="Q355" s="58"/>
      <c r="R355" s="58"/>
      <c r="S355" s="58"/>
      <c r="T355" s="58"/>
      <c r="U355" s="58"/>
      <c r="V355" s="58"/>
      <c r="W355" s="58"/>
      <c r="X355" s="58"/>
      <c r="Y355" s="58"/>
    </row>
    <row r="356">
      <c r="A356" s="58"/>
      <c r="B356" s="58"/>
      <c r="C356" s="58"/>
      <c r="D356" s="58"/>
      <c r="E356" s="194"/>
      <c r="F356" s="58"/>
      <c r="G356" s="58"/>
      <c r="H356" s="58"/>
      <c r="I356" s="58"/>
      <c r="J356" s="58"/>
      <c r="K356" s="58"/>
      <c r="L356" s="58"/>
      <c r="M356" s="58"/>
      <c r="N356" s="58"/>
      <c r="O356" s="58"/>
      <c r="P356" s="58"/>
      <c r="Q356" s="58"/>
      <c r="R356" s="58"/>
      <c r="S356" s="58"/>
      <c r="T356" s="58"/>
      <c r="U356" s="58"/>
      <c r="V356" s="58"/>
      <c r="W356" s="58"/>
      <c r="X356" s="58"/>
      <c r="Y356" s="58"/>
    </row>
    <row r="357">
      <c r="A357" s="58"/>
      <c r="B357" s="58"/>
      <c r="C357" s="58"/>
      <c r="D357" s="58"/>
      <c r="E357" s="194"/>
      <c r="F357" s="58"/>
      <c r="G357" s="58"/>
      <c r="H357" s="58"/>
      <c r="I357" s="58"/>
      <c r="J357" s="58"/>
      <c r="K357" s="58"/>
      <c r="L357" s="58"/>
      <c r="M357" s="58"/>
      <c r="N357" s="58"/>
      <c r="O357" s="58"/>
      <c r="P357" s="58"/>
      <c r="Q357" s="58"/>
      <c r="R357" s="58"/>
      <c r="S357" s="58"/>
      <c r="T357" s="58"/>
      <c r="U357" s="58"/>
      <c r="V357" s="58"/>
      <c r="W357" s="58"/>
      <c r="X357" s="58"/>
      <c r="Y357" s="58"/>
    </row>
    <row r="358">
      <c r="A358" s="58"/>
      <c r="B358" s="58"/>
      <c r="C358" s="58"/>
      <c r="D358" s="58"/>
      <c r="E358" s="194"/>
      <c r="F358" s="58"/>
      <c r="G358" s="58"/>
      <c r="H358" s="58"/>
      <c r="I358" s="58"/>
      <c r="J358" s="58"/>
      <c r="K358" s="58"/>
      <c r="L358" s="58"/>
      <c r="M358" s="58"/>
      <c r="N358" s="58"/>
      <c r="O358" s="58"/>
      <c r="P358" s="58"/>
      <c r="Q358" s="58"/>
      <c r="R358" s="58"/>
      <c r="S358" s="58"/>
      <c r="T358" s="58"/>
      <c r="U358" s="58"/>
      <c r="V358" s="58"/>
      <c r="W358" s="58"/>
      <c r="X358" s="58"/>
      <c r="Y358" s="58"/>
    </row>
    <row r="359">
      <c r="A359" s="58"/>
      <c r="B359" s="58"/>
      <c r="C359" s="58"/>
      <c r="D359" s="58"/>
      <c r="E359" s="194"/>
      <c r="F359" s="58"/>
      <c r="G359" s="58"/>
      <c r="H359" s="58"/>
      <c r="I359" s="58"/>
      <c r="J359" s="58"/>
      <c r="K359" s="58"/>
      <c r="L359" s="58"/>
      <c r="M359" s="58"/>
      <c r="N359" s="58"/>
      <c r="O359" s="58"/>
      <c r="P359" s="58"/>
      <c r="Q359" s="58"/>
      <c r="R359" s="58"/>
      <c r="S359" s="58"/>
      <c r="T359" s="58"/>
      <c r="U359" s="58"/>
      <c r="V359" s="58"/>
      <c r="W359" s="58"/>
      <c r="X359" s="58"/>
      <c r="Y359" s="58"/>
    </row>
    <row r="360">
      <c r="A360" s="58"/>
      <c r="B360" s="58"/>
      <c r="C360" s="58"/>
      <c r="D360" s="58"/>
      <c r="E360" s="194"/>
      <c r="F360" s="58"/>
      <c r="G360" s="58"/>
      <c r="H360" s="58"/>
      <c r="I360" s="58"/>
      <c r="J360" s="58"/>
      <c r="K360" s="58"/>
      <c r="L360" s="58"/>
      <c r="M360" s="58"/>
      <c r="N360" s="58"/>
      <c r="O360" s="58"/>
      <c r="P360" s="58"/>
      <c r="Q360" s="58"/>
      <c r="R360" s="58"/>
      <c r="S360" s="58"/>
      <c r="T360" s="58"/>
      <c r="U360" s="58"/>
      <c r="V360" s="58"/>
      <c r="W360" s="58"/>
      <c r="X360" s="58"/>
      <c r="Y360" s="58"/>
    </row>
    <row r="361">
      <c r="A361" s="58"/>
      <c r="B361" s="58"/>
      <c r="C361" s="58"/>
      <c r="D361" s="58"/>
      <c r="E361" s="194"/>
      <c r="F361" s="58"/>
      <c r="G361" s="58"/>
      <c r="H361" s="58"/>
      <c r="I361" s="58"/>
      <c r="J361" s="58"/>
      <c r="K361" s="58"/>
      <c r="L361" s="58"/>
      <c r="M361" s="58"/>
      <c r="N361" s="58"/>
      <c r="O361" s="58"/>
      <c r="P361" s="58"/>
      <c r="Q361" s="58"/>
      <c r="R361" s="58"/>
      <c r="S361" s="58"/>
      <c r="T361" s="58"/>
      <c r="U361" s="58"/>
      <c r="V361" s="58"/>
      <c r="W361" s="58"/>
      <c r="X361" s="58"/>
      <c r="Y361" s="58"/>
    </row>
    <row r="362">
      <c r="A362" s="58"/>
      <c r="B362" s="58"/>
      <c r="C362" s="58"/>
      <c r="D362" s="58"/>
      <c r="E362" s="194"/>
      <c r="F362" s="58"/>
      <c r="G362" s="58"/>
      <c r="H362" s="58"/>
      <c r="I362" s="58"/>
      <c r="J362" s="58"/>
      <c r="K362" s="58"/>
      <c r="L362" s="58"/>
      <c r="M362" s="58"/>
      <c r="N362" s="58"/>
      <c r="O362" s="58"/>
      <c r="P362" s="58"/>
      <c r="Q362" s="58"/>
      <c r="R362" s="58"/>
      <c r="S362" s="58"/>
      <c r="T362" s="58"/>
      <c r="U362" s="58"/>
      <c r="V362" s="58"/>
      <c r="W362" s="58"/>
      <c r="X362" s="58"/>
      <c r="Y362" s="58"/>
    </row>
    <row r="363">
      <c r="A363" s="58"/>
      <c r="B363" s="58"/>
      <c r="C363" s="58"/>
      <c r="D363" s="58"/>
      <c r="E363" s="194"/>
      <c r="F363" s="58"/>
      <c r="G363" s="58"/>
      <c r="H363" s="58"/>
      <c r="I363" s="58"/>
      <c r="J363" s="58"/>
      <c r="K363" s="58"/>
      <c r="L363" s="58"/>
      <c r="M363" s="58"/>
      <c r="N363" s="58"/>
      <c r="O363" s="58"/>
      <c r="P363" s="58"/>
      <c r="Q363" s="58"/>
      <c r="R363" s="58"/>
      <c r="S363" s="58"/>
      <c r="T363" s="58"/>
      <c r="U363" s="58"/>
      <c r="V363" s="58"/>
      <c r="W363" s="58"/>
      <c r="X363" s="58"/>
      <c r="Y363" s="58"/>
    </row>
    <row r="364">
      <c r="A364" s="58"/>
      <c r="B364" s="58"/>
      <c r="C364" s="58"/>
      <c r="D364" s="58"/>
      <c r="E364" s="194"/>
      <c r="F364" s="58"/>
      <c r="G364" s="58"/>
      <c r="H364" s="58"/>
      <c r="I364" s="58"/>
      <c r="J364" s="58"/>
      <c r="K364" s="58"/>
      <c r="L364" s="58"/>
      <c r="M364" s="58"/>
      <c r="N364" s="58"/>
      <c r="O364" s="58"/>
      <c r="P364" s="58"/>
      <c r="Q364" s="58"/>
      <c r="R364" s="58"/>
      <c r="S364" s="58"/>
      <c r="T364" s="58"/>
      <c r="U364" s="58"/>
      <c r="V364" s="58"/>
      <c r="W364" s="58"/>
      <c r="X364" s="58"/>
      <c r="Y364" s="58"/>
    </row>
    <row r="365">
      <c r="A365" s="58"/>
      <c r="B365" s="58"/>
      <c r="C365" s="58"/>
      <c r="D365" s="58"/>
      <c r="E365" s="194"/>
      <c r="F365" s="58"/>
      <c r="G365" s="58"/>
      <c r="H365" s="58"/>
      <c r="I365" s="58"/>
      <c r="J365" s="58"/>
      <c r="K365" s="58"/>
      <c r="L365" s="58"/>
      <c r="M365" s="58"/>
      <c r="N365" s="58"/>
      <c r="O365" s="58"/>
      <c r="P365" s="58"/>
      <c r="Q365" s="58"/>
      <c r="R365" s="58"/>
      <c r="S365" s="58"/>
      <c r="T365" s="58"/>
      <c r="U365" s="58"/>
      <c r="V365" s="58"/>
      <c r="W365" s="58"/>
      <c r="X365" s="58"/>
      <c r="Y365" s="58"/>
    </row>
    <row r="366">
      <c r="A366" s="58"/>
      <c r="B366" s="58"/>
      <c r="C366" s="58"/>
      <c r="D366" s="58"/>
      <c r="E366" s="194"/>
      <c r="F366" s="58"/>
      <c r="G366" s="58"/>
      <c r="H366" s="58"/>
      <c r="I366" s="58"/>
      <c r="J366" s="58"/>
      <c r="K366" s="58"/>
      <c r="L366" s="58"/>
      <c r="M366" s="58"/>
      <c r="N366" s="58"/>
      <c r="O366" s="58"/>
      <c r="P366" s="58"/>
      <c r="Q366" s="58"/>
      <c r="R366" s="58"/>
      <c r="S366" s="58"/>
      <c r="T366" s="58"/>
      <c r="U366" s="58"/>
      <c r="V366" s="58"/>
      <c r="W366" s="58"/>
      <c r="X366" s="58"/>
      <c r="Y366" s="58"/>
    </row>
    <row r="367">
      <c r="A367" s="58"/>
      <c r="B367" s="58"/>
      <c r="C367" s="58"/>
      <c r="D367" s="58"/>
      <c r="E367" s="194"/>
      <c r="F367" s="58"/>
      <c r="G367" s="58"/>
      <c r="H367" s="58"/>
      <c r="I367" s="58"/>
      <c r="J367" s="58"/>
      <c r="K367" s="58"/>
      <c r="L367" s="58"/>
      <c r="M367" s="58"/>
      <c r="N367" s="58"/>
      <c r="O367" s="58"/>
      <c r="P367" s="58"/>
      <c r="Q367" s="58"/>
      <c r="R367" s="58"/>
      <c r="S367" s="58"/>
      <c r="T367" s="58"/>
      <c r="U367" s="58"/>
      <c r="V367" s="58"/>
      <c r="W367" s="58"/>
      <c r="X367" s="58"/>
      <c r="Y367" s="58"/>
    </row>
    <row r="368">
      <c r="A368" s="58"/>
      <c r="B368" s="58"/>
      <c r="C368" s="58"/>
      <c r="D368" s="58"/>
      <c r="E368" s="194"/>
      <c r="F368" s="58"/>
      <c r="G368" s="58"/>
      <c r="H368" s="58"/>
      <c r="I368" s="58"/>
      <c r="J368" s="58"/>
      <c r="K368" s="58"/>
      <c r="L368" s="58"/>
      <c r="M368" s="58"/>
      <c r="N368" s="58"/>
      <c r="O368" s="58"/>
      <c r="P368" s="58"/>
      <c r="Q368" s="58"/>
      <c r="R368" s="58"/>
      <c r="S368" s="58"/>
      <c r="T368" s="58"/>
      <c r="U368" s="58"/>
      <c r="V368" s="58"/>
      <c r="W368" s="58"/>
      <c r="X368" s="58"/>
      <c r="Y368" s="58"/>
    </row>
    <row r="369">
      <c r="A369" s="58"/>
      <c r="B369" s="58"/>
      <c r="C369" s="58"/>
      <c r="D369" s="58"/>
      <c r="E369" s="194"/>
      <c r="F369" s="58"/>
      <c r="G369" s="58"/>
      <c r="H369" s="58"/>
      <c r="I369" s="58"/>
      <c r="J369" s="58"/>
      <c r="K369" s="58"/>
      <c r="L369" s="58"/>
      <c r="M369" s="58"/>
      <c r="N369" s="58"/>
      <c r="O369" s="58"/>
      <c r="P369" s="58"/>
      <c r="Q369" s="58"/>
      <c r="R369" s="58"/>
      <c r="S369" s="58"/>
      <c r="T369" s="58"/>
      <c r="U369" s="58"/>
      <c r="V369" s="58"/>
      <c r="W369" s="58"/>
      <c r="X369" s="58"/>
      <c r="Y369" s="58"/>
    </row>
    <row r="370">
      <c r="A370" s="58"/>
      <c r="B370" s="58"/>
      <c r="C370" s="58"/>
      <c r="D370" s="58"/>
      <c r="E370" s="194"/>
      <c r="F370" s="58"/>
      <c r="G370" s="58"/>
      <c r="H370" s="58"/>
      <c r="I370" s="58"/>
      <c r="J370" s="58"/>
      <c r="K370" s="58"/>
      <c r="L370" s="58"/>
      <c r="M370" s="58"/>
      <c r="N370" s="58"/>
      <c r="O370" s="58"/>
      <c r="P370" s="58"/>
      <c r="Q370" s="58"/>
      <c r="R370" s="58"/>
      <c r="S370" s="58"/>
      <c r="T370" s="58"/>
      <c r="U370" s="58"/>
      <c r="V370" s="58"/>
      <c r="W370" s="58"/>
      <c r="X370" s="58"/>
      <c r="Y370" s="58"/>
    </row>
    <row r="371">
      <c r="A371" s="58"/>
      <c r="B371" s="58"/>
      <c r="C371" s="58"/>
      <c r="D371" s="58"/>
      <c r="E371" s="194"/>
      <c r="F371" s="58"/>
      <c r="G371" s="58"/>
      <c r="H371" s="58"/>
      <c r="I371" s="58"/>
      <c r="J371" s="58"/>
      <c r="K371" s="58"/>
      <c r="L371" s="58"/>
      <c r="M371" s="58"/>
      <c r="N371" s="58"/>
      <c r="O371" s="58"/>
      <c r="P371" s="58"/>
      <c r="Q371" s="58"/>
      <c r="R371" s="58"/>
      <c r="S371" s="58"/>
      <c r="T371" s="58"/>
      <c r="U371" s="58"/>
      <c r="V371" s="58"/>
      <c r="W371" s="58"/>
      <c r="X371" s="58"/>
      <c r="Y371" s="58"/>
    </row>
    <row r="372">
      <c r="A372" s="58"/>
      <c r="B372" s="58"/>
      <c r="C372" s="58"/>
      <c r="D372" s="58"/>
      <c r="E372" s="194"/>
      <c r="F372" s="58"/>
      <c r="G372" s="58"/>
      <c r="H372" s="58"/>
      <c r="I372" s="58"/>
      <c r="J372" s="58"/>
      <c r="K372" s="58"/>
      <c r="L372" s="58"/>
      <c r="M372" s="58"/>
      <c r="N372" s="58"/>
      <c r="O372" s="58"/>
      <c r="P372" s="58"/>
      <c r="Q372" s="58"/>
      <c r="R372" s="58"/>
      <c r="S372" s="58"/>
      <c r="T372" s="58"/>
      <c r="U372" s="58"/>
      <c r="V372" s="58"/>
      <c r="W372" s="58"/>
      <c r="X372" s="58"/>
      <c r="Y372" s="58"/>
    </row>
    <row r="373">
      <c r="A373" s="58"/>
      <c r="B373" s="58"/>
      <c r="C373" s="58"/>
      <c r="D373" s="58"/>
      <c r="E373" s="194"/>
      <c r="F373" s="58"/>
      <c r="G373" s="58"/>
      <c r="H373" s="58"/>
      <c r="I373" s="58"/>
      <c r="J373" s="58"/>
      <c r="K373" s="58"/>
      <c r="L373" s="58"/>
      <c r="M373" s="58"/>
      <c r="N373" s="58"/>
      <c r="O373" s="58"/>
      <c r="P373" s="58"/>
      <c r="Q373" s="58"/>
      <c r="R373" s="58"/>
      <c r="S373" s="58"/>
      <c r="T373" s="58"/>
      <c r="U373" s="58"/>
      <c r="V373" s="58"/>
      <c r="W373" s="58"/>
      <c r="X373" s="58"/>
      <c r="Y373" s="58"/>
    </row>
    <row r="374">
      <c r="A374" s="58"/>
      <c r="B374" s="58"/>
      <c r="C374" s="58"/>
      <c r="D374" s="58"/>
      <c r="E374" s="194"/>
      <c r="F374" s="58"/>
      <c r="G374" s="58"/>
      <c r="H374" s="58"/>
      <c r="I374" s="58"/>
      <c r="J374" s="58"/>
      <c r="K374" s="58"/>
      <c r="L374" s="58"/>
      <c r="M374" s="58"/>
      <c r="N374" s="58"/>
      <c r="O374" s="58"/>
      <c r="P374" s="58"/>
      <c r="Q374" s="58"/>
      <c r="R374" s="58"/>
      <c r="S374" s="58"/>
      <c r="T374" s="58"/>
      <c r="U374" s="58"/>
      <c r="V374" s="58"/>
      <c r="W374" s="58"/>
      <c r="X374" s="58"/>
      <c r="Y374" s="58"/>
    </row>
    <row r="375">
      <c r="A375" s="58"/>
      <c r="B375" s="58"/>
      <c r="C375" s="58"/>
      <c r="D375" s="58"/>
      <c r="E375" s="194"/>
      <c r="F375" s="58"/>
      <c r="G375" s="58"/>
      <c r="H375" s="58"/>
      <c r="I375" s="58"/>
      <c r="J375" s="58"/>
      <c r="K375" s="58"/>
      <c r="L375" s="58"/>
      <c r="M375" s="58"/>
      <c r="N375" s="58"/>
      <c r="O375" s="58"/>
      <c r="P375" s="58"/>
      <c r="Q375" s="58"/>
      <c r="R375" s="58"/>
      <c r="S375" s="58"/>
      <c r="T375" s="58"/>
      <c r="U375" s="58"/>
      <c r="V375" s="58"/>
      <c r="W375" s="58"/>
      <c r="X375" s="58"/>
      <c r="Y375" s="58"/>
    </row>
    <row r="376">
      <c r="A376" s="58"/>
      <c r="B376" s="58"/>
      <c r="C376" s="58"/>
      <c r="D376" s="58"/>
      <c r="E376" s="194"/>
      <c r="F376" s="58"/>
      <c r="G376" s="58"/>
      <c r="H376" s="58"/>
      <c r="I376" s="58"/>
      <c r="J376" s="58"/>
      <c r="K376" s="58"/>
      <c r="L376" s="58"/>
      <c r="M376" s="58"/>
      <c r="N376" s="58"/>
      <c r="O376" s="58"/>
      <c r="P376" s="58"/>
      <c r="Q376" s="58"/>
      <c r="R376" s="58"/>
      <c r="S376" s="58"/>
      <c r="T376" s="58"/>
      <c r="U376" s="58"/>
      <c r="V376" s="58"/>
      <c r="W376" s="58"/>
      <c r="X376" s="58"/>
      <c r="Y376" s="58"/>
    </row>
    <row r="377">
      <c r="A377" s="58"/>
      <c r="B377" s="58"/>
      <c r="C377" s="58"/>
      <c r="D377" s="58"/>
      <c r="E377" s="194"/>
      <c r="F377" s="58"/>
      <c r="G377" s="58"/>
      <c r="H377" s="58"/>
      <c r="I377" s="58"/>
      <c r="J377" s="58"/>
      <c r="K377" s="58"/>
      <c r="L377" s="58"/>
      <c r="M377" s="58"/>
      <c r="N377" s="58"/>
      <c r="O377" s="58"/>
      <c r="P377" s="58"/>
      <c r="Q377" s="58"/>
      <c r="R377" s="58"/>
      <c r="S377" s="58"/>
      <c r="T377" s="58"/>
      <c r="U377" s="58"/>
      <c r="V377" s="58"/>
      <c r="W377" s="58"/>
      <c r="X377" s="58"/>
      <c r="Y377" s="58"/>
    </row>
    <row r="378">
      <c r="A378" s="58"/>
      <c r="B378" s="58"/>
      <c r="C378" s="58"/>
      <c r="D378" s="58"/>
      <c r="E378" s="194"/>
      <c r="F378" s="58"/>
      <c r="G378" s="58"/>
      <c r="H378" s="58"/>
      <c r="I378" s="58"/>
      <c r="J378" s="58"/>
      <c r="K378" s="58"/>
      <c r="L378" s="58"/>
      <c r="M378" s="58"/>
      <c r="N378" s="58"/>
      <c r="O378" s="58"/>
      <c r="P378" s="58"/>
      <c r="Q378" s="58"/>
      <c r="R378" s="58"/>
      <c r="S378" s="58"/>
      <c r="T378" s="58"/>
      <c r="U378" s="58"/>
      <c r="V378" s="58"/>
      <c r="W378" s="58"/>
      <c r="X378" s="58"/>
      <c r="Y378" s="58"/>
    </row>
    <row r="379">
      <c r="A379" s="58"/>
      <c r="B379" s="58"/>
      <c r="C379" s="58"/>
      <c r="D379" s="58"/>
      <c r="E379" s="194"/>
      <c r="F379" s="58"/>
      <c r="G379" s="58"/>
      <c r="H379" s="58"/>
      <c r="I379" s="58"/>
      <c r="J379" s="58"/>
      <c r="K379" s="58"/>
      <c r="L379" s="58"/>
      <c r="M379" s="58"/>
      <c r="N379" s="58"/>
      <c r="O379" s="58"/>
      <c r="P379" s="58"/>
      <c r="Q379" s="58"/>
      <c r="R379" s="58"/>
      <c r="S379" s="58"/>
      <c r="T379" s="58"/>
      <c r="U379" s="58"/>
      <c r="V379" s="58"/>
      <c r="W379" s="58"/>
      <c r="X379" s="58"/>
      <c r="Y379" s="58"/>
    </row>
    <row r="380">
      <c r="A380" s="58"/>
      <c r="B380" s="58"/>
      <c r="C380" s="58"/>
      <c r="D380" s="58"/>
      <c r="E380" s="194"/>
      <c r="F380" s="58"/>
      <c r="G380" s="58"/>
      <c r="H380" s="58"/>
      <c r="I380" s="58"/>
      <c r="J380" s="58"/>
      <c r="K380" s="58"/>
      <c r="L380" s="58"/>
      <c r="M380" s="58"/>
      <c r="N380" s="58"/>
      <c r="O380" s="58"/>
      <c r="P380" s="58"/>
      <c r="Q380" s="58"/>
      <c r="R380" s="58"/>
      <c r="S380" s="58"/>
      <c r="T380" s="58"/>
      <c r="U380" s="58"/>
      <c r="V380" s="58"/>
      <c r="W380" s="58"/>
      <c r="X380" s="58"/>
      <c r="Y380" s="58"/>
    </row>
    <row r="381">
      <c r="A381" s="58"/>
      <c r="B381" s="58"/>
      <c r="C381" s="58"/>
      <c r="D381" s="58"/>
      <c r="E381" s="194"/>
      <c r="F381" s="58"/>
      <c r="G381" s="58"/>
      <c r="H381" s="58"/>
      <c r="I381" s="58"/>
      <c r="J381" s="58"/>
      <c r="K381" s="58"/>
      <c r="L381" s="58"/>
      <c r="M381" s="58"/>
      <c r="N381" s="58"/>
      <c r="O381" s="58"/>
      <c r="P381" s="58"/>
      <c r="Q381" s="58"/>
      <c r="R381" s="58"/>
      <c r="S381" s="58"/>
      <c r="T381" s="58"/>
      <c r="U381" s="58"/>
      <c r="V381" s="58"/>
      <c r="W381" s="58"/>
      <c r="X381" s="58"/>
      <c r="Y381" s="58"/>
    </row>
    <row r="382">
      <c r="A382" s="58"/>
      <c r="B382" s="58"/>
      <c r="C382" s="58"/>
      <c r="D382" s="58"/>
      <c r="E382" s="194"/>
      <c r="F382" s="58"/>
      <c r="G382" s="58"/>
      <c r="H382" s="58"/>
      <c r="I382" s="58"/>
      <c r="J382" s="58"/>
      <c r="K382" s="58"/>
      <c r="L382" s="58"/>
      <c r="M382" s="58"/>
      <c r="N382" s="58"/>
      <c r="O382" s="58"/>
      <c r="P382" s="58"/>
      <c r="Q382" s="58"/>
      <c r="R382" s="58"/>
      <c r="S382" s="58"/>
      <c r="T382" s="58"/>
      <c r="U382" s="58"/>
      <c r="V382" s="58"/>
      <c r="W382" s="58"/>
      <c r="X382" s="58"/>
      <c r="Y382" s="58"/>
    </row>
    <row r="383">
      <c r="A383" s="58"/>
      <c r="B383" s="58"/>
      <c r="C383" s="58"/>
      <c r="D383" s="58"/>
      <c r="E383" s="194"/>
      <c r="F383" s="58"/>
      <c r="G383" s="58"/>
      <c r="H383" s="58"/>
      <c r="I383" s="58"/>
      <c r="J383" s="58"/>
      <c r="K383" s="58"/>
      <c r="L383" s="58"/>
      <c r="M383" s="58"/>
      <c r="N383" s="58"/>
      <c r="O383" s="58"/>
      <c r="P383" s="58"/>
      <c r="Q383" s="58"/>
      <c r="R383" s="58"/>
      <c r="S383" s="58"/>
      <c r="T383" s="58"/>
      <c r="U383" s="58"/>
      <c r="V383" s="58"/>
      <c r="W383" s="58"/>
      <c r="X383" s="58"/>
      <c r="Y383" s="58"/>
    </row>
    <row r="384">
      <c r="A384" s="58"/>
      <c r="B384" s="58"/>
      <c r="C384" s="58"/>
      <c r="D384" s="58"/>
      <c r="E384" s="194"/>
      <c r="F384" s="58"/>
      <c r="G384" s="58"/>
      <c r="H384" s="58"/>
      <c r="I384" s="58"/>
      <c r="J384" s="58"/>
      <c r="K384" s="58"/>
      <c r="L384" s="58"/>
      <c r="M384" s="58"/>
      <c r="N384" s="58"/>
      <c r="O384" s="58"/>
      <c r="P384" s="58"/>
      <c r="Q384" s="58"/>
      <c r="R384" s="58"/>
      <c r="S384" s="58"/>
      <c r="T384" s="58"/>
      <c r="U384" s="58"/>
      <c r="V384" s="58"/>
      <c r="W384" s="58"/>
      <c r="X384" s="58"/>
      <c r="Y384" s="58"/>
    </row>
    <row r="385">
      <c r="A385" s="58"/>
      <c r="B385" s="58"/>
      <c r="C385" s="58"/>
      <c r="D385" s="58"/>
      <c r="E385" s="194"/>
      <c r="F385" s="58"/>
      <c r="G385" s="58"/>
      <c r="H385" s="58"/>
      <c r="I385" s="58"/>
      <c r="J385" s="58"/>
      <c r="K385" s="58"/>
      <c r="L385" s="58"/>
      <c r="M385" s="58"/>
      <c r="N385" s="58"/>
      <c r="O385" s="58"/>
      <c r="P385" s="58"/>
      <c r="Q385" s="58"/>
      <c r="R385" s="58"/>
      <c r="S385" s="58"/>
      <c r="T385" s="58"/>
      <c r="U385" s="58"/>
      <c r="V385" s="58"/>
      <c r="W385" s="58"/>
      <c r="X385" s="58"/>
      <c r="Y385" s="58"/>
    </row>
    <row r="386">
      <c r="A386" s="58"/>
      <c r="B386" s="58"/>
      <c r="C386" s="58"/>
      <c r="D386" s="58"/>
      <c r="E386" s="194"/>
      <c r="F386" s="58"/>
      <c r="G386" s="58"/>
      <c r="H386" s="58"/>
      <c r="I386" s="58"/>
      <c r="J386" s="58"/>
      <c r="K386" s="58"/>
      <c r="L386" s="58"/>
      <c r="M386" s="58"/>
      <c r="N386" s="58"/>
      <c r="O386" s="58"/>
      <c r="P386" s="58"/>
      <c r="Q386" s="58"/>
      <c r="R386" s="58"/>
      <c r="S386" s="58"/>
      <c r="T386" s="58"/>
      <c r="U386" s="58"/>
      <c r="V386" s="58"/>
      <c r="W386" s="58"/>
      <c r="X386" s="58"/>
      <c r="Y386" s="58"/>
    </row>
    <row r="387">
      <c r="A387" s="58"/>
      <c r="B387" s="58"/>
      <c r="C387" s="58"/>
      <c r="D387" s="58"/>
      <c r="E387" s="194"/>
      <c r="F387" s="58"/>
      <c r="G387" s="58"/>
      <c r="H387" s="58"/>
      <c r="I387" s="58"/>
      <c r="J387" s="58"/>
      <c r="K387" s="58"/>
      <c r="L387" s="58"/>
      <c r="M387" s="58"/>
      <c r="N387" s="58"/>
      <c r="O387" s="58"/>
      <c r="P387" s="58"/>
      <c r="Q387" s="58"/>
      <c r="R387" s="58"/>
      <c r="S387" s="58"/>
      <c r="T387" s="58"/>
      <c r="U387" s="58"/>
      <c r="V387" s="58"/>
      <c r="W387" s="58"/>
      <c r="X387" s="58"/>
      <c r="Y387" s="58"/>
    </row>
    <row r="388">
      <c r="A388" s="58"/>
      <c r="B388" s="58"/>
      <c r="C388" s="58"/>
      <c r="D388" s="58"/>
      <c r="E388" s="194"/>
      <c r="F388" s="58"/>
      <c r="G388" s="58"/>
      <c r="H388" s="58"/>
      <c r="I388" s="58"/>
      <c r="J388" s="58"/>
      <c r="K388" s="58"/>
      <c r="L388" s="58"/>
      <c r="M388" s="58"/>
      <c r="N388" s="58"/>
      <c r="O388" s="58"/>
      <c r="P388" s="58"/>
      <c r="Q388" s="58"/>
      <c r="R388" s="58"/>
      <c r="S388" s="58"/>
      <c r="T388" s="58"/>
      <c r="U388" s="58"/>
      <c r="V388" s="58"/>
      <c r="W388" s="58"/>
      <c r="X388" s="58"/>
      <c r="Y388" s="58"/>
    </row>
    <row r="389">
      <c r="A389" s="58"/>
      <c r="B389" s="58"/>
      <c r="C389" s="58"/>
      <c r="D389" s="58"/>
      <c r="E389" s="194"/>
      <c r="F389" s="58"/>
      <c r="G389" s="58"/>
      <c r="H389" s="58"/>
      <c r="I389" s="58"/>
      <c r="J389" s="58"/>
      <c r="K389" s="58"/>
      <c r="L389" s="58"/>
      <c r="M389" s="58"/>
      <c r="N389" s="58"/>
      <c r="O389" s="58"/>
      <c r="P389" s="58"/>
      <c r="Q389" s="58"/>
      <c r="R389" s="58"/>
      <c r="S389" s="58"/>
      <c r="T389" s="58"/>
      <c r="U389" s="58"/>
      <c r="V389" s="58"/>
      <c r="W389" s="58"/>
      <c r="X389" s="58"/>
      <c r="Y389" s="58"/>
    </row>
    <row r="390">
      <c r="A390" s="58"/>
      <c r="B390" s="58"/>
      <c r="C390" s="58"/>
      <c r="D390" s="58"/>
      <c r="E390" s="194"/>
      <c r="F390" s="58"/>
      <c r="G390" s="58"/>
      <c r="H390" s="58"/>
      <c r="I390" s="58"/>
      <c r="J390" s="58"/>
      <c r="K390" s="58"/>
      <c r="L390" s="58"/>
      <c r="M390" s="58"/>
      <c r="N390" s="58"/>
      <c r="O390" s="58"/>
      <c r="P390" s="58"/>
      <c r="Q390" s="58"/>
      <c r="R390" s="58"/>
      <c r="S390" s="58"/>
      <c r="T390" s="58"/>
      <c r="U390" s="58"/>
      <c r="V390" s="58"/>
      <c r="W390" s="58"/>
      <c r="X390" s="58"/>
      <c r="Y390" s="58"/>
    </row>
    <row r="391">
      <c r="A391" s="58"/>
      <c r="B391" s="58"/>
      <c r="C391" s="58"/>
      <c r="D391" s="58"/>
      <c r="E391" s="194"/>
      <c r="F391" s="58"/>
      <c r="G391" s="58"/>
      <c r="H391" s="58"/>
      <c r="I391" s="58"/>
      <c r="J391" s="58"/>
      <c r="K391" s="58"/>
      <c r="L391" s="58"/>
      <c r="M391" s="58"/>
      <c r="N391" s="58"/>
      <c r="O391" s="58"/>
      <c r="P391" s="58"/>
      <c r="Q391" s="58"/>
      <c r="R391" s="58"/>
      <c r="S391" s="58"/>
      <c r="T391" s="58"/>
      <c r="U391" s="58"/>
      <c r="V391" s="58"/>
      <c r="W391" s="58"/>
      <c r="X391" s="58"/>
      <c r="Y391" s="58"/>
    </row>
    <row r="392">
      <c r="A392" s="58"/>
      <c r="B392" s="58"/>
      <c r="C392" s="58"/>
      <c r="D392" s="58"/>
      <c r="E392" s="194"/>
      <c r="F392" s="58"/>
      <c r="G392" s="58"/>
      <c r="H392" s="58"/>
      <c r="I392" s="58"/>
      <c r="J392" s="58"/>
      <c r="K392" s="58"/>
      <c r="L392" s="58"/>
      <c r="M392" s="58"/>
      <c r="N392" s="58"/>
      <c r="O392" s="58"/>
      <c r="P392" s="58"/>
      <c r="Q392" s="58"/>
      <c r="R392" s="58"/>
      <c r="S392" s="58"/>
      <c r="T392" s="58"/>
      <c r="U392" s="58"/>
      <c r="V392" s="58"/>
      <c r="W392" s="58"/>
      <c r="X392" s="58"/>
      <c r="Y392" s="58"/>
    </row>
    <row r="393">
      <c r="A393" s="58"/>
      <c r="B393" s="58"/>
      <c r="C393" s="58"/>
      <c r="D393" s="58"/>
      <c r="E393" s="194"/>
      <c r="F393" s="58"/>
      <c r="G393" s="58"/>
      <c r="H393" s="58"/>
      <c r="I393" s="58"/>
      <c r="J393" s="58"/>
      <c r="K393" s="58"/>
      <c r="L393" s="58"/>
      <c r="M393" s="58"/>
      <c r="N393" s="58"/>
      <c r="O393" s="58"/>
      <c r="P393" s="58"/>
      <c r="Q393" s="58"/>
      <c r="R393" s="58"/>
      <c r="S393" s="58"/>
      <c r="T393" s="58"/>
      <c r="U393" s="58"/>
      <c r="V393" s="58"/>
      <c r="W393" s="58"/>
      <c r="X393" s="58"/>
      <c r="Y393" s="58"/>
    </row>
    <row r="394">
      <c r="A394" s="58"/>
      <c r="B394" s="58"/>
      <c r="C394" s="58"/>
      <c r="D394" s="58"/>
      <c r="E394" s="194"/>
      <c r="F394" s="58"/>
      <c r="G394" s="58"/>
      <c r="H394" s="58"/>
      <c r="I394" s="58"/>
      <c r="J394" s="58"/>
      <c r="K394" s="58"/>
      <c r="L394" s="58"/>
      <c r="M394" s="58"/>
      <c r="N394" s="58"/>
      <c r="O394" s="58"/>
      <c r="P394" s="58"/>
      <c r="Q394" s="58"/>
      <c r="R394" s="58"/>
      <c r="S394" s="58"/>
      <c r="T394" s="58"/>
      <c r="U394" s="58"/>
      <c r="V394" s="58"/>
      <c r="W394" s="58"/>
      <c r="X394" s="58"/>
      <c r="Y394" s="58"/>
    </row>
    <row r="395">
      <c r="A395" s="58"/>
      <c r="B395" s="58"/>
      <c r="C395" s="58"/>
      <c r="D395" s="58"/>
      <c r="E395" s="194"/>
      <c r="F395" s="58"/>
      <c r="G395" s="58"/>
      <c r="H395" s="58"/>
      <c r="I395" s="58"/>
      <c r="J395" s="58"/>
      <c r="K395" s="58"/>
      <c r="L395" s="58"/>
      <c r="M395" s="58"/>
      <c r="N395" s="58"/>
      <c r="O395" s="58"/>
      <c r="P395" s="58"/>
      <c r="Q395" s="58"/>
      <c r="R395" s="58"/>
      <c r="S395" s="58"/>
      <c r="T395" s="58"/>
      <c r="U395" s="58"/>
      <c r="V395" s="58"/>
      <c r="W395" s="58"/>
      <c r="X395" s="58"/>
      <c r="Y395" s="58"/>
    </row>
    <row r="396">
      <c r="A396" s="58"/>
      <c r="B396" s="58"/>
      <c r="C396" s="58"/>
      <c r="D396" s="58"/>
      <c r="E396" s="194"/>
      <c r="F396" s="58"/>
      <c r="G396" s="58"/>
      <c r="H396" s="58"/>
      <c r="I396" s="58"/>
      <c r="J396" s="58"/>
      <c r="K396" s="58"/>
      <c r="L396" s="58"/>
      <c r="M396" s="58"/>
      <c r="N396" s="58"/>
      <c r="O396" s="58"/>
      <c r="P396" s="58"/>
      <c r="Q396" s="58"/>
      <c r="R396" s="58"/>
      <c r="S396" s="58"/>
      <c r="T396" s="58"/>
      <c r="U396" s="58"/>
      <c r="V396" s="58"/>
      <c r="W396" s="58"/>
      <c r="X396" s="58"/>
      <c r="Y396" s="58"/>
    </row>
    <row r="397">
      <c r="A397" s="58"/>
      <c r="B397" s="58"/>
      <c r="C397" s="58"/>
      <c r="D397" s="58"/>
      <c r="E397" s="194"/>
      <c r="F397" s="58"/>
      <c r="G397" s="58"/>
      <c r="H397" s="58"/>
      <c r="I397" s="58"/>
      <c r="J397" s="58"/>
      <c r="K397" s="58"/>
      <c r="L397" s="58"/>
      <c r="M397" s="58"/>
      <c r="N397" s="58"/>
      <c r="O397" s="58"/>
      <c r="P397" s="58"/>
      <c r="Q397" s="58"/>
      <c r="R397" s="58"/>
      <c r="S397" s="58"/>
      <c r="T397" s="58"/>
      <c r="U397" s="58"/>
      <c r="V397" s="58"/>
      <c r="W397" s="58"/>
      <c r="X397" s="58"/>
      <c r="Y397" s="58"/>
    </row>
    <row r="398">
      <c r="A398" s="58"/>
      <c r="B398" s="58"/>
      <c r="C398" s="58"/>
      <c r="D398" s="58"/>
      <c r="E398" s="194"/>
      <c r="F398" s="58"/>
      <c r="G398" s="58"/>
      <c r="H398" s="58"/>
      <c r="I398" s="58"/>
      <c r="J398" s="58"/>
      <c r="K398" s="58"/>
      <c r="L398" s="58"/>
      <c r="M398" s="58"/>
      <c r="N398" s="58"/>
      <c r="O398" s="58"/>
      <c r="P398" s="58"/>
      <c r="Q398" s="58"/>
      <c r="R398" s="58"/>
      <c r="S398" s="58"/>
      <c r="T398" s="58"/>
      <c r="U398" s="58"/>
      <c r="V398" s="58"/>
      <c r="W398" s="58"/>
      <c r="X398" s="58"/>
      <c r="Y398" s="58"/>
    </row>
    <row r="399">
      <c r="A399" s="58"/>
      <c r="B399" s="58"/>
      <c r="C399" s="58"/>
      <c r="D399" s="58"/>
      <c r="E399" s="194"/>
      <c r="F399" s="58"/>
      <c r="G399" s="58"/>
      <c r="H399" s="58"/>
      <c r="I399" s="58"/>
      <c r="J399" s="58"/>
      <c r="K399" s="58"/>
      <c r="L399" s="58"/>
      <c r="M399" s="58"/>
      <c r="N399" s="58"/>
      <c r="O399" s="58"/>
      <c r="P399" s="58"/>
      <c r="Q399" s="58"/>
      <c r="R399" s="58"/>
      <c r="S399" s="58"/>
      <c r="T399" s="58"/>
      <c r="U399" s="58"/>
      <c r="V399" s="58"/>
      <c r="W399" s="58"/>
      <c r="X399" s="58"/>
      <c r="Y399" s="58"/>
    </row>
    <row r="400">
      <c r="A400" s="58"/>
      <c r="B400" s="58"/>
      <c r="C400" s="58"/>
      <c r="D400" s="58"/>
      <c r="E400" s="194"/>
      <c r="F400" s="58"/>
      <c r="G400" s="58"/>
      <c r="H400" s="58"/>
      <c r="I400" s="58"/>
      <c r="J400" s="58"/>
      <c r="K400" s="58"/>
      <c r="L400" s="58"/>
      <c r="M400" s="58"/>
      <c r="N400" s="58"/>
      <c r="O400" s="58"/>
      <c r="P400" s="58"/>
      <c r="Q400" s="58"/>
      <c r="R400" s="58"/>
      <c r="S400" s="58"/>
      <c r="T400" s="58"/>
      <c r="U400" s="58"/>
      <c r="V400" s="58"/>
      <c r="W400" s="58"/>
      <c r="X400" s="58"/>
      <c r="Y400" s="58"/>
    </row>
    <row r="401">
      <c r="A401" s="58"/>
      <c r="B401" s="58"/>
      <c r="C401" s="58"/>
      <c r="D401" s="58"/>
      <c r="E401" s="194"/>
      <c r="F401" s="58"/>
      <c r="G401" s="58"/>
      <c r="H401" s="58"/>
      <c r="I401" s="58"/>
      <c r="J401" s="58"/>
      <c r="K401" s="58"/>
      <c r="L401" s="58"/>
      <c r="M401" s="58"/>
      <c r="N401" s="58"/>
      <c r="O401" s="58"/>
      <c r="P401" s="58"/>
      <c r="Q401" s="58"/>
      <c r="R401" s="58"/>
      <c r="S401" s="58"/>
      <c r="T401" s="58"/>
      <c r="U401" s="58"/>
      <c r="V401" s="58"/>
      <c r="W401" s="58"/>
      <c r="X401" s="58"/>
      <c r="Y401" s="58"/>
    </row>
    <row r="402">
      <c r="A402" s="58"/>
      <c r="B402" s="58"/>
      <c r="C402" s="58"/>
      <c r="D402" s="58"/>
      <c r="E402" s="194"/>
      <c r="F402" s="58"/>
      <c r="G402" s="58"/>
      <c r="H402" s="58"/>
      <c r="I402" s="58"/>
      <c r="J402" s="58"/>
      <c r="K402" s="58"/>
      <c r="L402" s="58"/>
      <c r="M402" s="58"/>
      <c r="N402" s="58"/>
      <c r="O402" s="58"/>
      <c r="P402" s="58"/>
      <c r="Q402" s="58"/>
      <c r="R402" s="58"/>
      <c r="S402" s="58"/>
      <c r="T402" s="58"/>
      <c r="U402" s="58"/>
      <c r="V402" s="58"/>
      <c r="W402" s="58"/>
      <c r="X402" s="58"/>
      <c r="Y402" s="58"/>
    </row>
    <row r="403">
      <c r="A403" s="58"/>
      <c r="B403" s="58"/>
      <c r="C403" s="58"/>
      <c r="D403" s="58"/>
      <c r="E403" s="194"/>
      <c r="F403" s="58"/>
      <c r="G403" s="58"/>
      <c r="H403" s="58"/>
      <c r="I403" s="58"/>
      <c r="J403" s="58"/>
      <c r="K403" s="58"/>
      <c r="L403" s="58"/>
      <c r="M403" s="58"/>
      <c r="N403" s="58"/>
      <c r="O403" s="58"/>
      <c r="P403" s="58"/>
      <c r="Q403" s="58"/>
      <c r="R403" s="58"/>
      <c r="S403" s="58"/>
      <c r="T403" s="58"/>
      <c r="U403" s="58"/>
      <c r="V403" s="58"/>
      <c r="W403" s="58"/>
      <c r="X403" s="58"/>
      <c r="Y403" s="58"/>
    </row>
    <row r="404">
      <c r="A404" s="58"/>
      <c r="B404" s="58"/>
      <c r="C404" s="58"/>
      <c r="D404" s="58"/>
      <c r="E404" s="194"/>
      <c r="F404" s="58"/>
      <c r="G404" s="58"/>
      <c r="H404" s="58"/>
      <c r="I404" s="58"/>
      <c r="J404" s="58"/>
      <c r="K404" s="58"/>
      <c r="L404" s="58"/>
      <c r="M404" s="58"/>
      <c r="N404" s="58"/>
      <c r="O404" s="58"/>
      <c r="P404" s="58"/>
      <c r="Q404" s="58"/>
      <c r="R404" s="58"/>
      <c r="S404" s="58"/>
      <c r="T404" s="58"/>
      <c r="U404" s="58"/>
      <c r="V404" s="58"/>
      <c r="W404" s="58"/>
      <c r="X404" s="58"/>
      <c r="Y404" s="58"/>
    </row>
    <row r="405">
      <c r="A405" s="58"/>
      <c r="B405" s="58"/>
      <c r="C405" s="58"/>
      <c r="D405" s="58"/>
      <c r="E405" s="194"/>
      <c r="F405" s="58"/>
      <c r="G405" s="58"/>
      <c r="H405" s="58"/>
      <c r="I405" s="58"/>
      <c r="J405" s="58"/>
      <c r="K405" s="58"/>
      <c r="L405" s="58"/>
      <c r="M405" s="58"/>
      <c r="N405" s="58"/>
      <c r="O405" s="58"/>
      <c r="P405" s="58"/>
      <c r="Q405" s="58"/>
      <c r="R405" s="58"/>
      <c r="S405" s="58"/>
      <c r="T405" s="58"/>
      <c r="U405" s="58"/>
      <c r="V405" s="58"/>
      <c r="W405" s="58"/>
      <c r="X405" s="58"/>
      <c r="Y405" s="58"/>
    </row>
    <row r="406">
      <c r="A406" s="58"/>
      <c r="B406" s="58"/>
      <c r="C406" s="58"/>
      <c r="D406" s="58"/>
      <c r="E406" s="194"/>
      <c r="F406" s="58"/>
      <c r="G406" s="58"/>
      <c r="H406" s="58"/>
      <c r="I406" s="58"/>
      <c r="J406" s="58"/>
      <c r="K406" s="58"/>
      <c r="L406" s="58"/>
      <c r="M406" s="58"/>
      <c r="N406" s="58"/>
      <c r="O406" s="58"/>
      <c r="P406" s="58"/>
      <c r="Q406" s="58"/>
      <c r="R406" s="58"/>
      <c r="S406" s="58"/>
      <c r="T406" s="58"/>
      <c r="U406" s="58"/>
      <c r="V406" s="58"/>
      <c r="W406" s="58"/>
      <c r="X406" s="58"/>
      <c r="Y406" s="58"/>
    </row>
    <row r="407">
      <c r="A407" s="58"/>
      <c r="B407" s="58"/>
      <c r="C407" s="58"/>
      <c r="D407" s="58"/>
      <c r="E407" s="194"/>
      <c r="F407" s="58"/>
      <c r="G407" s="58"/>
      <c r="H407" s="58"/>
      <c r="I407" s="58"/>
      <c r="J407" s="58"/>
      <c r="K407" s="58"/>
      <c r="L407" s="58"/>
      <c r="M407" s="58"/>
      <c r="N407" s="58"/>
      <c r="O407" s="58"/>
      <c r="P407" s="58"/>
      <c r="Q407" s="58"/>
      <c r="R407" s="58"/>
      <c r="S407" s="58"/>
      <c r="T407" s="58"/>
      <c r="U407" s="58"/>
      <c r="V407" s="58"/>
      <c r="W407" s="58"/>
      <c r="X407" s="58"/>
      <c r="Y407" s="58"/>
    </row>
    <row r="408">
      <c r="A408" s="58"/>
      <c r="B408" s="58"/>
      <c r="C408" s="58"/>
      <c r="D408" s="58"/>
      <c r="E408" s="194"/>
      <c r="F408" s="58"/>
      <c r="G408" s="58"/>
      <c r="H408" s="58"/>
      <c r="I408" s="58"/>
      <c r="J408" s="58"/>
      <c r="K408" s="58"/>
      <c r="L408" s="58"/>
      <c r="M408" s="58"/>
      <c r="N408" s="58"/>
      <c r="O408" s="58"/>
      <c r="P408" s="58"/>
      <c r="Q408" s="58"/>
      <c r="R408" s="58"/>
      <c r="S408" s="58"/>
      <c r="T408" s="58"/>
      <c r="U408" s="58"/>
      <c r="V408" s="58"/>
      <c r="W408" s="58"/>
      <c r="X408" s="58"/>
      <c r="Y408" s="58"/>
    </row>
    <row r="409">
      <c r="A409" s="58"/>
      <c r="B409" s="58"/>
      <c r="C409" s="58"/>
      <c r="D409" s="58"/>
      <c r="E409" s="194"/>
      <c r="F409" s="58"/>
      <c r="G409" s="58"/>
      <c r="H409" s="58"/>
      <c r="I409" s="58"/>
      <c r="J409" s="58"/>
      <c r="K409" s="58"/>
      <c r="L409" s="58"/>
      <c r="M409" s="58"/>
      <c r="N409" s="58"/>
      <c r="O409" s="58"/>
      <c r="P409" s="58"/>
      <c r="Q409" s="58"/>
      <c r="R409" s="58"/>
      <c r="S409" s="58"/>
      <c r="T409" s="58"/>
      <c r="U409" s="58"/>
      <c r="V409" s="58"/>
      <c r="W409" s="58"/>
      <c r="X409" s="58"/>
      <c r="Y409" s="58"/>
    </row>
    <row r="410">
      <c r="A410" s="58"/>
      <c r="B410" s="58"/>
      <c r="C410" s="58"/>
      <c r="D410" s="58"/>
      <c r="E410" s="194"/>
      <c r="F410" s="58"/>
      <c r="G410" s="58"/>
      <c r="H410" s="58"/>
      <c r="I410" s="58"/>
      <c r="J410" s="58"/>
      <c r="K410" s="58"/>
      <c r="L410" s="58"/>
      <c r="M410" s="58"/>
      <c r="N410" s="58"/>
      <c r="O410" s="58"/>
      <c r="P410" s="58"/>
      <c r="Q410" s="58"/>
      <c r="R410" s="58"/>
      <c r="S410" s="58"/>
      <c r="T410" s="58"/>
      <c r="U410" s="58"/>
      <c r="V410" s="58"/>
      <c r="W410" s="58"/>
      <c r="X410" s="58"/>
      <c r="Y410" s="58"/>
    </row>
    <row r="411">
      <c r="A411" s="58"/>
      <c r="B411" s="58"/>
      <c r="C411" s="58"/>
      <c r="D411" s="58"/>
      <c r="E411" s="194"/>
      <c r="F411" s="58"/>
      <c r="G411" s="58"/>
      <c r="H411" s="58"/>
      <c r="I411" s="58"/>
      <c r="J411" s="58"/>
      <c r="K411" s="58"/>
      <c r="L411" s="58"/>
      <c r="M411" s="58"/>
      <c r="N411" s="58"/>
      <c r="O411" s="58"/>
      <c r="P411" s="58"/>
      <c r="Q411" s="58"/>
      <c r="R411" s="58"/>
      <c r="S411" s="58"/>
      <c r="T411" s="58"/>
      <c r="U411" s="58"/>
      <c r="V411" s="58"/>
      <c r="W411" s="58"/>
      <c r="X411" s="58"/>
      <c r="Y411" s="58"/>
    </row>
    <row r="412">
      <c r="A412" s="58"/>
      <c r="B412" s="58"/>
      <c r="C412" s="58"/>
      <c r="D412" s="58"/>
      <c r="E412" s="194"/>
      <c r="F412" s="58"/>
      <c r="G412" s="58"/>
      <c r="H412" s="58"/>
      <c r="I412" s="58"/>
      <c r="J412" s="58"/>
      <c r="K412" s="58"/>
      <c r="L412" s="58"/>
      <c r="M412" s="58"/>
      <c r="N412" s="58"/>
      <c r="O412" s="58"/>
      <c r="P412" s="58"/>
      <c r="Q412" s="58"/>
      <c r="R412" s="58"/>
      <c r="S412" s="58"/>
      <c r="T412" s="58"/>
      <c r="U412" s="58"/>
      <c r="V412" s="58"/>
      <c r="W412" s="58"/>
      <c r="X412" s="58"/>
      <c r="Y412" s="58"/>
    </row>
    <row r="413">
      <c r="A413" s="58"/>
      <c r="B413" s="58"/>
      <c r="C413" s="58"/>
      <c r="D413" s="58"/>
      <c r="E413" s="194"/>
      <c r="F413" s="58"/>
      <c r="G413" s="58"/>
      <c r="H413" s="58"/>
      <c r="I413" s="58"/>
      <c r="J413" s="58"/>
      <c r="K413" s="58"/>
      <c r="L413" s="58"/>
      <c r="M413" s="58"/>
      <c r="N413" s="58"/>
      <c r="O413" s="58"/>
      <c r="P413" s="58"/>
      <c r="Q413" s="58"/>
      <c r="R413" s="58"/>
      <c r="S413" s="58"/>
      <c r="T413" s="58"/>
      <c r="U413" s="58"/>
      <c r="V413" s="58"/>
      <c r="W413" s="58"/>
      <c r="X413" s="58"/>
      <c r="Y413" s="58"/>
    </row>
    <row r="414">
      <c r="A414" s="58"/>
      <c r="B414" s="58"/>
      <c r="C414" s="58"/>
      <c r="D414" s="58"/>
      <c r="E414" s="194"/>
      <c r="F414" s="58"/>
      <c r="G414" s="58"/>
      <c r="H414" s="58"/>
      <c r="I414" s="58"/>
      <c r="J414" s="58"/>
      <c r="K414" s="58"/>
      <c r="L414" s="58"/>
      <c r="M414" s="58"/>
      <c r="N414" s="58"/>
      <c r="O414" s="58"/>
      <c r="P414" s="58"/>
      <c r="Q414" s="58"/>
      <c r="R414" s="58"/>
      <c r="S414" s="58"/>
      <c r="T414" s="58"/>
      <c r="U414" s="58"/>
      <c r="V414" s="58"/>
      <c r="W414" s="58"/>
      <c r="X414" s="58"/>
      <c r="Y414" s="58"/>
    </row>
    <row r="415">
      <c r="A415" s="58"/>
      <c r="B415" s="58"/>
      <c r="C415" s="58"/>
      <c r="D415" s="58"/>
      <c r="E415" s="194"/>
      <c r="F415" s="58"/>
      <c r="G415" s="58"/>
      <c r="H415" s="58"/>
      <c r="I415" s="58"/>
      <c r="J415" s="58"/>
      <c r="K415" s="58"/>
      <c r="L415" s="58"/>
      <c r="M415" s="58"/>
      <c r="N415" s="58"/>
      <c r="O415" s="58"/>
      <c r="P415" s="58"/>
      <c r="Q415" s="58"/>
      <c r="R415" s="58"/>
      <c r="S415" s="58"/>
      <c r="T415" s="58"/>
      <c r="U415" s="58"/>
      <c r="V415" s="58"/>
      <c r="W415" s="58"/>
      <c r="X415" s="58"/>
      <c r="Y415" s="58"/>
    </row>
    <row r="416">
      <c r="A416" s="58"/>
      <c r="B416" s="58"/>
      <c r="C416" s="58"/>
      <c r="D416" s="58"/>
      <c r="E416" s="194"/>
      <c r="F416" s="58"/>
      <c r="G416" s="58"/>
      <c r="H416" s="58"/>
      <c r="I416" s="58"/>
      <c r="J416" s="58"/>
      <c r="K416" s="58"/>
      <c r="L416" s="58"/>
      <c r="M416" s="58"/>
      <c r="N416" s="58"/>
      <c r="O416" s="58"/>
      <c r="P416" s="58"/>
      <c r="Q416" s="58"/>
      <c r="R416" s="58"/>
      <c r="S416" s="58"/>
      <c r="T416" s="58"/>
      <c r="U416" s="58"/>
      <c r="V416" s="58"/>
      <c r="W416" s="58"/>
      <c r="X416" s="58"/>
      <c r="Y416" s="58"/>
    </row>
    <row r="417">
      <c r="A417" s="58"/>
      <c r="B417" s="58"/>
      <c r="C417" s="58"/>
      <c r="D417" s="58"/>
      <c r="E417" s="194"/>
      <c r="F417" s="58"/>
      <c r="G417" s="58"/>
      <c r="H417" s="58"/>
      <c r="I417" s="58"/>
      <c r="J417" s="58"/>
      <c r="K417" s="58"/>
      <c r="L417" s="58"/>
      <c r="M417" s="58"/>
      <c r="N417" s="58"/>
      <c r="O417" s="58"/>
      <c r="P417" s="58"/>
      <c r="Q417" s="58"/>
      <c r="R417" s="58"/>
      <c r="S417" s="58"/>
      <c r="T417" s="58"/>
      <c r="U417" s="58"/>
      <c r="V417" s="58"/>
      <c r="W417" s="58"/>
      <c r="X417" s="58"/>
      <c r="Y417" s="58"/>
    </row>
    <row r="418">
      <c r="A418" s="58"/>
      <c r="B418" s="58"/>
      <c r="C418" s="58"/>
      <c r="D418" s="58"/>
      <c r="E418" s="194"/>
      <c r="F418" s="58"/>
      <c r="G418" s="58"/>
      <c r="H418" s="58"/>
      <c r="I418" s="58"/>
      <c r="J418" s="58"/>
      <c r="K418" s="58"/>
      <c r="L418" s="58"/>
      <c r="M418" s="58"/>
      <c r="N418" s="58"/>
      <c r="O418" s="58"/>
      <c r="P418" s="58"/>
      <c r="Q418" s="58"/>
      <c r="R418" s="58"/>
      <c r="S418" s="58"/>
      <c r="T418" s="58"/>
      <c r="U418" s="58"/>
      <c r="V418" s="58"/>
      <c r="W418" s="58"/>
      <c r="X418" s="58"/>
      <c r="Y418" s="58"/>
    </row>
    <row r="419">
      <c r="A419" s="58"/>
      <c r="B419" s="58"/>
      <c r="C419" s="58"/>
      <c r="D419" s="58"/>
      <c r="E419" s="194"/>
      <c r="F419" s="58"/>
      <c r="G419" s="58"/>
      <c r="H419" s="58"/>
      <c r="I419" s="58"/>
      <c r="J419" s="58"/>
      <c r="K419" s="58"/>
      <c r="L419" s="58"/>
      <c r="M419" s="58"/>
      <c r="N419" s="58"/>
      <c r="O419" s="58"/>
      <c r="P419" s="58"/>
      <c r="Q419" s="58"/>
      <c r="R419" s="58"/>
      <c r="S419" s="58"/>
      <c r="T419" s="58"/>
      <c r="U419" s="58"/>
      <c r="V419" s="58"/>
      <c r="W419" s="58"/>
      <c r="X419" s="58"/>
      <c r="Y419" s="58"/>
    </row>
    <row r="420">
      <c r="A420" s="58"/>
      <c r="B420" s="58"/>
      <c r="C420" s="58"/>
      <c r="D420" s="58"/>
      <c r="E420" s="194"/>
      <c r="F420" s="58"/>
      <c r="G420" s="58"/>
      <c r="H420" s="58"/>
      <c r="I420" s="58"/>
      <c r="J420" s="58"/>
      <c r="K420" s="58"/>
      <c r="L420" s="58"/>
      <c r="M420" s="58"/>
      <c r="N420" s="58"/>
      <c r="O420" s="58"/>
      <c r="P420" s="58"/>
      <c r="Q420" s="58"/>
      <c r="R420" s="58"/>
      <c r="S420" s="58"/>
      <c r="T420" s="58"/>
      <c r="U420" s="58"/>
      <c r="V420" s="58"/>
      <c r="W420" s="58"/>
      <c r="X420" s="58"/>
      <c r="Y420" s="58"/>
    </row>
    <row r="421">
      <c r="A421" s="58"/>
      <c r="B421" s="58"/>
      <c r="C421" s="58"/>
      <c r="D421" s="58"/>
      <c r="E421" s="194"/>
      <c r="F421" s="58"/>
      <c r="G421" s="58"/>
      <c r="H421" s="58"/>
      <c r="I421" s="58"/>
      <c r="J421" s="58"/>
      <c r="K421" s="58"/>
      <c r="L421" s="58"/>
      <c r="M421" s="58"/>
      <c r="N421" s="58"/>
      <c r="O421" s="58"/>
      <c r="P421" s="58"/>
      <c r="Q421" s="58"/>
      <c r="R421" s="58"/>
      <c r="S421" s="58"/>
      <c r="T421" s="58"/>
      <c r="U421" s="58"/>
      <c r="V421" s="58"/>
      <c r="W421" s="58"/>
      <c r="X421" s="58"/>
      <c r="Y421" s="58"/>
    </row>
    <row r="422">
      <c r="A422" s="58"/>
      <c r="B422" s="58"/>
      <c r="C422" s="58"/>
      <c r="D422" s="58"/>
      <c r="E422" s="194"/>
      <c r="F422" s="58"/>
      <c r="G422" s="58"/>
      <c r="H422" s="58"/>
      <c r="I422" s="58"/>
      <c r="J422" s="58"/>
      <c r="K422" s="58"/>
      <c r="L422" s="58"/>
      <c r="M422" s="58"/>
      <c r="N422" s="58"/>
      <c r="O422" s="58"/>
      <c r="P422" s="58"/>
      <c r="Q422" s="58"/>
      <c r="R422" s="58"/>
      <c r="S422" s="58"/>
      <c r="T422" s="58"/>
      <c r="U422" s="58"/>
      <c r="V422" s="58"/>
      <c r="W422" s="58"/>
      <c r="X422" s="58"/>
      <c r="Y422" s="58"/>
    </row>
    <row r="423">
      <c r="A423" s="58"/>
      <c r="B423" s="58"/>
      <c r="C423" s="58"/>
      <c r="D423" s="58"/>
      <c r="E423" s="194"/>
      <c r="F423" s="58"/>
      <c r="G423" s="58"/>
      <c r="H423" s="58"/>
      <c r="I423" s="58"/>
      <c r="J423" s="58"/>
      <c r="K423" s="58"/>
      <c r="L423" s="58"/>
      <c r="M423" s="58"/>
      <c r="N423" s="58"/>
      <c r="O423" s="58"/>
      <c r="P423" s="58"/>
      <c r="Q423" s="58"/>
      <c r="R423" s="58"/>
      <c r="S423" s="58"/>
      <c r="T423" s="58"/>
      <c r="U423" s="58"/>
      <c r="V423" s="58"/>
      <c r="W423" s="58"/>
      <c r="X423" s="58"/>
      <c r="Y423" s="58"/>
    </row>
    <row r="424">
      <c r="A424" s="58"/>
      <c r="B424" s="58"/>
      <c r="C424" s="58"/>
      <c r="D424" s="58"/>
      <c r="E424" s="194"/>
      <c r="F424" s="58"/>
      <c r="G424" s="58"/>
      <c r="H424" s="58"/>
      <c r="I424" s="58"/>
      <c r="J424" s="58"/>
      <c r="K424" s="58"/>
      <c r="L424" s="58"/>
      <c r="M424" s="58"/>
      <c r="N424" s="58"/>
      <c r="O424" s="58"/>
      <c r="P424" s="58"/>
      <c r="Q424" s="58"/>
      <c r="R424" s="58"/>
      <c r="S424" s="58"/>
      <c r="T424" s="58"/>
      <c r="U424" s="58"/>
      <c r="V424" s="58"/>
      <c r="W424" s="58"/>
      <c r="X424" s="58"/>
      <c r="Y424" s="58"/>
    </row>
    <row r="425">
      <c r="A425" s="58"/>
      <c r="B425" s="58"/>
      <c r="C425" s="58"/>
      <c r="D425" s="58"/>
      <c r="E425" s="194"/>
      <c r="F425" s="58"/>
      <c r="G425" s="58"/>
      <c r="H425" s="58"/>
      <c r="I425" s="58"/>
      <c r="J425" s="58"/>
      <c r="K425" s="58"/>
      <c r="L425" s="58"/>
      <c r="M425" s="58"/>
      <c r="N425" s="58"/>
      <c r="O425" s="58"/>
      <c r="P425" s="58"/>
      <c r="Q425" s="58"/>
      <c r="R425" s="58"/>
      <c r="S425" s="58"/>
      <c r="T425" s="58"/>
      <c r="U425" s="58"/>
      <c r="V425" s="58"/>
      <c r="W425" s="58"/>
      <c r="X425" s="58"/>
      <c r="Y425" s="58"/>
    </row>
    <row r="426">
      <c r="A426" s="58"/>
      <c r="B426" s="58"/>
      <c r="C426" s="58"/>
      <c r="D426" s="58"/>
      <c r="E426" s="194"/>
      <c r="F426" s="58"/>
      <c r="G426" s="58"/>
      <c r="H426" s="58"/>
      <c r="I426" s="58"/>
      <c r="J426" s="58"/>
      <c r="K426" s="58"/>
      <c r="L426" s="58"/>
      <c r="M426" s="58"/>
      <c r="N426" s="58"/>
      <c r="O426" s="58"/>
      <c r="P426" s="58"/>
      <c r="Q426" s="58"/>
      <c r="R426" s="58"/>
      <c r="S426" s="58"/>
      <c r="T426" s="58"/>
      <c r="U426" s="58"/>
      <c r="V426" s="58"/>
      <c r="W426" s="58"/>
      <c r="X426" s="58"/>
      <c r="Y426" s="58"/>
    </row>
    <row r="427">
      <c r="A427" s="58"/>
      <c r="B427" s="58"/>
      <c r="C427" s="58"/>
      <c r="D427" s="58"/>
      <c r="E427" s="194"/>
      <c r="F427" s="58"/>
      <c r="G427" s="58"/>
      <c r="H427" s="58"/>
      <c r="I427" s="58"/>
      <c r="J427" s="58"/>
      <c r="K427" s="58"/>
      <c r="L427" s="58"/>
      <c r="M427" s="58"/>
      <c r="N427" s="58"/>
      <c r="O427" s="58"/>
      <c r="P427" s="58"/>
      <c r="Q427" s="58"/>
      <c r="R427" s="58"/>
      <c r="S427" s="58"/>
      <c r="T427" s="58"/>
      <c r="U427" s="58"/>
      <c r="V427" s="58"/>
      <c r="W427" s="58"/>
      <c r="X427" s="58"/>
      <c r="Y427" s="58"/>
    </row>
    <row r="428">
      <c r="A428" s="58"/>
      <c r="B428" s="58"/>
      <c r="C428" s="58"/>
      <c r="D428" s="58"/>
      <c r="E428" s="194"/>
      <c r="F428" s="58"/>
      <c r="G428" s="58"/>
      <c r="H428" s="58"/>
      <c r="I428" s="58"/>
      <c r="J428" s="58"/>
      <c r="K428" s="58"/>
      <c r="L428" s="58"/>
      <c r="M428" s="58"/>
      <c r="N428" s="58"/>
      <c r="O428" s="58"/>
      <c r="P428" s="58"/>
      <c r="Q428" s="58"/>
      <c r="R428" s="58"/>
      <c r="S428" s="58"/>
      <c r="T428" s="58"/>
      <c r="U428" s="58"/>
      <c r="V428" s="58"/>
      <c r="W428" s="58"/>
      <c r="X428" s="58"/>
      <c r="Y428" s="58"/>
    </row>
    <row r="429">
      <c r="A429" s="58"/>
      <c r="B429" s="58"/>
      <c r="C429" s="58"/>
      <c r="D429" s="58"/>
      <c r="E429" s="194"/>
      <c r="F429" s="58"/>
      <c r="G429" s="58"/>
      <c r="H429" s="58"/>
      <c r="I429" s="58"/>
      <c r="J429" s="58"/>
      <c r="K429" s="58"/>
      <c r="L429" s="58"/>
      <c r="M429" s="58"/>
      <c r="N429" s="58"/>
      <c r="O429" s="58"/>
      <c r="P429" s="58"/>
      <c r="Q429" s="58"/>
      <c r="R429" s="58"/>
      <c r="S429" s="58"/>
      <c r="T429" s="58"/>
      <c r="U429" s="58"/>
      <c r="V429" s="58"/>
      <c r="W429" s="58"/>
      <c r="X429" s="58"/>
      <c r="Y429" s="58"/>
    </row>
    <row r="430">
      <c r="A430" s="58"/>
      <c r="B430" s="58"/>
      <c r="C430" s="58"/>
      <c r="D430" s="58"/>
      <c r="E430" s="194"/>
      <c r="F430" s="58"/>
      <c r="G430" s="58"/>
      <c r="H430" s="58"/>
      <c r="I430" s="58"/>
      <c r="J430" s="58"/>
      <c r="K430" s="58"/>
      <c r="L430" s="58"/>
      <c r="M430" s="58"/>
      <c r="N430" s="58"/>
      <c r="O430" s="58"/>
      <c r="P430" s="58"/>
      <c r="Q430" s="58"/>
      <c r="R430" s="58"/>
      <c r="S430" s="58"/>
      <c r="T430" s="58"/>
      <c r="U430" s="58"/>
      <c r="V430" s="58"/>
      <c r="W430" s="58"/>
      <c r="X430" s="58"/>
      <c r="Y430" s="58"/>
    </row>
    <row r="431">
      <c r="A431" s="58"/>
      <c r="B431" s="58"/>
      <c r="C431" s="58"/>
      <c r="D431" s="58"/>
      <c r="E431" s="194"/>
      <c r="F431" s="58"/>
      <c r="G431" s="58"/>
      <c r="H431" s="58"/>
      <c r="I431" s="58"/>
      <c r="J431" s="58"/>
      <c r="K431" s="58"/>
      <c r="L431" s="58"/>
      <c r="M431" s="58"/>
      <c r="N431" s="58"/>
      <c r="O431" s="58"/>
      <c r="P431" s="58"/>
      <c r="Q431" s="58"/>
      <c r="R431" s="58"/>
      <c r="S431" s="58"/>
      <c r="T431" s="58"/>
      <c r="U431" s="58"/>
      <c r="V431" s="58"/>
      <c r="W431" s="58"/>
      <c r="X431" s="58"/>
      <c r="Y431" s="58"/>
    </row>
    <row r="432">
      <c r="A432" s="58"/>
      <c r="B432" s="58"/>
      <c r="C432" s="58"/>
      <c r="D432" s="58"/>
      <c r="E432" s="194"/>
      <c r="F432" s="58"/>
      <c r="G432" s="58"/>
      <c r="H432" s="58"/>
      <c r="I432" s="58"/>
      <c r="J432" s="58"/>
      <c r="K432" s="58"/>
      <c r="L432" s="58"/>
      <c r="M432" s="58"/>
      <c r="N432" s="58"/>
      <c r="O432" s="58"/>
      <c r="P432" s="58"/>
      <c r="Q432" s="58"/>
      <c r="R432" s="58"/>
      <c r="S432" s="58"/>
      <c r="T432" s="58"/>
      <c r="U432" s="58"/>
      <c r="V432" s="58"/>
      <c r="W432" s="58"/>
      <c r="X432" s="58"/>
      <c r="Y432" s="58"/>
    </row>
    <row r="433">
      <c r="A433" s="58"/>
      <c r="B433" s="58"/>
      <c r="C433" s="58"/>
      <c r="D433" s="58"/>
      <c r="E433" s="194"/>
      <c r="F433" s="58"/>
      <c r="G433" s="58"/>
      <c r="H433" s="58"/>
      <c r="I433" s="58"/>
      <c r="J433" s="58"/>
      <c r="K433" s="58"/>
      <c r="L433" s="58"/>
      <c r="M433" s="58"/>
      <c r="N433" s="58"/>
      <c r="O433" s="58"/>
      <c r="P433" s="58"/>
      <c r="Q433" s="58"/>
      <c r="R433" s="58"/>
      <c r="S433" s="58"/>
      <c r="T433" s="58"/>
      <c r="U433" s="58"/>
      <c r="V433" s="58"/>
      <c r="W433" s="58"/>
      <c r="X433" s="58"/>
      <c r="Y433" s="58"/>
    </row>
    <row r="434">
      <c r="A434" s="58"/>
      <c r="B434" s="58"/>
      <c r="C434" s="58"/>
      <c r="D434" s="58"/>
      <c r="E434" s="194"/>
      <c r="F434" s="58"/>
      <c r="G434" s="58"/>
      <c r="H434" s="58"/>
      <c r="I434" s="58"/>
      <c r="J434" s="58"/>
      <c r="K434" s="58"/>
      <c r="L434" s="58"/>
      <c r="M434" s="58"/>
      <c r="N434" s="58"/>
      <c r="O434" s="58"/>
      <c r="P434" s="58"/>
      <c r="Q434" s="58"/>
      <c r="R434" s="58"/>
      <c r="S434" s="58"/>
      <c r="T434" s="58"/>
      <c r="U434" s="58"/>
      <c r="V434" s="58"/>
      <c r="W434" s="58"/>
      <c r="X434" s="58"/>
      <c r="Y434" s="58"/>
    </row>
    <row r="435">
      <c r="A435" s="58"/>
      <c r="B435" s="58"/>
      <c r="C435" s="58"/>
      <c r="D435" s="58"/>
      <c r="E435" s="194"/>
      <c r="F435" s="58"/>
      <c r="G435" s="58"/>
      <c r="H435" s="58"/>
      <c r="I435" s="58"/>
      <c r="J435" s="58"/>
      <c r="K435" s="58"/>
      <c r="L435" s="58"/>
      <c r="M435" s="58"/>
      <c r="N435" s="58"/>
      <c r="O435" s="58"/>
      <c r="P435" s="58"/>
      <c r="Q435" s="58"/>
      <c r="R435" s="58"/>
      <c r="S435" s="58"/>
      <c r="T435" s="58"/>
      <c r="U435" s="58"/>
      <c r="V435" s="58"/>
      <c r="W435" s="58"/>
      <c r="X435" s="58"/>
      <c r="Y435" s="58"/>
    </row>
    <row r="436">
      <c r="A436" s="58"/>
      <c r="B436" s="58"/>
      <c r="C436" s="58"/>
      <c r="D436" s="58"/>
      <c r="E436" s="194"/>
      <c r="F436" s="58"/>
      <c r="G436" s="58"/>
      <c r="H436" s="58"/>
      <c r="I436" s="58"/>
      <c r="J436" s="58"/>
      <c r="K436" s="58"/>
      <c r="L436" s="58"/>
      <c r="M436" s="58"/>
      <c r="N436" s="58"/>
      <c r="O436" s="58"/>
      <c r="P436" s="58"/>
      <c r="Q436" s="58"/>
      <c r="R436" s="58"/>
      <c r="S436" s="58"/>
      <c r="T436" s="58"/>
      <c r="U436" s="58"/>
      <c r="V436" s="58"/>
      <c r="W436" s="58"/>
      <c r="X436" s="58"/>
      <c r="Y436" s="58"/>
    </row>
    <row r="437">
      <c r="A437" s="58"/>
      <c r="B437" s="58"/>
      <c r="C437" s="58"/>
      <c r="D437" s="58"/>
      <c r="E437" s="194"/>
      <c r="F437" s="58"/>
      <c r="G437" s="58"/>
      <c r="H437" s="58"/>
      <c r="I437" s="58"/>
      <c r="J437" s="58"/>
      <c r="K437" s="58"/>
      <c r="L437" s="58"/>
      <c r="M437" s="58"/>
      <c r="N437" s="58"/>
      <c r="O437" s="58"/>
      <c r="P437" s="58"/>
      <c r="Q437" s="58"/>
      <c r="R437" s="58"/>
      <c r="S437" s="58"/>
      <c r="T437" s="58"/>
      <c r="U437" s="58"/>
      <c r="V437" s="58"/>
      <c r="W437" s="58"/>
      <c r="X437" s="58"/>
      <c r="Y437" s="58"/>
    </row>
    <row r="438">
      <c r="A438" s="58"/>
      <c r="B438" s="58"/>
      <c r="C438" s="58"/>
      <c r="D438" s="58"/>
      <c r="E438" s="194"/>
      <c r="F438" s="58"/>
      <c r="G438" s="58"/>
      <c r="H438" s="58"/>
      <c r="I438" s="58"/>
      <c r="J438" s="58"/>
      <c r="K438" s="58"/>
      <c r="L438" s="58"/>
      <c r="M438" s="58"/>
      <c r="N438" s="58"/>
      <c r="O438" s="58"/>
      <c r="P438" s="58"/>
      <c r="Q438" s="58"/>
      <c r="R438" s="58"/>
      <c r="S438" s="58"/>
      <c r="T438" s="58"/>
      <c r="U438" s="58"/>
      <c r="V438" s="58"/>
      <c r="W438" s="58"/>
      <c r="X438" s="58"/>
      <c r="Y438" s="58"/>
    </row>
    <row r="439">
      <c r="A439" s="58"/>
      <c r="B439" s="58"/>
      <c r="C439" s="58"/>
      <c r="D439" s="58"/>
      <c r="E439" s="194"/>
      <c r="F439" s="58"/>
      <c r="G439" s="58"/>
      <c r="H439" s="58"/>
      <c r="I439" s="58"/>
      <c r="J439" s="58"/>
      <c r="K439" s="58"/>
      <c r="L439" s="58"/>
      <c r="M439" s="58"/>
      <c r="N439" s="58"/>
      <c r="O439" s="58"/>
      <c r="P439" s="58"/>
      <c r="Q439" s="58"/>
      <c r="R439" s="58"/>
      <c r="S439" s="58"/>
      <c r="T439" s="58"/>
      <c r="U439" s="58"/>
      <c r="V439" s="58"/>
      <c r="W439" s="58"/>
      <c r="X439" s="58"/>
      <c r="Y439" s="58"/>
    </row>
    <row r="440">
      <c r="A440" s="58"/>
      <c r="B440" s="58"/>
      <c r="C440" s="58"/>
      <c r="D440" s="58"/>
      <c r="E440" s="194"/>
      <c r="F440" s="58"/>
      <c r="G440" s="58"/>
      <c r="H440" s="58"/>
      <c r="I440" s="58"/>
      <c r="J440" s="58"/>
      <c r="K440" s="58"/>
      <c r="L440" s="58"/>
      <c r="M440" s="58"/>
      <c r="N440" s="58"/>
      <c r="O440" s="58"/>
      <c r="P440" s="58"/>
      <c r="Q440" s="58"/>
      <c r="R440" s="58"/>
      <c r="S440" s="58"/>
      <c r="T440" s="58"/>
      <c r="U440" s="58"/>
      <c r="V440" s="58"/>
      <c r="W440" s="58"/>
      <c r="X440" s="58"/>
      <c r="Y440" s="58"/>
    </row>
    <row r="441">
      <c r="A441" s="58"/>
      <c r="B441" s="58"/>
      <c r="C441" s="58"/>
      <c r="D441" s="58"/>
      <c r="E441" s="194"/>
      <c r="F441" s="58"/>
      <c r="G441" s="58"/>
      <c r="H441" s="58"/>
      <c r="I441" s="58"/>
      <c r="J441" s="58"/>
      <c r="K441" s="58"/>
      <c r="L441" s="58"/>
      <c r="M441" s="58"/>
      <c r="N441" s="58"/>
      <c r="O441" s="58"/>
      <c r="P441" s="58"/>
      <c r="Q441" s="58"/>
      <c r="R441" s="58"/>
      <c r="S441" s="58"/>
      <c r="T441" s="58"/>
      <c r="U441" s="58"/>
      <c r="V441" s="58"/>
      <c r="W441" s="58"/>
      <c r="X441" s="58"/>
      <c r="Y441" s="58"/>
    </row>
    <row r="442">
      <c r="A442" s="58"/>
      <c r="B442" s="58"/>
      <c r="C442" s="58"/>
      <c r="D442" s="58"/>
      <c r="E442" s="194"/>
      <c r="F442" s="58"/>
      <c r="G442" s="58"/>
      <c r="H442" s="58"/>
      <c r="I442" s="58"/>
      <c r="J442" s="58"/>
      <c r="K442" s="58"/>
      <c r="L442" s="58"/>
      <c r="M442" s="58"/>
      <c r="N442" s="58"/>
      <c r="O442" s="58"/>
      <c r="P442" s="58"/>
      <c r="Q442" s="58"/>
      <c r="R442" s="58"/>
      <c r="S442" s="58"/>
      <c r="T442" s="58"/>
      <c r="U442" s="58"/>
      <c r="V442" s="58"/>
      <c r="W442" s="58"/>
      <c r="X442" s="58"/>
      <c r="Y442" s="58"/>
    </row>
    <row r="443">
      <c r="A443" s="58"/>
      <c r="B443" s="58"/>
      <c r="C443" s="58"/>
      <c r="D443" s="58"/>
      <c r="E443" s="194"/>
      <c r="F443" s="58"/>
      <c r="G443" s="58"/>
      <c r="H443" s="58"/>
      <c r="I443" s="58"/>
      <c r="J443" s="58"/>
      <c r="K443" s="58"/>
      <c r="L443" s="58"/>
      <c r="M443" s="58"/>
      <c r="N443" s="58"/>
      <c r="O443" s="58"/>
      <c r="P443" s="58"/>
      <c r="Q443" s="58"/>
      <c r="R443" s="58"/>
      <c r="S443" s="58"/>
      <c r="T443" s="58"/>
      <c r="U443" s="58"/>
      <c r="V443" s="58"/>
      <c r="W443" s="58"/>
      <c r="X443" s="58"/>
      <c r="Y443" s="58"/>
    </row>
    <row r="444">
      <c r="A444" s="58"/>
      <c r="B444" s="58"/>
      <c r="C444" s="58"/>
      <c r="D444" s="58"/>
      <c r="E444" s="194"/>
      <c r="F444" s="58"/>
      <c r="G444" s="58"/>
      <c r="H444" s="58"/>
      <c r="I444" s="58"/>
      <c r="J444" s="58"/>
      <c r="K444" s="58"/>
      <c r="L444" s="58"/>
      <c r="M444" s="58"/>
      <c r="N444" s="58"/>
      <c r="O444" s="58"/>
      <c r="P444" s="58"/>
      <c r="Q444" s="58"/>
      <c r="R444" s="58"/>
      <c r="S444" s="58"/>
      <c r="T444" s="58"/>
      <c r="U444" s="58"/>
      <c r="V444" s="58"/>
      <c r="W444" s="58"/>
      <c r="X444" s="58"/>
      <c r="Y444" s="58"/>
    </row>
    <row r="445">
      <c r="A445" s="58"/>
      <c r="B445" s="58"/>
      <c r="C445" s="58"/>
      <c r="D445" s="58"/>
      <c r="E445" s="194"/>
      <c r="F445" s="58"/>
      <c r="G445" s="58"/>
      <c r="H445" s="58"/>
      <c r="I445" s="58"/>
      <c r="J445" s="58"/>
      <c r="K445" s="58"/>
      <c r="L445" s="58"/>
      <c r="M445" s="58"/>
      <c r="N445" s="58"/>
      <c r="O445" s="58"/>
      <c r="P445" s="58"/>
      <c r="Q445" s="58"/>
      <c r="R445" s="58"/>
      <c r="S445" s="58"/>
      <c r="T445" s="58"/>
      <c r="U445" s="58"/>
      <c r="V445" s="58"/>
      <c r="W445" s="58"/>
      <c r="X445" s="58"/>
      <c r="Y445" s="58"/>
    </row>
    <row r="446">
      <c r="A446" s="58"/>
      <c r="B446" s="58"/>
      <c r="C446" s="58"/>
      <c r="D446" s="58"/>
      <c r="E446" s="194"/>
      <c r="F446" s="58"/>
      <c r="G446" s="58"/>
      <c r="H446" s="58"/>
      <c r="I446" s="58"/>
      <c r="J446" s="58"/>
      <c r="K446" s="58"/>
      <c r="L446" s="58"/>
      <c r="M446" s="58"/>
      <c r="N446" s="58"/>
      <c r="O446" s="58"/>
      <c r="P446" s="58"/>
      <c r="Q446" s="58"/>
      <c r="R446" s="58"/>
      <c r="S446" s="58"/>
      <c r="T446" s="58"/>
      <c r="U446" s="58"/>
      <c r="V446" s="58"/>
      <c r="W446" s="58"/>
      <c r="X446" s="58"/>
      <c r="Y446" s="58"/>
    </row>
    <row r="447">
      <c r="A447" s="58"/>
      <c r="B447" s="58"/>
      <c r="C447" s="58"/>
      <c r="D447" s="58"/>
      <c r="E447" s="194"/>
      <c r="F447" s="58"/>
      <c r="G447" s="58"/>
      <c r="H447" s="58"/>
      <c r="I447" s="58"/>
      <c r="J447" s="58"/>
      <c r="K447" s="58"/>
      <c r="L447" s="58"/>
      <c r="M447" s="58"/>
      <c r="N447" s="58"/>
      <c r="O447" s="58"/>
      <c r="P447" s="58"/>
      <c r="Q447" s="58"/>
      <c r="R447" s="58"/>
      <c r="S447" s="58"/>
      <c r="T447" s="58"/>
      <c r="U447" s="58"/>
      <c r="V447" s="58"/>
      <c r="W447" s="58"/>
      <c r="X447" s="58"/>
      <c r="Y447" s="58"/>
    </row>
    <row r="448">
      <c r="A448" s="58"/>
      <c r="B448" s="58"/>
      <c r="C448" s="58"/>
      <c r="D448" s="58"/>
      <c r="E448" s="194"/>
      <c r="F448" s="58"/>
      <c r="G448" s="58"/>
      <c r="H448" s="58"/>
      <c r="I448" s="58"/>
      <c r="J448" s="58"/>
      <c r="K448" s="58"/>
      <c r="L448" s="58"/>
      <c r="M448" s="58"/>
      <c r="N448" s="58"/>
      <c r="O448" s="58"/>
      <c r="P448" s="58"/>
      <c r="Q448" s="58"/>
      <c r="R448" s="58"/>
      <c r="S448" s="58"/>
      <c r="T448" s="58"/>
      <c r="U448" s="58"/>
      <c r="V448" s="58"/>
      <c r="W448" s="58"/>
      <c r="X448" s="58"/>
      <c r="Y448" s="58"/>
    </row>
    <row r="449">
      <c r="A449" s="58"/>
      <c r="B449" s="58"/>
      <c r="C449" s="58"/>
      <c r="D449" s="58"/>
      <c r="E449" s="194"/>
      <c r="F449" s="58"/>
      <c r="G449" s="58"/>
      <c r="H449" s="58"/>
      <c r="I449" s="58"/>
      <c r="J449" s="58"/>
      <c r="K449" s="58"/>
      <c r="L449" s="58"/>
      <c r="M449" s="58"/>
      <c r="N449" s="58"/>
      <c r="O449" s="58"/>
      <c r="P449" s="58"/>
      <c r="Q449" s="58"/>
      <c r="R449" s="58"/>
      <c r="S449" s="58"/>
      <c r="T449" s="58"/>
      <c r="U449" s="58"/>
      <c r="V449" s="58"/>
      <c r="W449" s="58"/>
      <c r="X449" s="58"/>
      <c r="Y449" s="58"/>
    </row>
    <row r="450">
      <c r="A450" s="58"/>
      <c r="B450" s="58"/>
      <c r="C450" s="58"/>
      <c r="D450" s="58"/>
      <c r="E450" s="194"/>
      <c r="F450" s="58"/>
      <c r="G450" s="58"/>
      <c r="H450" s="58"/>
      <c r="I450" s="58"/>
      <c r="J450" s="58"/>
      <c r="K450" s="58"/>
      <c r="L450" s="58"/>
      <c r="M450" s="58"/>
      <c r="N450" s="58"/>
      <c r="O450" s="58"/>
      <c r="P450" s="58"/>
      <c r="Q450" s="58"/>
      <c r="R450" s="58"/>
      <c r="S450" s="58"/>
      <c r="T450" s="58"/>
      <c r="U450" s="58"/>
      <c r="V450" s="58"/>
      <c r="W450" s="58"/>
      <c r="X450" s="58"/>
      <c r="Y450" s="58"/>
    </row>
    <row r="451">
      <c r="A451" s="58"/>
      <c r="B451" s="58"/>
      <c r="C451" s="58"/>
      <c r="D451" s="58"/>
      <c r="E451" s="194"/>
      <c r="F451" s="58"/>
      <c r="G451" s="58"/>
      <c r="H451" s="58"/>
      <c r="I451" s="58"/>
      <c r="J451" s="58"/>
      <c r="K451" s="58"/>
      <c r="L451" s="58"/>
      <c r="M451" s="58"/>
      <c r="N451" s="58"/>
      <c r="O451" s="58"/>
      <c r="P451" s="58"/>
      <c r="Q451" s="58"/>
      <c r="R451" s="58"/>
      <c r="S451" s="58"/>
      <c r="T451" s="58"/>
      <c r="U451" s="58"/>
      <c r="V451" s="58"/>
      <c r="W451" s="58"/>
      <c r="X451" s="58"/>
      <c r="Y451" s="58"/>
    </row>
    <row r="452">
      <c r="A452" s="58"/>
      <c r="B452" s="58"/>
      <c r="C452" s="58"/>
      <c r="D452" s="58"/>
      <c r="E452" s="194"/>
      <c r="F452" s="58"/>
      <c r="G452" s="58"/>
      <c r="H452" s="58"/>
      <c r="I452" s="58"/>
      <c r="J452" s="58"/>
      <c r="K452" s="58"/>
      <c r="L452" s="58"/>
      <c r="M452" s="58"/>
      <c r="N452" s="58"/>
      <c r="O452" s="58"/>
      <c r="P452" s="58"/>
      <c r="Q452" s="58"/>
      <c r="R452" s="58"/>
      <c r="S452" s="58"/>
      <c r="T452" s="58"/>
      <c r="U452" s="58"/>
      <c r="V452" s="58"/>
      <c r="W452" s="58"/>
      <c r="X452" s="58"/>
      <c r="Y452" s="58"/>
    </row>
    <row r="453">
      <c r="A453" s="58"/>
      <c r="B453" s="58"/>
      <c r="C453" s="58"/>
      <c r="D453" s="58"/>
      <c r="E453" s="194"/>
      <c r="F453" s="58"/>
      <c r="G453" s="58"/>
      <c r="H453" s="58"/>
      <c r="I453" s="58"/>
      <c r="J453" s="58"/>
      <c r="K453" s="58"/>
      <c r="L453" s="58"/>
      <c r="M453" s="58"/>
      <c r="N453" s="58"/>
      <c r="O453" s="58"/>
      <c r="P453" s="58"/>
      <c r="Q453" s="58"/>
      <c r="R453" s="58"/>
      <c r="S453" s="58"/>
      <c r="T453" s="58"/>
      <c r="U453" s="58"/>
      <c r="V453" s="58"/>
      <c r="W453" s="58"/>
      <c r="X453" s="58"/>
      <c r="Y453" s="58"/>
    </row>
    <row r="454">
      <c r="A454" s="58"/>
      <c r="B454" s="58"/>
      <c r="C454" s="58"/>
      <c r="D454" s="58"/>
      <c r="E454" s="194"/>
      <c r="F454" s="58"/>
      <c r="G454" s="58"/>
      <c r="H454" s="58"/>
      <c r="I454" s="58"/>
      <c r="J454" s="58"/>
      <c r="K454" s="58"/>
      <c r="L454" s="58"/>
      <c r="M454" s="58"/>
      <c r="N454" s="58"/>
      <c r="O454" s="58"/>
      <c r="P454" s="58"/>
      <c r="Q454" s="58"/>
      <c r="R454" s="58"/>
      <c r="S454" s="58"/>
      <c r="T454" s="58"/>
      <c r="U454" s="58"/>
      <c r="V454" s="58"/>
      <c r="W454" s="58"/>
      <c r="X454" s="58"/>
      <c r="Y454" s="58"/>
    </row>
    <row r="455">
      <c r="A455" s="58"/>
      <c r="B455" s="58"/>
      <c r="C455" s="58"/>
      <c r="D455" s="58"/>
      <c r="E455" s="194"/>
      <c r="F455" s="58"/>
      <c r="G455" s="58"/>
      <c r="H455" s="58"/>
      <c r="I455" s="58"/>
      <c r="J455" s="58"/>
      <c r="K455" s="58"/>
      <c r="L455" s="58"/>
      <c r="M455" s="58"/>
      <c r="N455" s="58"/>
      <c r="O455" s="58"/>
      <c r="P455" s="58"/>
      <c r="Q455" s="58"/>
      <c r="R455" s="58"/>
      <c r="S455" s="58"/>
      <c r="T455" s="58"/>
      <c r="U455" s="58"/>
      <c r="V455" s="58"/>
      <c r="W455" s="58"/>
      <c r="X455" s="58"/>
      <c r="Y455" s="58"/>
    </row>
    <row r="456">
      <c r="A456" s="58"/>
      <c r="B456" s="58"/>
      <c r="C456" s="58"/>
      <c r="D456" s="58"/>
      <c r="E456" s="194"/>
      <c r="F456" s="58"/>
      <c r="G456" s="58"/>
      <c r="H456" s="58"/>
      <c r="I456" s="58"/>
      <c r="J456" s="58"/>
      <c r="K456" s="58"/>
      <c r="L456" s="58"/>
      <c r="M456" s="58"/>
      <c r="N456" s="58"/>
      <c r="O456" s="58"/>
      <c r="P456" s="58"/>
      <c r="Q456" s="58"/>
      <c r="R456" s="58"/>
      <c r="S456" s="58"/>
      <c r="T456" s="58"/>
      <c r="U456" s="58"/>
      <c r="V456" s="58"/>
      <c r="W456" s="58"/>
      <c r="X456" s="58"/>
      <c r="Y456" s="58"/>
    </row>
    <row r="457">
      <c r="A457" s="58"/>
      <c r="B457" s="58"/>
      <c r="C457" s="58"/>
      <c r="D457" s="58"/>
      <c r="E457" s="194"/>
      <c r="F457" s="58"/>
      <c r="G457" s="58"/>
      <c r="H457" s="58"/>
      <c r="I457" s="58"/>
      <c r="J457" s="58"/>
      <c r="K457" s="58"/>
      <c r="L457" s="58"/>
      <c r="M457" s="58"/>
      <c r="N457" s="58"/>
      <c r="O457" s="58"/>
      <c r="P457" s="58"/>
      <c r="Q457" s="58"/>
      <c r="R457" s="58"/>
      <c r="S457" s="58"/>
      <c r="T457" s="58"/>
      <c r="U457" s="58"/>
      <c r="V457" s="58"/>
      <c r="W457" s="58"/>
      <c r="X457" s="58"/>
      <c r="Y457" s="58"/>
    </row>
    <row r="458">
      <c r="A458" s="58"/>
      <c r="B458" s="58"/>
      <c r="C458" s="58"/>
      <c r="D458" s="58"/>
      <c r="E458" s="194"/>
      <c r="F458" s="58"/>
      <c r="G458" s="58"/>
      <c r="H458" s="58"/>
      <c r="I458" s="58"/>
      <c r="J458" s="58"/>
      <c r="K458" s="58"/>
      <c r="L458" s="58"/>
      <c r="M458" s="58"/>
      <c r="N458" s="58"/>
      <c r="O458" s="58"/>
      <c r="P458" s="58"/>
      <c r="Q458" s="58"/>
      <c r="R458" s="58"/>
      <c r="S458" s="58"/>
      <c r="T458" s="58"/>
      <c r="U458" s="58"/>
      <c r="V458" s="58"/>
      <c r="W458" s="58"/>
      <c r="X458" s="58"/>
      <c r="Y458" s="58"/>
    </row>
    <row r="459">
      <c r="A459" s="58"/>
      <c r="B459" s="58"/>
      <c r="C459" s="58"/>
      <c r="D459" s="58"/>
      <c r="E459" s="194"/>
      <c r="F459" s="58"/>
      <c r="G459" s="58"/>
      <c r="H459" s="58"/>
      <c r="I459" s="58"/>
      <c r="J459" s="58"/>
      <c r="K459" s="58"/>
      <c r="L459" s="58"/>
      <c r="M459" s="58"/>
      <c r="N459" s="58"/>
      <c r="O459" s="58"/>
      <c r="P459" s="58"/>
      <c r="Q459" s="58"/>
      <c r="R459" s="58"/>
      <c r="S459" s="58"/>
      <c r="T459" s="58"/>
      <c r="U459" s="58"/>
      <c r="V459" s="58"/>
      <c r="W459" s="58"/>
      <c r="X459" s="58"/>
      <c r="Y459" s="58"/>
    </row>
    <row r="460">
      <c r="A460" s="58"/>
      <c r="B460" s="58"/>
      <c r="C460" s="58"/>
      <c r="D460" s="58"/>
      <c r="E460" s="194"/>
      <c r="F460" s="58"/>
      <c r="G460" s="58"/>
      <c r="H460" s="58"/>
      <c r="I460" s="58"/>
      <c r="J460" s="58"/>
      <c r="K460" s="58"/>
      <c r="L460" s="58"/>
      <c r="M460" s="58"/>
      <c r="N460" s="58"/>
      <c r="O460" s="58"/>
      <c r="P460" s="58"/>
      <c r="Q460" s="58"/>
      <c r="R460" s="58"/>
      <c r="S460" s="58"/>
      <c r="T460" s="58"/>
      <c r="U460" s="58"/>
      <c r="V460" s="58"/>
      <c r="W460" s="58"/>
      <c r="X460" s="58"/>
      <c r="Y460" s="58"/>
    </row>
    <row r="461">
      <c r="A461" s="58"/>
      <c r="B461" s="58"/>
      <c r="C461" s="58"/>
      <c r="D461" s="58"/>
      <c r="E461" s="194"/>
      <c r="F461" s="58"/>
      <c r="G461" s="58"/>
      <c r="H461" s="58"/>
      <c r="I461" s="58"/>
      <c r="J461" s="58"/>
      <c r="K461" s="58"/>
      <c r="L461" s="58"/>
      <c r="M461" s="58"/>
      <c r="N461" s="58"/>
      <c r="O461" s="58"/>
      <c r="P461" s="58"/>
      <c r="Q461" s="58"/>
      <c r="R461" s="58"/>
      <c r="S461" s="58"/>
      <c r="T461" s="58"/>
      <c r="U461" s="58"/>
      <c r="V461" s="58"/>
      <c r="W461" s="58"/>
      <c r="X461" s="58"/>
      <c r="Y461" s="58"/>
    </row>
    <row r="462">
      <c r="A462" s="58"/>
      <c r="B462" s="58"/>
      <c r="C462" s="58"/>
      <c r="D462" s="58"/>
      <c r="E462" s="194"/>
      <c r="F462" s="58"/>
      <c r="G462" s="58"/>
      <c r="H462" s="58"/>
      <c r="I462" s="58"/>
      <c r="J462" s="58"/>
      <c r="K462" s="58"/>
      <c r="L462" s="58"/>
      <c r="M462" s="58"/>
      <c r="N462" s="58"/>
      <c r="O462" s="58"/>
      <c r="P462" s="58"/>
      <c r="Q462" s="58"/>
      <c r="R462" s="58"/>
      <c r="S462" s="58"/>
      <c r="T462" s="58"/>
      <c r="U462" s="58"/>
      <c r="V462" s="58"/>
      <c r="W462" s="58"/>
      <c r="X462" s="58"/>
      <c r="Y462" s="58"/>
    </row>
    <row r="463">
      <c r="A463" s="58"/>
      <c r="B463" s="58"/>
      <c r="C463" s="58"/>
      <c r="D463" s="58"/>
      <c r="E463" s="194"/>
      <c r="F463" s="58"/>
      <c r="G463" s="58"/>
      <c r="H463" s="58"/>
      <c r="I463" s="58"/>
      <c r="J463" s="58"/>
      <c r="K463" s="58"/>
      <c r="L463" s="58"/>
      <c r="M463" s="58"/>
      <c r="N463" s="58"/>
      <c r="O463" s="58"/>
      <c r="P463" s="58"/>
      <c r="Q463" s="58"/>
      <c r="R463" s="58"/>
      <c r="S463" s="58"/>
      <c r="T463" s="58"/>
      <c r="U463" s="58"/>
      <c r="V463" s="58"/>
      <c r="W463" s="58"/>
      <c r="X463" s="58"/>
      <c r="Y463" s="58"/>
    </row>
    <row r="464">
      <c r="A464" s="58"/>
      <c r="B464" s="58"/>
      <c r="C464" s="58"/>
      <c r="D464" s="58"/>
      <c r="E464" s="194"/>
      <c r="F464" s="58"/>
      <c r="G464" s="58"/>
      <c r="H464" s="58"/>
      <c r="I464" s="58"/>
      <c r="J464" s="58"/>
      <c r="K464" s="58"/>
      <c r="L464" s="58"/>
      <c r="M464" s="58"/>
      <c r="N464" s="58"/>
      <c r="O464" s="58"/>
      <c r="P464" s="58"/>
      <c r="Q464" s="58"/>
      <c r="R464" s="58"/>
      <c r="S464" s="58"/>
      <c r="T464" s="58"/>
      <c r="U464" s="58"/>
      <c r="V464" s="58"/>
      <c r="W464" s="58"/>
      <c r="X464" s="58"/>
      <c r="Y464" s="58"/>
    </row>
    <row r="465">
      <c r="A465" s="58"/>
      <c r="B465" s="58"/>
      <c r="C465" s="58"/>
      <c r="D465" s="58"/>
      <c r="E465" s="194"/>
      <c r="F465" s="58"/>
      <c r="G465" s="58"/>
      <c r="H465" s="58"/>
      <c r="I465" s="58"/>
      <c r="J465" s="58"/>
      <c r="K465" s="58"/>
      <c r="L465" s="58"/>
      <c r="M465" s="58"/>
      <c r="N465" s="58"/>
      <c r="O465" s="58"/>
      <c r="P465" s="58"/>
      <c r="Q465" s="58"/>
      <c r="R465" s="58"/>
      <c r="S465" s="58"/>
      <c r="T465" s="58"/>
      <c r="U465" s="58"/>
      <c r="V465" s="58"/>
      <c r="W465" s="58"/>
      <c r="X465" s="58"/>
      <c r="Y465" s="58"/>
    </row>
    <row r="466">
      <c r="A466" s="58"/>
      <c r="B466" s="58"/>
      <c r="C466" s="58"/>
      <c r="D466" s="58"/>
      <c r="E466" s="194"/>
      <c r="F466" s="58"/>
      <c r="G466" s="58"/>
      <c r="H466" s="58"/>
      <c r="I466" s="58"/>
      <c r="J466" s="58"/>
      <c r="K466" s="58"/>
      <c r="L466" s="58"/>
      <c r="M466" s="58"/>
      <c r="N466" s="58"/>
      <c r="O466" s="58"/>
      <c r="P466" s="58"/>
      <c r="Q466" s="58"/>
      <c r="R466" s="58"/>
      <c r="S466" s="58"/>
      <c r="T466" s="58"/>
      <c r="U466" s="58"/>
      <c r="V466" s="58"/>
      <c r="W466" s="58"/>
      <c r="X466" s="58"/>
      <c r="Y466" s="58"/>
    </row>
    <row r="467">
      <c r="A467" s="58"/>
      <c r="B467" s="58"/>
      <c r="C467" s="58"/>
      <c r="D467" s="58"/>
      <c r="E467" s="194"/>
      <c r="F467" s="58"/>
      <c r="G467" s="58"/>
      <c r="H467" s="58"/>
      <c r="I467" s="58"/>
      <c r="J467" s="58"/>
      <c r="K467" s="58"/>
      <c r="L467" s="58"/>
      <c r="M467" s="58"/>
      <c r="N467" s="58"/>
      <c r="O467" s="58"/>
      <c r="P467" s="58"/>
      <c r="Q467" s="58"/>
      <c r="R467" s="58"/>
      <c r="S467" s="58"/>
      <c r="T467" s="58"/>
      <c r="U467" s="58"/>
      <c r="V467" s="58"/>
      <c r="W467" s="58"/>
      <c r="X467" s="58"/>
      <c r="Y467" s="58"/>
    </row>
    <row r="468">
      <c r="A468" s="58"/>
      <c r="B468" s="58"/>
      <c r="C468" s="58"/>
      <c r="D468" s="58"/>
      <c r="E468" s="194"/>
      <c r="F468" s="58"/>
      <c r="G468" s="58"/>
      <c r="H468" s="58"/>
      <c r="I468" s="58"/>
      <c r="J468" s="58"/>
      <c r="K468" s="58"/>
      <c r="L468" s="58"/>
      <c r="M468" s="58"/>
      <c r="N468" s="58"/>
      <c r="O468" s="58"/>
      <c r="P468" s="58"/>
      <c r="Q468" s="58"/>
      <c r="R468" s="58"/>
      <c r="S468" s="58"/>
      <c r="T468" s="58"/>
      <c r="U468" s="58"/>
      <c r="V468" s="58"/>
      <c r="W468" s="58"/>
      <c r="X468" s="58"/>
      <c r="Y468" s="58"/>
    </row>
    <row r="469">
      <c r="A469" s="58"/>
      <c r="B469" s="58"/>
      <c r="C469" s="58"/>
      <c r="D469" s="58"/>
      <c r="E469" s="194"/>
      <c r="F469" s="58"/>
      <c r="G469" s="58"/>
      <c r="H469" s="58"/>
      <c r="I469" s="58"/>
      <c r="J469" s="58"/>
      <c r="K469" s="58"/>
      <c r="L469" s="58"/>
      <c r="M469" s="58"/>
      <c r="N469" s="58"/>
      <c r="O469" s="58"/>
      <c r="P469" s="58"/>
      <c r="Q469" s="58"/>
      <c r="R469" s="58"/>
      <c r="S469" s="58"/>
      <c r="T469" s="58"/>
      <c r="U469" s="58"/>
      <c r="V469" s="58"/>
      <c r="W469" s="58"/>
      <c r="X469" s="58"/>
      <c r="Y469" s="58"/>
    </row>
    <row r="470">
      <c r="A470" s="58"/>
      <c r="B470" s="58"/>
      <c r="C470" s="58"/>
      <c r="D470" s="58"/>
      <c r="E470" s="194"/>
      <c r="F470" s="58"/>
      <c r="G470" s="58"/>
      <c r="H470" s="58"/>
      <c r="I470" s="58"/>
      <c r="J470" s="58"/>
      <c r="K470" s="58"/>
      <c r="L470" s="58"/>
      <c r="M470" s="58"/>
      <c r="N470" s="58"/>
      <c r="O470" s="58"/>
      <c r="P470" s="58"/>
      <c r="Q470" s="58"/>
      <c r="R470" s="58"/>
      <c r="S470" s="58"/>
      <c r="T470" s="58"/>
      <c r="U470" s="58"/>
      <c r="V470" s="58"/>
      <c r="W470" s="58"/>
      <c r="X470" s="58"/>
      <c r="Y470" s="58"/>
    </row>
    <row r="471">
      <c r="A471" s="58"/>
      <c r="B471" s="58"/>
      <c r="C471" s="58"/>
      <c r="D471" s="58"/>
      <c r="E471" s="194"/>
      <c r="F471" s="58"/>
      <c r="G471" s="58"/>
      <c r="H471" s="58"/>
      <c r="I471" s="58"/>
      <c r="J471" s="58"/>
      <c r="K471" s="58"/>
      <c r="L471" s="58"/>
      <c r="M471" s="58"/>
      <c r="N471" s="58"/>
      <c r="O471" s="58"/>
      <c r="P471" s="58"/>
      <c r="Q471" s="58"/>
      <c r="R471" s="58"/>
      <c r="S471" s="58"/>
      <c r="T471" s="58"/>
      <c r="U471" s="58"/>
      <c r="V471" s="58"/>
      <c r="W471" s="58"/>
      <c r="X471" s="58"/>
      <c r="Y471" s="58"/>
    </row>
    <row r="472">
      <c r="A472" s="58"/>
      <c r="B472" s="58"/>
      <c r="C472" s="58"/>
      <c r="D472" s="58"/>
      <c r="E472" s="194"/>
      <c r="F472" s="58"/>
      <c r="G472" s="58"/>
      <c r="H472" s="58"/>
      <c r="I472" s="58"/>
      <c r="J472" s="58"/>
      <c r="K472" s="58"/>
      <c r="L472" s="58"/>
      <c r="M472" s="58"/>
      <c r="N472" s="58"/>
      <c r="O472" s="58"/>
      <c r="P472" s="58"/>
      <c r="Q472" s="58"/>
      <c r="R472" s="58"/>
      <c r="S472" s="58"/>
      <c r="T472" s="58"/>
      <c r="U472" s="58"/>
      <c r="V472" s="58"/>
      <c r="W472" s="58"/>
      <c r="X472" s="58"/>
      <c r="Y472" s="58"/>
    </row>
    <row r="473">
      <c r="A473" s="58"/>
      <c r="B473" s="58"/>
      <c r="C473" s="58"/>
      <c r="D473" s="58"/>
      <c r="E473" s="194"/>
      <c r="F473" s="58"/>
      <c r="G473" s="58"/>
      <c r="H473" s="58"/>
      <c r="I473" s="58"/>
      <c r="J473" s="58"/>
      <c r="K473" s="58"/>
      <c r="L473" s="58"/>
      <c r="M473" s="58"/>
      <c r="N473" s="58"/>
      <c r="O473" s="58"/>
      <c r="P473" s="58"/>
      <c r="Q473" s="58"/>
      <c r="R473" s="58"/>
      <c r="S473" s="58"/>
      <c r="T473" s="58"/>
      <c r="U473" s="58"/>
      <c r="V473" s="58"/>
      <c r="W473" s="58"/>
      <c r="X473" s="58"/>
      <c r="Y473" s="58"/>
    </row>
    <row r="474">
      <c r="A474" s="58"/>
      <c r="B474" s="58"/>
      <c r="C474" s="58"/>
      <c r="D474" s="58"/>
      <c r="E474" s="194"/>
      <c r="F474" s="58"/>
      <c r="G474" s="58"/>
      <c r="H474" s="58"/>
      <c r="I474" s="58"/>
      <c r="J474" s="58"/>
      <c r="K474" s="58"/>
      <c r="L474" s="58"/>
      <c r="M474" s="58"/>
      <c r="N474" s="58"/>
      <c r="O474" s="58"/>
      <c r="P474" s="58"/>
      <c r="Q474" s="58"/>
      <c r="R474" s="58"/>
      <c r="S474" s="58"/>
      <c r="T474" s="58"/>
      <c r="U474" s="58"/>
      <c r="V474" s="58"/>
      <c r="W474" s="58"/>
      <c r="X474" s="58"/>
      <c r="Y474" s="58"/>
    </row>
    <row r="475">
      <c r="A475" s="58"/>
      <c r="B475" s="58"/>
      <c r="C475" s="58"/>
      <c r="D475" s="58"/>
      <c r="E475" s="194"/>
      <c r="F475" s="58"/>
      <c r="G475" s="58"/>
      <c r="H475" s="58"/>
      <c r="I475" s="58"/>
      <c r="J475" s="58"/>
      <c r="K475" s="58"/>
      <c r="L475" s="58"/>
      <c r="M475" s="58"/>
      <c r="N475" s="58"/>
      <c r="O475" s="58"/>
      <c r="P475" s="58"/>
      <c r="Q475" s="58"/>
      <c r="R475" s="58"/>
      <c r="S475" s="58"/>
      <c r="T475" s="58"/>
      <c r="U475" s="58"/>
      <c r="V475" s="58"/>
      <c r="W475" s="58"/>
      <c r="X475" s="58"/>
      <c r="Y475" s="58"/>
    </row>
    <row r="476">
      <c r="A476" s="58"/>
      <c r="B476" s="58"/>
      <c r="C476" s="58"/>
      <c r="D476" s="58"/>
      <c r="E476" s="194"/>
      <c r="F476" s="58"/>
      <c r="G476" s="58"/>
      <c r="H476" s="58"/>
      <c r="I476" s="58"/>
      <c r="J476" s="58"/>
      <c r="K476" s="58"/>
      <c r="L476" s="58"/>
      <c r="M476" s="58"/>
      <c r="N476" s="58"/>
      <c r="O476" s="58"/>
      <c r="P476" s="58"/>
      <c r="Q476" s="58"/>
      <c r="R476" s="58"/>
      <c r="S476" s="58"/>
      <c r="T476" s="58"/>
      <c r="U476" s="58"/>
      <c r="V476" s="58"/>
      <c r="W476" s="58"/>
      <c r="X476" s="58"/>
      <c r="Y476" s="58"/>
    </row>
    <row r="477">
      <c r="A477" s="58"/>
      <c r="B477" s="58"/>
      <c r="C477" s="58"/>
      <c r="D477" s="58"/>
      <c r="E477" s="194"/>
      <c r="F477" s="58"/>
      <c r="G477" s="58"/>
      <c r="H477" s="58"/>
      <c r="I477" s="58"/>
      <c r="J477" s="58"/>
      <c r="K477" s="58"/>
      <c r="L477" s="58"/>
      <c r="M477" s="58"/>
      <c r="N477" s="58"/>
      <c r="O477" s="58"/>
      <c r="P477" s="58"/>
      <c r="Q477" s="58"/>
      <c r="R477" s="58"/>
      <c r="S477" s="58"/>
      <c r="T477" s="58"/>
      <c r="U477" s="58"/>
      <c r="V477" s="58"/>
      <c r="W477" s="58"/>
      <c r="X477" s="58"/>
      <c r="Y477" s="58"/>
    </row>
    <row r="478">
      <c r="A478" s="58"/>
      <c r="B478" s="58"/>
      <c r="C478" s="58"/>
      <c r="D478" s="58"/>
      <c r="E478" s="194"/>
      <c r="F478" s="58"/>
      <c r="G478" s="58"/>
      <c r="H478" s="58"/>
      <c r="I478" s="58"/>
      <c r="J478" s="58"/>
      <c r="K478" s="58"/>
      <c r="L478" s="58"/>
      <c r="M478" s="58"/>
      <c r="N478" s="58"/>
      <c r="O478" s="58"/>
      <c r="P478" s="58"/>
      <c r="Q478" s="58"/>
      <c r="R478" s="58"/>
      <c r="S478" s="58"/>
      <c r="T478" s="58"/>
      <c r="U478" s="58"/>
      <c r="V478" s="58"/>
      <c r="W478" s="58"/>
      <c r="X478" s="58"/>
      <c r="Y478" s="58"/>
    </row>
    <row r="479">
      <c r="A479" s="58"/>
      <c r="B479" s="58"/>
      <c r="C479" s="58"/>
      <c r="D479" s="58"/>
      <c r="E479" s="194"/>
      <c r="F479" s="58"/>
      <c r="G479" s="58"/>
      <c r="H479" s="58"/>
      <c r="I479" s="58"/>
      <c r="J479" s="58"/>
      <c r="K479" s="58"/>
      <c r="L479" s="58"/>
      <c r="M479" s="58"/>
      <c r="N479" s="58"/>
      <c r="O479" s="58"/>
      <c r="P479" s="58"/>
      <c r="Q479" s="58"/>
      <c r="R479" s="58"/>
      <c r="S479" s="58"/>
      <c r="T479" s="58"/>
      <c r="U479" s="58"/>
      <c r="V479" s="58"/>
      <c r="W479" s="58"/>
      <c r="X479" s="58"/>
      <c r="Y479" s="58"/>
    </row>
    <row r="480">
      <c r="A480" s="58"/>
      <c r="B480" s="58"/>
      <c r="C480" s="58"/>
      <c r="D480" s="58"/>
      <c r="E480" s="194"/>
      <c r="F480" s="58"/>
      <c r="G480" s="58"/>
      <c r="H480" s="58"/>
      <c r="I480" s="58"/>
      <c r="J480" s="58"/>
      <c r="K480" s="58"/>
      <c r="L480" s="58"/>
      <c r="M480" s="58"/>
      <c r="N480" s="58"/>
      <c r="O480" s="58"/>
      <c r="P480" s="58"/>
      <c r="Q480" s="58"/>
      <c r="R480" s="58"/>
      <c r="S480" s="58"/>
      <c r="T480" s="58"/>
      <c r="U480" s="58"/>
      <c r="V480" s="58"/>
      <c r="W480" s="58"/>
      <c r="X480" s="58"/>
      <c r="Y480" s="58"/>
    </row>
    <row r="481">
      <c r="A481" s="58"/>
      <c r="B481" s="58"/>
      <c r="C481" s="58"/>
      <c r="D481" s="58"/>
      <c r="E481" s="194"/>
      <c r="F481" s="58"/>
      <c r="G481" s="58"/>
      <c r="H481" s="58"/>
      <c r="I481" s="58"/>
      <c r="J481" s="58"/>
      <c r="K481" s="58"/>
      <c r="L481" s="58"/>
      <c r="M481" s="58"/>
      <c r="N481" s="58"/>
      <c r="O481" s="58"/>
      <c r="P481" s="58"/>
      <c r="Q481" s="58"/>
      <c r="R481" s="58"/>
      <c r="S481" s="58"/>
      <c r="T481" s="58"/>
      <c r="U481" s="58"/>
      <c r="V481" s="58"/>
      <c r="W481" s="58"/>
      <c r="X481" s="58"/>
      <c r="Y481" s="58"/>
    </row>
    <row r="482">
      <c r="A482" s="58"/>
      <c r="B482" s="58"/>
      <c r="C482" s="58"/>
      <c r="D482" s="58"/>
      <c r="E482" s="194"/>
      <c r="F482" s="58"/>
      <c r="G482" s="58"/>
      <c r="H482" s="58"/>
      <c r="I482" s="58"/>
      <c r="J482" s="58"/>
      <c r="K482" s="58"/>
      <c r="L482" s="58"/>
      <c r="M482" s="58"/>
      <c r="N482" s="58"/>
      <c r="O482" s="58"/>
      <c r="P482" s="58"/>
      <c r="Q482" s="58"/>
      <c r="R482" s="58"/>
      <c r="S482" s="58"/>
      <c r="T482" s="58"/>
      <c r="U482" s="58"/>
      <c r="V482" s="58"/>
      <c r="W482" s="58"/>
      <c r="X482" s="58"/>
      <c r="Y482" s="58"/>
    </row>
    <row r="483">
      <c r="A483" s="58"/>
      <c r="B483" s="58"/>
      <c r="C483" s="58"/>
      <c r="D483" s="58"/>
      <c r="E483" s="194"/>
      <c r="F483" s="58"/>
      <c r="G483" s="58"/>
      <c r="H483" s="58"/>
      <c r="I483" s="58"/>
      <c r="J483" s="58"/>
      <c r="K483" s="58"/>
      <c r="L483" s="58"/>
      <c r="M483" s="58"/>
      <c r="N483" s="58"/>
      <c r="O483" s="58"/>
      <c r="P483" s="58"/>
      <c r="Q483" s="58"/>
      <c r="R483" s="58"/>
      <c r="S483" s="58"/>
      <c r="T483" s="58"/>
      <c r="U483" s="58"/>
      <c r="V483" s="58"/>
      <c r="W483" s="58"/>
      <c r="X483" s="58"/>
      <c r="Y483" s="58"/>
    </row>
    <row r="484">
      <c r="A484" s="58"/>
      <c r="B484" s="58"/>
      <c r="C484" s="58"/>
      <c r="D484" s="58"/>
      <c r="E484" s="194"/>
      <c r="F484" s="58"/>
      <c r="G484" s="58"/>
      <c r="H484" s="58"/>
      <c r="I484" s="58"/>
      <c r="J484" s="58"/>
      <c r="K484" s="58"/>
      <c r="L484" s="58"/>
      <c r="M484" s="58"/>
      <c r="N484" s="58"/>
      <c r="O484" s="58"/>
      <c r="P484" s="58"/>
      <c r="Q484" s="58"/>
      <c r="R484" s="58"/>
      <c r="S484" s="58"/>
      <c r="T484" s="58"/>
      <c r="U484" s="58"/>
      <c r="V484" s="58"/>
      <c r="W484" s="58"/>
      <c r="X484" s="58"/>
      <c r="Y484" s="58"/>
    </row>
    <row r="485">
      <c r="A485" s="58"/>
      <c r="B485" s="58"/>
      <c r="C485" s="58"/>
      <c r="D485" s="58"/>
      <c r="E485" s="194"/>
      <c r="F485" s="58"/>
      <c r="G485" s="58"/>
      <c r="H485" s="58"/>
      <c r="I485" s="58"/>
      <c r="J485" s="58"/>
      <c r="K485" s="58"/>
      <c r="L485" s="58"/>
      <c r="M485" s="58"/>
      <c r="N485" s="58"/>
      <c r="O485" s="58"/>
      <c r="P485" s="58"/>
      <c r="Q485" s="58"/>
      <c r="R485" s="58"/>
      <c r="S485" s="58"/>
      <c r="T485" s="58"/>
      <c r="U485" s="58"/>
      <c r="V485" s="58"/>
      <c r="W485" s="58"/>
      <c r="X485" s="58"/>
      <c r="Y485" s="58"/>
    </row>
    <row r="486">
      <c r="A486" s="58"/>
      <c r="B486" s="58"/>
      <c r="C486" s="58"/>
      <c r="D486" s="58"/>
      <c r="E486" s="194"/>
      <c r="F486" s="58"/>
      <c r="G486" s="58"/>
      <c r="H486" s="58"/>
      <c r="I486" s="58"/>
      <c r="J486" s="58"/>
      <c r="K486" s="58"/>
      <c r="L486" s="58"/>
      <c r="M486" s="58"/>
      <c r="N486" s="58"/>
      <c r="O486" s="58"/>
      <c r="P486" s="58"/>
      <c r="Q486" s="58"/>
      <c r="R486" s="58"/>
      <c r="S486" s="58"/>
      <c r="T486" s="58"/>
      <c r="U486" s="58"/>
      <c r="V486" s="58"/>
      <c r="W486" s="58"/>
      <c r="X486" s="58"/>
      <c r="Y486" s="58"/>
    </row>
    <row r="487">
      <c r="A487" s="58"/>
      <c r="B487" s="58"/>
      <c r="C487" s="58"/>
      <c r="D487" s="58"/>
      <c r="E487" s="194"/>
      <c r="F487" s="58"/>
      <c r="G487" s="58"/>
      <c r="H487" s="58"/>
      <c r="I487" s="58"/>
      <c r="J487" s="58"/>
      <c r="K487" s="58"/>
      <c r="L487" s="58"/>
      <c r="M487" s="58"/>
      <c r="N487" s="58"/>
      <c r="O487" s="58"/>
      <c r="P487" s="58"/>
      <c r="Q487" s="58"/>
      <c r="R487" s="58"/>
      <c r="S487" s="58"/>
      <c r="T487" s="58"/>
      <c r="U487" s="58"/>
      <c r="V487" s="58"/>
      <c r="W487" s="58"/>
      <c r="X487" s="58"/>
      <c r="Y487" s="58"/>
    </row>
    <row r="488">
      <c r="A488" s="58"/>
      <c r="B488" s="58"/>
      <c r="C488" s="58"/>
      <c r="D488" s="58"/>
      <c r="E488" s="194"/>
      <c r="F488" s="58"/>
      <c r="G488" s="58"/>
      <c r="H488" s="58"/>
      <c r="I488" s="58"/>
      <c r="J488" s="58"/>
      <c r="K488" s="58"/>
      <c r="L488" s="58"/>
      <c r="M488" s="58"/>
      <c r="N488" s="58"/>
      <c r="O488" s="58"/>
      <c r="P488" s="58"/>
      <c r="Q488" s="58"/>
      <c r="R488" s="58"/>
      <c r="S488" s="58"/>
      <c r="T488" s="58"/>
      <c r="U488" s="58"/>
      <c r="V488" s="58"/>
      <c r="W488" s="58"/>
      <c r="X488" s="58"/>
      <c r="Y488" s="58"/>
    </row>
    <row r="489">
      <c r="A489" s="58"/>
      <c r="B489" s="58"/>
      <c r="C489" s="58"/>
      <c r="D489" s="58"/>
      <c r="E489" s="194"/>
      <c r="F489" s="58"/>
      <c r="G489" s="58"/>
      <c r="H489" s="58"/>
      <c r="I489" s="58"/>
      <c r="J489" s="58"/>
      <c r="K489" s="58"/>
      <c r="L489" s="58"/>
      <c r="M489" s="58"/>
      <c r="N489" s="58"/>
      <c r="O489" s="58"/>
      <c r="P489" s="58"/>
      <c r="Q489" s="58"/>
      <c r="R489" s="58"/>
      <c r="S489" s="58"/>
      <c r="T489" s="58"/>
      <c r="U489" s="58"/>
      <c r="V489" s="58"/>
      <c r="W489" s="58"/>
      <c r="X489" s="58"/>
      <c r="Y489" s="58"/>
    </row>
    <row r="490">
      <c r="A490" s="58"/>
      <c r="B490" s="58"/>
      <c r="C490" s="58"/>
      <c r="D490" s="58"/>
      <c r="E490" s="194"/>
      <c r="F490" s="58"/>
      <c r="G490" s="58"/>
      <c r="H490" s="58"/>
      <c r="I490" s="58"/>
      <c r="J490" s="58"/>
      <c r="K490" s="58"/>
      <c r="L490" s="58"/>
      <c r="M490" s="58"/>
      <c r="N490" s="58"/>
      <c r="O490" s="58"/>
      <c r="P490" s="58"/>
      <c r="Q490" s="58"/>
      <c r="R490" s="58"/>
      <c r="S490" s="58"/>
      <c r="T490" s="58"/>
      <c r="U490" s="58"/>
      <c r="V490" s="58"/>
      <c r="W490" s="58"/>
      <c r="X490" s="58"/>
      <c r="Y490" s="58"/>
    </row>
    <row r="491">
      <c r="A491" s="58"/>
      <c r="B491" s="58"/>
      <c r="C491" s="58"/>
      <c r="D491" s="58"/>
      <c r="E491" s="194"/>
      <c r="F491" s="58"/>
      <c r="G491" s="58"/>
      <c r="H491" s="58"/>
      <c r="I491" s="58"/>
      <c r="J491" s="58"/>
      <c r="K491" s="58"/>
      <c r="L491" s="58"/>
      <c r="M491" s="58"/>
      <c r="N491" s="58"/>
      <c r="O491" s="58"/>
      <c r="P491" s="58"/>
      <c r="Q491" s="58"/>
      <c r="R491" s="58"/>
      <c r="S491" s="58"/>
      <c r="T491" s="58"/>
      <c r="U491" s="58"/>
      <c r="V491" s="58"/>
      <c r="W491" s="58"/>
      <c r="X491" s="58"/>
      <c r="Y491" s="58"/>
    </row>
    <row r="492">
      <c r="A492" s="58"/>
      <c r="B492" s="58"/>
      <c r="C492" s="58"/>
      <c r="D492" s="58"/>
      <c r="E492" s="194"/>
      <c r="F492" s="58"/>
      <c r="G492" s="58"/>
      <c r="H492" s="58"/>
      <c r="I492" s="58"/>
      <c r="J492" s="58"/>
      <c r="K492" s="58"/>
      <c r="L492" s="58"/>
      <c r="M492" s="58"/>
      <c r="N492" s="58"/>
      <c r="O492" s="58"/>
      <c r="P492" s="58"/>
      <c r="Q492" s="58"/>
      <c r="R492" s="58"/>
      <c r="S492" s="58"/>
      <c r="T492" s="58"/>
      <c r="U492" s="58"/>
      <c r="V492" s="58"/>
      <c r="W492" s="58"/>
      <c r="X492" s="58"/>
      <c r="Y492" s="58"/>
    </row>
    <row r="493">
      <c r="A493" s="58"/>
      <c r="B493" s="58"/>
      <c r="C493" s="58"/>
      <c r="D493" s="58"/>
      <c r="E493" s="194"/>
      <c r="F493" s="58"/>
      <c r="G493" s="58"/>
      <c r="H493" s="58"/>
      <c r="I493" s="58"/>
      <c r="J493" s="58"/>
      <c r="K493" s="58"/>
      <c r="L493" s="58"/>
      <c r="M493" s="58"/>
      <c r="N493" s="58"/>
      <c r="O493" s="58"/>
      <c r="P493" s="58"/>
      <c r="Q493" s="58"/>
      <c r="R493" s="58"/>
      <c r="S493" s="58"/>
      <c r="T493" s="58"/>
      <c r="U493" s="58"/>
      <c r="V493" s="58"/>
      <c r="W493" s="58"/>
      <c r="X493" s="58"/>
      <c r="Y493" s="58"/>
    </row>
    <row r="494">
      <c r="A494" s="58"/>
      <c r="B494" s="58"/>
      <c r="C494" s="58"/>
      <c r="D494" s="58"/>
      <c r="E494" s="194"/>
      <c r="F494" s="58"/>
      <c r="G494" s="58"/>
      <c r="H494" s="58"/>
      <c r="I494" s="58"/>
      <c r="J494" s="58"/>
      <c r="K494" s="58"/>
      <c r="L494" s="58"/>
      <c r="M494" s="58"/>
      <c r="N494" s="58"/>
      <c r="O494" s="58"/>
      <c r="P494" s="58"/>
      <c r="Q494" s="58"/>
      <c r="R494" s="58"/>
      <c r="S494" s="58"/>
      <c r="T494" s="58"/>
      <c r="U494" s="58"/>
      <c r="V494" s="58"/>
      <c r="W494" s="58"/>
      <c r="X494" s="58"/>
      <c r="Y494" s="58"/>
    </row>
    <row r="495">
      <c r="A495" s="58"/>
      <c r="B495" s="58"/>
      <c r="C495" s="58"/>
      <c r="D495" s="58"/>
      <c r="E495" s="194"/>
      <c r="F495" s="58"/>
      <c r="G495" s="58"/>
      <c r="H495" s="58"/>
      <c r="I495" s="58"/>
      <c r="J495" s="58"/>
      <c r="K495" s="58"/>
      <c r="L495" s="58"/>
      <c r="M495" s="58"/>
      <c r="N495" s="58"/>
      <c r="O495" s="58"/>
      <c r="P495" s="58"/>
      <c r="Q495" s="58"/>
      <c r="R495" s="58"/>
      <c r="S495" s="58"/>
      <c r="T495" s="58"/>
      <c r="U495" s="58"/>
      <c r="V495" s="58"/>
      <c r="W495" s="58"/>
      <c r="X495" s="58"/>
      <c r="Y495" s="58"/>
    </row>
    <row r="496">
      <c r="A496" s="58"/>
      <c r="B496" s="58"/>
      <c r="C496" s="58"/>
      <c r="D496" s="58"/>
      <c r="E496" s="194"/>
      <c r="F496" s="58"/>
      <c r="G496" s="58"/>
      <c r="H496" s="58"/>
      <c r="I496" s="58"/>
      <c r="J496" s="58"/>
      <c r="K496" s="58"/>
      <c r="L496" s="58"/>
      <c r="M496" s="58"/>
      <c r="N496" s="58"/>
      <c r="O496" s="58"/>
      <c r="P496" s="58"/>
      <c r="Q496" s="58"/>
      <c r="R496" s="58"/>
      <c r="S496" s="58"/>
      <c r="T496" s="58"/>
      <c r="U496" s="58"/>
      <c r="V496" s="58"/>
      <c r="W496" s="58"/>
      <c r="X496" s="58"/>
      <c r="Y496" s="58"/>
    </row>
    <row r="497">
      <c r="A497" s="58"/>
      <c r="B497" s="58"/>
      <c r="C497" s="58"/>
      <c r="D497" s="58"/>
      <c r="E497" s="194"/>
      <c r="F497" s="58"/>
      <c r="G497" s="58"/>
      <c r="H497" s="58"/>
      <c r="I497" s="58"/>
      <c r="J497" s="58"/>
      <c r="K497" s="58"/>
      <c r="L497" s="58"/>
      <c r="M497" s="58"/>
      <c r="N497" s="58"/>
      <c r="O497" s="58"/>
      <c r="P497" s="58"/>
      <c r="Q497" s="58"/>
      <c r="R497" s="58"/>
      <c r="S497" s="58"/>
      <c r="T497" s="58"/>
      <c r="U497" s="58"/>
      <c r="V497" s="58"/>
      <c r="W497" s="58"/>
      <c r="X497" s="58"/>
      <c r="Y497" s="58"/>
    </row>
    <row r="498">
      <c r="A498" s="58"/>
      <c r="B498" s="58"/>
      <c r="C498" s="58"/>
      <c r="D498" s="58"/>
      <c r="E498" s="194"/>
      <c r="F498" s="58"/>
      <c r="G498" s="58"/>
      <c r="H498" s="58"/>
      <c r="I498" s="58"/>
      <c r="J498" s="58"/>
      <c r="K498" s="58"/>
      <c r="L498" s="58"/>
      <c r="M498" s="58"/>
      <c r="N498" s="58"/>
      <c r="O498" s="58"/>
      <c r="P498" s="58"/>
      <c r="Q498" s="58"/>
      <c r="R498" s="58"/>
      <c r="S498" s="58"/>
      <c r="T498" s="58"/>
      <c r="U498" s="58"/>
      <c r="V498" s="58"/>
      <c r="W498" s="58"/>
      <c r="X498" s="58"/>
      <c r="Y498" s="58"/>
    </row>
    <row r="499">
      <c r="A499" s="58"/>
      <c r="B499" s="58"/>
      <c r="C499" s="58"/>
      <c r="D499" s="58"/>
      <c r="E499" s="194"/>
      <c r="F499" s="58"/>
      <c r="G499" s="58"/>
      <c r="H499" s="58"/>
      <c r="I499" s="58"/>
      <c r="J499" s="58"/>
      <c r="K499" s="58"/>
      <c r="L499" s="58"/>
      <c r="M499" s="58"/>
      <c r="N499" s="58"/>
      <c r="O499" s="58"/>
      <c r="P499" s="58"/>
      <c r="Q499" s="58"/>
      <c r="R499" s="58"/>
      <c r="S499" s="58"/>
      <c r="T499" s="58"/>
      <c r="U499" s="58"/>
      <c r="V499" s="58"/>
      <c r="W499" s="58"/>
      <c r="X499" s="58"/>
      <c r="Y499" s="58"/>
    </row>
    <row r="500">
      <c r="A500" s="58"/>
      <c r="B500" s="58"/>
      <c r="C500" s="58"/>
      <c r="D500" s="58"/>
      <c r="E500" s="194"/>
      <c r="F500" s="58"/>
      <c r="G500" s="58"/>
      <c r="H500" s="58"/>
      <c r="I500" s="58"/>
      <c r="J500" s="58"/>
      <c r="K500" s="58"/>
      <c r="L500" s="58"/>
      <c r="M500" s="58"/>
      <c r="N500" s="58"/>
      <c r="O500" s="58"/>
      <c r="P500" s="58"/>
      <c r="Q500" s="58"/>
      <c r="R500" s="58"/>
      <c r="S500" s="58"/>
      <c r="T500" s="58"/>
      <c r="U500" s="58"/>
      <c r="V500" s="58"/>
      <c r="W500" s="58"/>
      <c r="X500" s="58"/>
      <c r="Y500" s="58"/>
    </row>
    <row r="501">
      <c r="A501" s="58"/>
      <c r="B501" s="58"/>
      <c r="C501" s="58"/>
      <c r="D501" s="58"/>
      <c r="E501" s="194"/>
      <c r="F501" s="58"/>
      <c r="G501" s="58"/>
      <c r="H501" s="58"/>
      <c r="I501" s="58"/>
      <c r="J501" s="58"/>
      <c r="K501" s="58"/>
      <c r="L501" s="58"/>
      <c r="M501" s="58"/>
      <c r="N501" s="58"/>
      <c r="O501" s="58"/>
      <c r="P501" s="58"/>
      <c r="Q501" s="58"/>
      <c r="R501" s="58"/>
      <c r="S501" s="58"/>
      <c r="T501" s="58"/>
      <c r="U501" s="58"/>
      <c r="V501" s="58"/>
      <c r="W501" s="58"/>
      <c r="X501" s="58"/>
      <c r="Y501" s="58"/>
    </row>
    <row r="502">
      <c r="A502" s="58"/>
      <c r="B502" s="58"/>
      <c r="C502" s="58"/>
      <c r="D502" s="58"/>
      <c r="E502" s="194"/>
      <c r="F502" s="58"/>
      <c r="G502" s="58"/>
      <c r="H502" s="58"/>
      <c r="I502" s="58"/>
      <c r="J502" s="58"/>
      <c r="K502" s="58"/>
      <c r="L502" s="58"/>
      <c r="M502" s="58"/>
      <c r="N502" s="58"/>
      <c r="O502" s="58"/>
      <c r="P502" s="58"/>
      <c r="Q502" s="58"/>
      <c r="R502" s="58"/>
      <c r="S502" s="58"/>
      <c r="T502" s="58"/>
      <c r="U502" s="58"/>
      <c r="V502" s="58"/>
      <c r="W502" s="58"/>
      <c r="X502" s="58"/>
      <c r="Y502" s="58"/>
    </row>
    <row r="503">
      <c r="A503" s="58"/>
      <c r="B503" s="58"/>
      <c r="C503" s="58"/>
      <c r="D503" s="58"/>
      <c r="E503" s="194"/>
      <c r="F503" s="58"/>
      <c r="G503" s="58"/>
      <c r="H503" s="58"/>
      <c r="I503" s="58"/>
      <c r="J503" s="58"/>
      <c r="K503" s="58"/>
      <c r="L503" s="58"/>
      <c r="M503" s="58"/>
      <c r="N503" s="58"/>
      <c r="O503" s="58"/>
      <c r="P503" s="58"/>
      <c r="Q503" s="58"/>
      <c r="R503" s="58"/>
      <c r="S503" s="58"/>
      <c r="T503" s="58"/>
      <c r="U503" s="58"/>
      <c r="V503" s="58"/>
      <c r="W503" s="58"/>
      <c r="X503" s="58"/>
      <c r="Y503" s="58"/>
    </row>
    <row r="504">
      <c r="A504" s="58"/>
      <c r="B504" s="58"/>
      <c r="C504" s="58"/>
      <c r="D504" s="58"/>
      <c r="E504" s="194"/>
      <c r="F504" s="58"/>
      <c r="G504" s="58"/>
      <c r="H504" s="58"/>
      <c r="I504" s="58"/>
      <c r="J504" s="58"/>
      <c r="K504" s="58"/>
      <c r="L504" s="58"/>
      <c r="M504" s="58"/>
      <c r="N504" s="58"/>
      <c r="O504" s="58"/>
      <c r="P504" s="58"/>
      <c r="Q504" s="58"/>
      <c r="R504" s="58"/>
      <c r="S504" s="58"/>
      <c r="T504" s="58"/>
      <c r="U504" s="58"/>
      <c r="V504" s="58"/>
      <c r="W504" s="58"/>
      <c r="X504" s="58"/>
      <c r="Y504" s="58"/>
    </row>
    <row r="505">
      <c r="A505" s="58"/>
      <c r="B505" s="58"/>
      <c r="C505" s="58"/>
      <c r="D505" s="58"/>
      <c r="E505" s="194"/>
      <c r="F505" s="58"/>
      <c r="G505" s="58"/>
      <c r="H505" s="58"/>
      <c r="I505" s="58"/>
      <c r="J505" s="58"/>
      <c r="K505" s="58"/>
      <c r="L505" s="58"/>
      <c r="M505" s="58"/>
      <c r="N505" s="58"/>
      <c r="O505" s="58"/>
      <c r="P505" s="58"/>
      <c r="Q505" s="58"/>
      <c r="R505" s="58"/>
      <c r="S505" s="58"/>
      <c r="T505" s="58"/>
      <c r="U505" s="58"/>
      <c r="V505" s="58"/>
      <c r="W505" s="58"/>
      <c r="X505" s="58"/>
      <c r="Y505" s="58"/>
    </row>
    <row r="506">
      <c r="A506" s="58"/>
      <c r="B506" s="58"/>
      <c r="C506" s="58"/>
      <c r="D506" s="58"/>
      <c r="E506" s="194"/>
      <c r="F506" s="58"/>
      <c r="G506" s="58"/>
      <c r="H506" s="58"/>
      <c r="I506" s="58"/>
      <c r="J506" s="58"/>
      <c r="K506" s="58"/>
      <c r="L506" s="58"/>
      <c r="M506" s="58"/>
      <c r="N506" s="58"/>
      <c r="O506" s="58"/>
      <c r="P506" s="58"/>
      <c r="Q506" s="58"/>
      <c r="R506" s="58"/>
      <c r="S506" s="58"/>
      <c r="T506" s="58"/>
      <c r="U506" s="58"/>
      <c r="V506" s="58"/>
      <c r="W506" s="58"/>
      <c r="X506" s="58"/>
      <c r="Y506" s="58"/>
    </row>
    <row r="507">
      <c r="A507" s="58"/>
      <c r="B507" s="58"/>
      <c r="C507" s="58"/>
      <c r="D507" s="58"/>
      <c r="E507" s="194"/>
      <c r="F507" s="58"/>
      <c r="G507" s="58"/>
      <c r="H507" s="58"/>
      <c r="I507" s="58"/>
      <c r="J507" s="58"/>
      <c r="K507" s="58"/>
      <c r="L507" s="58"/>
      <c r="M507" s="58"/>
      <c r="N507" s="58"/>
      <c r="O507" s="58"/>
      <c r="P507" s="58"/>
      <c r="Q507" s="58"/>
      <c r="R507" s="58"/>
      <c r="S507" s="58"/>
      <c r="T507" s="58"/>
      <c r="U507" s="58"/>
      <c r="V507" s="58"/>
      <c r="W507" s="58"/>
      <c r="X507" s="58"/>
      <c r="Y507" s="58"/>
    </row>
    <row r="508">
      <c r="A508" s="58"/>
      <c r="B508" s="58"/>
      <c r="C508" s="58"/>
      <c r="D508" s="58"/>
      <c r="E508" s="194"/>
      <c r="F508" s="58"/>
      <c r="G508" s="58"/>
      <c r="H508" s="58"/>
      <c r="I508" s="58"/>
      <c r="J508" s="58"/>
      <c r="K508" s="58"/>
      <c r="L508" s="58"/>
      <c r="M508" s="58"/>
      <c r="N508" s="58"/>
      <c r="O508" s="58"/>
      <c r="P508" s="58"/>
      <c r="Q508" s="58"/>
      <c r="R508" s="58"/>
      <c r="S508" s="58"/>
      <c r="T508" s="58"/>
      <c r="U508" s="58"/>
      <c r="V508" s="58"/>
      <c r="W508" s="58"/>
      <c r="X508" s="58"/>
      <c r="Y508" s="58"/>
    </row>
    <row r="509">
      <c r="A509" s="58"/>
      <c r="B509" s="58"/>
      <c r="C509" s="58"/>
      <c r="D509" s="58"/>
      <c r="E509" s="194"/>
      <c r="F509" s="58"/>
      <c r="G509" s="58"/>
      <c r="H509" s="58"/>
      <c r="I509" s="58"/>
      <c r="J509" s="58"/>
      <c r="K509" s="58"/>
      <c r="L509" s="58"/>
      <c r="M509" s="58"/>
      <c r="N509" s="58"/>
      <c r="O509" s="58"/>
      <c r="P509" s="58"/>
      <c r="Q509" s="58"/>
      <c r="R509" s="58"/>
      <c r="S509" s="58"/>
      <c r="T509" s="58"/>
      <c r="U509" s="58"/>
      <c r="V509" s="58"/>
      <c r="W509" s="58"/>
      <c r="X509" s="58"/>
      <c r="Y509" s="58"/>
    </row>
    <row r="510">
      <c r="A510" s="58"/>
      <c r="B510" s="58"/>
      <c r="C510" s="58"/>
      <c r="D510" s="58"/>
      <c r="E510" s="194"/>
      <c r="F510" s="58"/>
      <c r="G510" s="58"/>
      <c r="H510" s="58"/>
      <c r="I510" s="58"/>
      <c r="J510" s="58"/>
      <c r="K510" s="58"/>
      <c r="L510" s="58"/>
      <c r="M510" s="58"/>
      <c r="N510" s="58"/>
      <c r="O510" s="58"/>
      <c r="P510" s="58"/>
      <c r="Q510" s="58"/>
      <c r="R510" s="58"/>
      <c r="S510" s="58"/>
      <c r="T510" s="58"/>
      <c r="U510" s="58"/>
      <c r="V510" s="58"/>
      <c r="W510" s="58"/>
      <c r="X510" s="58"/>
      <c r="Y510" s="58"/>
    </row>
    <row r="511">
      <c r="A511" s="58"/>
      <c r="B511" s="58"/>
      <c r="C511" s="58"/>
      <c r="D511" s="58"/>
      <c r="E511" s="194"/>
      <c r="F511" s="58"/>
      <c r="G511" s="58"/>
      <c r="H511" s="58"/>
      <c r="I511" s="58"/>
      <c r="J511" s="58"/>
      <c r="K511" s="58"/>
      <c r="L511" s="58"/>
      <c r="M511" s="58"/>
      <c r="N511" s="58"/>
      <c r="O511" s="58"/>
      <c r="P511" s="58"/>
      <c r="Q511" s="58"/>
      <c r="R511" s="58"/>
      <c r="S511" s="58"/>
      <c r="T511" s="58"/>
      <c r="U511" s="58"/>
      <c r="V511" s="58"/>
      <c r="W511" s="58"/>
      <c r="X511" s="58"/>
      <c r="Y511" s="58"/>
    </row>
    <row r="512">
      <c r="A512" s="58"/>
      <c r="B512" s="58"/>
      <c r="C512" s="58"/>
      <c r="D512" s="58"/>
      <c r="E512" s="194"/>
      <c r="F512" s="58"/>
      <c r="G512" s="58"/>
      <c r="H512" s="58"/>
      <c r="I512" s="58"/>
      <c r="J512" s="58"/>
      <c r="K512" s="58"/>
      <c r="L512" s="58"/>
      <c r="M512" s="58"/>
      <c r="N512" s="58"/>
      <c r="O512" s="58"/>
      <c r="P512" s="58"/>
      <c r="Q512" s="58"/>
      <c r="R512" s="58"/>
      <c r="S512" s="58"/>
      <c r="T512" s="58"/>
      <c r="U512" s="58"/>
      <c r="V512" s="58"/>
      <c r="W512" s="58"/>
      <c r="X512" s="58"/>
      <c r="Y512" s="58"/>
    </row>
    <row r="513">
      <c r="A513" s="58"/>
      <c r="B513" s="58"/>
      <c r="C513" s="58"/>
      <c r="D513" s="58"/>
      <c r="E513" s="194"/>
      <c r="F513" s="58"/>
      <c r="G513" s="58"/>
      <c r="H513" s="58"/>
      <c r="I513" s="58"/>
      <c r="J513" s="58"/>
      <c r="K513" s="58"/>
      <c r="L513" s="58"/>
      <c r="M513" s="58"/>
      <c r="N513" s="58"/>
      <c r="O513" s="58"/>
      <c r="P513" s="58"/>
      <c r="Q513" s="58"/>
      <c r="R513" s="58"/>
      <c r="S513" s="58"/>
      <c r="T513" s="58"/>
      <c r="U513" s="58"/>
      <c r="V513" s="58"/>
      <c r="W513" s="58"/>
      <c r="X513" s="58"/>
      <c r="Y513" s="58"/>
    </row>
    <row r="514">
      <c r="A514" s="58"/>
      <c r="B514" s="58"/>
      <c r="C514" s="58"/>
      <c r="D514" s="58"/>
      <c r="E514" s="194"/>
      <c r="F514" s="58"/>
      <c r="G514" s="58"/>
      <c r="H514" s="58"/>
      <c r="I514" s="58"/>
      <c r="J514" s="58"/>
      <c r="K514" s="58"/>
      <c r="L514" s="58"/>
      <c r="M514" s="58"/>
      <c r="N514" s="58"/>
      <c r="O514" s="58"/>
      <c r="P514" s="58"/>
      <c r="Q514" s="58"/>
      <c r="R514" s="58"/>
      <c r="S514" s="58"/>
      <c r="T514" s="58"/>
      <c r="U514" s="58"/>
      <c r="V514" s="58"/>
      <c r="W514" s="58"/>
      <c r="X514" s="58"/>
      <c r="Y514" s="58"/>
    </row>
    <row r="515">
      <c r="A515" s="58"/>
      <c r="B515" s="58"/>
      <c r="C515" s="58"/>
      <c r="D515" s="58"/>
      <c r="E515" s="194"/>
      <c r="F515" s="58"/>
      <c r="G515" s="58"/>
      <c r="H515" s="58"/>
      <c r="I515" s="58"/>
      <c r="J515" s="58"/>
      <c r="K515" s="58"/>
      <c r="L515" s="58"/>
      <c r="M515" s="58"/>
      <c r="N515" s="58"/>
      <c r="O515" s="58"/>
      <c r="P515" s="58"/>
      <c r="Q515" s="58"/>
      <c r="R515" s="58"/>
      <c r="S515" s="58"/>
      <c r="T515" s="58"/>
      <c r="U515" s="58"/>
      <c r="V515" s="58"/>
      <c r="W515" s="58"/>
      <c r="X515" s="58"/>
      <c r="Y515" s="58"/>
    </row>
    <row r="516">
      <c r="A516" s="58"/>
      <c r="B516" s="58"/>
      <c r="C516" s="58"/>
      <c r="D516" s="58"/>
      <c r="E516" s="194"/>
      <c r="F516" s="58"/>
      <c r="G516" s="58"/>
      <c r="H516" s="58"/>
      <c r="I516" s="58"/>
      <c r="J516" s="58"/>
      <c r="K516" s="58"/>
      <c r="L516" s="58"/>
      <c r="M516" s="58"/>
      <c r="N516" s="58"/>
      <c r="O516" s="58"/>
      <c r="P516" s="58"/>
      <c r="Q516" s="58"/>
      <c r="R516" s="58"/>
      <c r="S516" s="58"/>
      <c r="T516" s="58"/>
      <c r="U516" s="58"/>
      <c r="V516" s="58"/>
      <c r="W516" s="58"/>
      <c r="X516" s="58"/>
      <c r="Y516" s="58"/>
    </row>
    <row r="517">
      <c r="A517" s="58"/>
      <c r="B517" s="58"/>
      <c r="C517" s="58"/>
      <c r="D517" s="58"/>
      <c r="E517" s="194"/>
      <c r="F517" s="58"/>
      <c r="G517" s="58"/>
      <c r="H517" s="58"/>
      <c r="I517" s="58"/>
      <c r="J517" s="58"/>
      <c r="K517" s="58"/>
      <c r="L517" s="58"/>
      <c r="M517" s="58"/>
      <c r="N517" s="58"/>
      <c r="O517" s="58"/>
      <c r="P517" s="58"/>
      <c r="Q517" s="58"/>
      <c r="R517" s="58"/>
      <c r="S517" s="58"/>
      <c r="T517" s="58"/>
      <c r="U517" s="58"/>
      <c r="V517" s="58"/>
      <c r="W517" s="58"/>
      <c r="X517" s="58"/>
      <c r="Y517" s="58"/>
    </row>
    <row r="518">
      <c r="A518" s="58"/>
      <c r="B518" s="58"/>
      <c r="C518" s="58"/>
      <c r="D518" s="58"/>
      <c r="E518" s="194"/>
      <c r="F518" s="58"/>
      <c r="G518" s="58"/>
      <c r="H518" s="58"/>
      <c r="I518" s="58"/>
      <c r="J518" s="58"/>
      <c r="K518" s="58"/>
      <c r="L518" s="58"/>
      <c r="M518" s="58"/>
      <c r="N518" s="58"/>
      <c r="O518" s="58"/>
      <c r="P518" s="58"/>
      <c r="Q518" s="58"/>
      <c r="R518" s="58"/>
      <c r="S518" s="58"/>
      <c r="T518" s="58"/>
      <c r="U518" s="58"/>
      <c r="V518" s="58"/>
      <c r="W518" s="58"/>
      <c r="X518" s="58"/>
      <c r="Y518" s="58"/>
    </row>
    <row r="519">
      <c r="A519" s="58"/>
      <c r="B519" s="58"/>
      <c r="C519" s="58"/>
      <c r="D519" s="58"/>
      <c r="E519" s="194"/>
      <c r="F519" s="58"/>
      <c r="G519" s="58"/>
      <c r="H519" s="58"/>
      <c r="I519" s="58"/>
      <c r="J519" s="58"/>
      <c r="K519" s="58"/>
      <c r="L519" s="58"/>
      <c r="M519" s="58"/>
      <c r="N519" s="58"/>
      <c r="O519" s="58"/>
      <c r="P519" s="58"/>
      <c r="Q519" s="58"/>
      <c r="R519" s="58"/>
      <c r="S519" s="58"/>
      <c r="T519" s="58"/>
      <c r="U519" s="58"/>
      <c r="V519" s="58"/>
      <c r="W519" s="58"/>
      <c r="X519" s="58"/>
      <c r="Y519" s="58"/>
    </row>
    <row r="520">
      <c r="A520" s="58"/>
      <c r="B520" s="58"/>
      <c r="C520" s="58"/>
      <c r="D520" s="58"/>
      <c r="E520" s="194"/>
      <c r="F520" s="58"/>
      <c r="G520" s="58"/>
      <c r="H520" s="58"/>
      <c r="I520" s="58"/>
      <c r="J520" s="58"/>
      <c r="K520" s="58"/>
      <c r="L520" s="58"/>
      <c r="M520" s="58"/>
      <c r="N520" s="58"/>
      <c r="O520" s="58"/>
      <c r="P520" s="58"/>
      <c r="Q520" s="58"/>
      <c r="R520" s="58"/>
      <c r="S520" s="58"/>
      <c r="T520" s="58"/>
      <c r="U520" s="58"/>
      <c r="V520" s="58"/>
      <c r="W520" s="58"/>
      <c r="X520" s="58"/>
      <c r="Y520" s="58"/>
    </row>
    <row r="521">
      <c r="A521" s="58"/>
      <c r="B521" s="58"/>
      <c r="C521" s="58"/>
      <c r="D521" s="58"/>
      <c r="E521" s="194"/>
      <c r="F521" s="58"/>
      <c r="G521" s="58"/>
      <c r="H521" s="58"/>
      <c r="I521" s="58"/>
      <c r="J521" s="58"/>
      <c r="K521" s="58"/>
      <c r="L521" s="58"/>
      <c r="M521" s="58"/>
      <c r="N521" s="58"/>
      <c r="O521" s="58"/>
      <c r="P521" s="58"/>
      <c r="Q521" s="58"/>
      <c r="R521" s="58"/>
      <c r="S521" s="58"/>
      <c r="T521" s="58"/>
      <c r="U521" s="58"/>
      <c r="V521" s="58"/>
      <c r="W521" s="58"/>
      <c r="X521" s="58"/>
      <c r="Y521" s="58"/>
    </row>
    <row r="522">
      <c r="A522" s="58"/>
      <c r="B522" s="58"/>
      <c r="C522" s="58"/>
      <c r="D522" s="58"/>
      <c r="E522" s="194"/>
      <c r="F522" s="58"/>
      <c r="G522" s="58"/>
      <c r="H522" s="58"/>
      <c r="I522" s="58"/>
      <c r="J522" s="58"/>
      <c r="K522" s="58"/>
      <c r="L522" s="58"/>
      <c r="M522" s="58"/>
      <c r="N522" s="58"/>
      <c r="O522" s="58"/>
      <c r="P522" s="58"/>
      <c r="Q522" s="58"/>
      <c r="R522" s="58"/>
      <c r="S522" s="58"/>
      <c r="T522" s="58"/>
      <c r="U522" s="58"/>
      <c r="V522" s="58"/>
      <c r="W522" s="58"/>
      <c r="X522" s="58"/>
      <c r="Y522" s="58"/>
    </row>
    <row r="523">
      <c r="A523" s="58"/>
      <c r="B523" s="58"/>
      <c r="C523" s="58"/>
      <c r="D523" s="58"/>
      <c r="E523" s="194"/>
      <c r="F523" s="58"/>
      <c r="G523" s="58"/>
      <c r="H523" s="58"/>
      <c r="I523" s="58"/>
      <c r="J523" s="58"/>
      <c r="K523" s="58"/>
      <c r="L523" s="58"/>
      <c r="M523" s="58"/>
      <c r="N523" s="58"/>
      <c r="O523" s="58"/>
      <c r="P523" s="58"/>
      <c r="Q523" s="58"/>
      <c r="R523" s="58"/>
      <c r="S523" s="58"/>
      <c r="T523" s="58"/>
      <c r="U523" s="58"/>
      <c r="V523" s="58"/>
      <c r="W523" s="58"/>
      <c r="X523" s="58"/>
      <c r="Y523" s="58"/>
    </row>
    <row r="524">
      <c r="A524" s="58"/>
      <c r="B524" s="58"/>
      <c r="C524" s="58"/>
      <c r="D524" s="58"/>
      <c r="E524" s="194"/>
      <c r="F524" s="58"/>
      <c r="G524" s="58"/>
      <c r="H524" s="58"/>
      <c r="I524" s="58"/>
      <c r="J524" s="58"/>
      <c r="K524" s="58"/>
      <c r="L524" s="58"/>
      <c r="M524" s="58"/>
      <c r="N524" s="58"/>
      <c r="O524" s="58"/>
      <c r="P524" s="58"/>
      <c r="Q524" s="58"/>
      <c r="R524" s="58"/>
      <c r="S524" s="58"/>
      <c r="T524" s="58"/>
      <c r="U524" s="58"/>
      <c r="V524" s="58"/>
      <c r="W524" s="58"/>
      <c r="X524" s="58"/>
      <c r="Y524" s="58"/>
    </row>
    <row r="525">
      <c r="A525" s="58"/>
      <c r="B525" s="58"/>
      <c r="C525" s="58"/>
      <c r="D525" s="58"/>
      <c r="E525" s="194"/>
      <c r="F525" s="58"/>
      <c r="G525" s="58"/>
      <c r="H525" s="58"/>
      <c r="I525" s="58"/>
      <c r="J525" s="58"/>
      <c r="K525" s="58"/>
      <c r="L525" s="58"/>
      <c r="M525" s="58"/>
      <c r="N525" s="58"/>
      <c r="O525" s="58"/>
      <c r="P525" s="58"/>
      <c r="Q525" s="58"/>
      <c r="R525" s="58"/>
      <c r="S525" s="58"/>
      <c r="T525" s="58"/>
      <c r="U525" s="58"/>
      <c r="V525" s="58"/>
      <c r="W525" s="58"/>
      <c r="X525" s="58"/>
      <c r="Y525" s="58"/>
    </row>
    <row r="526">
      <c r="A526" s="58"/>
      <c r="B526" s="58"/>
      <c r="C526" s="58"/>
      <c r="D526" s="58"/>
      <c r="E526" s="194"/>
      <c r="F526" s="58"/>
      <c r="G526" s="58"/>
      <c r="H526" s="58"/>
      <c r="I526" s="58"/>
      <c r="J526" s="58"/>
      <c r="K526" s="58"/>
      <c r="L526" s="58"/>
      <c r="M526" s="58"/>
      <c r="N526" s="58"/>
      <c r="O526" s="58"/>
      <c r="P526" s="58"/>
      <c r="Q526" s="58"/>
      <c r="R526" s="58"/>
      <c r="S526" s="58"/>
      <c r="T526" s="58"/>
      <c r="U526" s="58"/>
      <c r="V526" s="58"/>
      <c r="W526" s="58"/>
      <c r="X526" s="58"/>
      <c r="Y526" s="58"/>
    </row>
    <row r="527">
      <c r="A527" s="58"/>
      <c r="B527" s="58"/>
      <c r="C527" s="58"/>
      <c r="D527" s="58"/>
      <c r="E527" s="194"/>
      <c r="F527" s="58"/>
      <c r="G527" s="58"/>
      <c r="H527" s="58"/>
      <c r="I527" s="58"/>
      <c r="J527" s="58"/>
      <c r="K527" s="58"/>
      <c r="L527" s="58"/>
      <c r="M527" s="58"/>
      <c r="N527" s="58"/>
      <c r="O527" s="58"/>
      <c r="P527" s="58"/>
      <c r="Q527" s="58"/>
      <c r="R527" s="58"/>
      <c r="S527" s="58"/>
      <c r="T527" s="58"/>
      <c r="U527" s="58"/>
      <c r="V527" s="58"/>
      <c r="W527" s="58"/>
      <c r="X527" s="58"/>
      <c r="Y527" s="58"/>
    </row>
    <row r="528">
      <c r="A528" s="58"/>
      <c r="B528" s="58"/>
      <c r="C528" s="58"/>
      <c r="D528" s="58"/>
      <c r="E528" s="194"/>
      <c r="F528" s="58"/>
      <c r="G528" s="58"/>
      <c r="H528" s="58"/>
      <c r="I528" s="58"/>
      <c r="J528" s="58"/>
      <c r="K528" s="58"/>
      <c r="L528" s="58"/>
      <c r="M528" s="58"/>
      <c r="N528" s="58"/>
      <c r="O528" s="58"/>
      <c r="P528" s="58"/>
      <c r="Q528" s="58"/>
      <c r="R528" s="58"/>
      <c r="S528" s="58"/>
      <c r="T528" s="58"/>
      <c r="U528" s="58"/>
      <c r="V528" s="58"/>
      <c r="W528" s="58"/>
      <c r="X528" s="58"/>
      <c r="Y528" s="58"/>
    </row>
    <row r="529">
      <c r="A529" s="58"/>
      <c r="B529" s="58"/>
      <c r="C529" s="58"/>
      <c r="D529" s="58"/>
      <c r="E529" s="194"/>
      <c r="F529" s="58"/>
      <c r="G529" s="58"/>
      <c r="H529" s="58"/>
      <c r="I529" s="58"/>
      <c r="J529" s="58"/>
      <c r="K529" s="58"/>
      <c r="L529" s="58"/>
      <c r="M529" s="58"/>
      <c r="N529" s="58"/>
      <c r="O529" s="58"/>
      <c r="P529" s="58"/>
      <c r="Q529" s="58"/>
      <c r="R529" s="58"/>
      <c r="S529" s="58"/>
      <c r="T529" s="58"/>
      <c r="U529" s="58"/>
      <c r="V529" s="58"/>
      <c r="W529" s="58"/>
      <c r="X529" s="58"/>
      <c r="Y529" s="58"/>
    </row>
    <row r="530">
      <c r="A530" s="58"/>
      <c r="B530" s="58"/>
      <c r="C530" s="58"/>
      <c r="D530" s="58"/>
      <c r="E530" s="194"/>
      <c r="F530" s="58"/>
      <c r="G530" s="58"/>
      <c r="H530" s="58"/>
      <c r="I530" s="58"/>
      <c r="J530" s="58"/>
      <c r="K530" s="58"/>
      <c r="L530" s="58"/>
      <c r="M530" s="58"/>
      <c r="N530" s="58"/>
      <c r="O530" s="58"/>
      <c r="P530" s="58"/>
      <c r="Q530" s="58"/>
      <c r="R530" s="58"/>
      <c r="S530" s="58"/>
      <c r="T530" s="58"/>
      <c r="U530" s="58"/>
      <c r="V530" s="58"/>
      <c r="W530" s="58"/>
      <c r="X530" s="58"/>
      <c r="Y530" s="58"/>
    </row>
    <row r="531">
      <c r="A531" s="58"/>
      <c r="B531" s="58"/>
      <c r="C531" s="58"/>
      <c r="D531" s="58"/>
      <c r="E531" s="194"/>
      <c r="F531" s="58"/>
      <c r="G531" s="58"/>
      <c r="H531" s="58"/>
      <c r="I531" s="58"/>
      <c r="J531" s="58"/>
      <c r="K531" s="58"/>
      <c r="L531" s="58"/>
      <c r="M531" s="58"/>
      <c r="N531" s="58"/>
      <c r="O531" s="58"/>
      <c r="P531" s="58"/>
      <c r="Q531" s="58"/>
      <c r="R531" s="58"/>
      <c r="S531" s="58"/>
      <c r="T531" s="58"/>
      <c r="U531" s="58"/>
      <c r="V531" s="58"/>
      <c r="W531" s="58"/>
      <c r="X531" s="58"/>
      <c r="Y531" s="58"/>
    </row>
    <row r="532">
      <c r="A532" s="58"/>
      <c r="B532" s="58"/>
      <c r="C532" s="58"/>
      <c r="D532" s="58"/>
      <c r="E532" s="194"/>
      <c r="F532" s="58"/>
      <c r="G532" s="58"/>
      <c r="H532" s="58"/>
      <c r="I532" s="58"/>
      <c r="J532" s="58"/>
      <c r="K532" s="58"/>
      <c r="L532" s="58"/>
      <c r="M532" s="58"/>
      <c r="N532" s="58"/>
      <c r="O532" s="58"/>
      <c r="P532" s="58"/>
      <c r="Q532" s="58"/>
      <c r="R532" s="58"/>
      <c r="S532" s="58"/>
      <c r="T532" s="58"/>
      <c r="U532" s="58"/>
      <c r="V532" s="58"/>
      <c r="W532" s="58"/>
      <c r="X532" s="58"/>
      <c r="Y532" s="58"/>
    </row>
    <row r="533">
      <c r="A533" s="58"/>
      <c r="B533" s="58"/>
      <c r="C533" s="58"/>
      <c r="D533" s="58"/>
      <c r="E533" s="194"/>
      <c r="F533" s="58"/>
      <c r="G533" s="58"/>
      <c r="H533" s="58"/>
      <c r="I533" s="58"/>
      <c r="J533" s="58"/>
      <c r="K533" s="58"/>
      <c r="L533" s="58"/>
      <c r="M533" s="58"/>
      <c r="N533" s="58"/>
      <c r="O533" s="58"/>
      <c r="P533" s="58"/>
      <c r="Q533" s="58"/>
      <c r="R533" s="58"/>
      <c r="S533" s="58"/>
      <c r="T533" s="58"/>
      <c r="U533" s="58"/>
      <c r="V533" s="58"/>
      <c r="W533" s="58"/>
      <c r="X533" s="58"/>
      <c r="Y533" s="58"/>
    </row>
    <row r="534">
      <c r="A534" s="58"/>
      <c r="B534" s="58"/>
      <c r="C534" s="58"/>
      <c r="D534" s="58"/>
      <c r="E534" s="194"/>
      <c r="F534" s="58"/>
      <c r="G534" s="58"/>
      <c r="H534" s="58"/>
      <c r="I534" s="58"/>
      <c r="J534" s="58"/>
      <c r="K534" s="58"/>
      <c r="L534" s="58"/>
      <c r="M534" s="58"/>
      <c r="N534" s="58"/>
      <c r="O534" s="58"/>
      <c r="P534" s="58"/>
      <c r="Q534" s="58"/>
      <c r="R534" s="58"/>
      <c r="S534" s="58"/>
      <c r="T534" s="58"/>
      <c r="U534" s="58"/>
      <c r="V534" s="58"/>
      <c r="W534" s="58"/>
      <c r="X534" s="58"/>
      <c r="Y534" s="58"/>
    </row>
    <row r="535">
      <c r="A535" s="58"/>
      <c r="B535" s="58"/>
      <c r="C535" s="58"/>
      <c r="D535" s="58"/>
      <c r="E535" s="194"/>
      <c r="F535" s="58"/>
      <c r="G535" s="58"/>
      <c r="H535" s="58"/>
      <c r="I535" s="58"/>
      <c r="J535" s="58"/>
      <c r="K535" s="58"/>
      <c r="L535" s="58"/>
      <c r="M535" s="58"/>
      <c r="N535" s="58"/>
      <c r="O535" s="58"/>
      <c r="P535" s="58"/>
      <c r="Q535" s="58"/>
      <c r="R535" s="58"/>
      <c r="S535" s="58"/>
      <c r="T535" s="58"/>
      <c r="U535" s="58"/>
      <c r="V535" s="58"/>
      <c r="W535" s="58"/>
      <c r="X535" s="58"/>
      <c r="Y535" s="58"/>
    </row>
    <row r="536">
      <c r="A536" s="58"/>
      <c r="B536" s="58"/>
      <c r="C536" s="58"/>
      <c r="D536" s="58"/>
      <c r="E536" s="194"/>
      <c r="F536" s="58"/>
      <c r="G536" s="58"/>
      <c r="H536" s="58"/>
      <c r="I536" s="58"/>
      <c r="J536" s="58"/>
      <c r="K536" s="58"/>
      <c r="L536" s="58"/>
      <c r="M536" s="58"/>
      <c r="N536" s="58"/>
      <c r="O536" s="58"/>
      <c r="P536" s="58"/>
      <c r="Q536" s="58"/>
      <c r="R536" s="58"/>
      <c r="S536" s="58"/>
      <c r="T536" s="58"/>
      <c r="U536" s="58"/>
      <c r="V536" s="58"/>
      <c r="W536" s="58"/>
      <c r="X536" s="58"/>
      <c r="Y536" s="58"/>
    </row>
    <row r="537">
      <c r="A537" s="58"/>
      <c r="B537" s="58"/>
      <c r="C537" s="58"/>
      <c r="D537" s="58"/>
      <c r="E537" s="194"/>
      <c r="F537" s="58"/>
      <c r="G537" s="58"/>
      <c r="H537" s="58"/>
      <c r="I537" s="58"/>
      <c r="J537" s="58"/>
      <c r="K537" s="58"/>
      <c r="L537" s="58"/>
      <c r="M537" s="58"/>
      <c r="N537" s="58"/>
      <c r="O537" s="58"/>
      <c r="P537" s="58"/>
      <c r="Q537" s="58"/>
      <c r="R537" s="58"/>
      <c r="S537" s="58"/>
      <c r="T537" s="58"/>
      <c r="U537" s="58"/>
      <c r="V537" s="58"/>
      <c r="W537" s="58"/>
      <c r="X537" s="58"/>
      <c r="Y537" s="58"/>
    </row>
    <row r="538">
      <c r="A538" s="58"/>
      <c r="B538" s="58"/>
      <c r="C538" s="58"/>
      <c r="D538" s="58"/>
      <c r="E538" s="194"/>
      <c r="F538" s="58"/>
      <c r="G538" s="58"/>
      <c r="H538" s="58"/>
      <c r="I538" s="58"/>
      <c r="J538" s="58"/>
      <c r="K538" s="58"/>
      <c r="L538" s="58"/>
      <c r="M538" s="58"/>
      <c r="N538" s="58"/>
      <c r="O538" s="58"/>
      <c r="P538" s="58"/>
      <c r="Q538" s="58"/>
      <c r="R538" s="58"/>
      <c r="S538" s="58"/>
      <c r="T538" s="58"/>
      <c r="U538" s="58"/>
      <c r="V538" s="58"/>
      <c r="W538" s="58"/>
      <c r="X538" s="58"/>
      <c r="Y538" s="58"/>
    </row>
    <row r="539">
      <c r="A539" s="58"/>
      <c r="B539" s="58"/>
      <c r="C539" s="58"/>
      <c r="D539" s="58"/>
      <c r="E539" s="194"/>
      <c r="F539" s="58"/>
      <c r="G539" s="58"/>
      <c r="H539" s="58"/>
      <c r="I539" s="58"/>
      <c r="J539" s="58"/>
      <c r="K539" s="58"/>
      <c r="L539" s="58"/>
      <c r="M539" s="58"/>
      <c r="N539" s="58"/>
      <c r="O539" s="58"/>
      <c r="P539" s="58"/>
      <c r="Q539" s="58"/>
      <c r="R539" s="58"/>
      <c r="S539" s="58"/>
      <c r="T539" s="58"/>
      <c r="U539" s="58"/>
      <c r="V539" s="58"/>
      <c r="W539" s="58"/>
      <c r="X539" s="58"/>
      <c r="Y539" s="58"/>
    </row>
    <row r="540">
      <c r="A540" s="58"/>
      <c r="B540" s="58"/>
      <c r="C540" s="58"/>
      <c r="D540" s="58"/>
      <c r="E540" s="194"/>
      <c r="F540" s="58"/>
      <c r="G540" s="58"/>
      <c r="H540" s="58"/>
      <c r="I540" s="58"/>
      <c r="J540" s="58"/>
      <c r="K540" s="58"/>
      <c r="L540" s="58"/>
      <c r="M540" s="58"/>
      <c r="N540" s="58"/>
      <c r="O540" s="58"/>
      <c r="P540" s="58"/>
      <c r="Q540" s="58"/>
      <c r="R540" s="58"/>
      <c r="S540" s="58"/>
      <c r="T540" s="58"/>
      <c r="U540" s="58"/>
      <c r="V540" s="58"/>
      <c r="W540" s="58"/>
      <c r="X540" s="58"/>
      <c r="Y540" s="58"/>
    </row>
    <row r="541">
      <c r="A541" s="58"/>
      <c r="B541" s="58"/>
      <c r="C541" s="58"/>
      <c r="D541" s="58"/>
      <c r="E541" s="194"/>
      <c r="F541" s="58"/>
      <c r="G541" s="58"/>
      <c r="H541" s="58"/>
      <c r="I541" s="58"/>
      <c r="J541" s="58"/>
      <c r="K541" s="58"/>
      <c r="L541" s="58"/>
      <c r="M541" s="58"/>
      <c r="N541" s="58"/>
      <c r="O541" s="58"/>
      <c r="P541" s="58"/>
      <c r="Q541" s="58"/>
      <c r="R541" s="58"/>
      <c r="S541" s="58"/>
      <c r="T541" s="58"/>
      <c r="U541" s="58"/>
      <c r="V541" s="58"/>
      <c r="W541" s="58"/>
      <c r="X541" s="58"/>
      <c r="Y541" s="58"/>
    </row>
    <row r="542">
      <c r="A542" s="58"/>
      <c r="B542" s="58"/>
      <c r="C542" s="58"/>
      <c r="D542" s="58"/>
      <c r="E542" s="194"/>
      <c r="F542" s="58"/>
      <c r="G542" s="58"/>
      <c r="H542" s="58"/>
      <c r="I542" s="58"/>
      <c r="J542" s="58"/>
      <c r="K542" s="58"/>
      <c r="L542" s="58"/>
      <c r="M542" s="58"/>
      <c r="N542" s="58"/>
      <c r="O542" s="58"/>
      <c r="P542" s="58"/>
      <c r="Q542" s="58"/>
      <c r="R542" s="58"/>
      <c r="S542" s="58"/>
      <c r="T542" s="58"/>
      <c r="U542" s="58"/>
      <c r="V542" s="58"/>
      <c r="W542" s="58"/>
      <c r="X542" s="58"/>
      <c r="Y542" s="58"/>
    </row>
    <row r="543">
      <c r="A543" s="58"/>
      <c r="B543" s="58"/>
      <c r="C543" s="58"/>
      <c r="D543" s="58"/>
      <c r="E543" s="194"/>
      <c r="F543" s="58"/>
      <c r="G543" s="58"/>
      <c r="H543" s="58"/>
      <c r="I543" s="58"/>
      <c r="J543" s="58"/>
      <c r="K543" s="58"/>
      <c r="L543" s="58"/>
      <c r="M543" s="58"/>
      <c r="N543" s="58"/>
      <c r="O543" s="58"/>
      <c r="P543" s="58"/>
      <c r="Q543" s="58"/>
      <c r="R543" s="58"/>
      <c r="S543" s="58"/>
      <c r="T543" s="58"/>
      <c r="U543" s="58"/>
      <c r="V543" s="58"/>
      <c r="W543" s="58"/>
      <c r="X543" s="58"/>
      <c r="Y543" s="58"/>
    </row>
    <row r="544">
      <c r="A544" s="58"/>
      <c r="B544" s="58"/>
      <c r="C544" s="58"/>
      <c r="D544" s="58"/>
      <c r="E544" s="194"/>
      <c r="F544" s="58"/>
      <c r="G544" s="58"/>
      <c r="H544" s="58"/>
      <c r="I544" s="58"/>
      <c r="J544" s="58"/>
      <c r="K544" s="58"/>
      <c r="L544" s="58"/>
      <c r="M544" s="58"/>
      <c r="N544" s="58"/>
      <c r="O544" s="58"/>
      <c r="P544" s="58"/>
      <c r="Q544" s="58"/>
      <c r="R544" s="58"/>
      <c r="S544" s="58"/>
      <c r="T544" s="58"/>
      <c r="U544" s="58"/>
      <c r="V544" s="58"/>
      <c r="W544" s="58"/>
      <c r="X544" s="58"/>
      <c r="Y544" s="58"/>
    </row>
    <row r="545">
      <c r="A545" s="58"/>
      <c r="B545" s="58"/>
      <c r="C545" s="58"/>
      <c r="D545" s="58"/>
      <c r="E545" s="194"/>
      <c r="F545" s="58"/>
      <c r="G545" s="58"/>
      <c r="H545" s="58"/>
      <c r="I545" s="58"/>
      <c r="J545" s="58"/>
      <c r="K545" s="58"/>
      <c r="L545" s="58"/>
      <c r="M545" s="58"/>
      <c r="N545" s="58"/>
      <c r="O545" s="58"/>
      <c r="P545" s="58"/>
      <c r="Q545" s="58"/>
      <c r="R545" s="58"/>
      <c r="S545" s="58"/>
      <c r="T545" s="58"/>
      <c r="U545" s="58"/>
      <c r="V545" s="58"/>
      <c r="W545" s="58"/>
      <c r="X545" s="58"/>
      <c r="Y545" s="58"/>
    </row>
    <row r="546">
      <c r="A546" s="58"/>
      <c r="B546" s="58"/>
      <c r="C546" s="58"/>
      <c r="D546" s="58"/>
      <c r="E546" s="194"/>
      <c r="F546" s="58"/>
      <c r="G546" s="58"/>
      <c r="H546" s="58"/>
      <c r="I546" s="58"/>
      <c r="J546" s="58"/>
      <c r="K546" s="58"/>
      <c r="L546" s="58"/>
      <c r="M546" s="58"/>
      <c r="N546" s="58"/>
      <c r="O546" s="58"/>
      <c r="P546" s="58"/>
      <c r="Q546" s="58"/>
      <c r="R546" s="58"/>
      <c r="S546" s="58"/>
      <c r="T546" s="58"/>
      <c r="U546" s="58"/>
      <c r="V546" s="58"/>
      <c r="W546" s="58"/>
      <c r="X546" s="58"/>
      <c r="Y546" s="58"/>
    </row>
    <row r="547">
      <c r="A547" s="58"/>
      <c r="B547" s="58"/>
      <c r="C547" s="58"/>
      <c r="D547" s="58"/>
      <c r="E547" s="194"/>
      <c r="F547" s="58"/>
      <c r="G547" s="58"/>
      <c r="H547" s="58"/>
      <c r="I547" s="58"/>
      <c r="J547" s="58"/>
      <c r="K547" s="58"/>
      <c r="L547" s="58"/>
      <c r="M547" s="58"/>
      <c r="N547" s="58"/>
      <c r="O547" s="58"/>
      <c r="P547" s="58"/>
      <c r="Q547" s="58"/>
      <c r="R547" s="58"/>
      <c r="S547" s="58"/>
      <c r="T547" s="58"/>
      <c r="U547" s="58"/>
      <c r="V547" s="58"/>
      <c r="W547" s="58"/>
      <c r="X547" s="58"/>
      <c r="Y547" s="58"/>
    </row>
    <row r="548">
      <c r="A548" s="58"/>
      <c r="B548" s="58"/>
      <c r="C548" s="58"/>
      <c r="D548" s="58"/>
      <c r="E548" s="194"/>
      <c r="F548" s="58"/>
      <c r="G548" s="58"/>
      <c r="H548" s="58"/>
      <c r="I548" s="58"/>
      <c r="J548" s="58"/>
      <c r="K548" s="58"/>
      <c r="L548" s="58"/>
      <c r="M548" s="58"/>
      <c r="N548" s="58"/>
      <c r="O548" s="58"/>
      <c r="P548" s="58"/>
      <c r="Q548" s="58"/>
      <c r="R548" s="58"/>
      <c r="S548" s="58"/>
      <c r="T548" s="58"/>
      <c r="U548" s="58"/>
      <c r="V548" s="58"/>
      <c r="W548" s="58"/>
      <c r="X548" s="58"/>
      <c r="Y548" s="58"/>
    </row>
    <row r="549">
      <c r="A549" s="58"/>
      <c r="B549" s="58"/>
      <c r="C549" s="58"/>
      <c r="D549" s="58"/>
      <c r="E549" s="194"/>
      <c r="F549" s="58"/>
      <c r="G549" s="58"/>
      <c r="H549" s="58"/>
      <c r="I549" s="58"/>
      <c r="J549" s="58"/>
      <c r="K549" s="58"/>
      <c r="L549" s="58"/>
      <c r="M549" s="58"/>
      <c r="N549" s="58"/>
      <c r="O549" s="58"/>
      <c r="P549" s="58"/>
      <c r="Q549" s="58"/>
      <c r="R549" s="58"/>
      <c r="S549" s="58"/>
      <c r="T549" s="58"/>
      <c r="U549" s="58"/>
      <c r="V549" s="58"/>
      <c r="W549" s="58"/>
      <c r="X549" s="58"/>
      <c r="Y549" s="58"/>
    </row>
    <row r="550">
      <c r="A550" s="58"/>
      <c r="B550" s="58"/>
      <c r="C550" s="58"/>
      <c r="D550" s="58"/>
      <c r="E550" s="194"/>
      <c r="F550" s="58"/>
      <c r="G550" s="58"/>
      <c r="H550" s="58"/>
      <c r="I550" s="58"/>
      <c r="J550" s="58"/>
      <c r="K550" s="58"/>
      <c r="L550" s="58"/>
      <c r="M550" s="58"/>
      <c r="N550" s="58"/>
      <c r="O550" s="58"/>
      <c r="P550" s="58"/>
      <c r="Q550" s="58"/>
      <c r="R550" s="58"/>
      <c r="S550" s="58"/>
      <c r="T550" s="58"/>
      <c r="U550" s="58"/>
      <c r="V550" s="58"/>
      <c r="W550" s="58"/>
      <c r="X550" s="58"/>
      <c r="Y550" s="58"/>
    </row>
    <row r="551">
      <c r="A551" s="58"/>
      <c r="B551" s="58"/>
      <c r="C551" s="58"/>
      <c r="D551" s="58"/>
      <c r="E551" s="194"/>
      <c r="F551" s="58"/>
      <c r="G551" s="58"/>
      <c r="H551" s="58"/>
      <c r="I551" s="58"/>
      <c r="J551" s="58"/>
      <c r="K551" s="58"/>
      <c r="L551" s="58"/>
      <c r="M551" s="58"/>
      <c r="N551" s="58"/>
      <c r="O551" s="58"/>
      <c r="P551" s="58"/>
      <c r="Q551" s="58"/>
      <c r="R551" s="58"/>
      <c r="S551" s="58"/>
      <c r="T551" s="58"/>
      <c r="U551" s="58"/>
      <c r="V551" s="58"/>
      <c r="W551" s="58"/>
      <c r="X551" s="58"/>
      <c r="Y551" s="58"/>
    </row>
    <row r="552">
      <c r="A552" s="58"/>
      <c r="B552" s="58"/>
      <c r="C552" s="58"/>
      <c r="D552" s="58"/>
      <c r="E552" s="194"/>
      <c r="F552" s="58"/>
      <c r="G552" s="58"/>
      <c r="H552" s="58"/>
      <c r="I552" s="58"/>
      <c r="J552" s="58"/>
      <c r="K552" s="58"/>
      <c r="L552" s="58"/>
      <c r="M552" s="58"/>
      <c r="N552" s="58"/>
      <c r="O552" s="58"/>
      <c r="P552" s="58"/>
      <c r="Q552" s="58"/>
      <c r="R552" s="58"/>
      <c r="S552" s="58"/>
      <c r="T552" s="58"/>
      <c r="U552" s="58"/>
      <c r="V552" s="58"/>
      <c r="W552" s="58"/>
      <c r="X552" s="58"/>
      <c r="Y552" s="58"/>
    </row>
    <row r="553">
      <c r="A553" s="58"/>
      <c r="B553" s="58"/>
      <c r="C553" s="58"/>
      <c r="D553" s="58"/>
      <c r="E553" s="194"/>
      <c r="F553" s="58"/>
      <c r="G553" s="58"/>
      <c r="H553" s="58"/>
      <c r="I553" s="58"/>
      <c r="J553" s="58"/>
      <c r="K553" s="58"/>
      <c r="L553" s="58"/>
      <c r="M553" s="58"/>
      <c r="N553" s="58"/>
      <c r="O553" s="58"/>
      <c r="P553" s="58"/>
      <c r="Q553" s="58"/>
      <c r="R553" s="58"/>
      <c r="S553" s="58"/>
      <c r="T553" s="58"/>
      <c r="U553" s="58"/>
      <c r="V553" s="58"/>
      <c r="W553" s="58"/>
      <c r="X553" s="58"/>
      <c r="Y553" s="58"/>
    </row>
    <row r="554">
      <c r="A554" s="58"/>
      <c r="B554" s="58"/>
      <c r="C554" s="58"/>
      <c r="D554" s="58"/>
      <c r="E554" s="194"/>
      <c r="F554" s="58"/>
      <c r="G554" s="58"/>
      <c r="H554" s="58"/>
      <c r="I554" s="58"/>
      <c r="J554" s="58"/>
      <c r="K554" s="58"/>
      <c r="L554" s="58"/>
      <c r="M554" s="58"/>
      <c r="N554" s="58"/>
      <c r="O554" s="58"/>
      <c r="P554" s="58"/>
      <c r="Q554" s="58"/>
      <c r="R554" s="58"/>
      <c r="S554" s="58"/>
      <c r="T554" s="58"/>
      <c r="U554" s="58"/>
      <c r="V554" s="58"/>
      <c r="W554" s="58"/>
      <c r="X554" s="58"/>
      <c r="Y554" s="58"/>
    </row>
    <row r="555">
      <c r="A555" s="58"/>
      <c r="B555" s="58"/>
      <c r="C555" s="58"/>
      <c r="D555" s="58"/>
      <c r="E555" s="194"/>
      <c r="F555" s="58"/>
      <c r="G555" s="58"/>
      <c r="H555" s="58"/>
      <c r="I555" s="58"/>
      <c r="J555" s="58"/>
      <c r="K555" s="58"/>
      <c r="L555" s="58"/>
      <c r="M555" s="58"/>
      <c r="N555" s="58"/>
      <c r="O555" s="58"/>
      <c r="P555" s="58"/>
      <c r="Q555" s="58"/>
      <c r="R555" s="58"/>
      <c r="S555" s="58"/>
      <c r="T555" s="58"/>
      <c r="U555" s="58"/>
      <c r="V555" s="58"/>
      <c r="W555" s="58"/>
      <c r="X555" s="58"/>
      <c r="Y555" s="58"/>
    </row>
    <row r="556">
      <c r="A556" s="58"/>
      <c r="B556" s="58"/>
      <c r="C556" s="58"/>
      <c r="D556" s="58"/>
      <c r="E556" s="194"/>
      <c r="F556" s="58"/>
      <c r="G556" s="58"/>
      <c r="H556" s="58"/>
      <c r="I556" s="58"/>
      <c r="J556" s="58"/>
      <c r="K556" s="58"/>
      <c r="L556" s="58"/>
      <c r="M556" s="58"/>
      <c r="N556" s="58"/>
      <c r="O556" s="58"/>
      <c r="P556" s="58"/>
      <c r="Q556" s="58"/>
      <c r="R556" s="58"/>
      <c r="S556" s="58"/>
      <c r="T556" s="58"/>
      <c r="U556" s="58"/>
      <c r="V556" s="58"/>
      <c r="W556" s="58"/>
      <c r="X556" s="58"/>
      <c r="Y556" s="58"/>
    </row>
    <row r="557">
      <c r="A557" s="58"/>
      <c r="B557" s="58"/>
      <c r="C557" s="58"/>
      <c r="D557" s="58"/>
      <c r="E557" s="194"/>
      <c r="F557" s="58"/>
      <c r="G557" s="58"/>
      <c r="H557" s="58"/>
      <c r="I557" s="58"/>
      <c r="J557" s="58"/>
      <c r="K557" s="58"/>
      <c r="L557" s="58"/>
      <c r="M557" s="58"/>
      <c r="N557" s="58"/>
      <c r="O557" s="58"/>
      <c r="P557" s="58"/>
      <c r="Q557" s="58"/>
      <c r="R557" s="58"/>
      <c r="S557" s="58"/>
      <c r="T557" s="58"/>
      <c r="U557" s="58"/>
      <c r="V557" s="58"/>
      <c r="W557" s="58"/>
      <c r="X557" s="58"/>
      <c r="Y557" s="58"/>
    </row>
    <row r="558">
      <c r="A558" s="58"/>
      <c r="B558" s="58"/>
      <c r="C558" s="58"/>
      <c r="D558" s="58"/>
      <c r="E558" s="194"/>
      <c r="F558" s="58"/>
      <c r="G558" s="58"/>
      <c r="H558" s="58"/>
      <c r="I558" s="58"/>
      <c r="J558" s="58"/>
      <c r="K558" s="58"/>
      <c r="L558" s="58"/>
      <c r="M558" s="58"/>
      <c r="N558" s="58"/>
      <c r="O558" s="58"/>
      <c r="P558" s="58"/>
      <c r="Q558" s="58"/>
      <c r="R558" s="58"/>
      <c r="S558" s="58"/>
      <c r="T558" s="58"/>
      <c r="U558" s="58"/>
      <c r="V558" s="58"/>
      <c r="W558" s="58"/>
      <c r="X558" s="58"/>
      <c r="Y558" s="58"/>
    </row>
    <row r="559">
      <c r="A559" s="58"/>
      <c r="B559" s="58"/>
      <c r="C559" s="58"/>
      <c r="D559" s="58"/>
      <c r="E559" s="194"/>
      <c r="F559" s="58"/>
      <c r="G559" s="58"/>
      <c r="H559" s="58"/>
      <c r="I559" s="58"/>
      <c r="J559" s="58"/>
      <c r="K559" s="58"/>
      <c r="L559" s="58"/>
      <c r="M559" s="58"/>
      <c r="N559" s="58"/>
      <c r="O559" s="58"/>
      <c r="P559" s="58"/>
      <c r="Q559" s="58"/>
      <c r="R559" s="58"/>
      <c r="S559" s="58"/>
      <c r="T559" s="58"/>
      <c r="U559" s="58"/>
      <c r="V559" s="58"/>
      <c r="W559" s="58"/>
      <c r="X559" s="58"/>
      <c r="Y559" s="58"/>
    </row>
    <row r="560">
      <c r="A560" s="58"/>
      <c r="B560" s="58"/>
      <c r="C560" s="58"/>
      <c r="D560" s="58"/>
      <c r="E560" s="194"/>
      <c r="F560" s="58"/>
      <c r="G560" s="58"/>
      <c r="H560" s="58"/>
      <c r="I560" s="58"/>
      <c r="J560" s="58"/>
      <c r="K560" s="58"/>
      <c r="L560" s="58"/>
      <c r="M560" s="58"/>
      <c r="N560" s="58"/>
      <c r="O560" s="58"/>
      <c r="P560" s="58"/>
      <c r="Q560" s="58"/>
      <c r="R560" s="58"/>
      <c r="S560" s="58"/>
      <c r="T560" s="58"/>
      <c r="U560" s="58"/>
      <c r="V560" s="58"/>
      <c r="W560" s="58"/>
      <c r="X560" s="58"/>
      <c r="Y560" s="58"/>
    </row>
    <row r="561">
      <c r="A561" s="58"/>
      <c r="B561" s="58"/>
      <c r="C561" s="58"/>
      <c r="D561" s="58"/>
      <c r="E561" s="194"/>
      <c r="F561" s="58"/>
      <c r="G561" s="58"/>
      <c r="H561" s="58"/>
      <c r="I561" s="58"/>
      <c r="J561" s="58"/>
      <c r="K561" s="58"/>
      <c r="L561" s="58"/>
      <c r="M561" s="58"/>
      <c r="N561" s="58"/>
      <c r="O561" s="58"/>
      <c r="P561" s="58"/>
      <c r="Q561" s="58"/>
      <c r="R561" s="58"/>
      <c r="S561" s="58"/>
      <c r="T561" s="58"/>
      <c r="U561" s="58"/>
      <c r="V561" s="58"/>
      <c r="W561" s="58"/>
      <c r="X561" s="58"/>
      <c r="Y561" s="58"/>
    </row>
    <row r="562">
      <c r="A562" s="58"/>
      <c r="B562" s="58"/>
      <c r="C562" s="58"/>
      <c r="D562" s="58"/>
      <c r="E562" s="194"/>
      <c r="F562" s="58"/>
      <c r="G562" s="58"/>
      <c r="H562" s="58"/>
      <c r="I562" s="58"/>
      <c r="J562" s="58"/>
      <c r="K562" s="58"/>
      <c r="L562" s="58"/>
      <c r="M562" s="58"/>
      <c r="N562" s="58"/>
      <c r="O562" s="58"/>
      <c r="P562" s="58"/>
      <c r="Q562" s="58"/>
      <c r="R562" s="58"/>
      <c r="S562" s="58"/>
      <c r="T562" s="58"/>
      <c r="U562" s="58"/>
      <c r="V562" s="58"/>
      <c r="W562" s="58"/>
      <c r="X562" s="58"/>
      <c r="Y562" s="58"/>
    </row>
    <row r="563">
      <c r="A563" s="58"/>
      <c r="B563" s="58"/>
      <c r="C563" s="58"/>
      <c r="D563" s="58"/>
      <c r="E563" s="194"/>
      <c r="F563" s="58"/>
      <c r="G563" s="58"/>
      <c r="H563" s="58"/>
      <c r="I563" s="58"/>
      <c r="J563" s="58"/>
      <c r="K563" s="58"/>
      <c r="L563" s="58"/>
      <c r="M563" s="58"/>
      <c r="N563" s="58"/>
      <c r="O563" s="58"/>
      <c r="P563" s="58"/>
      <c r="Q563" s="58"/>
      <c r="R563" s="58"/>
      <c r="S563" s="58"/>
      <c r="T563" s="58"/>
      <c r="U563" s="58"/>
      <c r="V563" s="58"/>
      <c r="W563" s="58"/>
      <c r="X563" s="58"/>
      <c r="Y563" s="58"/>
    </row>
    <row r="564">
      <c r="A564" s="58"/>
      <c r="B564" s="58"/>
      <c r="C564" s="58"/>
      <c r="D564" s="58"/>
      <c r="E564" s="194"/>
      <c r="F564" s="58"/>
      <c r="G564" s="58"/>
      <c r="H564" s="58"/>
      <c r="I564" s="58"/>
      <c r="J564" s="58"/>
      <c r="K564" s="58"/>
      <c r="L564" s="58"/>
      <c r="M564" s="58"/>
      <c r="N564" s="58"/>
      <c r="O564" s="58"/>
      <c r="P564" s="58"/>
      <c r="Q564" s="58"/>
      <c r="R564" s="58"/>
      <c r="S564" s="58"/>
      <c r="T564" s="58"/>
      <c r="U564" s="58"/>
      <c r="V564" s="58"/>
      <c r="W564" s="58"/>
      <c r="X564" s="58"/>
      <c r="Y564" s="58"/>
    </row>
    <row r="565">
      <c r="A565" s="58"/>
      <c r="B565" s="58"/>
      <c r="C565" s="58"/>
      <c r="D565" s="58"/>
      <c r="E565" s="194"/>
      <c r="F565" s="58"/>
      <c r="G565" s="58"/>
      <c r="H565" s="58"/>
      <c r="I565" s="58"/>
      <c r="J565" s="58"/>
      <c r="K565" s="58"/>
      <c r="L565" s="58"/>
      <c r="M565" s="58"/>
      <c r="N565" s="58"/>
      <c r="O565" s="58"/>
      <c r="P565" s="58"/>
      <c r="Q565" s="58"/>
      <c r="R565" s="58"/>
      <c r="S565" s="58"/>
      <c r="T565" s="58"/>
      <c r="U565" s="58"/>
      <c r="V565" s="58"/>
      <c r="W565" s="58"/>
      <c r="X565" s="58"/>
      <c r="Y565" s="58"/>
    </row>
    <row r="566">
      <c r="A566" s="58"/>
      <c r="B566" s="58"/>
      <c r="C566" s="58"/>
      <c r="D566" s="58"/>
      <c r="E566" s="194"/>
      <c r="F566" s="58"/>
      <c r="G566" s="58"/>
      <c r="H566" s="58"/>
      <c r="I566" s="58"/>
      <c r="J566" s="58"/>
      <c r="K566" s="58"/>
      <c r="L566" s="58"/>
      <c r="M566" s="58"/>
      <c r="N566" s="58"/>
      <c r="O566" s="58"/>
      <c r="P566" s="58"/>
      <c r="Q566" s="58"/>
      <c r="R566" s="58"/>
      <c r="S566" s="58"/>
      <c r="T566" s="58"/>
      <c r="U566" s="58"/>
      <c r="V566" s="58"/>
      <c r="W566" s="58"/>
      <c r="X566" s="58"/>
      <c r="Y566" s="58"/>
    </row>
    <row r="567">
      <c r="A567" s="58"/>
      <c r="B567" s="58"/>
      <c r="C567" s="58"/>
      <c r="D567" s="58"/>
      <c r="E567" s="194"/>
      <c r="F567" s="58"/>
      <c r="G567" s="58"/>
      <c r="H567" s="58"/>
      <c r="I567" s="58"/>
      <c r="J567" s="58"/>
      <c r="K567" s="58"/>
      <c r="L567" s="58"/>
      <c r="M567" s="58"/>
      <c r="N567" s="58"/>
      <c r="O567" s="58"/>
      <c r="P567" s="58"/>
      <c r="Q567" s="58"/>
      <c r="R567" s="58"/>
      <c r="S567" s="58"/>
      <c r="T567" s="58"/>
      <c r="U567" s="58"/>
      <c r="V567" s="58"/>
      <c r="W567" s="58"/>
      <c r="X567" s="58"/>
      <c r="Y567" s="58"/>
    </row>
    <row r="568">
      <c r="A568" s="58"/>
      <c r="B568" s="58"/>
      <c r="C568" s="58"/>
      <c r="D568" s="58"/>
      <c r="E568" s="194"/>
      <c r="F568" s="58"/>
      <c r="G568" s="58"/>
      <c r="H568" s="58"/>
      <c r="I568" s="58"/>
      <c r="J568" s="58"/>
      <c r="K568" s="58"/>
      <c r="L568" s="58"/>
      <c r="M568" s="58"/>
      <c r="N568" s="58"/>
      <c r="O568" s="58"/>
      <c r="P568" s="58"/>
      <c r="Q568" s="58"/>
      <c r="R568" s="58"/>
      <c r="S568" s="58"/>
      <c r="T568" s="58"/>
      <c r="U568" s="58"/>
      <c r="V568" s="58"/>
      <c r="W568" s="58"/>
      <c r="X568" s="58"/>
      <c r="Y568" s="58"/>
    </row>
    <row r="569">
      <c r="A569" s="58"/>
      <c r="B569" s="58"/>
      <c r="C569" s="58"/>
      <c r="D569" s="58"/>
      <c r="E569" s="194"/>
      <c r="F569" s="58"/>
      <c r="G569" s="58"/>
      <c r="H569" s="58"/>
      <c r="I569" s="58"/>
      <c r="J569" s="58"/>
      <c r="K569" s="58"/>
      <c r="L569" s="58"/>
      <c r="M569" s="58"/>
      <c r="N569" s="58"/>
      <c r="O569" s="58"/>
      <c r="P569" s="58"/>
      <c r="Q569" s="58"/>
      <c r="R569" s="58"/>
      <c r="S569" s="58"/>
      <c r="T569" s="58"/>
      <c r="U569" s="58"/>
      <c r="V569" s="58"/>
      <c r="W569" s="58"/>
      <c r="X569" s="58"/>
      <c r="Y569" s="58"/>
    </row>
    <row r="570">
      <c r="A570" s="58"/>
      <c r="B570" s="58"/>
      <c r="C570" s="58"/>
      <c r="D570" s="58"/>
      <c r="E570" s="194"/>
      <c r="F570" s="58"/>
      <c r="G570" s="58"/>
      <c r="H570" s="58"/>
      <c r="I570" s="58"/>
      <c r="J570" s="58"/>
      <c r="K570" s="58"/>
      <c r="L570" s="58"/>
      <c r="M570" s="58"/>
      <c r="N570" s="58"/>
      <c r="O570" s="58"/>
      <c r="P570" s="58"/>
      <c r="Q570" s="58"/>
      <c r="R570" s="58"/>
      <c r="S570" s="58"/>
      <c r="T570" s="58"/>
      <c r="U570" s="58"/>
      <c r="V570" s="58"/>
      <c r="W570" s="58"/>
      <c r="X570" s="58"/>
      <c r="Y570" s="58"/>
    </row>
    <row r="571">
      <c r="A571" s="58"/>
      <c r="B571" s="58"/>
      <c r="C571" s="58"/>
      <c r="D571" s="58"/>
      <c r="E571" s="194"/>
      <c r="F571" s="58"/>
      <c r="G571" s="58"/>
      <c r="H571" s="58"/>
      <c r="I571" s="58"/>
      <c r="J571" s="58"/>
      <c r="K571" s="58"/>
      <c r="L571" s="58"/>
      <c r="M571" s="58"/>
      <c r="N571" s="58"/>
      <c r="O571" s="58"/>
      <c r="P571" s="58"/>
      <c r="Q571" s="58"/>
      <c r="R571" s="58"/>
      <c r="S571" s="58"/>
      <c r="T571" s="58"/>
      <c r="U571" s="58"/>
      <c r="V571" s="58"/>
      <c r="W571" s="58"/>
      <c r="X571" s="58"/>
      <c r="Y571" s="58"/>
    </row>
    <row r="572">
      <c r="A572" s="58"/>
      <c r="B572" s="58"/>
      <c r="C572" s="58"/>
      <c r="D572" s="58"/>
      <c r="E572" s="194"/>
      <c r="F572" s="58"/>
      <c r="G572" s="58"/>
      <c r="H572" s="58"/>
      <c r="I572" s="58"/>
      <c r="J572" s="58"/>
      <c r="K572" s="58"/>
      <c r="L572" s="58"/>
      <c r="M572" s="58"/>
      <c r="N572" s="58"/>
      <c r="O572" s="58"/>
      <c r="P572" s="58"/>
      <c r="Q572" s="58"/>
      <c r="R572" s="58"/>
      <c r="S572" s="58"/>
      <c r="T572" s="58"/>
      <c r="U572" s="58"/>
      <c r="V572" s="58"/>
      <c r="W572" s="58"/>
      <c r="X572" s="58"/>
      <c r="Y572" s="58"/>
    </row>
    <row r="573">
      <c r="A573" s="58"/>
      <c r="B573" s="58"/>
      <c r="C573" s="58"/>
      <c r="D573" s="58"/>
      <c r="E573" s="194"/>
      <c r="F573" s="58"/>
      <c r="G573" s="58"/>
      <c r="H573" s="58"/>
      <c r="I573" s="58"/>
      <c r="J573" s="58"/>
      <c r="K573" s="58"/>
      <c r="L573" s="58"/>
      <c r="M573" s="58"/>
      <c r="N573" s="58"/>
      <c r="O573" s="58"/>
      <c r="P573" s="58"/>
      <c r="Q573" s="58"/>
      <c r="R573" s="58"/>
      <c r="S573" s="58"/>
      <c r="T573" s="58"/>
      <c r="U573" s="58"/>
      <c r="V573" s="58"/>
      <c r="W573" s="58"/>
      <c r="X573" s="58"/>
      <c r="Y573" s="58"/>
    </row>
    <row r="574">
      <c r="A574" s="58"/>
      <c r="B574" s="58"/>
      <c r="C574" s="58"/>
      <c r="D574" s="58"/>
      <c r="E574" s="194"/>
      <c r="F574" s="58"/>
      <c r="G574" s="58"/>
      <c r="H574" s="58"/>
      <c r="I574" s="58"/>
      <c r="J574" s="58"/>
      <c r="K574" s="58"/>
      <c r="L574" s="58"/>
      <c r="M574" s="58"/>
      <c r="N574" s="58"/>
      <c r="O574" s="58"/>
      <c r="P574" s="58"/>
      <c r="Q574" s="58"/>
      <c r="R574" s="58"/>
      <c r="S574" s="58"/>
      <c r="T574" s="58"/>
      <c r="U574" s="58"/>
      <c r="V574" s="58"/>
      <c r="W574" s="58"/>
      <c r="X574" s="58"/>
      <c r="Y574" s="58"/>
    </row>
    <row r="575">
      <c r="A575" s="58"/>
      <c r="B575" s="58"/>
      <c r="C575" s="58"/>
      <c r="D575" s="58"/>
      <c r="E575" s="194"/>
      <c r="F575" s="58"/>
      <c r="G575" s="58"/>
      <c r="H575" s="58"/>
      <c r="I575" s="58"/>
      <c r="J575" s="58"/>
      <c r="K575" s="58"/>
      <c r="L575" s="58"/>
      <c r="M575" s="58"/>
      <c r="N575" s="58"/>
      <c r="O575" s="58"/>
      <c r="P575" s="58"/>
      <c r="Q575" s="58"/>
      <c r="R575" s="58"/>
      <c r="S575" s="58"/>
      <c r="T575" s="58"/>
      <c r="U575" s="58"/>
      <c r="V575" s="58"/>
      <c r="W575" s="58"/>
      <c r="X575" s="58"/>
      <c r="Y575" s="58"/>
    </row>
    <row r="576">
      <c r="A576" s="58"/>
      <c r="B576" s="58"/>
      <c r="C576" s="58"/>
      <c r="D576" s="58"/>
      <c r="E576" s="194"/>
      <c r="F576" s="58"/>
      <c r="G576" s="58"/>
      <c r="H576" s="58"/>
      <c r="I576" s="58"/>
      <c r="J576" s="58"/>
      <c r="K576" s="58"/>
      <c r="L576" s="58"/>
      <c r="M576" s="58"/>
      <c r="N576" s="58"/>
      <c r="O576" s="58"/>
      <c r="P576" s="58"/>
      <c r="Q576" s="58"/>
      <c r="R576" s="58"/>
      <c r="S576" s="58"/>
      <c r="T576" s="58"/>
      <c r="U576" s="58"/>
      <c r="V576" s="58"/>
      <c r="W576" s="58"/>
      <c r="X576" s="58"/>
      <c r="Y576" s="58"/>
    </row>
    <row r="577">
      <c r="A577" s="58"/>
      <c r="B577" s="58"/>
      <c r="C577" s="58"/>
      <c r="D577" s="58"/>
      <c r="E577" s="194"/>
      <c r="F577" s="58"/>
      <c r="G577" s="58"/>
      <c r="H577" s="58"/>
      <c r="I577" s="58"/>
      <c r="J577" s="58"/>
      <c r="K577" s="58"/>
      <c r="L577" s="58"/>
      <c r="M577" s="58"/>
      <c r="N577" s="58"/>
      <c r="O577" s="58"/>
      <c r="P577" s="58"/>
      <c r="Q577" s="58"/>
      <c r="R577" s="58"/>
      <c r="S577" s="58"/>
      <c r="T577" s="58"/>
      <c r="U577" s="58"/>
      <c r="V577" s="58"/>
      <c r="W577" s="58"/>
      <c r="X577" s="58"/>
      <c r="Y577" s="58"/>
    </row>
    <row r="578">
      <c r="A578" s="58"/>
      <c r="B578" s="58"/>
      <c r="C578" s="58"/>
      <c r="D578" s="58"/>
      <c r="E578" s="194"/>
      <c r="F578" s="58"/>
      <c r="G578" s="58"/>
      <c r="H578" s="58"/>
      <c r="I578" s="58"/>
      <c r="J578" s="58"/>
      <c r="K578" s="58"/>
      <c r="L578" s="58"/>
      <c r="M578" s="58"/>
      <c r="N578" s="58"/>
      <c r="O578" s="58"/>
      <c r="P578" s="58"/>
      <c r="Q578" s="58"/>
      <c r="R578" s="58"/>
      <c r="S578" s="58"/>
      <c r="T578" s="58"/>
      <c r="U578" s="58"/>
      <c r="V578" s="58"/>
      <c r="W578" s="58"/>
      <c r="X578" s="58"/>
      <c r="Y578" s="58"/>
    </row>
    <row r="579">
      <c r="A579" s="58"/>
      <c r="B579" s="58"/>
      <c r="C579" s="58"/>
      <c r="D579" s="58"/>
      <c r="E579" s="194"/>
      <c r="F579" s="58"/>
      <c r="G579" s="58"/>
      <c r="H579" s="58"/>
      <c r="I579" s="58"/>
      <c r="J579" s="58"/>
      <c r="K579" s="58"/>
      <c r="L579" s="58"/>
      <c r="M579" s="58"/>
      <c r="N579" s="58"/>
      <c r="O579" s="58"/>
      <c r="P579" s="58"/>
      <c r="Q579" s="58"/>
      <c r="R579" s="58"/>
      <c r="S579" s="58"/>
      <c r="T579" s="58"/>
      <c r="U579" s="58"/>
      <c r="V579" s="58"/>
      <c r="W579" s="58"/>
      <c r="X579" s="58"/>
      <c r="Y579" s="58"/>
    </row>
    <row r="580">
      <c r="A580" s="58"/>
      <c r="B580" s="58"/>
      <c r="C580" s="58"/>
      <c r="D580" s="58"/>
      <c r="E580" s="194"/>
      <c r="F580" s="58"/>
      <c r="G580" s="58"/>
      <c r="H580" s="58"/>
      <c r="I580" s="58"/>
      <c r="J580" s="58"/>
      <c r="K580" s="58"/>
      <c r="L580" s="58"/>
      <c r="M580" s="58"/>
      <c r="N580" s="58"/>
      <c r="O580" s="58"/>
      <c r="P580" s="58"/>
      <c r="Q580" s="58"/>
      <c r="R580" s="58"/>
      <c r="S580" s="58"/>
      <c r="T580" s="58"/>
      <c r="U580" s="58"/>
      <c r="V580" s="58"/>
      <c r="W580" s="58"/>
      <c r="X580" s="58"/>
      <c r="Y580" s="58"/>
    </row>
    <row r="581">
      <c r="A581" s="58"/>
      <c r="B581" s="58"/>
      <c r="C581" s="58"/>
      <c r="D581" s="58"/>
      <c r="E581" s="194"/>
      <c r="F581" s="58"/>
      <c r="G581" s="58"/>
      <c r="H581" s="58"/>
      <c r="I581" s="58"/>
      <c r="J581" s="58"/>
      <c r="K581" s="58"/>
      <c r="L581" s="58"/>
      <c r="M581" s="58"/>
      <c r="N581" s="58"/>
      <c r="O581" s="58"/>
      <c r="P581" s="58"/>
      <c r="Q581" s="58"/>
      <c r="R581" s="58"/>
      <c r="S581" s="58"/>
      <c r="T581" s="58"/>
      <c r="U581" s="58"/>
      <c r="V581" s="58"/>
      <c r="W581" s="58"/>
      <c r="X581" s="58"/>
      <c r="Y581" s="58"/>
    </row>
    <row r="582">
      <c r="A582" s="58"/>
      <c r="B582" s="58"/>
      <c r="C582" s="58"/>
      <c r="D582" s="58"/>
      <c r="E582" s="194"/>
      <c r="F582" s="58"/>
      <c r="G582" s="58"/>
      <c r="H582" s="58"/>
      <c r="I582" s="58"/>
      <c r="J582" s="58"/>
      <c r="K582" s="58"/>
      <c r="L582" s="58"/>
      <c r="M582" s="58"/>
      <c r="N582" s="58"/>
      <c r="O582" s="58"/>
      <c r="P582" s="58"/>
      <c r="Q582" s="58"/>
      <c r="R582" s="58"/>
      <c r="S582" s="58"/>
      <c r="T582" s="58"/>
      <c r="U582" s="58"/>
      <c r="V582" s="58"/>
      <c r="W582" s="58"/>
      <c r="X582" s="58"/>
      <c r="Y582" s="58"/>
    </row>
    <row r="583">
      <c r="A583" s="58"/>
      <c r="B583" s="58"/>
      <c r="C583" s="58"/>
      <c r="D583" s="58"/>
      <c r="E583" s="194"/>
      <c r="F583" s="58"/>
      <c r="G583" s="58"/>
      <c r="H583" s="58"/>
      <c r="I583" s="58"/>
      <c r="J583" s="58"/>
      <c r="K583" s="58"/>
      <c r="L583" s="58"/>
      <c r="M583" s="58"/>
      <c r="N583" s="58"/>
      <c r="O583" s="58"/>
      <c r="P583" s="58"/>
      <c r="Q583" s="58"/>
      <c r="R583" s="58"/>
      <c r="S583" s="58"/>
      <c r="T583" s="58"/>
      <c r="U583" s="58"/>
      <c r="V583" s="58"/>
      <c r="W583" s="58"/>
      <c r="X583" s="58"/>
      <c r="Y583" s="58"/>
    </row>
    <row r="584">
      <c r="A584" s="58"/>
      <c r="B584" s="58"/>
      <c r="C584" s="58"/>
      <c r="D584" s="58"/>
      <c r="E584" s="194"/>
      <c r="F584" s="58"/>
      <c r="G584" s="58"/>
      <c r="H584" s="58"/>
      <c r="I584" s="58"/>
      <c r="J584" s="58"/>
      <c r="K584" s="58"/>
      <c r="L584" s="58"/>
      <c r="M584" s="58"/>
      <c r="N584" s="58"/>
      <c r="O584" s="58"/>
      <c r="P584" s="58"/>
      <c r="Q584" s="58"/>
      <c r="R584" s="58"/>
      <c r="S584" s="58"/>
      <c r="T584" s="58"/>
      <c r="U584" s="58"/>
      <c r="V584" s="58"/>
      <c r="W584" s="58"/>
      <c r="X584" s="58"/>
      <c r="Y584" s="58"/>
    </row>
    <row r="585">
      <c r="A585" s="58"/>
      <c r="B585" s="58"/>
      <c r="C585" s="58"/>
      <c r="D585" s="58"/>
      <c r="E585" s="194"/>
      <c r="F585" s="58"/>
      <c r="G585" s="58"/>
      <c r="H585" s="58"/>
      <c r="I585" s="58"/>
      <c r="J585" s="58"/>
      <c r="K585" s="58"/>
      <c r="L585" s="58"/>
      <c r="M585" s="58"/>
      <c r="N585" s="58"/>
      <c r="O585" s="58"/>
      <c r="P585" s="58"/>
      <c r="Q585" s="58"/>
      <c r="R585" s="58"/>
      <c r="S585" s="58"/>
      <c r="T585" s="58"/>
      <c r="U585" s="58"/>
      <c r="V585" s="58"/>
      <c r="W585" s="58"/>
      <c r="X585" s="58"/>
      <c r="Y585" s="58"/>
    </row>
    <row r="586">
      <c r="A586" s="58"/>
      <c r="B586" s="58"/>
      <c r="C586" s="58"/>
      <c r="D586" s="58"/>
      <c r="E586" s="194"/>
      <c r="F586" s="58"/>
      <c r="G586" s="58"/>
      <c r="H586" s="58"/>
      <c r="I586" s="58"/>
      <c r="J586" s="58"/>
      <c r="K586" s="58"/>
      <c r="L586" s="58"/>
      <c r="M586" s="58"/>
      <c r="N586" s="58"/>
      <c r="O586" s="58"/>
      <c r="P586" s="58"/>
      <c r="Q586" s="58"/>
      <c r="R586" s="58"/>
      <c r="S586" s="58"/>
      <c r="T586" s="58"/>
      <c r="U586" s="58"/>
      <c r="V586" s="58"/>
      <c r="W586" s="58"/>
      <c r="X586" s="58"/>
      <c r="Y586" s="58"/>
    </row>
    <row r="587">
      <c r="A587" s="58"/>
      <c r="B587" s="58"/>
      <c r="C587" s="58"/>
      <c r="D587" s="58"/>
      <c r="E587" s="194"/>
      <c r="F587" s="58"/>
      <c r="G587" s="58"/>
      <c r="H587" s="58"/>
      <c r="I587" s="58"/>
      <c r="J587" s="58"/>
      <c r="K587" s="58"/>
      <c r="L587" s="58"/>
      <c r="M587" s="58"/>
      <c r="N587" s="58"/>
      <c r="O587" s="58"/>
      <c r="P587" s="58"/>
      <c r="Q587" s="58"/>
      <c r="R587" s="58"/>
      <c r="S587" s="58"/>
      <c r="T587" s="58"/>
      <c r="U587" s="58"/>
      <c r="V587" s="58"/>
      <c r="W587" s="58"/>
      <c r="X587" s="58"/>
      <c r="Y587" s="58"/>
    </row>
    <row r="588">
      <c r="A588" s="58"/>
      <c r="B588" s="58"/>
      <c r="C588" s="58"/>
      <c r="D588" s="58"/>
      <c r="E588" s="194"/>
      <c r="F588" s="58"/>
      <c r="G588" s="58"/>
      <c r="H588" s="58"/>
      <c r="I588" s="58"/>
      <c r="J588" s="58"/>
      <c r="K588" s="58"/>
      <c r="L588" s="58"/>
      <c r="M588" s="58"/>
      <c r="N588" s="58"/>
      <c r="O588" s="58"/>
      <c r="P588" s="58"/>
      <c r="Q588" s="58"/>
      <c r="R588" s="58"/>
      <c r="S588" s="58"/>
      <c r="T588" s="58"/>
      <c r="U588" s="58"/>
      <c r="V588" s="58"/>
      <c r="W588" s="58"/>
      <c r="X588" s="58"/>
      <c r="Y588" s="58"/>
    </row>
    <row r="589">
      <c r="A589" s="58"/>
      <c r="B589" s="58"/>
      <c r="C589" s="58"/>
      <c r="D589" s="58"/>
      <c r="E589" s="194"/>
      <c r="F589" s="58"/>
      <c r="G589" s="58"/>
      <c r="H589" s="58"/>
      <c r="I589" s="58"/>
      <c r="J589" s="58"/>
      <c r="K589" s="58"/>
      <c r="L589" s="58"/>
      <c r="M589" s="58"/>
      <c r="N589" s="58"/>
      <c r="O589" s="58"/>
      <c r="P589" s="58"/>
      <c r="Q589" s="58"/>
      <c r="R589" s="58"/>
      <c r="S589" s="58"/>
      <c r="T589" s="58"/>
      <c r="U589" s="58"/>
      <c r="V589" s="58"/>
      <c r="W589" s="58"/>
      <c r="X589" s="58"/>
      <c r="Y589" s="58"/>
    </row>
    <row r="590">
      <c r="A590" s="58"/>
      <c r="B590" s="58"/>
      <c r="C590" s="58"/>
      <c r="D590" s="58"/>
      <c r="E590" s="194"/>
      <c r="F590" s="58"/>
      <c r="G590" s="58"/>
      <c r="H590" s="58"/>
      <c r="I590" s="58"/>
      <c r="J590" s="58"/>
      <c r="K590" s="58"/>
      <c r="L590" s="58"/>
      <c r="M590" s="58"/>
      <c r="N590" s="58"/>
      <c r="O590" s="58"/>
      <c r="P590" s="58"/>
      <c r="Q590" s="58"/>
      <c r="R590" s="58"/>
      <c r="S590" s="58"/>
      <c r="T590" s="58"/>
      <c r="U590" s="58"/>
      <c r="V590" s="58"/>
      <c r="W590" s="58"/>
      <c r="X590" s="58"/>
      <c r="Y590" s="58"/>
    </row>
    <row r="591">
      <c r="A591" s="58"/>
      <c r="B591" s="58"/>
      <c r="C591" s="58"/>
      <c r="D591" s="58"/>
      <c r="E591" s="194"/>
      <c r="F591" s="58"/>
      <c r="G591" s="58"/>
      <c r="H591" s="58"/>
      <c r="I591" s="58"/>
      <c r="J591" s="58"/>
      <c r="K591" s="58"/>
      <c r="L591" s="58"/>
      <c r="M591" s="58"/>
      <c r="N591" s="58"/>
      <c r="O591" s="58"/>
      <c r="P591" s="58"/>
      <c r="Q591" s="58"/>
      <c r="R591" s="58"/>
      <c r="S591" s="58"/>
      <c r="T591" s="58"/>
      <c r="U591" s="58"/>
      <c r="V591" s="58"/>
      <c r="W591" s="58"/>
      <c r="X591" s="58"/>
      <c r="Y591" s="58"/>
    </row>
    <row r="592">
      <c r="A592" s="58"/>
      <c r="B592" s="58"/>
      <c r="C592" s="58"/>
      <c r="D592" s="58"/>
      <c r="E592" s="194"/>
      <c r="F592" s="58"/>
      <c r="G592" s="58"/>
      <c r="H592" s="58"/>
      <c r="I592" s="58"/>
      <c r="J592" s="58"/>
      <c r="K592" s="58"/>
      <c r="L592" s="58"/>
      <c r="M592" s="58"/>
      <c r="N592" s="58"/>
      <c r="O592" s="58"/>
      <c r="P592" s="58"/>
      <c r="Q592" s="58"/>
      <c r="R592" s="58"/>
      <c r="S592" s="58"/>
      <c r="T592" s="58"/>
      <c r="U592" s="58"/>
      <c r="V592" s="58"/>
      <c r="W592" s="58"/>
      <c r="X592" s="58"/>
      <c r="Y592" s="58"/>
    </row>
    <row r="593">
      <c r="A593" s="58"/>
      <c r="B593" s="58"/>
      <c r="C593" s="58"/>
      <c r="D593" s="58"/>
      <c r="E593" s="194"/>
      <c r="F593" s="58"/>
      <c r="G593" s="58"/>
      <c r="H593" s="58"/>
      <c r="I593" s="58"/>
      <c r="J593" s="58"/>
      <c r="K593" s="58"/>
      <c r="L593" s="58"/>
      <c r="M593" s="58"/>
      <c r="N593" s="58"/>
      <c r="O593" s="58"/>
      <c r="P593" s="58"/>
      <c r="Q593" s="58"/>
      <c r="R593" s="58"/>
      <c r="S593" s="58"/>
      <c r="T593" s="58"/>
      <c r="U593" s="58"/>
      <c r="V593" s="58"/>
      <c r="W593" s="58"/>
      <c r="X593" s="58"/>
      <c r="Y593" s="58"/>
    </row>
    <row r="594">
      <c r="A594" s="58"/>
      <c r="B594" s="58"/>
      <c r="C594" s="58"/>
      <c r="D594" s="58"/>
      <c r="E594" s="194"/>
      <c r="F594" s="58"/>
      <c r="G594" s="58"/>
      <c r="H594" s="58"/>
      <c r="I594" s="58"/>
      <c r="J594" s="58"/>
      <c r="K594" s="58"/>
      <c r="L594" s="58"/>
      <c r="M594" s="58"/>
      <c r="N594" s="58"/>
      <c r="O594" s="58"/>
      <c r="P594" s="58"/>
      <c r="Q594" s="58"/>
      <c r="R594" s="58"/>
      <c r="S594" s="58"/>
      <c r="T594" s="58"/>
      <c r="U594" s="58"/>
      <c r="V594" s="58"/>
      <c r="W594" s="58"/>
      <c r="X594" s="58"/>
      <c r="Y594" s="58"/>
    </row>
    <row r="595">
      <c r="A595" s="58"/>
      <c r="B595" s="58"/>
      <c r="C595" s="58"/>
      <c r="D595" s="58"/>
      <c r="E595" s="194"/>
      <c r="F595" s="58"/>
      <c r="G595" s="58"/>
      <c r="H595" s="58"/>
      <c r="I595" s="58"/>
      <c r="J595" s="58"/>
      <c r="K595" s="58"/>
      <c r="L595" s="58"/>
      <c r="M595" s="58"/>
      <c r="N595" s="58"/>
      <c r="O595" s="58"/>
      <c r="P595" s="58"/>
      <c r="Q595" s="58"/>
      <c r="R595" s="58"/>
      <c r="S595" s="58"/>
      <c r="T595" s="58"/>
      <c r="U595" s="58"/>
      <c r="V595" s="58"/>
      <c r="W595" s="58"/>
      <c r="X595" s="58"/>
      <c r="Y595" s="58"/>
    </row>
    <row r="596">
      <c r="A596" s="58"/>
      <c r="B596" s="58"/>
      <c r="C596" s="58"/>
      <c r="D596" s="58"/>
      <c r="E596" s="194"/>
      <c r="F596" s="58"/>
      <c r="G596" s="58"/>
      <c r="H596" s="58"/>
      <c r="I596" s="58"/>
      <c r="J596" s="58"/>
      <c r="K596" s="58"/>
      <c r="L596" s="58"/>
      <c r="M596" s="58"/>
      <c r="N596" s="58"/>
      <c r="O596" s="58"/>
      <c r="P596" s="58"/>
      <c r="Q596" s="58"/>
      <c r="R596" s="58"/>
      <c r="S596" s="58"/>
      <c r="T596" s="58"/>
      <c r="U596" s="58"/>
      <c r="V596" s="58"/>
      <c r="W596" s="58"/>
      <c r="X596" s="58"/>
      <c r="Y596" s="58"/>
    </row>
    <row r="597">
      <c r="A597" s="58"/>
      <c r="B597" s="58"/>
      <c r="C597" s="58"/>
      <c r="D597" s="58"/>
      <c r="E597" s="194"/>
      <c r="F597" s="58"/>
      <c r="G597" s="58"/>
      <c r="H597" s="58"/>
      <c r="I597" s="58"/>
      <c r="J597" s="58"/>
      <c r="K597" s="58"/>
      <c r="L597" s="58"/>
      <c r="M597" s="58"/>
      <c r="N597" s="58"/>
      <c r="O597" s="58"/>
      <c r="P597" s="58"/>
      <c r="Q597" s="58"/>
      <c r="R597" s="58"/>
      <c r="S597" s="58"/>
      <c r="T597" s="58"/>
      <c r="U597" s="58"/>
      <c r="V597" s="58"/>
      <c r="W597" s="58"/>
      <c r="X597" s="58"/>
      <c r="Y597" s="58"/>
    </row>
    <row r="598">
      <c r="A598" s="58"/>
      <c r="B598" s="58"/>
      <c r="C598" s="58"/>
      <c r="D598" s="58"/>
      <c r="E598" s="194"/>
      <c r="F598" s="58"/>
      <c r="G598" s="58"/>
      <c r="H598" s="58"/>
      <c r="I598" s="58"/>
      <c r="J598" s="58"/>
      <c r="K598" s="58"/>
      <c r="L598" s="58"/>
      <c r="M598" s="58"/>
      <c r="N598" s="58"/>
      <c r="O598" s="58"/>
      <c r="P598" s="58"/>
      <c r="Q598" s="58"/>
      <c r="R598" s="58"/>
      <c r="S598" s="58"/>
      <c r="T598" s="58"/>
      <c r="U598" s="58"/>
      <c r="V598" s="58"/>
      <c r="W598" s="58"/>
      <c r="X598" s="58"/>
      <c r="Y598" s="58"/>
    </row>
    <row r="599">
      <c r="A599" s="58"/>
      <c r="B599" s="58"/>
      <c r="C599" s="58"/>
      <c r="D599" s="58"/>
      <c r="E599" s="194"/>
      <c r="F599" s="58"/>
      <c r="G599" s="58"/>
      <c r="H599" s="58"/>
      <c r="I599" s="58"/>
      <c r="J599" s="58"/>
      <c r="K599" s="58"/>
      <c r="L599" s="58"/>
      <c r="M599" s="58"/>
      <c r="N599" s="58"/>
      <c r="O599" s="58"/>
      <c r="P599" s="58"/>
      <c r="Q599" s="58"/>
      <c r="R599" s="58"/>
      <c r="S599" s="58"/>
      <c r="T599" s="58"/>
      <c r="U599" s="58"/>
      <c r="V599" s="58"/>
      <c r="W599" s="58"/>
      <c r="X599" s="58"/>
      <c r="Y599" s="58"/>
    </row>
    <row r="600">
      <c r="A600" s="58"/>
      <c r="B600" s="58"/>
      <c r="C600" s="58"/>
      <c r="D600" s="58"/>
      <c r="E600" s="194"/>
      <c r="F600" s="58"/>
      <c r="G600" s="58"/>
      <c r="H600" s="58"/>
      <c r="I600" s="58"/>
      <c r="J600" s="58"/>
      <c r="K600" s="58"/>
      <c r="L600" s="58"/>
      <c r="M600" s="58"/>
      <c r="N600" s="58"/>
      <c r="O600" s="58"/>
      <c r="P600" s="58"/>
      <c r="Q600" s="58"/>
      <c r="R600" s="58"/>
      <c r="S600" s="58"/>
      <c r="T600" s="58"/>
      <c r="U600" s="58"/>
      <c r="V600" s="58"/>
      <c r="W600" s="58"/>
      <c r="X600" s="58"/>
      <c r="Y600" s="58"/>
    </row>
    <row r="601">
      <c r="A601" s="58"/>
      <c r="B601" s="58"/>
      <c r="C601" s="58"/>
      <c r="D601" s="58"/>
      <c r="E601" s="194"/>
      <c r="F601" s="58"/>
      <c r="G601" s="58"/>
      <c r="H601" s="58"/>
      <c r="I601" s="58"/>
      <c r="J601" s="58"/>
      <c r="K601" s="58"/>
      <c r="L601" s="58"/>
      <c r="M601" s="58"/>
      <c r="N601" s="58"/>
      <c r="O601" s="58"/>
      <c r="P601" s="58"/>
      <c r="Q601" s="58"/>
      <c r="R601" s="58"/>
      <c r="S601" s="58"/>
      <c r="T601" s="58"/>
      <c r="U601" s="58"/>
      <c r="V601" s="58"/>
      <c r="W601" s="58"/>
      <c r="X601" s="58"/>
      <c r="Y601" s="58"/>
    </row>
    <row r="602">
      <c r="A602" s="58"/>
      <c r="B602" s="58"/>
      <c r="C602" s="58"/>
      <c r="D602" s="58"/>
      <c r="E602" s="194"/>
      <c r="F602" s="58"/>
      <c r="G602" s="58"/>
      <c r="H602" s="58"/>
      <c r="I602" s="58"/>
      <c r="J602" s="58"/>
      <c r="K602" s="58"/>
      <c r="L602" s="58"/>
      <c r="M602" s="58"/>
      <c r="N602" s="58"/>
      <c r="O602" s="58"/>
      <c r="P602" s="58"/>
      <c r="Q602" s="58"/>
      <c r="R602" s="58"/>
      <c r="S602" s="58"/>
      <c r="T602" s="58"/>
      <c r="U602" s="58"/>
      <c r="V602" s="58"/>
      <c r="W602" s="58"/>
      <c r="X602" s="58"/>
      <c r="Y602" s="58"/>
    </row>
    <row r="603">
      <c r="A603" s="58"/>
      <c r="B603" s="58"/>
      <c r="C603" s="58"/>
      <c r="D603" s="58"/>
      <c r="E603" s="194"/>
      <c r="F603" s="58"/>
      <c r="G603" s="58"/>
      <c r="H603" s="58"/>
      <c r="I603" s="58"/>
      <c r="J603" s="58"/>
      <c r="K603" s="58"/>
      <c r="L603" s="58"/>
      <c r="M603" s="58"/>
      <c r="N603" s="58"/>
      <c r="O603" s="58"/>
      <c r="P603" s="58"/>
      <c r="Q603" s="58"/>
      <c r="R603" s="58"/>
      <c r="S603" s="58"/>
      <c r="T603" s="58"/>
      <c r="U603" s="58"/>
      <c r="V603" s="58"/>
      <c r="W603" s="58"/>
      <c r="X603" s="58"/>
      <c r="Y603" s="58"/>
    </row>
    <row r="604">
      <c r="A604" s="58"/>
      <c r="B604" s="58"/>
      <c r="C604" s="58"/>
      <c r="D604" s="58"/>
      <c r="E604" s="194"/>
      <c r="F604" s="58"/>
      <c r="G604" s="58"/>
      <c r="H604" s="58"/>
      <c r="I604" s="58"/>
      <c r="J604" s="58"/>
      <c r="K604" s="58"/>
      <c r="L604" s="58"/>
      <c r="M604" s="58"/>
      <c r="N604" s="58"/>
      <c r="O604" s="58"/>
      <c r="P604" s="58"/>
      <c r="Q604" s="58"/>
      <c r="R604" s="58"/>
      <c r="S604" s="58"/>
      <c r="T604" s="58"/>
      <c r="U604" s="58"/>
      <c r="V604" s="58"/>
      <c r="W604" s="58"/>
      <c r="X604" s="58"/>
      <c r="Y604" s="58"/>
    </row>
    <row r="605">
      <c r="A605" s="58"/>
      <c r="B605" s="58"/>
      <c r="C605" s="58"/>
      <c r="D605" s="58"/>
      <c r="E605" s="194"/>
      <c r="F605" s="58"/>
      <c r="G605" s="58"/>
      <c r="H605" s="58"/>
      <c r="I605" s="58"/>
      <c r="J605" s="58"/>
      <c r="K605" s="58"/>
      <c r="L605" s="58"/>
      <c r="M605" s="58"/>
      <c r="N605" s="58"/>
      <c r="O605" s="58"/>
      <c r="P605" s="58"/>
      <c r="Q605" s="58"/>
      <c r="R605" s="58"/>
      <c r="S605" s="58"/>
      <c r="T605" s="58"/>
      <c r="U605" s="58"/>
      <c r="V605" s="58"/>
      <c r="W605" s="58"/>
      <c r="X605" s="58"/>
      <c r="Y605" s="58"/>
    </row>
    <row r="606">
      <c r="A606" s="58"/>
      <c r="B606" s="58"/>
      <c r="C606" s="58"/>
      <c r="D606" s="58"/>
      <c r="E606" s="194"/>
      <c r="F606" s="58"/>
      <c r="G606" s="58"/>
      <c r="H606" s="58"/>
      <c r="I606" s="58"/>
      <c r="J606" s="58"/>
      <c r="K606" s="58"/>
      <c r="L606" s="58"/>
      <c r="M606" s="58"/>
      <c r="N606" s="58"/>
      <c r="O606" s="58"/>
      <c r="P606" s="58"/>
      <c r="Q606" s="58"/>
      <c r="R606" s="58"/>
      <c r="S606" s="58"/>
      <c r="T606" s="58"/>
      <c r="U606" s="58"/>
      <c r="V606" s="58"/>
      <c r="W606" s="58"/>
      <c r="X606" s="58"/>
      <c r="Y606" s="58"/>
    </row>
    <row r="607">
      <c r="A607" s="58"/>
      <c r="B607" s="58"/>
      <c r="C607" s="58"/>
      <c r="D607" s="58"/>
      <c r="E607" s="194"/>
      <c r="F607" s="58"/>
      <c r="G607" s="58"/>
      <c r="H607" s="58"/>
      <c r="I607" s="58"/>
      <c r="J607" s="58"/>
      <c r="K607" s="58"/>
      <c r="L607" s="58"/>
      <c r="M607" s="58"/>
      <c r="N607" s="58"/>
      <c r="O607" s="58"/>
      <c r="P607" s="58"/>
      <c r="Q607" s="58"/>
      <c r="R607" s="58"/>
      <c r="S607" s="58"/>
      <c r="T607" s="58"/>
      <c r="U607" s="58"/>
      <c r="V607" s="58"/>
      <c r="W607" s="58"/>
      <c r="X607" s="58"/>
      <c r="Y607" s="58"/>
    </row>
    <row r="608">
      <c r="A608" s="58"/>
      <c r="B608" s="58"/>
      <c r="C608" s="58"/>
      <c r="D608" s="58"/>
      <c r="E608" s="194"/>
      <c r="F608" s="58"/>
      <c r="G608" s="58"/>
      <c r="H608" s="58"/>
      <c r="I608" s="58"/>
      <c r="J608" s="58"/>
      <c r="K608" s="58"/>
      <c r="L608" s="58"/>
      <c r="M608" s="58"/>
      <c r="N608" s="58"/>
      <c r="O608" s="58"/>
      <c r="P608" s="58"/>
      <c r="Q608" s="58"/>
      <c r="R608" s="58"/>
      <c r="S608" s="58"/>
      <c r="T608" s="58"/>
      <c r="U608" s="58"/>
      <c r="V608" s="58"/>
      <c r="W608" s="58"/>
      <c r="X608" s="58"/>
      <c r="Y608" s="58"/>
    </row>
    <row r="609">
      <c r="A609" s="58"/>
      <c r="B609" s="58"/>
      <c r="C609" s="58"/>
      <c r="D609" s="58"/>
      <c r="E609" s="194"/>
      <c r="F609" s="58"/>
      <c r="G609" s="58"/>
      <c r="H609" s="58"/>
      <c r="I609" s="58"/>
      <c r="J609" s="58"/>
      <c r="K609" s="58"/>
      <c r="L609" s="58"/>
      <c r="M609" s="58"/>
      <c r="N609" s="58"/>
      <c r="O609" s="58"/>
      <c r="P609" s="58"/>
      <c r="Q609" s="58"/>
      <c r="R609" s="58"/>
      <c r="S609" s="58"/>
      <c r="T609" s="58"/>
      <c r="U609" s="58"/>
      <c r="V609" s="58"/>
      <c r="W609" s="58"/>
      <c r="X609" s="58"/>
      <c r="Y609" s="58"/>
    </row>
    <row r="610">
      <c r="A610" s="58"/>
      <c r="B610" s="58"/>
      <c r="C610" s="58"/>
      <c r="D610" s="58"/>
      <c r="E610" s="194"/>
      <c r="F610" s="58"/>
      <c r="G610" s="58"/>
      <c r="H610" s="58"/>
      <c r="I610" s="58"/>
      <c r="J610" s="58"/>
      <c r="K610" s="58"/>
      <c r="L610" s="58"/>
      <c r="M610" s="58"/>
      <c r="N610" s="58"/>
      <c r="O610" s="58"/>
      <c r="P610" s="58"/>
      <c r="Q610" s="58"/>
      <c r="R610" s="58"/>
      <c r="S610" s="58"/>
      <c r="T610" s="58"/>
      <c r="U610" s="58"/>
      <c r="V610" s="58"/>
      <c r="W610" s="58"/>
      <c r="X610" s="58"/>
      <c r="Y610" s="58"/>
    </row>
    <row r="611">
      <c r="A611" s="58"/>
      <c r="B611" s="58"/>
      <c r="C611" s="58"/>
      <c r="D611" s="58"/>
      <c r="E611" s="194"/>
      <c r="F611" s="58"/>
      <c r="G611" s="58"/>
      <c r="H611" s="58"/>
      <c r="I611" s="58"/>
      <c r="J611" s="58"/>
      <c r="K611" s="58"/>
      <c r="L611" s="58"/>
      <c r="M611" s="58"/>
      <c r="N611" s="58"/>
      <c r="O611" s="58"/>
      <c r="P611" s="58"/>
      <c r="Q611" s="58"/>
      <c r="R611" s="58"/>
      <c r="S611" s="58"/>
      <c r="T611" s="58"/>
      <c r="U611" s="58"/>
      <c r="V611" s="58"/>
      <c r="W611" s="58"/>
      <c r="X611" s="58"/>
      <c r="Y611" s="58"/>
    </row>
    <row r="612">
      <c r="A612" s="58"/>
      <c r="B612" s="58"/>
      <c r="C612" s="58"/>
      <c r="D612" s="58"/>
      <c r="E612" s="194"/>
      <c r="F612" s="58"/>
      <c r="G612" s="58"/>
      <c r="H612" s="58"/>
      <c r="I612" s="58"/>
      <c r="J612" s="58"/>
      <c r="K612" s="58"/>
      <c r="L612" s="58"/>
      <c r="M612" s="58"/>
      <c r="N612" s="58"/>
      <c r="O612" s="58"/>
      <c r="P612" s="58"/>
      <c r="Q612" s="58"/>
      <c r="R612" s="58"/>
      <c r="S612" s="58"/>
      <c r="T612" s="58"/>
      <c r="U612" s="58"/>
      <c r="V612" s="58"/>
      <c r="W612" s="58"/>
      <c r="X612" s="58"/>
      <c r="Y612" s="58"/>
    </row>
    <row r="613">
      <c r="A613" s="58"/>
      <c r="B613" s="58"/>
      <c r="C613" s="58"/>
      <c r="D613" s="58"/>
      <c r="E613" s="194"/>
      <c r="F613" s="58"/>
      <c r="G613" s="58"/>
      <c r="H613" s="58"/>
      <c r="I613" s="58"/>
      <c r="J613" s="58"/>
      <c r="K613" s="58"/>
      <c r="L613" s="58"/>
      <c r="M613" s="58"/>
      <c r="N613" s="58"/>
      <c r="O613" s="58"/>
      <c r="P613" s="58"/>
      <c r="Q613" s="58"/>
      <c r="R613" s="58"/>
      <c r="S613" s="58"/>
      <c r="T613" s="58"/>
      <c r="U613" s="58"/>
      <c r="V613" s="58"/>
      <c r="W613" s="58"/>
      <c r="X613" s="58"/>
      <c r="Y613" s="58"/>
    </row>
    <row r="614">
      <c r="A614" s="58"/>
      <c r="B614" s="58"/>
      <c r="C614" s="58"/>
      <c r="D614" s="58"/>
      <c r="E614" s="194"/>
      <c r="F614" s="58"/>
      <c r="G614" s="58"/>
      <c r="H614" s="58"/>
      <c r="I614" s="58"/>
      <c r="J614" s="58"/>
      <c r="K614" s="58"/>
      <c r="L614" s="58"/>
      <c r="M614" s="58"/>
      <c r="N614" s="58"/>
      <c r="O614" s="58"/>
      <c r="P614" s="58"/>
      <c r="Q614" s="58"/>
      <c r="R614" s="58"/>
      <c r="S614" s="58"/>
      <c r="T614" s="58"/>
      <c r="U614" s="58"/>
      <c r="V614" s="58"/>
      <c r="W614" s="58"/>
      <c r="X614" s="58"/>
      <c r="Y614" s="58"/>
    </row>
    <row r="615">
      <c r="A615" s="58"/>
      <c r="B615" s="58"/>
      <c r="C615" s="58"/>
      <c r="D615" s="58"/>
      <c r="E615" s="194"/>
      <c r="F615" s="58"/>
      <c r="G615" s="58"/>
      <c r="H615" s="58"/>
      <c r="I615" s="58"/>
      <c r="J615" s="58"/>
      <c r="K615" s="58"/>
      <c r="L615" s="58"/>
      <c r="M615" s="58"/>
      <c r="N615" s="58"/>
      <c r="O615" s="58"/>
      <c r="P615" s="58"/>
      <c r="Q615" s="58"/>
      <c r="R615" s="58"/>
      <c r="S615" s="58"/>
      <c r="T615" s="58"/>
      <c r="U615" s="58"/>
      <c r="V615" s="58"/>
      <c r="W615" s="58"/>
      <c r="X615" s="58"/>
      <c r="Y615" s="58"/>
    </row>
    <row r="616">
      <c r="A616" s="58"/>
      <c r="B616" s="58"/>
      <c r="C616" s="58"/>
      <c r="D616" s="58"/>
      <c r="E616" s="194"/>
      <c r="F616" s="58"/>
      <c r="G616" s="58"/>
      <c r="H616" s="58"/>
      <c r="I616" s="58"/>
      <c r="J616" s="58"/>
      <c r="K616" s="58"/>
      <c r="L616" s="58"/>
      <c r="M616" s="58"/>
      <c r="N616" s="58"/>
      <c r="O616" s="58"/>
      <c r="P616" s="58"/>
      <c r="Q616" s="58"/>
      <c r="R616" s="58"/>
      <c r="S616" s="58"/>
      <c r="T616" s="58"/>
      <c r="U616" s="58"/>
      <c r="V616" s="58"/>
      <c r="W616" s="58"/>
      <c r="X616" s="58"/>
      <c r="Y616" s="58"/>
    </row>
    <row r="617">
      <c r="A617" s="58"/>
      <c r="B617" s="58"/>
      <c r="C617" s="58"/>
      <c r="D617" s="58"/>
      <c r="E617" s="194"/>
      <c r="F617" s="58"/>
      <c r="G617" s="58"/>
      <c r="H617" s="58"/>
      <c r="I617" s="58"/>
      <c r="J617" s="58"/>
      <c r="K617" s="58"/>
      <c r="L617" s="58"/>
      <c r="M617" s="58"/>
      <c r="N617" s="58"/>
      <c r="O617" s="58"/>
      <c r="P617" s="58"/>
      <c r="Q617" s="58"/>
      <c r="R617" s="58"/>
      <c r="S617" s="58"/>
      <c r="T617" s="58"/>
      <c r="U617" s="58"/>
      <c r="V617" s="58"/>
      <c r="W617" s="58"/>
      <c r="X617" s="58"/>
      <c r="Y617" s="58"/>
    </row>
    <row r="618">
      <c r="A618" s="58"/>
      <c r="B618" s="58"/>
      <c r="C618" s="58"/>
      <c r="D618" s="58"/>
      <c r="E618" s="194"/>
      <c r="F618" s="58"/>
      <c r="G618" s="58"/>
      <c r="H618" s="58"/>
      <c r="I618" s="58"/>
      <c r="J618" s="58"/>
      <c r="K618" s="58"/>
      <c r="L618" s="58"/>
      <c r="M618" s="58"/>
      <c r="N618" s="58"/>
      <c r="O618" s="58"/>
      <c r="P618" s="58"/>
      <c r="Q618" s="58"/>
      <c r="R618" s="58"/>
      <c r="S618" s="58"/>
      <c r="T618" s="58"/>
      <c r="U618" s="58"/>
      <c r="V618" s="58"/>
      <c r="W618" s="58"/>
      <c r="X618" s="58"/>
      <c r="Y618" s="58"/>
    </row>
    <row r="619">
      <c r="A619" s="58"/>
      <c r="B619" s="58"/>
      <c r="C619" s="58"/>
      <c r="D619" s="58"/>
      <c r="E619" s="194"/>
      <c r="F619" s="58"/>
      <c r="G619" s="58"/>
      <c r="H619" s="58"/>
      <c r="I619" s="58"/>
      <c r="J619" s="58"/>
      <c r="K619" s="58"/>
      <c r="L619" s="58"/>
      <c r="M619" s="58"/>
      <c r="N619" s="58"/>
      <c r="O619" s="58"/>
      <c r="P619" s="58"/>
      <c r="Q619" s="58"/>
      <c r="R619" s="58"/>
      <c r="S619" s="58"/>
      <c r="T619" s="58"/>
      <c r="U619" s="58"/>
      <c r="V619" s="58"/>
      <c r="W619" s="58"/>
      <c r="X619" s="58"/>
      <c r="Y619" s="58"/>
    </row>
    <row r="620">
      <c r="A620" s="58"/>
      <c r="B620" s="58"/>
      <c r="C620" s="58"/>
      <c r="D620" s="58"/>
      <c r="E620" s="194"/>
      <c r="F620" s="58"/>
      <c r="G620" s="58"/>
      <c r="H620" s="58"/>
      <c r="I620" s="58"/>
      <c r="J620" s="58"/>
      <c r="K620" s="58"/>
      <c r="L620" s="58"/>
      <c r="M620" s="58"/>
      <c r="N620" s="58"/>
      <c r="O620" s="58"/>
      <c r="P620" s="58"/>
      <c r="Q620" s="58"/>
      <c r="R620" s="58"/>
      <c r="S620" s="58"/>
      <c r="T620" s="58"/>
      <c r="U620" s="58"/>
      <c r="V620" s="58"/>
      <c r="W620" s="58"/>
      <c r="X620" s="58"/>
      <c r="Y620" s="58"/>
    </row>
    <row r="621">
      <c r="A621" s="58"/>
      <c r="B621" s="58"/>
      <c r="C621" s="58"/>
      <c r="D621" s="58"/>
      <c r="E621" s="194"/>
      <c r="F621" s="58"/>
      <c r="G621" s="58"/>
      <c r="H621" s="58"/>
      <c r="I621" s="58"/>
      <c r="J621" s="58"/>
      <c r="K621" s="58"/>
      <c r="L621" s="58"/>
      <c r="M621" s="58"/>
      <c r="N621" s="58"/>
      <c r="O621" s="58"/>
      <c r="P621" s="58"/>
      <c r="Q621" s="58"/>
      <c r="R621" s="58"/>
      <c r="S621" s="58"/>
      <c r="T621" s="58"/>
      <c r="U621" s="58"/>
      <c r="V621" s="58"/>
      <c r="W621" s="58"/>
      <c r="X621" s="58"/>
      <c r="Y621" s="58"/>
    </row>
    <row r="622">
      <c r="A622" s="58"/>
      <c r="B622" s="58"/>
      <c r="C622" s="58"/>
      <c r="D622" s="58"/>
      <c r="E622" s="194"/>
      <c r="F622" s="58"/>
      <c r="G622" s="58"/>
      <c r="H622" s="58"/>
      <c r="I622" s="58"/>
      <c r="J622" s="58"/>
      <c r="K622" s="58"/>
      <c r="L622" s="58"/>
      <c r="M622" s="58"/>
      <c r="N622" s="58"/>
      <c r="O622" s="58"/>
      <c r="P622" s="58"/>
      <c r="Q622" s="58"/>
      <c r="R622" s="58"/>
      <c r="S622" s="58"/>
      <c r="T622" s="58"/>
      <c r="U622" s="58"/>
      <c r="V622" s="58"/>
      <c r="W622" s="58"/>
      <c r="X622" s="58"/>
      <c r="Y622" s="58"/>
    </row>
    <row r="623">
      <c r="A623" s="58"/>
      <c r="B623" s="58"/>
      <c r="C623" s="58"/>
      <c r="D623" s="58"/>
      <c r="E623" s="194"/>
      <c r="F623" s="58"/>
      <c r="G623" s="58"/>
      <c r="H623" s="58"/>
      <c r="I623" s="58"/>
      <c r="J623" s="58"/>
      <c r="K623" s="58"/>
      <c r="L623" s="58"/>
      <c r="M623" s="58"/>
      <c r="N623" s="58"/>
      <c r="O623" s="58"/>
      <c r="P623" s="58"/>
      <c r="Q623" s="58"/>
      <c r="R623" s="58"/>
      <c r="S623" s="58"/>
      <c r="T623" s="58"/>
      <c r="U623" s="58"/>
      <c r="V623" s="58"/>
      <c r="W623" s="58"/>
      <c r="X623" s="58"/>
      <c r="Y623" s="58"/>
    </row>
    <row r="624">
      <c r="A624" s="58"/>
      <c r="B624" s="58"/>
      <c r="C624" s="58"/>
      <c r="D624" s="58"/>
      <c r="E624" s="194"/>
      <c r="F624" s="58"/>
      <c r="G624" s="58"/>
      <c r="H624" s="58"/>
      <c r="I624" s="58"/>
      <c r="J624" s="58"/>
      <c r="K624" s="58"/>
      <c r="L624" s="58"/>
      <c r="M624" s="58"/>
      <c r="N624" s="58"/>
      <c r="O624" s="58"/>
      <c r="P624" s="58"/>
      <c r="Q624" s="58"/>
      <c r="R624" s="58"/>
      <c r="S624" s="58"/>
      <c r="T624" s="58"/>
      <c r="U624" s="58"/>
      <c r="V624" s="58"/>
      <c r="W624" s="58"/>
      <c r="X624" s="58"/>
      <c r="Y624" s="58"/>
    </row>
    <row r="625">
      <c r="A625" s="58"/>
      <c r="B625" s="58"/>
      <c r="C625" s="58"/>
      <c r="D625" s="58"/>
      <c r="E625" s="194"/>
      <c r="F625" s="58"/>
      <c r="G625" s="58"/>
      <c r="H625" s="58"/>
      <c r="I625" s="58"/>
      <c r="J625" s="58"/>
      <c r="K625" s="58"/>
      <c r="L625" s="58"/>
      <c r="M625" s="58"/>
      <c r="N625" s="58"/>
      <c r="O625" s="58"/>
      <c r="P625" s="58"/>
      <c r="Q625" s="58"/>
      <c r="R625" s="58"/>
      <c r="S625" s="58"/>
      <c r="T625" s="58"/>
      <c r="U625" s="58"/>
      <c r="V625" s="58"/>
      <c r="W625" s="58"/>
      <c r="X625" s="58"/>
      <c r="Y625" s="58"/>
    </row>
    <row r="626">
      <c r="A626" s="58"/>
      <c r="B626" s="58"/>
      <c r="C626" s="58"/>
      <c r="D626" s="58"/>
      <c r="E626" s="194"/>
      <c r="F626" s="58"/>
      <c r="G626" s="58"/>
      <c r="H626" s="58"/>
      <c r="I626" s="58"/>
      <c r="J626" s="58"/>
      <c r="K626" s="58"/>
      <c r="L626" s="58"/>
      <c r="M626" s="58"/>
      <c r="N626" s="58"/>
      <c r="O626" s="58"/>
      <c r="P626" s="58"/>
      <c r="Q626" s="58"/>
      <c r="R626" s="58"/>
      <c r="S626" s="58"/>
      <c r="T626" s="58"/>
      <c r="U626" s="58"/>
      <c r="V626" s="58"/>
      <c r="W626" s="58"/>
      <c r="X626" s="58"/>
      <c r="Y626" s="58"/>
    </row>
    <row r="627">
      <c r="A627" s="58"/>
      <c r="B627" s="58"/>
      <c r="C627" s="58"/>
      <c r="D627" s="58"/>
      <c r="E627" s="194"/>
      <c r="F627" s="58"/>
      <c r="G627" s="58"/>
      <c r="H627" s="58"/>
      <c r="I627" s="58"/>
      <c r="J627" s="58"/>
      <c r="K627" s="58"/>
      <c r="L627" s="58"/>
      <c r="M627" s="58"/>
      <c r="N627" s="58"/>
      <c r="O627" s="58"/>
      <c r="P627" s="58"/>
      <c r="Q627" s="58"/>
      <c r="R627" s="58"/>
      <c r="S627" s="58"/>
      <c r="T627" s="58"/>
      <c r="U627" s="58"/>
      <c r="V627" s="58"/>
      <c r="W627" s="58"/>
      <c r="X627" s="58"/>
      <c r="Y627" s="58"/>
    </row>
    <row r="628">
      <c r="A628" s="58"/>
      <c r="B628" s="58"/>
      <c r="C628" s="58"/>
      <c r="D628" s="58"/>
      <c r="E628" s="194"/>
      <c r="F628" s="58"/>
      <c r="G628" s="58"/>
      <c r="H628" s="58"/>
      <c r="I628" s="58"/>
      <c r="J628" s="58"/>
      <c r="K628" s="58"/>
      <c r="L628" s="58"/>
      <c r="M628" s="58"/>
      <c r="N628" s="58"/>
      <c r="O628" s="58"/>
      <c r="P628" s="58"/>
      <c r="Q628" s="58"/>
      <c r="R628" s="58"/>
      <c r="S628" s="58"/>
      <c r="T628" s="58"/>
      <c r="U628" s="58"/>
      <c r="V628" s="58"/>
      <c r="W628" s="58"/>
      <c r="X628" s="58"/>
      <c r="Y628" s="58"/>
    </row>
    <row r="629">
      <c r="A629" s="58"/>
      <c r="B629" s="58"/>
      <c r="C629" s="58"/>
      <c r="D629" s="58"/>
      <c r="E629" s="194"/>
      <c r="F629" s="58"/>
      <c r="G629" s="58"/>
      <c r="H629" s="58"/>
      <c r="I629" s="58"/>
      <c r="J629" s="58"/>
      <c r="K629" s="58"/>
      <c r="L629" s="58"/>
      <c r="M629" s="58"/>
      <c r="N629" s="58"/>
      <c r="O629" s="58"/>
      <c r="P629" s="58"/>
      <c r="Q629" s="58"/>
      <c r="R629" s="58"/>
      <c r="S629" s="58"/>
      <c r="T629" s="58"/>
      <c r="U629" s="58"/>
      <c r="V629" s="58"/>
      <c r="W629" s="58"/>
      <c r="X629" s="58"/>
      <c r="Y629" s="58"/>
    </row>
    <row r="630">
      <c r="A630" s="58"/>
      <c r="B630" s="58"/>
      <c r="C630" s="58"/>
      <c r="D630" s="58"/>
      <c r="E630" s="194"/>
      <c r="F630" s="58"/>
      <c r="G630" s="58"/>
      <c r="H630" s="58"/>
      <c r="I630" s="58"/>
      <c r="J630" s="58"/>
      <c r="K630" s="58"/>
      <c r="L630" s="58"/>
      <c r="M630" s="58"/>
      <c r="N630" s="58"/>
      <c r="O630" s="58"/>
      <c r="P630" s="58"/>
      <c r="Q630" s="58"/>
      <c r="R630" s="58"/>
      <c r="S630" s="58"/>
      <c r="T630" s="58"/>
      <c r="U630" s="58"/>
      <c r="V630" s="58"/>
      <c r="W630" s="58"/>
      <c r="X630" s="58"/>
      <c r="Y630" s="58"/>
    </row>
    <row r="631">
      <c r="A631" s="58"/>
      <c r="B631" s="58"/>
      <c r="C631" s="58"/>
      <c r="D631" s="58"/>
      <c r="E631" s="194"/>
      <c r="F631" s="58"/>
      <c r="G631" s="58"/>
      <c r="H631" s="58"/>
      <c r="I631" s="58"/>
      <c r="J631" s="58"/>
      <c r="K631" s="58"/>
      <c r="L631" s="58"/>
      <c r="M631" s="58"/>
      <c r="N631" s="58"/>
      <c r="O631" s="58"/>
      <c r="P631" s="58"/>
      <c r="Q631" s="58"/>
      <c r="R631" s="58"/>
      <c r="S631" s="58"/>
      <c r="T631" s="58"/>
      <c r="U631" s="58"/>
      <c r="V631" s="58"/>
      <c r="W631" s="58"/>
      <c r="X631" s="58"/>
      <c r="Y631" s="58"/>
    </row>
    <row r="632">
      <c r="A632" s="58"/>
      <c r="B632" s="58"/>
      <c r="C632" s="58"/>
      <c r="D632" s="58"/>
      <c r="E632" s="194"/>
      <c r="F632" s="58"/>
      <c r="G632" s="58"/>
      <c r="H632" s="58"/>
      <c r="I632" s="58"/>
      <c r="J632" s="58"/>
      <c r="K632" s="58"/>
      <c r="L632" s="58"/>
      <c r="M632" s="58"/>
      <c r="N632" s="58"/>
      <c r="O632" s="58"/>
      <c r="P632" s="58"/>
      <c r="Q632" s="58"/>
      <c r="R632" s="58"/>
      <c r="S632" s="58"/>
      <c r="T632" s="58"/>
      <c r="U632" s="58"/>
      <c r="V632" s="58"/>
      <c r="W632" s="58"/>
      <c r="X632" s="58"/>
      <c r="Y632" s="58"/>
    </row>
    <row r="633">
      <c r="A633" s="58"/>
      <c r="B633" s="58"/>
      <c r="C633" s="58"/>
      <c r="D633" s="58"/>
      <c r="E633" s="194"/>
      <c r="F633" s="58"/>
      <c r="G633" s="58"/>
      <c r="H633" s="58"/>
      <c r="I633" s="58"/>
      <c r="J633" s="58"/>
      <c r="K633" s="58"/>
      <c r="L633" s="58"/>
      <c r="M633" s="58"/>
      <c r="N633" s="58"/>
      <c r="O633" s="58"/>
      <c r="P633" s="58"/>
      <c r="Q633" s="58"/>
      <c r="R633" s="58"/>
      <c r="S633" s="58"/>
      <c r="T633" s="58"/>
      <c r="U633" s="58"/>
      <c r="V633" s="58"/>
      <c r="W633" s="58"/>
      <c r="X633" s="58"/>
      <c r="Y633" s="58"/>
    </row>
    <row r="634">
      <c r="A634" s="58"/>
      <c r="B634" s="58"/>
      <c r="C634" s="58"/>
      <c r="D634" s="58"/>
      <c r="E634" s="194"/>
      <c r="F634" s="58"/>
      <c r="G634" s="58"/>
      <c r="H634" s="58"/>
      <c r="I634" s="58"/>
      <c r="J634" s="58"/>
      <c r="K634" s="58"/>
      <c r="L634" s="58"/>
      <c r="M634" s="58"/>
      <c r="N634" s="58"/>
      <c r="O634" s="58"/>
      <c r="P634" s="58"/>
      <c r="Q634" s="58"/>
      <c r="R634" s="58"/>
      <c r="S634" s="58"/>
      <c r="T634" s="58"/>
      <c r="U634" s="58"/>
      <c r="V634" s="58"/>
      <c r="W634" s="58"/>
      <c r="X634" s="58"/>
      <c r="Y634" s="58"/>
    </row>
    <row r="635">
      <c r="A635" s="58"/>
      <c r="B635" s="58"/>
      <c r="C635" s="58"/>
      <c r="D635" s="58"/>
      <c r="E635" s="194"/>
      <c r="F635" s="58"/>
      <c r="G635" s="58"/>
      <c r="H635" s="58"/>
      <c r="I635" s="58"/>
      <c r="J635" s="58"/>
      <c r="K635" s="58"/>
      <c r="L635" s="58"/>
      <c r="M635" s="58"/>
      <c r="N635" s="58"/>
      <c r="O635" s="58"/>
      <c r="P635" s="58"/>
      <c r="Q635" s="58"/>
      <c r="R635" s="58"/>
      <c r="S635" s="58"/>
      <c r="T635" s="58"/>
      <c r="U635" s="58"/>
      <c r="V635" s="58"/>
      <c r="W635" s="58"/>
      <c r="X635" s="58"/>
      <c r="Y635" s="58"/>
    </row>
    <row r="636">
      <c r="A636" s="58"/>
      <c r="B636" s="58"/>
      <c r="C636" s="58"/>
      <c r="D636" s="58"/>
      <c r="E636" s="194"/>
      <c r="F636" s="58"/>
      <c r="G636" s="58"/>
      <c r="H636" s="58"/>
      <c r="I636" s="58"/>
      <c r="J636" s="58"/>
      <c r="K636" s="58"/>
      <c r="L636" s="58"/>
      <c r="M636" s="58"/>
      <c r="N636" s="58"/>
      <c r="O636" s="58"/>
      <c r="P636" s="58"/>
      <c r="Q636" s="58"/>
      <c r="R636" s="58"/>
      <c r="S636" s="58"/>
      <c r="T636" s="58"/>
      <c r="U636" s="58"/>
      <c r="V636" s="58"/>
      <c r="W636" s="58"/>
      <c r="X636" s="58"/>
      <c r="Y636" s="58"/>
    </row>
    <row r="637">
      <c r="A637" s="58"/>
      <c r="B637" s="58"/>
      <c r="C637" s="58"/>
      <c r="D637" s="58"/>
      <c r="E637" s="194"/>
      <c r="F637" s="58"/>
      <c r="G637" s="58"/>
      <c r="H637" s="58"/>
      <c r="I637" s="58"/>
      <c r="J637" s="58"/>
      <c r="K637" s="58"/>
      <c r="L637" s="58"/>
      <c r="M637" s="58"/>
      <c r="N637" s="58"/>
      <c r="O637" s="58"/>
      <c r="P637" s="58"/>
      <c r="Q637" s="58"/>
      <c r="R637" s="58"/>
      <c r="S637" s="58"/>
      <c r="T637" s="58"/>
      <c r="U637" s="58"/>
      <c r="V637" s="58"/>
      <c r="W637" s="58"/>
      <c r="X637" s="58"/>
      <c r="Y637" s="58"/>
    </row>
    <row r="638">
      <c r="A638" s="58"/>
      <c r="B638" s="58"/>
      <c r="C638" s="58"/>
      <c r="D638" s="58"/>
      <c r="E638" s="194"/>
      <c r="F638" s="58"/>
      <c r="G638" s="58"/>
      <c r="H638" s="58"/>
      <c r="I638" s="58"/>
      <c r="J638" s="58"/>
      <c r="K638" s="58"/>
      <c r="L638" s="58"/>
      <c r="M638" s="58"/>
      <c r="N638" s="58"/>
      <c r="O638" s="58"/>
      <c r="P638" s="58"/>
      <c r="Q638" s="58"/>
      <c r="R638" s="58"/>
      <c r="S638" s="58"/>
      <c r="T638" s="58"/>
      <c r="U638" s="58"/>
      <c r="V638" s="58"/>
      <c r="W638" s="58"/>
      <c r="X638" s="58"/>
      <c r="Y638" s="58"/>
    </row>
    <row r="639">
      <c r="A639" s="58"/>
      <c r="B639" s="58"/>
      <c r="C639" s="58"/>
      <c r="D639" s="58"/>
      <c r="E639" s="194"/>
      <c r="F639" s="58"/>
      <c r="G639" s="58"/>
      <c r="H639" s="58"/>
      <c r="I639" s="58"/>
      <c r="J639" s="58"/>
      <c r="K639" s="58"/>
      <c r="L639" s="58"/>
      <c r="M639" s="58"/>
      <c r="N639" s="58"/>
      <c r="O639" s="58"/>
      <c r="P639" s="58"/>
      <c r="Q639" s="58"/>
      <c r="R639" s="58"/>
      <c r="S639" s="58"/>
      <c r="T639" s="58"/>
      <c r="U639" s="58"/>
      <c r="V639" s="58"/>
      <c r="W639" s="58"/>
      <c r="X639" s="58"/>
      <c r="Y639" s="58"/>
    </row>
    <row r="640">
      <c r="A640" s="58"/>
      <c r="B640" s="58"/>
      <c r="C640" s="58"/>
      <c r="D640" s="58"/>
      <c r="E640" s="194"/>
      <c r="F640" s="58"/>
      <c r="G640" s="58"/>
      <c r="H640" s="58"/>
      <c r="I640" s="58"/>
      <c r="J640" s="58"/>
      <c r="K640" s="58"/>
      <c r="L640" s="58"/>
      <c r="M640" s="58"/>
      <c r="N640" s="58"/>
      <c r="O640" s="58"/>
      <c r="P640" s="58"/>
      <c r="Q640" s="58"/>
      <c r="R640" s="58"/>
      <c r="S640" s="58"/>
      <c r="T640" s="58"/>
      <c r="U640" s="58"/>
      <c r="V640" s="58"/>
      <c r="W640" s="58"/>
      <c r="X640" s="58"/>
      <c r="Y640" s="58"/>
    </row>
    <row r="641">
      <c r="A641" s="58"/>
      <c r="B641" s="58"/>
      <c r="C641" s="58"/>
      <c r="D641" s="58"/>
      <c r="E641" s="194"/>
      <c r="F641" s="58"/>
      <c r="G641" s="58"/>
      <c r="H641" s="58"/>
      <c r="I641" s="58"/>
      <c r="J641" s="58"/>
      <c r="K641" s="58"/>
      <c r="L641" s="58"/>
      <c r="M641" s="58"/>
      <c r="N641" s="58"/>
      <c r="O641" s="58"/>
      <c r="P641" s="58"/>
      <c r="Q641" s="58"/>
      <c r="R641" s="58"/>
      <c r="S641" s="58"/>
      <c r="T641" s="58"/>
      <c r="U641" s="58"/>
      <c r="V641" s="58"/>
      <c r="W641" s="58"/>
      <c r="X641" s="58"/>
      <c r="Y641" s="58"/>
    </row>
    <row r="642">
      <c r="A642" s="58"/>
      <c r="B642" s="58"/>
      <c r="C642" s="58"/>
      <c r="D642" s="58"/>
      <c r="E642" s="194"/>
      <c r="F642" s="58"/>
      <c r="G642" s="58"/>
      <c r="H642" s="58"/>
      <c r="I642" s="58"/>
      <c r="J642" s="58"/>
      <c r="K642" s="58"/>
      <c r="L642" s="58"/>
      <c r="M642" s="58"/>
      <c r="N642" s="58"/>
      <c r="O642" s="58"/>
      <c r="P642" s="58"/>
      <c r="Q642" s="58"/>
      <c r="R642" s="58"/>
      <c r="S642" s="58"/>
      <c r="T642" s="58"/>
      <c r="U642" s="58"/>
      <c r="V642" s="58"/>
      <c r="W642" s="58"/>
      <c r="X642" s="58"/>
      <c r="Y642" s="58"/>
    </row>
    <row r="643">
      <c r="A643" s="58"/>
      <c r="B643" s="58"/>
      <c r="C643" s="58"/>
      <c r="D643" s="58"/>
      <c r="E643" s="194"/>
      <c r="F643" s="58"/>
      <c r="G643" s="58"/>
      <c r="H643" s="58"/>
      <c r="I643" s="58"/>
      <c r="J643" s="58"/>
      <c r="K643" s="58"/>
      <c r="L643" s="58"/>
      <c r="M643" s="58"/>
      <c r="N643" s="58"/>
      <c r="O643" s="58"/>
      <c r="P643" s="58"/>
      <c r="Q643" s="58"/>
      <c r="R643" s="58"/>
      <c r="S643" s="58"/>
      <c r="T643" s="58"/>
      <c r="U643" s="58"/>
      <c r="V643" s="58"/>
      <c r="W643" s="58"/>
      <c r="X643" s="58"/>
      <c r="Y643" s="58"/>
    </row>
    <row r="644">
      <c r="A644" s="58"/>
      <c r="B644" s="58"/>
      <c r="C644" s="58"/>
      <c r="D644" s="58"/>
      <c r="E644" s="194"/>
      <c r="F644" s="58"/>
      <c r="G644" s="58"/>
      <c r="H644" s="58"/>
      <c r="I644" s="58"/>
      <c r="J644" s="58"/>
      <c r="K644" s="58"/>
      <c r="L644" s="58"/>
      <c r="M644" s="58"/>
      <c r="N644" s="58"/>
      <c r="O644" s="58"/>
      <c r="P644" s="58"/>
      <c r="Q644" s="58"/>
      <c r="R644" s="58"/>
      <c r="S644" s="58"/>
      <c r="T644" s="58"/>
      <c r="U644" s="58"/>
      <c r="V644" s="58"/>
      <c r="W644" s="58"/>
      <c r="X644" s="58"/>
      <c r="Y644" s="58"/>
    </row>
    <row r="645">
      <c r="A645" s="58"/>
      <c r="B645" s="58"/>
      <c r="C645" s="58"/>
      <c r="D645" s="58"/>
      <c r="E645" s="194"/>
      <c r="F645" s="58"/>
      <c r="G645" s="58"/>
      <c r="H645" s="58"/>
      <c r="I645" s="58"/>
      <c r="J645" s="58"/>
      <c r="K645" s="58"/>
      <c r="L645" s="58"/>
      <c r="M645" s="58"/>
      <c r="N645" s="58"/>
      <c r="O645" s="58"/>
      <c r="P645" s="58"/>
      <c r="Q645" s="58"/>
      <c r="R645" s="58"/>
      <c r="S645" s="58"/>
      <c r="T645" s="58"/>
      <c r="U645" s="58"/>
      <c r="V645" s="58"/>
      <c r="W645" s="58"/>
      <c r="X645" s="58"/>
      <c r="Y645" s="58"/>
    </row>
    <row r="646">
      <c r="A646" s="58"/>
      <c r="B646" s="58"/>
      <c r="C646" s="58"/>
      <c r="D646" s="58"/>
      <c r="E646" s="194"/>
      <c r="F646" s="58"/>
      <c r="G646" s="58"/>
      <c r="H646" s="58"/>
      <c r="I646" s="58"/>
      <c r="J646" s="58"/>
      <c r="K646" s="58"/>
      <c r="L646" s="58"/>
      <c r="M646" s="58"/>
      <c r="N646" s="58"/>
      <c r="O646" s="58"/>
      <c r="P646" s="58"/>
      <c r="Q646" s="58"/>
      <c r="R646" s="58"/>
      <c r="S646" s="58"/>
      <c r="T646" s="58"/>
      <c r="U646" s="58"/>
      <c r="V646" s="58"/>
      <c r="W646" s="58"/>
      <c r="X646" s="58"/>
      <c r="Y646" s="58"/>
    </row>
    <row r="647">
      <c r="A647" s="58"/>
      <c r="B647" s="58"/>
      <c r="C647" s="58"/>
      <c r="D647" s="58"/>
      <c r="E647" s="194"/>
      <c r="F647" s="58"/>
      <c r="G647" s="58"/>
      <c r="H647" s="58"/>
      <c r="I647" s="58"/>
      <c r="J647" s="58"/>
      <c r="K647" s="58"/>
      <c r="L647" s="58"/>
      <c r="M647" s="58"/>
      <c r="N647" s="58"/>
      <c r="O647" s="58"/>
      <c r="P647" s="58"/>
      <c r="Q647" s="58"/>
      <c r="R647" s="58"/>
      <c r="S647" s="58"/>
      <c r="T647" s="58"/>
      <c r="U647" s="58"/>
      <c r="V647" s="58"/>
      <c r="W647" s="58"/>
      <c r="X647" s="58"/>
      <c r="Y647" s="58"/>
    </row>
    <row r="648">
      <c r="A648" s="58"/>
      <c r="B648" s="58"/>
      <c r="C648" s="58"/>
      <c r="D648" s="58"/>
      <c r="E648" s="194"/>
      <c r="F648" s="58"/>
      <c r="G648" s="58"/>
      <c r="H648" s="58"/>
      <c r="I648" s="58"/>
      <c r="J648" s="58"/>
      <c r="K648" s="58"/>
      <c r="L648" s="58"/>
      <c r="M648" s="58"/>
      <c r="N648" s="58"/>
      <c r="O648" s="58"/>
      <c r="P648" s="58"/>
      <c r="Q648" s="58"/>
      <c r="R648" s="58"/>
      <c r="S648" s="58"/>
      <c r="T648" s="58"/>
      <c r="U648" s="58"/>
      <c r="V648" s="58"/>
      <c r="W648" s="58"/>
      <c r="X648" s="58"/>
      <c r="Y648" s="58"/>
    </row>
    <row r="649">
      <c r="A649" s="58"/>
      <c r="B649" s="58"/>
      <c r="C649" s="58"/>
      <c r="D649" s="58"/>
      <c r="E649" s="194"/>
      <c r="F649" s="58"/>
      <c r="G649" s="58"/>
      <c r="H649" s="58"/>
      <c r="I649" s="58"/>
      <c r="J649" s="58"/>
      <c r="K649" s="58"/>
      <c r="L649" s="58"/>
      <c r="M649" s="58"/>
      <c r="N649" s="58"/>
      <c r="O649" s="58"/>
      <c r="P649" s="58"/>
      <c r="Q649" s="58"/>
      <c r="R649" s="58"/>
      <c r="S649" s="58"/>
      <c r="T649" s="58"/>
      <c r="U649" s="58"/>
      <c r="V649" s="58"/>
      <c r="W649" s="58"/>
      <c r="X649" s="58"/>
      <c r="Y649" s="58"/>
    </row>
    <row r="650">
      <c r="A650" s="58"/>
      <c r="B650" s="58"/>
      <c r="C650" s="58"/>
      <c r="D650" s="58"/>
      <c r="E650" s="194"/>
      <c r="F650" s="58"/>
      <c r="G650" s="58"/>
      <c r="H650" s="58"/>
      <c r="I650" s="58"/>
      <c r="J650" s="58"/>
      <c r="K650" s="58"/>
      <c r="L650" s="58"/>
      <c r="M650" s="58"/>
      <c r="N650" s="58"/>
      <c r="O650" s="58"/>
      <c r="P650" s="58"/>
      <c r="Q650" s="58"/>
      <c r="R650" s="58"/>
      <c r="S650" s="58"/>
      <c r="T650" s="58"/>
      <c r="U650" s="58"/>
      <c r="V650" s="58"/>
      <c r="W650" s="58"/>
      <c r="X650" s="58"/>
      <c r="Y650" s="58"/>
    </row>
    <row r="651">
      <c r="A651" s="58"/>
      <c r="B651" s="58"/>
      <c r="C651" s="58"/>
      <c r="D651" s="58"/>
      <c r="E651" s="194"/>
      <c r="F651" s="58"/>
      <c r="G651" s="58"/>
      <c r="H651" s="58"/>
      <c r="I651" s="58"/>
      <c r="J651" s="58"/>
      <c r="K651" s="58"/>
      <c r="L651" s="58"/>
      <c r="M651" s="58"/>
      <c r="N651" s="58"/>
      <c r="O651" s="58"/>
      <c r="P651" s="58"/>
      <c r="Q651" s="58"/>
      <c r="R651" s="58"/>
      <c r="S651" s="58"/>
      <c r="T651" s="58"/>
      <c r="U651" s="58"/>
      <c r="V651" s="58"/>
      <c r="W651" s="58"/>
      <c r="X651" s="58"/>
      <c r="Y651" s="58"/>
    </row>
    <row r="652">
      <c r="A652" s="58"/>
      <c r="B652" s="58"/>
      <c r="C652" s="58"/>
      <c r="D652" s="58"/>
      <c r="E652" s="194"/>
      <c r="F652" s="58"/>
      <c r="G652" s="58"/>
      <c r="H652" s="58"/>
      <c r="I652" s="58"/>
      <c r="J652" s="58"/>
      <c r="K652" s="58"/>
      <c r="L652" s="58"/>
      <c r="M652" s="58"/>
      <c r="N652" s="58"/>
      <c r="O652" s="58"/>
      <c r="P652" s="58"/>
      <c r="Q652" s="58"/>
      <c r="R652" s="58"/>
      <c r="S652" s="58"/>
      <c r="T652" s="58"/>
      <c r="U652" s="58"/>
      <c r="V652" s="58"/>
      <c r="W652" s="58"/>
      <c r="X652" s="58"/>
      <c r="Y652" s="58"/>
    </row>
    <row r="653">
      <c r="A653" s="58"/>
      <c r="B653" s="58"/>
      <c r="C653" s="58"/>
      <c r="D653" s="58"/>
      <c r="E653" s="194"/>
      <c r="F653" s="58"/>
      <c r="G653" s="58"/>
      <c r="H653" s="58"/>
      <c r="I653" s="58"/>
      <c r="J653" s="58"/>
      <c r="K653" s="58"/>
      <c r="L653" s="58"/>
      <c r="M653" s="58"/>
      <c r="N653" s="58"/>
      <c r="O653" s="58"/>
      <c r="P653" s="58"/>
      <c r="Q653" s="58"/>
      <c r="R653" s="58"/>
      <c r="S653" s="58"/>
      <c r="T653" s="58"/>
      <c r="U653" s="58"/>
      <c r="V653" s="58"/>
      <c r="W653" s="58"/>
      <c r="X653" s="58"/>
      <c r="Y653" s="58"/>
    </row>
    <row r="654">
      <c r="A654" s="58"/>
      <c r="B654" s="58"/>
      <c r="C654" s="58"/>
      <c r="D654" s="58"/>
      <c r="E654" s="194"/>
      <c r="F654" s="58"/>
      <c r="G654" s="58"/>
      <c r="H654" s="58"/>
      <c r="I654" s="58"/>
      <c r="J654" s="58"/>
      <c r="K654" s="58"/>
      <c r="L654" s="58"/>
      <c r="M654" s="58"/>
      <c r="N654" s="58"/>
      <c r="O654" s="58"/>
      <c r="P654" s="58"/>
      <c r="Q654" s="58"/>
      <c r="R654" s="58"/>
      <c r="S654" s="58"/>
      <c r="T654" s="58"/>
      <c r="U654" s="58"/>
      <c r="V654" s="58"/>
      <c r="W654" s="58"/>
      <c r="X654" s="58"/>
      <c r="Y654" s="58"/>
    </row>
    <row r="655">
      <c r="A655" s="58"/>
      <c r="B655" s="58"/>
      <c r="C655" s="58"/>
      <c r="D655" s="58"/>
      <c r="E655" s="194"/>
      <c r="F655" s="58"/>
      <c r="G655" s="58"/>
      <c r="H655" s="58"/>
      <c r="I655" s="58"/>
      <c r="J655" s="58"/>
      <c r="K655" s="58"/>
      <c r="L655" s="58"/>
      <c r="M655" s="58"/>
      <c r="N655" s="58"/>
      <c r="O655" s="58"/>
      <c r="P655" s="58"/>
      <c r="Q655" s="58"/>
      <c r="R655" s="58"/>
      <c r="S655" s="58"/>
      <c r="T655" s="58"/>
      <c r="U655" s="58"/>
      <c r="V655" s="58"/>
      <c r="W655" s="58"/>
      <c r="X655" s="58"/>
      <c r="Y655" s="58"/>
    </row>
    <row r="656">
      <c r="A656" s="58"/>
      <c r="B656" s="58"/>
      <c r="C656" s="58"/>
      <c r="D656" s="58"/>
      <c r="E656" s="194"/>
      <c r="F656" s="58"/>
      <c r="G656" s="58"/>
      <c r="H656" s="58"/>
      <c r="I656" s="58"/>
      <c r="J656" s="58"/>
      <c r="K656" s="58"/>
      <c r="L656" s="58"/>
      <c r="M656" s="58"/>
      <c r="N656" s="58"/>
      <c r="O656" s="58"/>
      <c r="P656" s="58"/>
      <c r="Q656" s="58"/>
      <c r="R656" s="58"/>
      <c r="S656" s="58"/>
      <c r="T656" s="58"/>
      <c r="U656" s="58"/>
      <c r="V656" s="58"/>
      <c r="W656" s="58"/>
      <c r="X656" s="58"/>
      <c r="Y656" s="58"/>
    </row>
    <row r="657">
      <c r="A657" s="58"/>
      <c r="B657" s="58"/>
      <c r="C657" s="58"/>
      <c r="D657" s="58"/>
      <c r="E657" s="194"/>
      <c r="F657" s="58"/>
      <c r="G657" s="58"/>
      <c r="H657" s="58"/>
      <c r="I657" s="58"/>
      <c r="J657" s="58"/>
      <c r="K657" s="58"/>
      <c r="L657" s="58"/>
      <c r="M657" s="58"/>
      <c r="N657" s="58"/>
      <c r="O657" s="58"/>
      <c r="P657" s="58"/>
      <c r="Q657" s="58"/>
      <c r="R657" s="58"/>
      <c r="S657" s="58"/>
      <c r="T657" s="58"/>
      <c r="U657" s="58"/>
      <c r="V657" s="58"/>
      <c r="W657" s="58"/>
      <c r="X657" s="58"/>
      <c r="Y657" s="58"/>
    </row>
    <row r="658">
      <c r="A658" s="58"/>
      <c r="B658" s="58"/>
      <c r="C658" s="58"/>
      <c r="D658" s="58"/>
      <c r="E658" s="194"/>
      <c r="F658" s="58"/>
      <c r="G658" s="58"/>
      <c r="H658" s="58"/>
      <c r="I658" s="58"/>
      <c r="J658" s="58"/>
      <c r="K658" s="58"/>
      <c r="L658" s="58"/>
      <c r="M658" s="58"/>
      <c r="N658" s="58"/>
      <c r="O658" s="58"/>
      <c r="P658" s="58"/>
      <c r="Q658" s="58"/>
      <c r="R658" s="58"/>
      <c r="S658" s="58"/>
      <c r="T658" s="58"/>
      <c r="U658" s="58"/>
      <c r="V658" s="58"/>
      <c r="W658" s="58"/>
      <c r="X658" s="58"/>
      <c r="Y658" s="58"/>
    </row>
    <row r="659">
      <c r="A659" s="58"/>
      <c r="B659" s="58"/>
      <c r="C659" s="58"/>
      <c r="D659" s="58"/>
      <c r="E659" s="194"/>
      <c r="F659" s="58"/>
      <c r="G659" s="58"/>
      <c r="H659" s="58"/>
      <c r="I659" s="58"/>
      <c r="J659" s="58"/>
      <c r="K659" s="58"/>
      <c r="L659" s="58"/>
      <c r="M659" s="58"/>
      <c r="N659" s="58"/>
      <c r="O659" s="58"/>
      <c r="P659" s="58"/>
      <c r="Q659" s="58"/>
      <c r="R659" s="58"/>
      <c r="S659" s="58"/>
      <c r="T659" s="58"/>
      <c r="U659" s="58"/>
      <c r="V659" s="58"/>
      <c r="W659" s="58"/>
      <c r="X659" s="58"/>
      <c r="Y659" s="58"/>
    </row>
    <row r="660">
      <c r="A660" s="58"/>
      <c r="B660" s="58"/>
      <c r="C660" s="58"/>
      <c r="D660" s="58"/>
      <c r="E660" s="194"/>
      <c r="F660" s="58"/>
      <c r="G660" s="58"/>
      <c r="H660" s="58"/>
      <c r="I660" s="58"/>
      <c r="J660" s="58"/>
      <c r="K660" s="58"/>
      <c r="L660" s="58"/>
      <c r="M660" s="58"/>
      <c r="N660" s="58"/>
      <c r="O660" s="58"/>
      <c r="P660" s="58"/>
      <c r="Q660" s="58"/>
      <c r="R660" s="58"/>
      <c r="S660" s="58"/>
      <c r="T660" s="58"/>
      <c r="U660" s="58"/>
      <c r="V660" s="58"/>
      <c r="W660" s="58"/>
      <c r="X660" s="58"/>
      <c r="Y660" s="58"/>
    </row>
    <row r="661">
      <c r="A661" s="58"/>
      <c r="B661" s="58"/>
      <c r="C661" s="58"/>
      <c r="D661" s="58"/>
      <c r="E661" s="194"/>
      <c r="F661" s="58"/>
      <c r="G661" s="58"/>
      <c r="H661" s="58"/>
      <c r="I661" s="58"/>
      <c r="J661" s="58"/>
      <c r="K661" s="58"/>
      <c r="L661" s="58"/>
      <c r="M661" s="58"/>
      <c r="N661" s="58"/>
      <c r="O661" s="58"/>
      <c r="P661" s="58"/>
      <c r="Q661" s="58"/>
      <c r="R661" s="58"/>
      <c r="S661" s="58"/>
      <c r="T661" s="58"/>
      <c r="U661" s="58"/>
      <c r="V661" s="58"/>
      <c r="W661" s="58"/>
      <c r="X661" s="58"/>
      <c r="Y661" s="58"/>
    </row>
    <row r="662">
      <c r="A662" s="58"/>
      <c r="B662" s="58"/>
      <c r="C662" s="58"/>
      <c r="D662" s="58"/>
      <c r="E662" s="194"/>
      <c r="F662" s="58"/>
      <c r="G662" s="58"/>
      <c r="H662" s="58"/>
      <c r="I662" s="58"/>
      <c r="J662" s="58"/>
      <c r="K662" s="58"/>
      <c r="L662" s="58"/>
      <c r="M662" s="58"/>
      <c r="N662" s="58"/>
      <c r="O662" s="58"/>
      <c r="P662" s="58"/>
      <c r="Q662" s="58"/>
      <c r="R662" s="58"/>
      <c r="S662" s="58"/>
      <c r="T662" s="58"/>
      <c r="U662" s="58"/>
      <c r="V662" s="58"/>
      <c r="W662" s="58"/>
      <c r="X662" s="58"/>
      <c r="Y662" s="58"/>
    </row>
    <row r="663">
      <c r="A663" s="58"/>
      <c r="B663" s="58"/>
      <c r="C663" s="58"/>
      <c r="D663" s="58"/>
      <c r="E663" s="194"/>
      <c r="F663" s="58"/>
      <c r="G663" s="58"/>
      <c r="H663" s="58"/>
      <c r="I663" s="58"/>
      <c r="J663" s="58"/>
      <c r="K663" s="58"/>
      <c r="L663" s="58"/>
      <c r="M663" s="58"/>
      <c r="N663" s="58"/>
      <c r="O663" s="58"/>
      <c r="P663" s="58"/>
      <c r="Q663" s="58"/>
      <c r="R663" s="58"/>
      <c r="S663" s="58"/>
      <c r="T663" s="58"/>
      <c r="U663" s="58"/>
      <c r="V663" s="58"/>
      <c r="W663" s="58"/>
      <c r="X663" s="58"/>
      <c r="Y663" s="58"/>
    </row>
    <row r="664">
      <c r="A664" s="58"/>
      <c r="B664" s="58"/>
      <c r="C664" s="58"/>
      <c r="D664" s="58"/>
      <c r="E664" s="194"/>
      <c r="F664" s="58"/>
      <c r="G664" s="58"/>
      <c r="H664" s="58"/>
      <c r="I664" s="58"/>
      <c r="J664" s="58"/>
      <c r="K664" s="58"/>
      <c r="L664" s="58"/>
      <c r="M664" s="58"/>
      <c r="N664" s="58"/>
      <c r="O664" s="58"/>
      <c r="P664" s="58"/>
      <c r="Q664" s="58"/>
      <c r="R664" s="58"/>
      <c r="S664" s="58"/>
      <c r="T664" s="58"/>
      <c r="U664" s="58"/>
      <c r="V664" s="58"/>
      <c r="W664" s="58"/>
      <c r="X664" s="58"/>
      <c r="Y664" s="58"/>
    </row>
    <row r="665">
      <c r="A665" s="58"/>
      <c r="B665" s="58"/>
      <c r="C665" s="58"/>
      <c r="D665" s="58"/>
      <c r="E665" s="194"/>
      <c r="F665" s="58"/>
      <c r="G665" s="58"/>
      <c r="H665" s="58"/>
      <c r="I665" s="58"/>
      <c r="J665" s="58"/>
      <c r="K665" s="58"/>
      <c r="L665" s="58"/>
      <c r="M665" s="58"/>
      <c r="N665" s="58"/>
      <c r="O665" s="58"/>
      <c r="P665" s="58"/>
      <c r="Q665" s="58"/>
      <c r="R665" s="58"/>
      <c r="S665" s="58"/>
      <c r="T665" s="58"/>
      <c r="U665" s="58"/>
      <c r="V665" s="58"/>
      <c r="W665" s="58"/>
      <c r="X665" s="58"/>
      <c r="Y665" s="58"/>
    </row>
    <row r="666">
      <c r="A666" s="58"/>
      <c r="B666" s="58"/>
      <c r="C666" s="58"/>
      <c r="D666" s="58"/>
      <c r="E666" s="194"/>
      <c r="F666" s="58"/>
      <c r="G666" s="58"/>
      <c r="H666" s="58"/>
      <c r="I666" s="58"/>
      <c r="J666" s="58"/>
      <c r="K666" s="58"/>
      <c r="L666" s="58"/>
      <c r="M666" s="58"/>
      <c r="N666" s="58"/>
      <c r="O666" s="58"/>
      <c r="P666" s="58"/>
      <c r="Q666" s="58"/>
      <c r="R666" s="58"/>
      <c r="S666" s="58"/>
      <c r="T666" s="58"/>
      <c r="U666" s="58"/>
      <c r="V666" s="58"/>
      <c r="W666" s="58"/>
      <c r="X666" s="58"/>
      <c r="Y666" s="58"/>
    </row>
    <row r="667">
      <c r="A667" s="58"/>
      <c r="B667" s="58"/>
      <c r="C667" s="58"/>
      <c r="D667" s="58"/>
      <c r="E667" s="194"/>
      <c r="F667" s="58"/>
      <c r="G667" s="58"/>
      <c r="H667" s="58"/>
      <c r="I667" s="58"/>
      <c r="J667" s="58"/>
      <c r="K667" s="58"/>
      <c r="L667" s="58"/>
      <c r="M667" s="58"/>
      <c r="N667" s="58"/>
      <c r="O667" s="58"/>
      <c r="P667" s="58"/>
      <c r="Q667" s="58"/>
      <c r="R667" s="58"/>
      <c r="S667" s="58"/>
      <c r="T667" s="58"/>
      <c r="U667" s="58"/>
      <c r="V667" s="58"/>
      <c r="W667" s="58"/>
      <c r="X667" s="58"/>
      <c r="Y667" s="58"/>
    </row>
    <row r="668">
      <c r="A668" s="58"/>
      <c r="B668" s="58"/>
      <c r="C668" s="58"/>
      <c r="D668" s="58"/>
      <c r="E668" s="194"/>
      <c r="F668" s="58"/>
      <c r="G668" s="58"/>
      <c r="H668" s="58"/>
      <c r="I668" s="58"/>
      <c r="J668" s="58"/>
      <c r="K668" s="58"/>
      <c r="L668" s="58"/>
      <c r="M668" s="58"/>
      <c r="N668" s="58"/>
      <c r="O668" s="58"/>
      <c r="P668" s="58"/>
      <c r="Q668" s="58"/>
      <c r="R668" s="58"/>
      <c r="S668" s="58"/>
      <c r="T668" s="58"/>
      <c r="U668" s="58"/>
      <c r="V668" s="58"/>
      <c r="W668" s="58"/>
      <c r="X668" s="58"/>
      <c r="Y668" s="58"/>
    </row>
    <row r="669">
      <c r="A669" s="58"/>
      <c r="B669" s="58"/>
      <c r="C669" s="58"/>
      <c r="D669" s="58"/>
      <c r="E669" s="194"/>
      <c r="F669" s="58"/>
      <c r="G669" s="58"/>
      <c r="H669" s="58"/>
      <c r="I669" s="58"/>
      <c r="J669" s="58"/>
      <c r="K669" s="58"/>
      <c r="L669" s="58"/>
      <c r="M669" s="58"/>
      <c r="N669" s="58"/>
      <c r="O669" s="58"/>
      <c r="P669" s="58"/>
      <c r="Q669" s="58"/>
      <c r="R669" s="58"/>
      <c r="S669" s="58"/>
      <c r="T669" s="58"/>
      <c r="U669" s="58"/>
      <c r="V669" s="58"/>
      <c r="W669" s="58"/>
      <c r="X669" s="58"/>
      <c r="Y669" s="58"/>
    </row>
    <row r="670">
      <c r="A670" s="58"/>
      <c r="B670" s="58"/>
      <c r="C670" s="58"/>
      <c r="D670" s="58"/>
      <c r="E670" s="194"/>
      <c r="F670" s="58"/>
      <c r="G670" s="58"/>
      <c r="H670" s="58"/>
      <c r="I670" s="58"/>
      <c r="J670" s="58"/>
      <c r="K670" s="58"/>
      <c r="L670" s="58"/>
      <c r="M670" s="58"/>
      <c r="N670" s="58"/>
      <c r="O670" s="58"/>
      <c r="P670" s="58"/>
      <c r="Q670" s="58"/>
      <c r="R670" s="58"/>
      <c r="S670" s="58"/>
      <c r="T670" s="58"/>
      <c r="U670" s="58"/>
      <c r="V670" s="58"/>
      <c r="W670" s="58"/>
      <c r="X670" s="58"/>
      <c r="Y670" s="58"/>
    </row>
    <row r="671">
      <c r="A671" s="58"/>
      <c r="B671" s="58"/>
      <c r="C671" s="58"/>
      <c r="D671" s="58"/>
      <c r="E671" s="194"/>
      <c r="F671" s="58"/>
      <c r="G671" s="58"/>
      <c r="H671" s="58"/>
      <c r="I671" s="58"/>
      <c r="J671" s="58"/>
      <c r="K671" s="58"/>
      <c r="L671" s="58"/>
      <c r="M671" s="58"/>
      <c r="N671" s="58"/>
      <c r="O671" s="58"/>
      <c r="P671" s="58"/>
      <c r="Q671" s="58"/>
      <c r="R671" s="58"/>
      <c r="S671" s="58"/>
      <c r="T671" s="58"/>
      <c r="U671" s="58"/>
      <c r="V671" s="58"/>
      <c r="W671" s="58"/>
      <c r="X671" s="58"/>
      <c r="Y671" s="58"/>
    </row>
    <row r="672">
      <c r="A672" s="58"/>
      <c r="B672" s="58"/>
      <c r="C672" s="58"/>
      <c r="D672" s="58"/>
      <c r="E672" s="194"/>
      <c r="F672" s="58"/>
      <c r="G672" s="58"/>
      <c r="H672" s="58"/>
      <c r="I672" s="58"/>
      <c r="J672" s="58"/>
      <c r="K672" s="58"/>
      <c r="L672" s="58"/>
      <c r="M672" s="58"/>
      <c r="N672" s="58"/>
      <c r="O672" s="58"/>
      <c r="P672" s="58"/>
      <c r="Q672" s="58"/>
      <c r="R672" s="58"/>
      <c r="S672" s="58"/>
      <c r="T672" s="58"/>
      <c r="U672" s="58"/>
      <c r="V672" s="58"/>
      <c r="W672" s="58"/>
      <c r="X672" s="58"/>
      <c r="Y672" s="58"/>
    </row>
    <row r="673">
      <c r="A673" s="58"/>
      <c r="B673" s="58"/>
      <c r="C673" s="58"/>
      <c r="D673" s="58"/>
      <c r="E673" s="194"/>
      <c r="F673" s="58"/>
      <c r="G673" s="58"/>
      <c r="H673" s="58"/>
      <c r="I673" s="58"/>
      <c r="J673" s="58"/>
      <c r="K673" s="58"/>
      <c r="L673" s="58"/>
      <c r="M673" s="58"/>
      <c r="N673" s="58"/>
      <c r="O673" s="58"/>
      <c r="P673" s="58"/>
      <c r="Q673" s="58"/>
      <c r="R673" s="58"/>
      <c r="S673" s="58"/>
      <c r="T673" s="58"/>
      <c r="U673" s="58"/>
      <c r="V673" s="58"/>
      <c r="W673" s="58"/>
      <c r="X673" s="58"/>
      <c r="Y673" s="58"/>
    </row>
    <row r="674">
      <c r="A674" s="58"/>
      <c r="B674" s="58"/>
      <c r="C674" s="58"/>
      <c r="D674" s="58"/>
      <c r="E674" s="194"/>
      <c r="F674" s="58"/>
      <c r="G674" s="58"/>
      <c r="H674" s="58"/>
      <c r="I674" s="58"/>
      <c r="J674" s="58"/>
      <c r="K674" s="58"/>
      <c r="L674" s="58"/>
      <c r="M674" s="58"/>
      <c r="N674" s="58"/>
      <c r="O674" s="58"/>
      <c r="P674" s="58"/>
      <c r="Q674" s="58"/>
      <c r="R674" s="58"/>
      <c r="S674" s="58"/>
      <c r="T674" s="58"/>
      <c r="U674" s="58"/>
      <c r="V674" s="58"/>
      <c r="W674" s="58"/>
      <c r="X674" s="58"/>
      <c r="Y674" s="58"/>
    </row>
    <row r="675">
      <c r="A675" s="58"/>
      <c r="B675" s="58"/>
      <c r="C675" s="58"/>
      <c r="D675" s="58"/>
      <c r="E675" s="194"/>
      <c r="F675" s="58"/>
      <c r="G675" s="58"/>
      <c r="H675" s="58"/>
      <c r="I675" s="58"/>
      <c r="J675" s="58"/>
      <c r="K675" s="58"/>
      <c r="L675" s="58"/>
      <c r="M675" s="58"/>
      <c r="N675" s="58"/>
      <c r="O675" s="58"/>
      <c r="P675" s="58"/>
      <c r="Q675" s="58"/>
      <c r="R675" s="58"/>
      <c r="S675" s="58"/>
      <c r="T675" s="58"/>
      <c r="U675" s="58"/>
      <c r="V675" s="58"/>
      <c r="W675" s="58"/>
      <c r="X675" s="58"/>
      <c r="Y675" s="58"/>
    </row>
    <row r="676">
      <c r="A676" s="58"/>
      <c r="B676" s="58"/>
      <c r="C676" s="58"/>
      <c r="D676" s="58"/>
      <c r="E676" s="194"/>
      <c r="F676" s="58"/>
      <c r="G676" s="58"/>
      <c r="H676" s="58"/>
      <c r="I676" s="58"/>
      <c r="J676" s="58"/>
      <c r="K676" s="58"/>
      <c r="L676" s="58"/>
      <c r="M676" s="58"/>
      <c r="N676" s="58"/>
      <c r="O676" s="58"/>
      <c r="P676" s="58"/>
      <c r="Q676" s="58"/>
      <c r="R676" s="58"/>
      <c r="S676" s="58"/>
      <c r="T676" s="58"/>
      <c r="U676" s="58"/>
      <c r="V676" s="58"/>
      <c r="W676" s="58"/>
      <c r="X676" s="58"/>
      <c r="Y676" s="58"/>
    </row>
    <row r="677">
      <c r="A677" s="58"/>
      <c r="B677" s="58"/>
      <c r="C677" s="58"/>
      <c r="D677" s="58"/>
      <c r="E677" s="194"/>
      <c r="F677" s="58"/>
      <c r="G677" s="58"/>
      <c r="H677" s="58"/>
      <c r="I677" s="58"/>
      <c r="J677" s="58"/>
      <c r="K677" s="58"/>
      <c r="L677" s="58"/>
      <c r="M677" s="58"/>
      <c r="N677" s="58"/>
      <c r="O677" s="58"/>
      <c r="P677" s="58"/>
      <c r="Q677" s="58"/>
      <c r="R677" s="58"/>
      <c r="S677" s="58"/>
      <c r="T677" s="58"/>
      <c r="U677" s="58"/>
      <c r="V677" s="58"/>
      <c r="W677" s="58"/>
      <c r="X677" s="58"/>
      <c r="Y677" s="58"/>
    </row>
    <row r="678">
      <c r="A678" s="58"/>
      <c r="B678" s="58"/>
      <c r="C678" s="58"/>
      <c r="D678" s="58"/>
      <c r="E678" s="194"/>
      <c r="F678" s="58"/>
      <c r="G678" s="58"/>
      <c r="H678" s="58"/>
      <c r="I678" s="58"/>
      <c r="J678" s="58"/>
      <c r="K678" s="58"/>
      <c r="L678" s="58"/>
      <c r="M678" s="58"/>
      <c r="N678" s="58"/>
      <c r="O678" s="58"/>
      <c r="P678" s="58"/>
      <c r="Q678" s="58"/>
      <c r="R678" s="58"/>
      <c r="S678" s="58"/>
      <c r="T678" s="58"/>
      <c r="U678" s="58"/>
      <c r="V678" s="58"/>
      <c r="W678" s="58"/>
      <c r="X678" s="58"/>
      <c r="Y678" s="58"/>
    </row>
    <row r="679">
      <c r="A679" s="58"/>
      <c r="B679" s="58"/>
      <c r="C679" s="58"/>
      <c r="D679" s="58"/>
      <c r="E679" s="194"/>
      <c r="F679" s="58"/>
      <c r="G679" s="58"/>
      <c r="H679" s="58"/>
      <c r="I679" s="58"/>
      <c r="J679" s="58"/>
      <c r="K679" s="58"/>
      <c r="L679" s="58"/>
      <c r="M679" s="58"/>
      <c r="N679" s="58"/>
      <c r="O679" s="58"/>
      <c r="P679" s="58"/>
      <c r="Q679" s="58"/>
      <c r="R679" s="58"/>
      <c r="S679" s="58"/>
      <c r="T679" s="58"/>
      <c r="U679" s="58"/>
      <c r="V679" s="58"/>
      <c r="W679" s="58"/>
      <c r="X679" s="58"/>
      <c r="Y679" s="58"/>
    </row>
    <row r="680">
      <c r="A680" s="58"/>
      <c r="B680" s="58"/>
      <c r="C680" s="58"/>
      <c r="D680" s="58"/>
      <c r="E680" s="194"/>
      <c r="F680" s="58"/>
      <c r="G680" s="58"/>
      <c r="H680" s="58"/>
      <c r="I680" s="58"/>
      <c r="J680" s="58"/>
      <c r="K680" s="58"/>
      <c r="L680" s="58"/>
      <c r="M680" s="58"/>
      <c r="N680" s="58"/>
      <c r="O680" s="58"/>
      <c r="P680" s="58"/>
      <c r="Q680" s="58"/>
      <c r="R680" s="58"/>
      <c r="S680" s="58"/>
      <c r="T680" s="58"/>
      <c r="U680" s="58"/>
      <c r="V680" s="58"/>
      <c r="W680" s="58"/>
      <c r="X680" s="58"/>
      <c r="Y680" s="58"/>
    </row>
    <row r="681">
      <c r="A681" s="58"/>
      <c r="B681" s="58"/>
      <c r="C681" s="58"/>
      <c r="D681" s="58"/>
      <c r="E681" s="194"/>
      <c r="F681" s="58"/>
      <c r="G681" s="58"/>
      <c r="H681" s="58"/>
      <c r="I681" s="58"/>
      <c r="J681" s="58"/>
      <c r="K681" s="58"/>
      <c r="L681" s="58"/>
      <c r="M681" s="58"/>
      <c r="N681" s="58"/>
      <c r="O681" s="58"/>
      <c r="P681" s="58"/>
      <c r="Q681" s="58"/>
      <c r="R681" s="58"/>
      <c r="S681" s="58"/>
      <c r="T681" s="58"/>
      <c r="U681" s="58"/>
      <c r="V681" s="58"/>
      <c r="W681" s="58"/>
      <c r="X681" s="58"/>
      <c r="Y681" s="58"/>
    </row>
    <row r="682">
      <c r="A682" s="58"/>
      <c r="B682" s="58"/>
      <c r="C682" s="58"/>
      <c r="D682" s="58"/>
      <c r="E682" s="194"/>
      <c r="F682" s="58"/>
      <c r="G682" s="58"/>
      <c r="H682" s="58"/>
      <c r="I682" s="58"/>
      <c r="J682" s="58"/>
      <c r="K682" s="58"/>
      <c r="L682" s="58"/>
      <c r="M682" s="58"/>
      <c r="N682" s="58"/>
      <c r="O682" s="58"/>
      <c r="P682" s="58"/>
      <c r="Q682" s="58"/>
      <c r="R682" s="58"/>
      <c r="S682" s="58"/>
      <c r="T682" s="58"/>
      <c r="U682" s="58"/>
      <c r="V682" s="58"/>
      <c r="W682" s="58"/>
      <c r="X682" s="58"/>
      <c r="Y682" s="58"/>
    </row>
    <row r="683">
      <c r="A683" s="58"/>
      <c r="B683" s="58"/>
      <c r="C683" s="58"/>
      <c r="D683" s="58"/>
      <c r="E683" s="194"/>
      <c r="F683" s="58"/>
      <c r="G683" s="58"/>
      <c r="H683" s="58"/>
      <c r="I683" s="58"/>
      <c r="J683" s="58"/>
      <c r="K683" s="58"/>
      <c r="L683" s="58"/>
      <c r="M683" s="58"/>
      <c r="N683" s="58"/>
      <c r="O683" s="58"/>
      <c r="P683" s="58"/>
      <c r="Q683" s="58"/>
      <c r="R683" s="58"/>
      <c r="S683" s="58"/>
      <c r="T683" s="58"/>
      <c r="U683" s="58"/>
      <c r="V683" s="58"/>
      <c r="W683" s="58"/>
      <c r="X683" s="58"/>
      <c r="Y683" s="58"/>
    </row>
    <row r="684">
      <c r="A684" s="58"/>
      <c r="B684" s="58"/>
      <c r="C684" s="58"/>
      <c r="D684" s="58"/>
      <c r="E684" s="194"/>
      <c r="F684" s="58"/>
      <c r="G684" s="58"/>
      <c r="H684" s="58"/>
      <c r="I684" s="58"/>
      <c r="J684" s="58"/>
      <c r="K684" s="58"/>
      <c r="L684" s="58"/>
      <c r="M684" s="58"/>
      <c r="N684" s="58"/>
      <c r="O684" s="58"/>
      <c r="P684" s="58"/>
      <c r="Q684" s="58"/>
      <c r="R684" s="58"/>
      <c r="S684" s="58"/>
      <c r="T684" s="58"/>
      <c r="U684" s="58"/>
      <c r="V684" s="58"/>
      <c r="W684" s="58"/>
      <c r="X684" s="58"/>
      <c r="Y684" s="58"/>
    </row>
    <row r="685">
      <c r="A685" s="58"/>
      <c r="B685" s="58"/>
      <c r="C685" s="58"/>
      <c r="D685" s="58"/>
      <c r="E685" s="194"/>
      <c r="F685" s="58"/>
      <c r="G685" s="58"/>
      <c r="H685" s="58"/>
      <c r="I685" s="58"/>
      <c r="J685" s="58"/>
      <c r="K685" s="58"/>
      <c r="L685" s="58"/>
      <c r="M685" s="58"/>
      <c r="N685" s="58"/>
      <c r="O685" s="58"/>
      <c r="P685" s="58"/>
      <c r="Q685" s="58"/>
      <c r="R685" s="58"/>
      <c r="S685" s="58"/>
      <c r="T685" s="58"/>
      <c r="U685" s="58"/>
      <c r="V685" s="58"/>
      <c r="W685" s="58"/>
      <c r="X685" s="58"/>
      <c r="Y685" s="58"/>
    </row>
    <row r="686">
      <c r="A686" s="58"/>
      <c r="B686" s="58"/>
      <c r="C686" s="58"/>
      <c r="D686" s="58"/>
      <c r="E686" s="194"/>
      <c r="F686" s="58"/>
      <c r="G686" s="58"/>
      <c r="H686" s="58"/>
      <c r="I686" s="58"/>
      <c r="J686" s="58"/>
      <c r="K686" s="58"/>
      <c r="L686" s="58"/>
      <c r="M686" s="58"/>
      <c r="N686" s="58"/>
      <c r="O686" s="58"/>
      <c r="P686" s="58"/>
      <c r="Q686" s="58"/>
      <c r="R686" s="58"/>
      <c r="S686" s="58"/>
      <c r="T686" s="58"/>
      <c r="U686" s="58"/>
      <c r="V686" s="58"/>
      <c r="W686" s="58"/>
      <c r="X686" s="58"/>
      <c r="Y686" s="58"/>
    </row>
    <row r="687">
      <c r="A687" s="58"/>
      <c r="B687" s="58"/>
      <c r="C687" s="58"/>
      <c r="D687" s="58"/>
      <c r="E687" s="194"/>
      <c r="F687" s="58"/>
      <c r="G687" s="58"/>
      <c r="H687" s="58"/>
      <c r="I687" s="58"/>
      <c r="J687" s="58"/>
      <c r="K687" s="58"/>
      <c r="L687" s="58"/>
      <c r="M687" s="58"/>
      <c r="N687" s="58"/>
      <c r="O687" s="58"/>
      <c r="P687" s="58"/>
      <c r="Q687" s="58"/>
      <c r="R687" s="58"/>
      <c r="S687" s="58"/>
      <c r="T687" s="58"/>
      <c r="U687" s="58"/>
      <c r="V687" s="58"/>
      <c r="W687" s="58"/>
      <c r="X687" s="58"/>
      <c r="Y687" s="58"/>
    </row>
    <row r="688">
      <c r="A688" s="58"/>
      <c r="B688" s="58"/>
      <c r="C688" s="58"/>
      <c r="D688" s="58"/>
      <c r="E688" s="194"/>
      <c r="F688" s="58"/>
      <c r="G688" s="58"/>
      <c r="H688" s="58"/>
      <c r="I688" s="58"/>
      <c r="J688" s="58"/>
      <c r="K688" s="58"/>
      <c r="L688" s="58"/>
      <c r="M688" s="58"/>
      <c r="N688" s="58"/>
      <c r="O688" s="58"/>
      <c r="P688" s="58"/>
      <c r="Q688" s="58"/>
      <c r="R688" s="58"/>
      <c r="S688" s="58"/>
      <c r="T688" s="58"/>
      <c r="U688" s="58"/>
      <c r="V688" s="58"/>
      <c r="W688" s="58"/>
      <c r="X688" s="58"/>
      <c r="Y688" s="58"/>
    </row>
    <row r="689">
      <c r="A689" s="58"/>
      <c r="B689" s="58"/>
      <c r="C689" s="58"/>
      <c r="D689" s="58"/>
      <c r="E689" s="194"/>
      <c r="F689" s="58"/>
      <c r="G689" s="58"/>
      <c r="H689" s="58"/>
      <c r="I689" s="58"/>
      <c r="J689" s="58"/>
      <c r="K689" s="58"/>
      <c r="L689" s="58"/>
      <c r="M689" s="58"/>
      <c r="N689" s="58"/>
      <c r="O689" s="58"/>
      <c r="P689" s="58"/>
      <c r="Q689" s="58"/>
      <c r="R689" s="58"/>
      <c r="S689" s="58"/>
      <c r="T689" s="58"/>
      <c r="U689" s="58"/>
      <c r="V689" s="58"/>
      <c r="W689" s="58"/>
      <c r="X689" s="58"/>
      <c r="Y689" s="58"/>
    </row>
    <row r="690">
      <c r="A690" s="58"/>
      <c r="B690" s="58"/>
      <c r="C690" s="58"/>
      <c r="D690" s="58"/>
      <c r="E690" s="194"/>
      <c r="F690" s="58"/>
      <c r="G690" s="58"/>
      <c r="H690" s="58"/>
      <c r="I690" s="58"/>
      <c r="J690" s="58"/>
      <c r="K690" s="58"/>
      <c r="L690" s="58"/>
      <c r="M690" s="58"/>
      <c r="N690" s="58"/>
      <c r="O690" s="58"/>
      <c r="P690" s="58"/>
      <c r="Q690" s="58"/>
      <c r="R690" s="58"/>
      <c r="S690" s="58"/>
      <c r="T690" s="58"/>
      <c r="U690" s="58"/>
      <c r="V690" s="58"/>
      <c r="W690" s="58"/>
      <c r="X690" s="58"/>
      <c r="Y690" s="58"/>
    </row>
    <row r="691">
      <c r="A691" s="58"/>
      <c r="B691" s="58"/>
      <c r="C691" s="58"/>
      <c r="D691" s="58"/>
      <c r="E691" s="194"/>
      <c r="F691" s="58"/>
      <c r="G691" s="58"/>
      <c r="H691" s="58"/>
      <c r="I691" s="58"/>
      <c r="J691" s="58"/>
      <c r="K691" s="58"/>
      <c r="L691" s="58"/>
      <c r="M691" s="58"/>
      <c r="N691" s="58"/>
      <c r="O691" s="58"/>
      <c r="P691" s="58"/>
      <c r="Q691" s="58"/>
      <c r="R691" s="58"/>
      <c r="S691" s="58"/>
      <c r="T691" s="58"/>
      <c r="U691" s="58"/>
      <c r="V691" s="58"/>
      <c r="W691" s="58"/>
      <c r="X691" s="58"/>
      <c r="Y691" s="58"/>
    </row>
    <row r="692">
      <c r="A692" s="58"/>
      <c r="B692" s="58"/>
      <c r="C692" s="58"/>
      <c r="D692" s="58"/>
      <c r="E692" s="194"/>
      <c r="F692" s="58"/>
      <c r="G692" s="58"/>
      <c r="H692" s="58"/>
      <c r="I692" s="58"/>
      <c r="J692" s="58"/>
      <c r="K692" s="58"/>
      <c r="L692" s="58"/>
      <c r="M692" s="58"/>
      <c r="N692" s="58"/>
      <c r="O692" s="58"/>
      <c r="P692" s="58"/>
      <c r="Q692" s="58"/>
      <c r="R692" s="58"/>
      <c r="S692" s="58"/>
      <c r="T692" s="58"/>
      <c r="U692" s="58"/>
      <c r="V692" s="58"/>
      <c r="W692" s="58"/>
      <c r="X692" s="58"/>
      <c r="Y692" s="58"/>
    </row>
    <row r="693">
      <c r="A693" s="58"/>
      <c r="B693" s="58"/>
      <c r="C693" s="58"/>
      <c r="D693" s="58"/>
      <c r="E693" s="194"/>
      <c r="F693" s="58"/>
      <c r="G693" s="58"/>
      <c r="H693" s="58"/>
      <c r="I693" s="58"/>
      <c r="J693" s="58"/>
      <c r="K693" s="58"/>
      <c r="L693" s="58"/>
      <c r="M693" s="58"/>
      <c r="N693" s="58"/>
      <c r="O693" s="58"/>
      <c r="P693" s="58"/>
      <c r="Q693" s="58"/>
      <c r="R693" s="58"/>
      <c r="S693" s="58"/>
      <c r="T693" s="58"/>
      <c r="U693" s="58"/>
      <c r="V693" s="58"/>
      <c r="W693" s="58"/>
      <c r="X693" s="58"/>
      <c r="Y693" s="58"/>
    </row>
    <row r="694">
      <c r="A694" s="58"/>
      <c r="B694" s="58"/>
      <c r="C694" s="58"/>
      <c r="D694" s="58"/>
      <c r="E694" s="194"/>
      <c r="F694" s="58"/>
      <c r="G694" s="58"/>
      <c r="H694" s="58"/>
      <c r="I694" s="58"/>
      <c r="J694" s="58"/>
      <c r="K694" s="58"/>
      <c r="L694" s="58"/>
      <c r="M694" s="58"/>
      <c r="N694" s="58"/>
      <c r="O694" s="58"/>
      <c r="P694" s="58"/>
      <c r="Q694" s="58"/>
      <c r="R694" s="58"/>
      <c r="S694" s="58"/>
      <c r="T694" s="58"/>
      <c r="U694" s="58"/>
      <c r="V694" s="58"/>
      <c r="W694" s="58"/>
      <c r="X694" s="58"/>
      <c r="Y694" s="58"/>
    </row>
    <row r="695">
      <c r="A695" s="58"/>
      <c r="B695" s="58"/>
      <c r="C695" s="58"/>
      <c r="D695" s="58"/>
      <c r="E695" s="194"/>
      <c r="F695" s="58"/>
      <c r="G695" s="58"/>
      <c r="H695" s="58"/>
      <c r="I695" s="58"/>
      <c r="J695" s="58"/>
      <c r="K695" s="58"/>
      <c r="L695" s="58"/>
      <c r="M695" s="58"/>
      <c r="N695" s="58"/>
      <c r="O695" s="58"/>
      <c r="P695" s="58"/>
      <c r="Q695" s="58"/>
      <c r="R695" s="58"/>
      <c r="S695" s="58"/>
      <c r="T695" s="58"/>
      <c r="U695" s="58"/>
      <c r="V695" s="58"/>
      <c r="W695" s="58"/>
      <c r="X695" s="58"/>
      <c r="Y695" s="58"/>
    </row>
    <row r="696">
      <c r="A696" s="58"/>
      <c r="B696" s="58"/>
      <c r="C696" s="58"/>
      <c r="D696" s="58"/>
      <c r="E696" s="194"/>
      <c r="F696" s="58"/>
      <c r="G696" s="58"/>
      <c r="H696" s="58"/>
      <c r="I696" s="58"/>
      <c r="J696" s="58"/>
      <c r="K696" s="58"/>
      <c r="L696" s="58"/>
      <c r="M696" s="58"/>
      <c r="N696" s="58"/>
      <c r="O696" s="58"/>
      <c r="P696" s="58"/>
      <c r="Q696" s="58"/>
      <c r="R696" s="58"/>
      <c r="S696" s="58"/>
      <c r="T696" s="58"/>
      <c r="U696" s="58"/>
      <c r="V696" s="58"/>
      <c r="W696" s="58"/>
      <c r="X696" s="58"/>
      <c r="Y696" s="58"/>
    </row>
    <row r="697">
      <c r="A697" s="58"/>
      <c r="B697" s="58"/>
      <c r="C697" s="58"/>
      <c r="D697" s="58"/>
      <c r="E697" s="194"/>
      <c r="F697" s="58"/>
      <c r="G697" s="58"/>
      <c r="H697" s="58"/>
      <c r="I697" s="58"/>
      <c r="J697" s="58"/>
      <c r="K697" s="58"/>
      <c r="L697" s="58"/>
      <c r="M697" s="58"/>
      <c r="N697" s="58"/>
      <c r="O697" s="58"/>
      <c r="P697" s="58"/>
      <c r="Q697" s="58"/>
      <c r="R697" s="58"/>
      <c r="S697" s="58"/>
      <c r="T697" s="58"/>
      <c r="U697" s="58"/>
      <c r="V697" s="58"/>
      <c r="W697" s="58"/>
      <c r="X697" s="58"/>
      <c r="Y697" s="58"/>
    </row>
    <row r="698">
      <c r="A698" s="58"/>
      <c r="B698" s="58"/>
      <c r="C698" s="58"/>
      <c r="D698" s="58"/>
      <c r="E698" s="194"/>
      <c r="F698" s="58"/>
      <c r="G698" s="58"/>
      <c r="H698" s="58"/>
      <c r="I698" s="58"/>
      <c r="J698" s="58"/>
      <c r="K698" s="58"/>
      <c r="L698" s="58"/>
      <c r="M698" s="58"/>
      <c r="N698" s="58"/>
      <c r="O698" s="58"/>
      <c r="P698" s="58"/>
      <c r="Q698" s="58"/>
      <c r="R698" s="58"/>
      <c r="S698" s="58"/>
      <c r="T698" s="58"/>
      <c r="U698" s="58"/>
      <c r="V698" s="58"/>
      <c r="W698" s="58"/>
      <c r="X698" s="58"/>
      <c r="Y698" s="58"/>
    </row>
    <row r="699">
      <c r="A699" s="58"/>
      <c r="B699" s="58"/>
      <c r="C699" s="58"/>
      <c r="D699" s="58"/>
      <c r="E699" s="194"/>
      <c r="F699" s="58"/>
      <c r="G699" s="58"/>
      <c r="H699" s="58"/>
      <c r="I699" s="58"/>
      <c r="J699" s="58"/>
      <c r="K699" s="58"/>
      <c r="L699" s="58"/>
      <c r="M699" s="58"/>
      <c r="N699" s="58"/>
      <c r="O699" s="58"/>
      <c r="P699" s="58"/>
      <c r="Q699" s="58"/>
      <c r="R699" s="58"/>
      <c r="S699" s="58"/>
      <c r="T699" s="58"/>
      <c r="U699" s="58"/>
      <c r="V699" s="58"/>
      <c r="W699" s="58"/>
      <c r="X699" s="58"/>
      <c r="Y699" s="58"/>
    </row>
    <row r="700">
      <c r="A700" s="58"/>
      <c r="B700" s="58"/>
      <c r="C700" s="58"/>
      <c r="D700" s="58"/>
      <c r="E700" s="194"/>
      <c r="F700" s="58"/>
      <c r="G700" s="58"/>
      <c r="H700" s="58"/>
      <c r="I700" s="58"/>
      <c r="J700" s="58"/>
      <c r="K700" s="58"/>
      <c r="L700" s="58"/>
      <c r="M700" s="58"/>
      <c r="N700" s="58"/>
      <c r="O700" s="58"/>
      <c r="P700" s="58"/>
      <c r="Q700" s="58"/>
      <c r="R700" s="58"/>
      <c r="S700" s="58"/>
      <c r="T700" s="58"/>
      <c r="U700" s="58"/>
      <c r="V700" s="58"/>
      <c r="W700" s="58"/>
      <c r="X700" s="58"/>
      <c r="Y700" s="58"/>
    </row>
    <row r="701">
      <c r="A701" s="58"/>
      <c r="B701" s="58"/>
      <c r="C701" s="58"/>
      <c r="D701" s="58"/>
      <c r="E701" s="194"/>
      <c r="F701" s="58"/>
      <c r="G701" s="58"/>
      <c r="H701" s="58"/>
      <c r="I701" s="58"/>
      <c r="J701" s="58"/>
      <c r="K701" s="58"/>
      <c r="L701" s="58"/>
      <c r="M701" s="58"/>
      <c r="N701" s="58"/>
      <c r="O701" s="58"/>
      <c r="P701" s="58"/>
      <c r="Q701" s="58"/>
      <c r="R701" s="58"/>
      <c r="S701" s="58"/>
      <c r="T701" s="58"/>
      <c r="U701" s="58"/>
      <c r="V701" s="58"/>
      <c r="W701" s="58"/>
      <c r="X701" s="58"/>
      <c r="Y701" s="58"/>
    </row>
    <row r="702">
      <c r="A702" s="58"/>
      <c r="B702" s="58"/>
      <c r="C702" s="58"/>
      <c r="D702" s="58"/>
      <c r="E702" s="194"/>
      <c r="F702" s="58"/>
      <c r="G702" s="58"/>
      <c r="H702" s="58"/>
      <c r="I702" s="58"/>
      <c r="J702" s="58"/>
      <c r="K702" s="58"/>
      <c r="L702" s="58"/>
      <c r="M702" s="58"/>
      <c r="N702" s="58"/>
      <c r="O702" s="58"/>
      <c r="P702" s="58"/>
      <c r="Q702" s="58"/>
      <c r="R702" s="58"/>
      <c r="S702" s="58"/>
      <c r="T702" s="58"/>
      <c r="U702" s="58"/>
      <c r="V702" s="58"/>
      <c r="W702" s="58"/>
      <c r="X702" s="58"/>
      <c r="Y702" s="58"/>
    </row>
    <row r="703">
      <c r="A703" s="58"/>
      <c r="B703" s="58"/>
      <c r="C703" s="58"/>
      <c r="D703" s="58"/>
      <c r="E703" s="194"/>
      <c r="F703" s="58"/>
      <c r="G703" s="58"/>
      <c r="H703" s="58"/>
      <c r="I703" s="58"/>
      <c r="J703" s="58"/>
      <c r="K703" s="58"/>
      <c r="L703" s="58"/>
      <c r="M703" s="58"/>
      <c r="N703" s="58"/>
      <c r="O703" s="58"/>
      <c r="P703" s="58"/>
      <c r="Q703" s="58"/>
      <c r="R703" s="58"/>
      <c r="S703" s="58"/>
      <c r="T703" s="58"/>
      <c r="U703" s="58"/>
      <c r="V703" s="58"/>
      <c r="W703" s="58"/>
      <c r="X703" s="58"/>
      <c r="Y703" s="58"/>
    </row>
    <row r="704">
      <c r="A704" s="58"/>
      <c r="B704" s="58"/>
      <c r="C704" s="58"/>
      <c r="D704" s="58"/>
      <c r="E704" s="194"/>
      <c r="F704" s="58"/>
      <c r="G704" s="58"/>
      <c r="H704" s="58"/>
      <c r="I704" s="58"/>
      <c r="J704" s="58"/>
      <c r="K704" s="58"/>
      <c r="L704" s="58"/>
      <c r="M704" s="58"/>
      <c r="N704" s="58"/>
      <c r="O704" s="58"/>
      <c r="P704" s="58"/>
      <c r="Q704" s="58"/>
      <c r="R704" s="58"/>
      <c r="S704" s="58"/>
      <c r="T704" s="58"/>
      <c r="U704" s="58"/>
      <c r="V704" s="58"/>
      <c r="W704" s="58"/>
      <c r="X704" s="58"/>
      <c r="Y704" s="58"/>
    </row>
    <row r="705">
      <c r="A705" s="58"/>
      <c r="B705" s="58"/>
      <c r="C705" s="58"/>
      <c r="D705" s="58"/>
      <c r="E705" s="194"/>
      <c r="F705" s="58"/>
      <c r="G705" s="58"/>
      <c r="H705" s="58"/>
      <c r="I705" s="58"/>
      <c r="J705" s="58"/>
      <c r="K705" s="58"/>
      <c r="L705" s="58"/>
      <c r="M705" s="58"/>
      <c r="N705" s="58"/>
      <c r="O705" s="58"/>
      <c r="P705" s="58"/>
      <c r="Q705" s="58"/>
      <c r="R705" s="58"/>
      <c r="S705" s="58"/>
      <c r="T705" s="58"/>
      <c r="U705" s="58"/>
      <c r="V705" s="58"/>
      <c r="W705" s="58"/>
      <c r="X705" s="58"/>
      <c r="Y705" s="58"/>
    </row>
    <row r="706">
      <c r="A706" s="58"/>
      <c r="B706" s="58"/>
      <c r="C706" s="58"/>
      <c r="D706" s="58"/>
      <c r="E706" s="194"/>
      <c r="F706" s="58"/>
      <c r="G706" s="58"/>
      <c r="H706" s="58"/>
      <c r="I706" s="58"/>
      <c r="J706" s="58"/>
      <c r="K706" s="58"/>
      <c r="L706" s="58"/>
      <c r="M706" s="58"/>
      <c r="N706" s="58"/>
      <c r="O706" s="58"/>
      <c r="P706" s="58"/>
      <c r="Q706" s="58"/>
      <c r="R706" s="58"/>
      <c r="S706" s="58"/>
      <c r="T706" s="58"/>
      <c r="U706" s="58"/>
      <c r="V706" s="58"/>
      <c r="W706" s="58"/>
      <c r="X706" s="58"/>
      <c r="Y706" s="58"/>
    </row>
    <row r="707">
      <c r="A707" s="58"/>
      <c r="B707" s="58"/>
      <c r="C707" s="58"/>
      <c r="D707" s="58"/>
      <c r="E707" s="194"/>
      <c r="F707" s="58"/>
      <c r="G707" s="58"/>
      <c r="H707" s="58"/>
      <c r="I707" s="58"/>
      <c r="J707" s="58"/>
      <c r="K707" s="58"/>
      <c r="L707" s="58"/>
      <c r="M707" s="58"/>
      <c r="N707" s="58"/>
      <c r="O707" s="58"/>
      <c r="P707" s="58"/>
      <c r="Q707" s="58"/>
      <c r="R707" s="58"/>
      <c r="S707" s="58"/>
      <c r="T707" s="58"/>
      <c r="U707" s="58"/>
      <c r="V707" s="58"/>
      <c r="W707" s="58"/>
      <c r="X707" s="58"/>
      <c r="Y707" s="58"/>
    </row>
    <row r="708">
      <c r="A708" s="58"/>
      <c r="B708" s="58"/>
      <c r="C708" s="58"/>
      <c r="D708" s="58"/>
      <c r="E708" s="194"/>
      <c r="F708" s="58"/>
      <c r="G708" s="58"/>
      <c r="H708" s="58"/>
      <c r="I708" s="58"/>
      <c r="J708" s="58"/>
      <c r="K708" s="58"/>
      <c r="L708" s="58"/>
      <c r="M708" s="58"/>
      <c r="N708" s="58"/>
      <c r="O708" s="58"/>
      <c r="P708" s="58"/>
      <c r="Q708" s="58"/>
      <c r="R708" s="58"/>
      <c r="S708" s="58"/>
      <c r="T708" s="58"/>
      <c r="U708" s="58"/>
      <c r="V708" s="58"/>
      <c r="W708" s="58"/>
      <c r="X708" s="58"/>
      <c r="Y708" s="58"/>
    </row>
    <row r="709">
      <c r="A709" s="58"/>
      <c r="B709" s="58"/>
      <c r="C709" s="58"/>
      <c r="D709" s="58"/>
      <c r="E709" s="194"/>
      <c r="F709" s="58"/>
      <c r="G709" s="58"/>
      <c r="H709" s="58"/>
      <c r="I709" s="58"/>
      <c r="J709" s="58"/>
      <c r="K709" s="58"/>
      <c r="L709" s="58"/>
      <c r="M709" s="58"/>
      <c r="N709" s="58"/>
      <c r="O709" s="58"/>
      <c r="P709" s="58"/>
      <c r="Q709" s="58"/>
      <c r="R709" s="58"/>
      <c r="S709" s="58"/>
      <c r="T709" s="58"/>
      <c r="U709" s="58"/>
      <c r="V709" s="58"/>
      <c r="W709" s="58"/>
      <c r="X709" s="58"/>
      <c r="Y709" s="58"/>
    </row>
    <row r="710">
      <c r="A710" s="58"/>
      <c r="B710" s="58"/>
      <c r="C710" s="58"/>
      <c r="D710" s="58"/>
      <c r="E710" s="194"/>
      <c r="F710" s="58"/>
      <c r="G710" s="58"/>
      <c r="H710" s="58"/>
      <c r="I710" s="58"/>
      <c r="J710" s="58"/>
      <c r="K710" s="58"/>
      <c r="L710" s="58"/>
      <c r="M710" s="58"/>
      <c r="N710" s="58"/>
      <c r="O710" s="58"/>
      <c r="P710" s="58"/>
      <c r="Q710" s="58"/>
      <c r="R710" s="58"/>
      <c r="S710" s="58"/>
      <c r="T710" s="58"/>
      <c r="U710" s="58"/>
      <c r="V710" s="58"/>
      <c r="W710" s="58"/>
      <c r="X710" s="58"/>
      <c r="Y710" s="58"/>
    </row>
    <row r="711">
      <c r="A711" s="58"/>
      <c r="B711" s="58"/>
      <c r="C711" s="58"/>
      <c r="D711" s="58"/>
      <c r="E711" s="194"/>
      <c r="F711" s="58"/>
      <c r="G711" s="58"/>
      <c r="H711" s="58"/>
      <c r="I711" s="58"/>
      <c r="J711" s="58"/>
      <c r="K711" s="58"/>
      <c r="L711" s="58"/>
      <c r="M711" s="58"/>
      <c r="N711" s="58"/>
      <c r="O711" s="58"/>
      <c r="P711" s="58"/>
      <c r="Q711" s="58"/>
      <c r="R711" s="58"/>
      <c r="S711" s="58"/>
      <c r="T711" s="58"/>
      <c r="U711" s="58"/>
      <c r="V711" s="58"/>
      <c r="W711" s="58"/>
      <c r="X711" s="58"/>
      <c r="Y711" s="58"/>
    </row>
    <row r="712">
      <c r="A712" s="58"/>
      <c r="B712" s="58"/>
      <c r="C712" s="58"/>
      <c r="D712" s="58"/>
      <c r="E712" s="194"/>
      <c r="F712" s="58"/>
      <c r="G712" s="58"/>
      <c r="H712" s="58"/>
      <c r="I712" s="58"/>
      <c r="J712" s="58"/>
      <c r="K712" s="58"/>
      <c r="L712" s="58"/>
      <c r="M712" s="58"/>
      <c r="N712" s="58"/>
      <c r="O712" s="58"/>
      <c r="P712" s="58"/>
      <c r="Q712" s="58"/>
      <c r="R712" s="58"/>
      <c r="S712" s="58"/>
      <c r="T712" s="58"/>
      <c r="U712" s="58"/>
      <c r="V712" s="58"/>
      <c r="W712" s="58"/>
      <c r="X712" s="58"/>
      <c r="Y712" s="58"/>
    </row>
    <row r="713">
      <c r="A713" s="58"/>
      <c r="B713" s="58"/>
      <c r="C713" s="58"/>
      <c r="D713" s="58"/>
      <c r="E713" s="194"/>
      <c r="F713" s="58"/>
      <c r="G713" s="58"/>
      <c r="H713" s="58"/>
      <c r="I713" s="58"/>
      <c r="J713" s="58"/>
      <c r="K713" s="58"/>
      <c r="L713" s="58"/>
      <c r="M713" s="58"/>
      <c r="N713" s="58"/>
      <c r="O713" s="58"/>
      <c r="P713" s="58"/>
      <c r="Q713" s="58"/>
      <c r="R713" s="58"/>
      <c r="S713" s="58"/>
      <c r="T713" s="58"/>
      <c r="U713" s="58"/>
      <c r="V713" s="58"/>
      <c r="W713" s="58"/>
      <c r="X713" s="58"/>
      <c r="Y713" s="58"/>
    </row>
    <row r="714">
      <c r="A714" s="58"/>
      <c r="B714" s="58"/>
      <c r="C714" s="58"/>
      <c r="D714" s="58"/>
      <c r="E714" s="194"/>
      <c r="F714" s="58"/>
      <c r="G714" s="58"/>
      <c r="H714" s="58"/>
      <c r="I714" s="58"/>
      <c r="J714" s="58"/>
      <c r="K714" s="58"/>
      <c r="L714" s="58"/>
      <c r="M714" s="58"/>
      <c r="N714" s="58"/>
      <c r="O714" s="58"/>
      <c r="P714" s="58"/>
      <c r="Q714" s="58"/>
      <c r="R714" s="58"/>
      <c r="S714" s="58"/>
      <c r="T714" s="58"/>
      <c r="U714" s="58"/>
      <c r="V714" s="58"/>
      <c r="W714" s="58"/>
      <c r="X714" s="58"/>
      <c r="Y714" s="58"/>
    </row>
    <row r="715">
      <c r="A715" s="58"/>
      <c r="B715" s="58"/>
      <c r="C715" s="58"/>
      <c r="D715" s="58"/>
      <c r="E715" s="194"/>
      <c r="F715" s="58"/>
      <c r="G715" s="58"/>
      <c r="H715" s="58"/>
      <c r="I715" s="58"/>
      <c r="J715" s="58"/>
      <c r="K715" s="58"/>
      <c r="L715" s="58"/>
      <c r="M715" s="58"/>
      <c r="N715" s="58"/>
      <c r="O715" s="58"/>
      <c r="P715" s="58"/>
      <c r="Q715" s="58"/>
      <c r="R715" s="58"/>
      <c r="S715" s="58"/>
      <c r="T715" s="58"/>
      <c r="U715" s="58"/>
      <c r="V715" s="58"/>
      <c r="W715" s="58"/>
      <c r="X715" s="58"/>
      <c r="Y715" s="58"/>
    </row>
    <row r="716">
      <c r="A716" s="58"/>
      <c r="B716" s="58"/>
      <c r="C716" s="58"/>
      <c r="D716" s="58"/>
      <c r="E716" s="194"/>
      <c r="F716" s="58"/>
      <c r="G716" s="58"/>
      <c r="H716" s="58"/>
      <c r="I716" s="58"/>
      <c r="J716" s="58"/>
      <c r="K716" s="58"/>
      <c r="L716" s="58"/>
      <c r="M716" s="58"/>
      <c r="N716" s="58"/>
      <c r="O716" s="58"/>
      <c r="P716" s="58"/>
      <c r="Q716" s="58"/>
      <c r="R716" s="58"/>
      <c r="S716" s="58"/>
      <c r="T716" s="58"/>
      <c r="U716" s="58"/>
      <c r="V716" s="58"/>
      <c r="W716" s="58"/>
      <c r="X716" s="58"/>
      <c r="Y716" s="58"/>
    </row>
    <row r="717">
      <c r="A717" s="58"/>
      <c r="B717" s="58"/>
      <c r="C717" s="58"/>
      <c r="D717" s="58"/>
      <c r="E717" s="194"/>
      <c r="F717" s="58"/>
      <c r="G717" s="58"/>
      <c r="H717" s="58"/>
      <c r="I717" s="58"/>
      <c r="J717" s="58"/>
      <c r="K717" s="58"/>
      <c r="L717" s="58"/>
      <c r="M717" s="58"/>
      <c r="N717" s="58"/>
      <c r="O717" s="58"/>
      <c r="P717" s="58"/>
      <c r="Q717" s="58"/>
      <c r="R717" s="58"/>
      <c r="S717" s="58"/>
      <c r="T717" s="58"/>
      <c r="U717" s="58"/>
      <c r="V717" s="58"/>
      <c r="W717" s="58"/>
      <c r="X717" s="58"/>
      <c r="Y717" s="58"/>
    </row>
    <row r="718">
      <c r="A718" s="58"/>
      <c r="B718" s="58"/>
      <c r="C718" s="58"/>
      <c r="D718" s="58"/>
      <c r="E718" s="194"/>
      <c r="F718" s="58"/>
      <c r="G718" s="58"/>
      <c r="H718" s="58"/>
      <c r="I718" s="58"/>
      <c r="J718" s="58"/>
      <c r="K718" s="58"/>
      <c r="L718" s="58"/>
      <c r="M718" s="58"/>
      <c r="N718" s="58"/>
      <c r="O718" s="58"/>
      <c r="P718" s="58"/>
      <c r="Q718" s="58"/>
      <c r="R718" s="58"/>
      <c r="S718" s="58"/>
      <c r="T718" s="58"/>
      <c r="U718" s="58"/>
      <c r="V718" s="58"/>
      <c r="W718" s="58"/>
      <c r="X718" s="58"/>
      <c r="Y718" s="58"/>
    </row>
    <row r="719">
      <c r="A719" s="58"/>
      <c r="B719" s="58"/>
      <c r="C719" s="58"/>
      <c r="D719" s="58"/>
      <c r="E719" s="194"/>
      <c r="F719" s="58"/>
      <c r="G719" s="58"/>
      <c r="H719" s="58"/>
      <c r="I719" s="58"/>
      <c r="J719" s="58"/>
      <c r="K719" s="58"/>
      <c r="L719" s="58"/>
      <c r="M719" s="58"/>
      <c r="N719" s="58"/>
      <c r="O719" s="58"/>
      <c r="P719" s="58"/>
      <c r="Q719" s="58"/>
      <c r="R719" s="58"/>
      <c r="S719" s="58"/>
      <c r="T719" s="58"/>
      <c r="U719" s="58"/>
      <c r="V719" s="58"/>
      <c r="W719" s="58"/>
      <c r="X719" s="58"/>
      <c r="Y719" s="58"/>
    </row>
    <row r="720">
      <c r="A720" s="58"/>
      <c r="B720" s="58"/>
      <c r="C720" s="58"/>
      <c r="D720" s="58"/>
      <c r="E720" s="194"/>
      <c r="F720" s="58"/>
      <c r="G720" s="58"/>
      <c r="H720" s="58"/>
      <c r="I720" s="58"/>
      <c r="J720" s="58"/>
      <c r="K720" s="58"/>
      <c r="L720" s="58"/>
      <c r="M720" s="58"/>
      <c r="N720" s="58"/>
      <c r="O720" s="58"/>
      <c r="P720" s="58"/>
      <c r="Q720" s="58"/>
      <c r="R720" s="58"/>
      <c r="S720" s="58"/>
      <c r="T720" s="58"/>
      <c r="U720" s="58"/>
      <c r="V720" s="58"/>
      <c r="W720" s="58"/>
      <c r="X720" s="58"/>
      <c r="Y720" s="58"/>
    </row>
    <row r="721">
      <c r="A721" s="58"/>
      <c r="B721" s="58"/>
      <c r="C721" s="58"/>
      <c r="D721" s="58"/>
      <c r="E721" s="194"/>
      <c r="F721" s="58"/>
      <c r="G721" s="58"/>
      <c r="H721" s="58"/>
      <c r="I721" s="58"/>
      <c r="J721" s="58"/>
      <c r="K721" s="58"/>
      <c r="L721" s="58"/>
      <c r="M721" s="58"/>
      <c r="N721" s="58"/>
      <c r="O721" s="58"/>
      <c r="P721" s="58"/>
      <c r="Q721" s="58"/>
      <c r="R721" s="58"/>
      <c r="S721" s="58"/>
      <c r="T721" s="58"/>
      <c r="U721" s="58"/>
      <c r="V721" s="58"/>
      <c r="W721" s="58"/>
      <c r="X721" s="58"/>
      <c r="Y721" s="58"/>
    </row>
    <row r="722">
      <c r="A722" s="58"/>
      <c r="B722" s="58"/>
      <c r="C722" s="58"/>
      <c r="D722" s="58"/>
      <c r="E722" s="194"/>
      <c r="F722" s="58"/>
      <c r="G722" s="58"/>
      <c r="H722" s="58"/>
      <c r="I722" s="58"/>
      <c r="J722" s="58"/>
      <c r="K722" s="58"/>
      <c r="L722" s="58"/>
      <c r="M722" s="58"/>
      <c r="N722" s="58"/>
      <c r="O722" s="58"/>
      <c r="P722" s="58"/>
      <c r="Q722" s="58"/>
      <c r="R722" s="58"/>
      <c r="S722" s="58"/>
      <c r="T722" s="58"/>
      <c r="U722" s="58"/>
      <c r="V722" s="58"/>
      <c r="W722" s="58"/>
      <c r="X722" s="58"/>
      <c r="Y722" s="58"/>
    </row>
    <row r="723">
      <c r="A723" s="58"/>
      <c r="B723" s="58"/>
      <c r="C723" s="58"/>
      <c r="D723" s="58"/>
      <c r="E723" s="194"/>
      <c r="F723" s="58"/>
      <c r="G723" s="58"/>
      <c r="H723" s="58"/>
      <c r="I723" s="58"/>
      <c r="J723" s="58"/>
      <c r="K723" s="58"/>
      <c r="L723" s="58"/>
      <c r="M723" s="58"/>
      <c r="N723" s="58"/>
      <c r="O723" s="58"/>
      <c r="P723" s="58"/>
      <c r="Q723" s="58"/>
      <c r="R723" s="58"/>
      <c r="S723" s="58"/>
      <c r="T723" s="58"/>
      <c r="U723" s="58"/>
      <c r="V723" s="58"/>
      <c r="W723" s="58"/>
      <c r="X723" s="58"/>
      <c r="Y723" s="58"/>
    </row>
    <row r="724">
      <c r="A724" s="58"/>
      <c r="B724" s="58"/>
      <c r="C724" s="58"/>
      <c r="D724" s="58"/>
      <c r="E724" s="194"/>
      <c r="F724" s="58"/>
      <c r="G724" s="58"/>
      <c r="H724" s="58"/>
      <c r="I724" s="58"/>
      <c r="J724" s="58"/>
      <c r="K724" s="58"/>
      <c r="L724" s="58"/>
      <c r="M724" s="58"/>
      <c r="N724" s="58"/>
      <c r="O724" s="58"/>
      <c r="P724" s="58"/>
      <c r="Q724" s="58"/>
      <c r="R724" s="58"/>
      <c r="S724" s="58"/>
      <c r="T724" s="58"/>
      <c r="U724" s="58"/>
      <c r="V724" s="58"/>
      <c r="W724" s="58"/>
      <c r="X724" s="58"/>
      <c r="Y724" s="58"/>
    </row>
    <row r="725">
      <c r="A725" s="58"/>
      <c r="B725" s="58"/>
      <c r="C725" s="58"/>
      <c r="D725" s="58"/>
      <c r="E725" s="194"/>
      <c r="F725" s="58"/>
      <c r="G725" s="58"/>
      <c r="H725" s="58"/>
      <c r="I725" s="58"/>
      <c r="J725" s="58"/>
      <c r="K725" s="58"/>
      <c r="L725" s="58"/>
      <c r="M725" s="58"/>
      <c r="N725" s="58"/>
      <c r="O725" s="58"/>
      <c r="P725" s="58"/>
      <c r="Q725" s="58"/>
      <c r="R725" s="58"/>
      <c r="S725" s="58"/>
      <c r="T725" s="58"/>
      <c r="U725" s="58"/>
      <c r="V725" s="58"/>
      <c r="W725" s="58"/>
      <c r="X725" s="58"/>
      <c r="Y725" s="58"/>
    </row>
    <row r="726">
      <c r="A726" s="58"/>
      <c r="B726" s="58"/>
      <c r="C726" s="58"/>
      <c r="D726" s="58"/>
      <c r="E726" s="194"/>
      <c r="F726" s="58"/>
      <c r="G726" s="58"/>
      <c r="H726" s="58"/>
      <c r="I726" s="58"/>
      <c r="J726" s="58"/>
      <c r="K726" s="58"/>
      <c r="L726" s="58"/>
      <c r="M726" s="58"/>
      <c r="N726" s="58"/>
      <c r="O726" s="58"/>
      <c r="P726" s="58"/>
      <c r="Q726" s="58"/>
      <c r="R726" s="58"/>
      <c r="S726" s="58"/>
      <c r="T726" s="58"/>
      <c r="U726" s="58"/>
      <c r="V726" s="58"/>
      <c r="W726" s="58"/>
      <c r="X726" s="58"/>
      <c r="Y726" s="58"/>
    </row>
    <row r="727">
      <c r="A727" s="58"/>
      <c r="B727" s="58"/>
      <c r="C727" s="58"/>
      <c r="D727" s="58"/>
      <c r="E727" s="194"/>
      <c r="F727" s="58"/>
      <c r="G727" s="58"/>
      <c r="H727" s="58"/>
      <c r="I727" s="58"/>
      <c r="J727" s="58"/>
      <c r="K727" s="58"/>
      <c r="L727" s="58"/>
      <c r="M727" s="58"/>
      <c r="N727" s="58"/>
      <c r="O727" s="58"/>
      <c r="P727" s="58"/>
      <c r="Q727" s="58"/>
      <c r="R727" s="58"/>
      <c r="S727" s="58"/>
      <c r="T727" s="58"/>
      <c r="U727" s="58"/>
      <c r="V727" s="58"/>
      <c r="W727" s="58"/>
      <c r="X727" s="58"/>
      <c r="Y727" s="58"/>
    </row>
    <row r="728">
      <c r="A728" s="58"/>
      <c r="B728" s="58"/>
      <c r="C728" s="58"/>
      <c r="D728" s="58"/>
      <c r="E728" s="194"/>
      <c r="F728" s="58"/>
      <c r="G728" s="58"/>
      <c r="H728" s="58"/>
      <c r="I728" s="58"/>
      <c r="J728" s="58"/>
      <c r="K728" s="58"/>
      <c r="L728" s="58"/>
      <c r="M728" s="58"/>
      <c r="N728" s="58"/>
      <c r="O728" s="58"/>
      <c r="P728" s="58"/>
      <c r="Q728" s="58"/>
      <c r="R728" s="58"/>
      <c r="S728" s="58"/>
      <c r="T728" s="58"/>
      <c r="U728" s="58"/>
      <c r="V728" s="58"/>
      <c r="W728" s="58"/>
      <c r="X728" s="58"/>
      <c r="Y728" s="58"/>
    </row>
    <row r="729">
      <c r="A729" s="58"/>
      <c r="B729" s="58"/>
      <c r="C729" s="58"/>
      <c r="D729" s="58"/>
      <c r="E729" s="194"/>
      <c r="F729" s="58"/>
      <c r="G729" s="58"/>
      <c r="H729" s="58"/>
      <c r="I729" s="58"/>
      <c r="J729" s="58"/>
      <c r="K729" s="58"/>
      <c r="L729" s="58"/>
      <c r="M729" s="58"/>
      <c r="N729" s="58"/>
      <c r="O729" s="58"/>
      <c r="P729" s="58"/>
      <c r="Q729" s="58"/>
      <c r="R729" s="58"/>
      <c r="S729" s="58"/>
      <c r="T729" s="58"/>
      <c r="U729" s="58"/>
      <c r="V729" s="58"/>
      <c r="W729" s="58"/>
      <c r="X729" s="58"/>
      <c r="Y729" s="58"/>
    </row>
    <row r="730">
      <c r="A730" s="58"/>
      <c r="B730" s="58"/>
      <c r="C730" s="58"/>
      <c r="D730" s="58"/>
      <c r="E730" s="194"/>
      <c r="F730" s="58"/>
      <c r="G730" s="58"/>
      <c r="H730" s="58"/>
      <c r="I730" s="58"/>
      <c r="J730" s="58"/>
      <c r="K730" s="58"/>
      <c r="L730" s="58"/>
      <c r="M730" s="58"/>
      <c r="N730" s="58"/>
      <c r="O730" s="58"/>
      <c r="P730" s="58"/>
      <c r="Q730" s="58"/>
      <c r="R730" s="58"/>
      <c r="S730" s="58"/>
      <c r="T730" s="58"/>
      <c r="U730" s="58"/>
      <c r="V730" s="58"/>
      <c r="W730" s="58"/>
      <c r="X730" s="58"/>
      <c r="Y730" s="58"/>
    </row>
    <row r="731">
      <c r="A731" s="58"/>
      <c r="B731" s="58"/>
      <c r="C731" s="58"/>
      <c r="D731" s="58"/>
      <c r="E731" s="194"/>
      <c r="F731" s="58"/>
      <c r="G731" s="58"/>
      <c r="H731" s="58"/>
      <c r="I731" s="58"/>
      <c r="J731" s="58"/>
      <c r="K731" s="58"/>
      <c r="L731" s="58"/>
      <c r="M731" s="58"/>
      <c r="N731" s="58"/>
      <c r="O731" s="58"/>
      <c r="P731" s="58"/>
      <c r="Q731" s="58"/>
      <c r="R731" s="58"/>
      <c r="S731" s="58"/>
      <c r="T731" s="58"/>
      <c r="U731" s="58"/>
      <c r="V731" s="58"/>
      <c r="W731" s="58"/>
      <c r="X731" s="58"/>
      <c r="Y731" s="58"/>
    </row>
    <row r="732">
      <c r="A732" s="58"/>
      <c r="B732" s="58"/>
      <c r="C732" s="58"/>
      <c r="D732" s="58"/>
      <c r="E732" s="194"/>
      <c r="F732" s="58"/>
      <c r="G732" s="58"/>
      <c r="H732" s="58"/>
      <c r="I732" s="58"/>
      <c r="J732" s="58"/>
      <c r="K732" s="58"/>
      <c r="L732" s="58"/>
      <c r="M732" s="58"/>
      <c r="N732" s="58"/>
      <c r="O732" s="58"/>
      <c r="P732" s="58"/>
      <c r="Q732" s="58"/>
      <c r="R732" s="58"/>
      <c r="S732" s="58"/>
      <c r="T732" s="58"/>
      <c r="U732" s="58"/>
      <c r="V732" s="58"/>
      <c r="W732" s="58"/>
      <c r="X732" s="58"/>
      <c r="Y732" s="58"/>
    </row>
    <row r="733">
      <c r="A733" s="58"/>
      <c r="B733" s="58"/>
      <c r="C733" s="58"/>
      <c r="D733" s="58"/>
      <c r="E733" s="194"/>
      <c r="F733" s="58"/>
      <c r="G733" s="58"/>
      <c r="H733" s="58"/>
      <c r="I733" s="58"/>
      <c r="J733" s="58"/>
      <c r="K733" s="58"/>
      <c r="L733" s="58"/>
      <c r="M733" s="58"/>
      <c r="N733" s="58"/>
      <c r="O733" s="58"/>
      <c r="P733" s="58"/>
      <c r="Q733" s="58"/>
      <c r="R733" s="58"/>
      <c r="S733" s="58"/>
      <c r="T733" s="58"/>
      <c r="U733" s="58"/>
      <c r="V733" s="58"/>
      <c r="W733" s="58"/>
      <c r="X733" s="58"/>
      <c r="Y733" s="58"/>
    </row>
    <row r="734">
      <c r="A734" s="58"/>
      <c r="B734" s="58"/>
      <c r="C734" s="58"/>
      <c r="D734" s="58"/>
      <c r="E734" s="194"/>
      <c r="F734" s="58"/>
      <c r="G734" s="58"/>
      <c r="H734" s="58"/>
      <c r="I734" s="58"/>
      <c r="J734" s="58"/>
      <c r="K734" s="58"/>
      <c r="L734" s="58"/>
      <c r="M734" s="58"/>
      <c r="N734" s="58"/>
      <c r="O734" s="58"/>
      <c r="P734" s="58"/>
      <c r="Q734" s="58"/>
      <c r="R734" s="58"/>
      <c r="S734" s="58"/>
      <c r="T734" s="58"/>
      <c r="U734" s="58"/>
      <c r="V734" s="58"/>
      <c r="W734" s="58"/>
      <c r="X734" s="58"/>
      <c r="Y734" s="58"/>
    </row>
    <row r="735">
      <c r="A735" s="58"/>
      <c r="B735" s="58"/>
      <c r="C735" s="58"/>
      <c r="D735" s="58"/>
      <c r="E735" s="194"/>
      <c r="F735" s="58"/>
      <c r="G735" s="58"/>
      <c r="H735" s="58"/>
      <c r="I735" s="58"/>
      <c r="J735" s="58"/>
      <c r="K735" s="58"/>
      <c r="L735" s="58"/>
      <c r="M735" s="58"/>
      <c r="N735" s="58"/>
      <c r="O735" s="58"/>
      <c r="P735" s="58"/>
      <c r="Q735" s="58"/>
      <c r="R735" s="58"/>
      <c r="S735" s="58"/>
      <c r="T735" s="58"/>
      <c r="U735" s="58"/>
      <c r="V735" s="58"/>
      <c r="W735" s="58"/>
      <c r="X735" s="58"/>
      <c r="Y735" s="58"/>
    </row>
    <row r="736">
      <c r="A736" s="58"/>
      <c r="B736" s="58"/>
      <c r="C736" s="58"/>
      <c r="D736" s="58"/>
      <c r="E736" s="194"/>
      <c r="F736" s="58"/>
      <c r="G736" s="58"/>
      <c r="H736" s="58"/>
      <c r="I736" s="58"/>
      <c r="J736" s="58"/>
      <c r="K736" s="58"/>
      <c r="L736" s="58"/>
      <c r="M736" s="58"/>
      <c r="N736" s="58"/>
      <c r="O736" s="58"/>
      <c r="P736" s="58"/>
      <c r="Q736" s="58"/>
      <c r="R736" s="58"/>
      <c r="S736" s="58"/>
      <c r="T736" s="58"/>
      <c r="U736" s="58"/>
      <c r="V736" s="58"/>
      <c r="W736" s="58"/>
      <c r="X736" s="58"/>
      <c r="Y736" s="58"/>
    </row>
    <row r="737">
      <c r="A737" s="58"/>
      <c r="B737" s="58"/>
      <c r="C737" s="58"/>
      <c r="D737" s="58"/>
      <c r="E737" s="194"/>
      <c r="F737" s="58"/>
      <c r="G737" s="58"/>
      <c r="H737" s="58"/>
      <c r="I737" s="58"/>
      <c r="J737" s="58"/>
      <c r="K737" s="58"/>
      <c r="L737" s="58"/>
      <c r="M737" s="58"/>
      <c r="N737" s="58"/>
      <c r="O737" s="58"/>
      <c r="P737" s="58"/>
      <c r="Q737" s="58"/>
      <c r="R737" s="58"/>
      <c r="S737" s="58"/>
      <c r="T737" s="58"/>
      <c r="U737" s="58"/>
      <c r="V737" s="58"/>
      <c r="W737" s="58"/>
      <c r="X737" s="58"/>
      <c r="Y737" s="58"/>
    </row>
    <row r="738">
      <c r="A738" s="58"/>
      <c r="B738" s="58"/>
      <c r="C738" s="58"/>
      <c r="D738" s="58"/>
      <c r="E738" s="194"/>
      <c r="F738" s="58"/>
      <c r="G738" s="58"/>
      <c r="H738" s="58"/>
      <c r="I738" s="58"/>
      <c r="J738" s="58"/>
      <c r="K738" s="58"/>
      <c r="L738" s="58"/>
      <c r="M738" s="58"/>
      <c r="N738" s="58"/>
      <c r="O738" s="58"/>
      <c r="P738" s="58"/>
      <c r="Q738" s="58"/>
      <c r="R738" s="58"/>
      <c r="S738" s="58"/>
      <c r="T738" s="58"/>
      <c r="U738" s="58"/>
      <c r="V738" s="58"/>
      <c r="W738" s="58"/>
      <c r="X738" s="58"/>
      <c r="Y738" s="58"/>
    </row>
    <row r="739">
      <c r="A739" s="58"/>
      <c r="B739" s="58"/>
      <c r="C739" s="58"/>
      <c r="D739" s="58"/>
      <c r="E739" s="194"/>
      <c r="F739" s="58"/>
      <c r="G739" s="58"/>
      <c r="H739" s="58"/>
      <c r="I739" s="58"/>
      <c r="J739" s="58"/>
      <c r="K739" s="58"/>
      <c r="L739" s="58"/>
      <c r="M739" s="58"/>
      <c r="N739" s="58"/>
      <c r="O739" s="58"/>
      <c r="P739" s="58"/>
      <c r="Q739" s="58"/>
      <c r="R739" s="58"/>
      <c r="S739" s="58"/>
      <c r="T739" s="58"/>
      <c r="U739" s="58"/>
      <c r="V739" s="58"/>
      <c r="W739" s="58"/>
      <c r="X739" s="58"/>
      <c r="Y739" s="58"/>
    </row>
    <row r="740">
      <c r="A740" s="58"/>
      <c r="B740" s="58"/>
      <c r="C740" s="58"/>
      <c r="D740" s="58"/>
      <c r="E740" s="194"/>
      <c r="F740" s="58"/>
      <c r="G740" s="58"/>
      <c r="H740" s="58"/>
      <c r="I740" s="58"/>
      <c r="J740" s="58"/>
      <c r="K740" s="58"/>
      <c r="L740" s="58"/>
      <c r="M740" s="58"/>
      <c r="N740" s="58"/>
      <c r="O740" s="58"/>
      <c r="P740" s="58"/>
      <c r="Q740" s="58"/>
      <c r="R740" s="58"/>
      <c r="S740" s="58"/>
      <c r="T740" s="58"/>
      <c r="U740" s="58"/>
      <c r="V740" s="58"/>
      <c r="W740" s="58"/>
      <c r="X740" s="58"/>
      <c r="Y740" s="58"/>
    </row>
    <row r="741">
      <c r="A741" s="58"/>
      <c r="B741" s="58"/>
      <c r="C741" s="58"/>
      <c r="D741" s="58"/>
      <c r="E741" s="194"/>
      <c r="F741" s="58"/>
      <c r="G741" s="58"/>
      <c r="H741" s="58"/>
      <c r="I741" s="58"/>
      <c r="J741" s="58"/>
      <c r="K741" s="58"/>
      <c r="L741" s="58"/>
      <c r="M741" s="58"/>
      <c r="N741" s="58"/>
      <c r="O741" s="58"/>
      <c r="P741" s="58"/>
      <c r="Q741" s="58"/>
      <c r="R741" s="58"/>
      <c r="S741" s="58"/>
      <c r="T741" s="58"/>
      <c r="U741" s="58"/>
      <c r="V741" s="58"/>
      <c r="W741" s="58"/>
      <c r="X741" s="58"/>
      <c r="Y741" s="58"/>
    </row>
    <row r="742">
      <c r="A742" s="58"/>
      <c r="B742" s="58"/>
      <c r="C742" s="58"/>
      <c r="D742" s="58"/>
      <c r="E742" s="194"/>
      <c r="F742" s="58"/>
      <c r="G742" s="58"/>
      <c r="H742" s="58"/>
      <c r="I742" s="58"/>
      <c r="J742" s="58"/>
      <c r="K742" s="58"/>
      <c r="L742" s="58"/>
      <c r="M742" s="58"/>
      <c r="N742" s="58"/>
      <c r="O742" s="58"/>
      <c r="P742" s="58"/>
      <c r="Q742" s="58"/>
      <c r="R742" s="58"/>
      <c r="S742" s="58"/>
      <c r="T742" s="58"/>
      <c r="U742" s="58"/>
      <c r="V742" s="58"/>
      <c r="W742" s="58"/>
      <c r="X742" s="58"/>
      <c r="Y742" s="58"/>
    </row>
    <row r="743">
      <c r="A743" s="58"/>
      <c r="B743" s="58"/>
      <c r="C743" s="58"/>
      <c r="D743" s="58"/>
      <c r="E743" s="194"/>
      <c r="F743" s="58"/>
      <c r="G743" s="58"/>
      <c r="H743" s="58"/>
      <c r="I743" s="58"/>
      <c r="J743" s="58"/>
      <c r="K743" s="58"/>
      <c r="L743" s="58"/>
      <c r="M743" s="58"/>
      <c r="N743" s="58"/>
      <c r="O743" s="58"/>
      <c r="P743" s="58"/>
      <c r="Q743" s="58"/>
      <c r="R743" s="58"/>
      <c r="S743" s="58"/>
      <c r="T743" s="58"/>
      <c r="U743" s="58"/>
      <c r="V743" s="58"/>
      <c r="W743" s="58"/>
      <c r="X743" s="58"/>
      <c r="Y743" s="58"/>
    </row>
    <row r="744">
      <c r="A744" s="58"/>
      <c r="B744" s="58"/>
      <c r="C744" s="58"/>
      <c r="D744" s="58"/>
      <c r="E744" s="194"/>
      <c r="F744" s="58"/>
      <c r="G744" s="58"/>
      <c r="H744" s="58"/>
      <c r="I744" s="58"/>
      <c r="J744" s="58"/>
      <c r="K744" s="58"/>
      <c r="L744" s="58"/>
      <c r="M744" s="58"/>
      <c r="N744" s="58"/>
      <c r="O744" s="58"/>
      <c r="P744" s="58"/>
      <c r="Q744" s="58"/>
      <c r="R744" s="58"/>
      <c r="S744" s="58"/>
      <c r="T744" s="58"/>
      <c r="U744" s="58"/>
      <c r="V744" s="58"/>
      <c r="W744" s="58"/>
      <c r="X744" s="58"/>
      <c r="Y744" s="58"/>
    </row>
    <row r="745">
      <c r="A745" s="58"/>
      <c r="B745" s="58"/>
      <c r="C745" s="58"/>
      <c r="D745" s="58"/>
      <c r="E745" s="194"/>
      <c r="F745" s="58"/>
      <c r="G745" s="58"/>
      <c r="H745" s="58"/>
      <c r="I745" s="58"/>
      <c r="J745" s="58"/>
      <c r="K745" s="58"/>
      <c r="L745" s="58"/>
      <c r="M745" s="58"/>
      <c r="N745" s="58"/>
      <c r="O745" s="58"/>
      <c r="P745" s="58"/>
      <c r="Q745" s="58"/>
      <c r="R745" s="58"/>
      <c r="S745" s="58"/>
      <c r="T745" s="58"/>
      <c r="U745" s="58"/>
      <c r="V745" s="58"/>
      <c r="W745" s="58"/>
      <c r="X745" s="58"/>
      <c r="Y745" s="58"/>
    </row>
    <row r="746">
      <c r="A746" s="58"/>
      <c r="B746" s="58"/>
      <c r="C746" s="58"/>
      <c r="D746" s="58"/>
      <c r="E746" s="194"/>
      <c r="F746" s="58"/>
      <c r="G746" s="58"/>
      <c r="H746" s="58"/>
      <c r="I746" s="58"/>
      <c r="J746" s="58"/>
      <c r="K746" s="58"/>
      <c r="L746" s="58"/>
      <c r="M746" s="58"/>
      <c r="N746" s="58"/>
      <c r="O746" s="58"/>
      <c r="P746" s="58"/>
      <c r="Q746" s="58"/>
      <c r="R746" s="58"/>
      <c r="S746" s="58"/>
      <c r="T746" s="58"/>
      <c r="U746" s="58"/>
      <c r="V746" s="58"/>
      <c r="W746" s="58"/>
      <c r="X746" s="58"/>
      <c r="Y746" s="58"/>
    </row>
    <row r="747">
      <c r="A747" s="58"/>
      <c r="B747" s="58"/>
      <c r="C747" s="58"/>
      <c r="D747" s="58"/>
      <c r="E747" s="194"/>
      <c r="F747" s="58"/>
      <c r="G747" s="58"/>
      <c r="H747" s="58"/>
      <c r="I747" s="58"/>
      <c r="J747" s="58"/>
      <c r="K747" s="58"/>
      <c r="L747" s="58"/>
      <c r="M747" s="58"/>
      <c r="N747" s="58"/>
      <c r="O747" s="58"/>
      <c r="P747" s="58"/>
      <c r="Q747" s="58"/>
      <c r="R747" s="58"/>
      <c r="S747" s="58"/>
      <c r="T747" s="58"/>
      <c r="U747" s="58"/>
      <c r="V747" s="58"/>
      <c r="W747" s="58"/>
      <c r="X747" s="58"/>
      <c r="Y747" s="58"/>
    </row>
    <row r="748">
      <c r="A748" s="58"/>
      <c r="B748" s="58"/>
      <c r="C748" s="58"/>
      <c r="D748" s="58"/>
      <c r="E748" s="194"/>
      <c r="F748" s="58"/>
      <c r="G748" s="58"/>
      <c r="H748" s="58"/>
      <c r="I748" s="58"/>
      <c r="J748" s="58"/>
      <c r="K748" s="58"/>
      <c r="L748" s="58"/>
      <c r="M748" s="58"/>
      <c r="N748" s="58"/>
      <c r="O748" s="58"/>
      <c r="P748" s="58"/>
      <c r="Q748" s="58"/>
      <c r="R748" s="58"/>
      <c r="S748" s="58"/>
      <c r="T748" s="58"/>
      <c r="U748" s="58"/>
      <c r="V748" s="58"/>
      <c r="W748" s="58"/>
      <c r="X748" s="58"/>
      <c r="Y748" s="58"/>
    </row>
    <row r="749">
      <c r="A749" s="58"/>
      <c r="B749" s="58"/>
      <c r="C749" s="58"/>
      <c r="D749" s="58"/>
      <c r="E749" s="194"/>
      <c r="F749" s="58"/>
      <c r="G749" s="58"/>
      <c r="H749" s="58"/>
      <c r="I749" s="58"/>
      <c r="J749" s="58"/>
      <c r="K749" s="58"/>
      <c r="L749" s="58"/>
      <c r="M749" s="58"/>
      <c r="N749" s="58"/>
      <c r="O749" s="58"/>
      <c r="P749" s="58"/>
      <c r="Q749" s="58"/>
      <c r="R749" s="58"/>
      <c r="S749" s="58"/>
      <c r="T749" s="58"/>
      <c r="U749" s="58"/>
      <c r="V749" s="58"/>
      <c r="W749" s="58"/>
      <c r="X749" s="58"/>
      <c r="Y749" s="58"/>
    </row>
    <row r="750">
      <c r="A750" s="58"/>
      <c r="B750" s="58"/>
      <c r="C750" s="58"/>
      <c r="D750" s="58"/>
      <c r="E750" s="194"/>
      <c r="F750" s="58"/>
      <c r="G750" s="58"/>
      <c r="H750" s="58"/>
      <c r="I750" s="58"/>
      <c r="J750" s="58"/>
      <c r="K750" s="58"/>
      <c r="L750" s="58"/>
      <c r="M750" s="58"/>
      <c r="N750" s="58"/>
      <c r="O750" s="58"/>
      <c r="P750" s="58"/>
      <c r="Q750" s="58"/>
      <c r="R750" s="58"/>
      <c r="S750" s="58"/>
      <c r="T750" s="58"/>
      <c r="U750" s="58"/>
      <c r="V750" s="58"/>
      <c r="W750" s="58"/>
      <c r="X750" s="58"/>
      <c r="Y750" s="58"/>
    </row>
    <row r="751">
      <c r="A751" s="58"/>
      <c r="B751" s="58"/>
      <c r="C751" s="58"/>
      <c r="D751" s="58"/>
      <c r="E751" s="194"/>
      <c r="F751" s="58"/>
      <c r="G751" s="58"/>
      <c r="H751" s="58"/>
      <c r="I751" s="58"/>
      <c r="J751" s="58"/>
      <c r="K751" s="58"/>
      <c r="L751" s="58"/>
      <c r="M751" s="58"/>
      <c r="N751" s="58"/>
      <c r="O751" s="58"/>
      <c r="P751" s="58"/>
      <c r="Q751" s="58"/>
      <c r="R751" s="58"/>
      <c r="S751" s="58"/>
      <c r="T751" s="58"/>
      <c r="U751" s="58"/>
      <c r="V751" s="58"/>
      <c r="W751" s="58"/>
      <c r="X751" s="58"/>
      <c r="Y751" s="58"/>
    </row>
    <row r="752">
      <c r="A752" s="58"/>
      <c r="B752" s="58"/>
      <c r="C752" s="58"/>
      <c r="D752" s="58"/>
      <c r="E752" s="194"/>
      <c r="F752" s="58"/>
      <c r="G752" s="58"/>
      <c r="H752" s="58"/>
      <c r="I752" s="58"/>
      <c r="J752" s="58"/>
      <c r="K752" s="58"/>
      <c r="L752" s="58"/>
      <c r="M752" s="58"/>
      <c r="N752" s="58"/>
      <c r="O752" s="58"/>
      <c r="P752" s="58"/>
      <c r="Q752" s="58"/>
      <c r="R752" s="58"/>
      <c r="S752" s="58"/>
      <c r="T752" s="58"/>
      <c r="U752" s="58"/>
      <c r="V752" s="58"/>
      <c r="W752" s="58"/>
      <c r="X752" s="58"/>
      <c r="Y752" s="58"/>
    </row>
    <row r="753">
      <c r="A753" s="58"/>
      <c r="B753" s="58"/>
      <c r="C753" s="58"/>
      <c r="D753" s="58"/>
      <c r="E753" s="194"/>
      <c r="F753" s="58"/>
      <c r="G753" s="58"/>
      <c r="H753" s="58"/>
      <c r="I753" s="58"/>
      <c r="J753" s="58"/>
      <c r="K753" s="58"/>
      <c r="L753" s="58"/>
      <c r="M753" s="58"/>
      <c r="N753" s="58"/>
      <c r="O753" s="58"/>
      <c r="P753" s="58"/>
      <c r="Q753" s="58"/>
      <c r="R753" s="58"/>
      <c r="S753" s="58"/>
      <c r="T753" s="58"/>
      <c r="U753" s="58"/>
      <c r="V753" s="58"/>
      <c r="W753" s="58"/>
      <c r="X753" s="58"/>
      <c r="Y753" s="58"/>
    </row>
    <row r="754">
      <c r="A754" s="58"/>
      <c r="B754" s="58"/>
      <c r="C754" s="58"/>
      <c r="D754" s="58"/>
      <c r="E754" s="194"/>
      <c r="F754" s="58"/>
      <c r="G754" s="58"/>
      <c r="H754" s="58"/>
      <c r="I754" s="58"/>
      <c r="J754" s="58"/>
      <c r="K754" s="58"/>
      <c r="L754" s="58"/>
      <c r="M754" s="58"/>
      <c r="N754" s="58"/>
      <c r="O754" s="58"/>
      <c r="P754" s="58"/>
      <c r="Q754" s="58"/>
      <c r="R754" s="58"/>
      <c r="S754" s="58"/>
      <c r="T754" s="58"/>
      <c r="U754" s="58"/>
      <c r="V754" s="58"/>
      <c r="W754" s="58"/>
      <c r="X754" s="58"/>
      <c r="Y754" s="58"/>
    </row>
    <row r="755">
      <c r="A755" s="58"/>
      <c r="B755" s="58"/>
      <c r="C755" s="58"/>
      <c r="D755" s="58"/>
      <c r="E755" s="194"/>
      <c r="F755" s="58"/>
      <c r="G755" s="58"/>
      <c r="H755" s="58"/>
      <c r="I755" s="58"/>
      <c r="J755" s="58"/>
      <c r="K755" s="58"/>
      <c r="L755" s="58"/>
      <c r="M755" s="58"/>
      <c r="N755" s="58"/>
      <c r="O755" s="58"/>
      <c r="P755" s="58"/>
      <c r="Q755" s="58"/>
      <c r="R755" s="58"/>
      <c r="S755" s="58"/>
      <c r="T755" s="58"/>
      <c r="U755" s="58"/>
      <c r="V755" s="58"/>
      <c r="W755" s="58"/>
      <c r="X755" s="58"/>
      <c r="Y755" s="58"/>
    </row>
    <row r="756">
      <c r="A756" s="58"/>
      <c r="B756" s="58"/>
      <c r="C756" s="58"/>
      <c r="D756" s="58"/>
      <c r="E756" s="194"/>
      <c r="F756" s="58"/>
      <c r="G756" s="58"/>
      <c r="H756" s="58"/>
      <c r="I756" s="58"/>
      <c r="J756" s="58"/>
      <c r="K756" s="58"/>
      <c r="L756" s="58"/>
      <c r="M756" s="58"/>
      <c r="N756" s="58"/>
      <c r="O756" s="58"/>
      <c r="P756" s="58"/>
      <c r="Q756" s="58"/>
      <c r="R756" s="58"/>
      <c r="S756" s="58"/>
      <c r="T756" s="58"/>
      <c r="U756" s="58"/>
      <c r="V756" s="58"/>
      <c r="W756" s="58"/>
      <c r="X756" s="58"/>
      <c r="Y756" s="58"/>
    </row>
    <row r="757">
      <c r="A757" s="58"/>
      <c r="B757" s="58"/>
      <c r="C757" s="58"/>
      <c r="D757" s="58"/>
      <c r="E757" s="194"/>
      <c r="F757" s="58"/>
      <c r="G757" s="58"/>
      <c r="H757" s="58"/>
      <c r="I757" s="58"/>
      <c r="J757" s="58"/>
      <c r="K757" s="58"/>
      <c r="L757" s="58"/>
      <c r="M757" s="58"/>
      <c r="N757" s="58"/>
      <c r="O757" s="58"/>
      <c r="P757" s="58"/>
      <c r="Q757" s="58"/>
      <c r="R757" s="58"/>
      <c r="S757" s="58"/>
      <c r="T757" s="58"/>
      <c r="U757" s="58"/>
      <c r="V757" s="58"/>
      <c r="W757" s="58"/>
      <c r="X757" s="58"/>
      <c r="Y757" s="58"/>
    </row>
    <row r="758">
      <c r="A758" s="58"/>
      <c r="B758" s="58"/>
      <c r="C758" s="58"/>
      <c r="D758" s="58"/>
      <c r="E758" s="194"/>
      <c r="F758" s="58"/>
      <c r="G758" s="58"/>
      <c r="H758" s="58"/>
      <c r="I758" s="58"/>
      <c r="J758" s="58"/>
      <c r="K758" s="58"/>
      <c r="L758" s="58"/>
      <c r="M758" s="58"/>
      <c r="N758" s="58"/>
      <c r="O758" s="58"/>
      <c r="P758" s="58"/>
      <c r="Q758" s="58"/>
      <c r="R758" s="58"/>
      <c r="S758" s="58"/>
      <c r="T758" s="58"/>
      <c r="U758" s="58"/>
      <c r="V758" s="58"/>
      <c r="W758" s="58"/>
      <c r="X758" s="58"/>
      <c r="Y758" s="58"/>
    </row>
    <row r="759">
      <c r="A759" s="58"/>
      <c r="B759" s="58"/>
      <c r="C759" s="58"/>
      <c r="D759" s="58"/>
      <c r="E759" s="194"/>
      <c r="F759" s="58"/>
      <c r="G759" s="58"/>
      <c r="H759" s="58"/>
      <c r="I759" s="58"/>
      <c r="J759" s="58"/>
      <c r="K759" s="58"/>
      <c r="L759" s="58"/>
      <c r="M759" s="58"/>
      <c r="N759" s="58"/>
      <c r="O759" s="58"/>
      <c r="P759" s="58"/>
      <c r="Q759" s="58"/>
      <c r="R759" s="58"/>
      <c r="S759" s="58"/>
      <c r="T759" s="58"/>
      <c r="U759" s="58"/>
      <c r="V759" s="58"/>
      <c r="W759" s="58"/>
      <c r="X759" s="58"/>
      <c r="Y759" s="58"/>
    </row>
    <row r="760">
      <c r="A760" s="58"/>
      <c r="B760" s="58"/>
      <c r="C760" s="58"/>
      <c r="D760" s="58"/>
      <c r="E760" s="194"/>
      <c r="F760" s="58"/>
      <c r="G760" s="58"/>
      <c r="H760" s="58"/>
      <c r="I760" s="58"/>
      <c r="J760" s="58"/>
      <c r="K760" s="58"/>
      <c r="L760" s="58"/>
      <c r="M760" s="58"/>
      <c r="N760" s="58"/>
      <c r="O760" s="58"/>
      <c r="P760" s="58"/>
      <c r="Q760" s="58"/>
      <c r="R760" s="58"/>
      <c r="S760" s="58"/>
      <c r="T760" s="58"/>
      <c r="U760" s="58"/>
      <c r="V760" s="58"/>
      <c r="W760" s="58"/>
      <c r="X760" s="58"/>
      <c r="Y760" s="58"/>
    </row>
    <row r="761">
      <c r="A761" s="58"/>
      <c r="B761" s="58"/>
      <c r="C761" s="58"/>
      <c r="D761" s="58"/>
      <c r="E761" s="194"/>
      <c r="F761" s="58"/>
      <c r="G761" s="58"/>
      <c r="H761" s="58"/>
      <c r="I761" s="58"/>
      <c r="J761" s="58"/>
      <c r="K761" s="58"/>
      <c r="L761" s="58"/>
      <c r="M761" s="58"/>
      <c r="N761" s="58"/>
      <c r="O761" s="58"/>
      <c r="P761" s="58"/>
      <c r="Q761" s="58"/>
      <c r="R761" s="58"/>
      <c r="S761" s="58"/>
      <c r="T761" s="58"/>
      <c r="U761" s="58"/>
      <c r="V761" s="58"/>
      <c r="W761" s="58"/>
      <c r="X761" s="58"/>
      <c r="Y761" s="58"/>
    </row>
    <row r="762">
      <c r="A762" s="58"/>
      <c r="B762" s="58"/>
      <c r="C762" s="58"/>
      <c r="D762" s="58"/>
      <c r="E762" s="194"/>
      <c r="F762" s="58"/>
      <c r="G762" s="58"/>
      <c r="H762" s="58"/>
      <c r="I762" s="58"/>
      <c r="J762" s="58"/>
      <c r="K762" s="58"/>
      <c r="L762" s="58"/>
      <c r="M762" s="58"/>
      <c r="N762" s="58"/>
      <c r="O762" s="58"/>
      <c r="P762" s="58"/>
      <c r="Q762" s="58"/>
      <c r="R762" s="58"/>
      <c r="S762" s="58"/>
      <c r="T762" s="58"/>
      <c r="U762" s="58"/>
      <c r="V762" s="58"/>
      <c r="W762" s="58"/>
      <c r="X762" s="58"/>
      <c r="Y762" s="58"/>
    </row>
    <row r="763">
      <c r="A763" s="58"/>
      <c r="B763" s="58"/>
      <c r="C763" s="58"/>
      <c r="D763" s="58"/>
      <c r="E763" s="194"/>
      <c r="F763" s="58"/>
      <c r="G763" s="58"/>
      <c r="H763" s="58"/>
      <c r="I763" s="58"/>
      <c r="J763" s="58"/>
      <c r="K763" s="58"/>
      <c r="L763" s="58"/>
      <c r="M763" s="58"/>
      <c r="N763" s="58"/>
      <c r="O763" s="58"/>
      <c r="P763" s="58"/>
      <c r="Q763" s="58"/>
      <c r="R763" s="58"/>
      <c r="S763" s="58"/>
      <c r="T763" s="58"/>
      <c r="U763" s="58"/>
      <c r="V763" s="58"/>
      <c r="W763" s="58"/>
      <c r="X763" s="58"/>
      <c r="Y763" s="58"/>
    </row>
    <row r="764">
      <c r="A764" s="58"/>
      <c r="B764" s="58"/>
      <c r="C764" s="58"/>
      <c r="D764" s="58"/>
      <c r="E764" s="194"/>
      <c r="F764" s="58"/>
      <c r="G764" s="58"/>
      <c r="H764" s="58"/>
      <c r="I764" s="58"/>
      <c r="J764" s="58"/>
      <c r="K764" s="58"/>
      <c r="L764" s="58"/>
      <c r="M764" s="58"/>
      <c r="N764" s="58"/>
      <c r="O764" s="58"/>
      <c r="P764" s="58"/>
      <c r="Q764" s="58"/>
      <c r="R764" s="58"/>
      <c r="S764" s="58"/>
      <c r="T764" s="58"/>
      <c r="U764" s="58"/>
      <c r="V764" s="58"/>
      <c r="W764" s="58"/>
      <c r="X764" s="58"/>
      <c r="Y764" s="58"/>
    </row>
    <row r="765">
      <c r="A765" s="58"/>
      <c r="B765" s="58"/>
      <c r="C765" s="58"/>
      <c r="D765" s="58"/>
      <c r="E765" s="194"/>
      <c r="F765" s="58"/>
      <c r="G765" s="58"/>
      <c r="H765" s="58"/>
      <c r="I765" s="58"/>
      <c r="J765" s="58"/>
      <c r="K765" s="58"/>
      <c r="L765" s="58"/>
      <c r="M765" s="58"/>
      <c r="N765" s="58"/>
      <c r="O765" s="58"/>
      <c r="P765" s="58"/>
      <c r="Q765" s="58"/>
      <c r="R765" s="58"/>
      <c r="S765" s="58"/>
      <c r="T765" s="58"/>
      <c r="U765" s="58"/>
      <c r="V765" s="58"/>
      <c r="W765" s="58"/>
      <c r="X765" s="58"/>
      <c r="Y765" s="58"/>
    </row>
    <row r="766">
      <c r="A766" s="58"/>
      <c r="B766" s="58"/>
      <c r="C766" s="58"/>
      <c r="D766" s="58"/>
      <c r="E766" s="194"/>
      <c r="F766" s="58"/>
      <c r="G766" s="58"/>
      <c r="H766" s="58"/>
      <c r="I766" s="58"/>
      <c r="J766" s="58"/>
      <c r="K766" s="58"/>
      <c r="L766" s="58"/>
      <c r="M766" s="58"/>
      <c r="N766" s="58"/>
      <c r="O766" s="58"/>
      <c r="P766" s="58"/>
      <c r="Q766" s="58"/>
      <c r="R766" s="58"/>
      <c r="S766" s="58"/>
      <c r="T766" s="58"/>
      <c r="U766" s="58"/>
      <c r="V766" s="58"/>
      <c r="W766" s="58"/>
      <c r="X766" s="58"/>
      <c r="Y766" s="58"/>
    </row>
    <row r="767">
      <c r="A767" s="58"/>
      <c r="B767" s="58"/>
      <c r="C767" s="58"/>
      <c r="D767" s="58"/>
      <c r="E767" s="194"/>
      <c r="F767" s="58"/>
      <c r="G767" s="58"/>
      <c r="H767" s="58"/>
      <c r="I767" s="58"/>
      <c r="J767" s="58"/>
      <c r="K767" s="58"/>
      <c r="L767" s="58"/>
      <c r="M767" s="58"/>
      <c r="N767" s="58"/>
      <c r="O767" s="58"/>
      <c r="P767" s="58"/>
      <c r="Q767" s="58"/>
      <c r="R767" s="58"/>
      <c r="S767" s="58"/>
      <c r="T767" s="58"/>
      <c r="U767" s="58"/>
      <c r="V767" s="58"/>
      <c r="W767" s="58"/>
      <c r="X767" s="58"/>
      <c r="Y767" s="58"/>
    </row>
    <row r="768">
      <c r="A768" s="58"/>
      <c r="B768" s="58"/>
      <c r="C768" s="58"/>
      <c r="D768" s="58"/>
      <c r="E768" s="194"/>
      <c r="F768" s="58"/>
      <c r="G768" s="58"/>
      <c r="H768" s="58"/>
      <c r="I768" s="58"/>
      <c r="J768" s="58"/>
      <c r="K768" s="58"/>
      <c r="L768" s="58"/>
      <c r="M768" s="58"/>
      <c r="N768" s="58"/>
      <c r="O768" s="58"/>
      <c r="P768" s="58"/>
      <c r="Q768" s="58"/>
      <c r="R768" s="58"/>
      <c r="S768" s="58"/>
      <c r="T768" s="58"/>
      <c r="U768" s="58"/>
      <c r="V768" s="58"/>
      <c r="W768" s="58"/>
      <c r="X768" s="58"/>
      <c r="Y768" s="58"/>
    </row>
    <row r="769">
      <c r="A769" s="58"/>
      <c r="B769" s="58"/>
      <c r="C769" s="58"/>
      <c r="D769" s="58"/>
      <c r="E769" s="194"/>
      <c r="F769" s="58"/>
      <c r="G769" s="58"/>
      <c r="H769" s="58"/>
      <c r="I769" s="58"/>
      <c r="J769" s="58"/>
      <c r="K769" s="58"/>
      <c r="L769" s="58"/>
      <c r="M769" s="58"/>
      <c r="N769" s="58"/>
      <c r="O769" s="58"/>
      <c r="P769" s="58"/>
      <c r="Q769" s="58"/>
      <c r="R769" s="58"/>
      <c r="S769" s="58"/>
      <c r="T769" s="58"/>
      <c r="U769" s="58"/>
      <c r="V769" s="58"/>
      <c r="W769" s="58"/>
      <c r="X769" s="58"/>
      <c r="Y769" s="58"/>
    </row>
    <row r="770">
      <c r="A770" s="58"/>
      <c r="B770" s="58"/>
      <c r="C770" s="58"/>
      <c r="D770" s="58"/>
      <c r="E770" s="194"/>
      <c r="F770" s="58"/>
      <c r="G770" s="58"/>
      <c r="H770" s="58"/>
      <c r="I770" s="58"/>
      <c r="J770" s="58"/>
      <c r="K770" s="58"/>
      <c r="L770" s="58"/>
      <c r="M770" s="58"/>
      <c r="N770" s="58"/>
      <c r="O770" s="58"/>
      <c r="P770" s="58"/>
      <c r="Q770" s="58"/>
      <c r="R770" s="58"/>
      <c r="S770" s="58"/>
      <c r="T770" s="58"/>
      <c r="U770" s="58"/>
      <c r="V770" s="58"/>
      <c r="W770" s="58"/>
      <c r="X770" s="58"/>
      <c r="Y770" s="58"/>
    </row>
    <row r="771">
      <c r="A771" s="58"/>
      <c r="B771" s="58"/>
      <c r="C771" s="58"/>
      <c r="D771" s="58"/>
      <c r="E771" s="194"/>
      <c r="F771" s="58"/>
      <c r="G771" s="58"/>
      <c r="H771" s="58"/>
      <c r="I771" s="58"/>
      <c r="J771" s="58"/>
      <c r="K771" s="58"/>
      <c r="L771" s="58"/>
      <c r="M771" s="58"/>
      <c r="N771" s="58"/>
      <c r="O771" s="58"/>
      <c r="P771" s="58"/>
      <c r="Q771" s="58"/>
      <c r="R771" s="58"/>
      <c r="S771" s="58"/>
      <c r="T771" s="58"/>
      <c r="U771" s="58"/>
      <c r="V771" s="58"/>
      <c r="W771" s="58"/>
      <c r="X771" s="58"/>
      <c r="Y771" s="58"/>
    </row>
    <row r="772">
      <c r="A772" s="58"/>
      <c r="B772" s="58"/>
      <c r="C772" s="58"/>
      <c r="D772" s="58"/>
      <c r="E772" s="194"/>
      <c r="F772" s="58"/>
      <c r="G772" s="58"/>
      <c r="H772" s="58"/>
      <c r="I772" s="58"/>
      <c r="J772" s="58"/>
      <c r="K772" s="58"/>
      <c r="L772" s="58"/>
      <c r="M772" s="58"/>
      <c r="N772" s="58"/>
      <c r="O772" s="58"/>
      <c r="P772" s="58"/>
      <c r="Q772" s="58"/>
      <c r="R772" s="58"/>
      <c r="S772" s="58"/>
      <c r="T772" s="58"/>
      <c r="U772" s="58"/>
      <c r="V772" s="58"/>
      <c r="W772" s="58"/>
      <c r="X772" s="58"/>
      <c r="Y772" s="58"/>
    </row>
    <row r="773">
      <c r="A773" s="58"/>
      <c r="B773" s="58"/>
      <c r="C773" s="58"/>
      <c r="D773" s="58"/>
      <c r="E773" s="194"/>
      <c r="F773" s="58"/>
      <c r="G773" s="58"/>
      <c r="H773" s="58"/>
      <c r="I773" s="58"/>
      <c r="J773" s="58"/>
      <c r="K773" s="58"/>
      <c r="L773" s="58"/>
      <c r="M773" s="58"/>
      <c r="N773" s="58"/>
      <c r="O773" s="58"/>
      <c r="P773" s="58"/>
      <c r="Q773" s="58"/>
      <c r="R773" s="58"/>
      <c r="S773" s="58"/>
      <c r="T773" s="58"/>
      <c r="U773" s="58"/>
      <c r="V773" s="58"/>
      <c r="W773" s="58"/>
      <c r="X773" s="58"/>
      <c r="Y773" s="58"/>
    </row>
    <row r="774">
      <c r="A774" s="58"/>
      <c r="B774" s="58"/>
      <c r="C774" s="58"/>
      <c r="D774" s="58"/>
      <c r="E774" s="194"/>
      <c r="F774" s="58"/>
      <c r="G774" s="58"/>
      <c r="H774" s="58"/>
      <c r="I774" s="58"/>
      <c r="J774" s="58"/>
      <c r="K774" s="58"/>
      <c r="L774" s="58"/>
      <c r="M774" s="58"/>
      <c r="N774" s="58"/>
      <c r="O774" s="58"/>
      <c r="P774" s="58"/>
      <c r="Q774" s="58"/>
      <c r="R774" s="58"/>
      <c r="S774" s="58"/>
      <c r="T774" s="58"/>
      <c r="U774" s="58"/>
      <c r="V774" s="58"/>
      <c r="W774" s="58"/>
      <c r="X774" s="58"/>
      <c r="Y774" s="58"/>
    </row>
    <row r="775">
      <c r="A775" s="58"/>
      <c r="B775" s="58"/>
      <c r="C775" s="58"/>
      <c r="D775" s="58"/>
      <c r="E775" s="194"/>
      <c r="F775" s="58"/>
      <c r="G775" s="58"/>
      <c r="H775" s="58"/>
      <c r="I775" s="58"/>
      <c r="J775" s="58"/>
      <c r="K775" s="58"/>
      <c r="L775" s="58"/>
      <c r="M775" s="58"/>
      <c r="N775" s="58"/>
      <c r="O775" s="58"/>
      <c r="P775" s="58"/>
      <c r="Q775" s="58"/>
      <c r="R775" s="58"/>
      <c r="S775" s="58"/>
      <c r="T775" s="58"/>
      <c r="U775" s="58"/>
      <c r="V775" s="58"/>
      <c r="W775" s="58"/>
      <c r="X775" s="58"/>
      <c r="Y775" s="58"/>
    </row>
    <row r="776">
      <c r="A776" s="58"/>
      <c r="B776" s="58"/>
      <c r="C776" s="58"/>
      <c r="D776" s="58"/>
      <c r="E776" s="194"/>
      <c r="F776" s="58"/>
      <c r="G776" s="58"/>
      <c r="H776" s="58"/>
      <c r="I776" s="58"/>
      <c r="J776" s="58"/>
      <c r="K776" s="58"/>
      <c r="L776" s="58"/>
      <c r="M776" s="58"/>
      <c r="N776" s="58"/>
      <c r="O776" s="58"/>
      <c r="P776" s="58"/>
      <c r="Q776" s="58"/>
      <c r="R776" s="58"/>
      <c r="S776" s="58"/>
      <c r="T776" s="58"/>
      <c r="U776" s="58"/>
      <c r="V776" s="58"/>
      <c r="W776" s="58"/>
      <c r="X776" s="58"/>
      <c r="Y776" s="58"/>
    </row>
    <row r="777">
      <c r="A777" s="58"/>
      <c r="B777" s="58"/>
      <c r="C777" s="58"/>
      <c r="D777" s="58"/>
      <c r="E777" s="194"/>
      <c r="F777" s="58"/>
      <c r="G777" s="58"/>
      <c r="H777" s="58"/>
      <c r="I777" s="58"/>
      <c r="J777" s="58"/>
      <c r="K777" s="58"/>
      <c r="L777" s="58"/>
      <c r="M777" s="58"/>
      <c r="N777" s="58"/>
      <c r="O777" s="58"/>
      <c r="P777" s="58"/>
      <c r="Q777" s="58"/>
      <c r="R777" s="58"/>
      <c r="S777" s="58"/>
      <c r="T777" s="58"/>
      <c r="U777" s="58"/>
      <c r="V777" s="58"/>
      <c r="W777" s="58"/>
      <c r="X777" s="58"/>
      <c r="Y777" s="58"/>
    </row>
    <row r="778">
      <c r="A778" s="58"/>
      <c r="B778" s="58"/>
      <c r="C778" s="58"/>
      <c r="D778" s="58"/>
      <c r="E778" s="194"/>
      <c r="F778" s="58"/>
      <c r="G778" s="58"/>
      <c r="H778" s="58"/>
      <c r="I778" s="58"/>
      <c r="J778" s="58"/>
      <c r="K778" s="58"/>
      <c r="L778" s="58"/>
      <c r="M778" s="58"/>
      <c r="N778" s="58"/>
      <c r="O778" s="58"/>
      <c r="P778" s="58"/>
      <c r="Q778" s="58"/>
      <c r="R778" s="58"/>
      <c r="S778" s="58"/>
      <c r="T778" s="58"/>
      <c r="U778" s="58"/>
      <c r="V778" s="58"/>
      <c r="W778" s="58"/>
      <c r="X778" s="58"/>
      <c r="Y778" s="58"/>
    </row>
    <row r="779">
      <c r="A779" s="58"/>
      <c r="B779" s="58"/>
      <c r="C779" s="58"/>
      <c r="D779" s="58"/>
      <c r="E779" s="194"/>
      <c r="F779" s="58"/>
      <c r="G779" s="58"/>
      <c r="H779" s="58"/>
      <c r="I779" s="58"/>
      <c r="J779" s="58"/>
      <c r="K779" s="58"/>
      <c r="L779" s="58"/>
      <c r="M779" s="58"/>
      <c r="N779" s="58"/>
      <c r="O779" s="58"/>
      <c r="P779" s="58"/>
      <c r="Q779" s="58"/>
      <c r="R779" s="58"/>
      <c r="S779" s="58"/>
      <c r="T779" s="58"/>
      <c r="U779" s="58"/>
      <c r="V779" s="58"/>
      <c r="W779" s="58"/>
      <c r="X779" s="58"/>
      <c r="Y779" s="58"/>
    </row>
    <row r="780">
      <c r="A780" s="58"/>
      <c r="B780" s="58"/>
      <c r="C780" s="58"/>
      <c r="D780" s="58"/>
      <c r="E780" s="194"/>
      <c r="F780" s="58"/>
      <c r="G780" s="58"/>
      <c r="H780" s="58"/>
      <c r="I780" s="58"/>
      <c r="J780" s="58"/>
      <c r="K780" s="58"/>
      <c r="L780" s="58"/>
      <c r="M780" s="58"/>
      <c r="N780" s="58"/>
      <c r="O780" s="58"/>
      <c r="P780" s="58"/>
      <c r="Q780" s="58"/>
      <c r="R780" s="58"/>
      <c r="S780" s="58"/>
      <c r="T780" s="58"/>
      <c r="U780" s="58"/>
      <c r="V780" s="58"/>
      <c r="W780" s="58"/>
      <c r="X780" s="58"/>
      <c r="Y780" s="58"/>
    </row>
    <row r="781">
      <c r="A781" s="58"/>
      <c r="B781" s="58"/>
      <c r="C781" s="58"/>
      <c r="D781" s="58"/>
      <c r="E781" s="194"/>
      <c r="F781" s="58"/>
      <c r="G781" s="58"/>
      <c r="H781" s="58"/>
      <c r="I781" s="58"/>
      <c r="J781" s="58"/>
      <c r="K781" s="58"/>
      <c r="L781" s="58"/>
      <c r="M781" s="58"/>
      <c r="N781" s="58"/>
      <c r="O781" s="58"/>
      <c r="P781" s="58"/>
      <c r="Q781" s="58"/>
      <c r="R781" s="58"/>
      <c r="S781" s="58"/>
      <c r="T781" s="58"/>
      <c r="U781" s="58"/>
      <c r="V781" s="58"/>
      <c r="W781" s="58"/>
      <c r="X781" s="58"/>
      <c r="Y781" s="58"/>
    </row>
    <row r="782">
      <c r="A782" s="58"/>
      <c r="B782" s="58"/>
      <c r="C782" s="58"/>
      <c r="D782" s="58"/>
      <c r="E782" s="194"/>
      <c r="F782" s="58"/>
      <c r="G782" s="58"/>
      <c r="H782" s="58"/>
      <c r="I782" s="58"/>
      <c r="J782" s="58"/>
      <c r="K782" s="58"/>
      <c r="L782" s="58"/>
      <c r="M782" s="58"/>
      <c r="N782" s="58"/>
      <c r="O782" s="58"/>
      <c r="P782" s="58"/>
      <c r="Q782" s="58"/>
      <c r="R782" s="58"/>
      <c r="S782" s="58"/>
      <c r="T782" s="58"/>
      <c r="U782" s="58"/>
      <c r="V782" s="58"/>
      <c r="W782" s="58"/>
      <c r="X782" s="58"/>
      <c r="Y782" s="58"/>
    </row>
    <row r="783">
      <c r="A783" s="58"/>
      <c r="B783" s="58"/>
      <c r="C783" s="58"/>
      <c r="D783" s="58"/>
      <c r="E783" s="194"/>
      <c r="F783" s="58"/>
      <c r="G783" s="58"/>
      <c r="H783" s="58"/>
      <c r="I783" s="58"/>
      <c r="J783" s="58"/>
      <c r="K783" s="58"/>
      <c r="L783" s="58"/>
      <c r="M783" s="58"/>
      <c r="N783" s="58"/>
      <c r="O783" s="58"/>
      <c r="P783" s="58"/>
      <c r="Q783" s="58"/>
      <c r="R783" s="58"/>
      <c r="S783" s="58"/>
      <c r="T783" s="58"/>
      <c r="U783" s="58"/>
      <c r="V783" s="58"/>
      <c r="W783" s="58"/>
      <c r="X783" s="58"/>
      <c r="Y783" s="58"/>
    </row>
    <row r="784">
      <c r="A784" s="58"/>
      <c r="B784" s="58"/>
      <c r="C784" s="58"/>
      <c r="D784" s="58"/>
      <c r="E784" s="194"/>
      <c r="F784" s="58"/>
      <c r="G784" s="58"/>
      <c r="H784" s="58"/>
      <c r="I784" s="58"/>
      <c r="J784" s="58"/>
      <c r="K784" s="58"/>
      <c r="L784" s="58"/>
      <c r="M784" s="58"/>
      <c r="N784" s="58"/>
      <c r="O784" s="58"/>
      <c r="P784" s="58"/>
      <c r="Q784" s="58"/>
      <c r="R784" s="58"/>
      <c r="S784" s="58"/>
      <c r="T784" s="58"/>
      <c r="U784" s="58"/>
      <c r="V784" s="58"/>
      <c r="W784" s="58"/>
      <c r="X784" s="58"/>
      <c r="Y784" s="58"/>
    </row>
    <row r="785">
      <c r="A785" s="58"/>
      <c r="B785" s="58"/>
      <c r="C785" s="58"/>
      <c r="D785" s="58"/>
      <c r="E785" s="194"/>
      <c r="F785" s="58"/>
      <c r="G785" s="58"/>
      <c r="H785" s="58"/>
      <c r="I785" s="58"/>
      <c r="J785" s="58"/>
      <c r="K785" s="58"/>
      <c r="L785" s="58"/>
      <c r="M785" s="58"/>
      <c r="N785" s="58"/>
      <c r="O785" s="58"/>
      <c r="P785" s="58"/>
      <c r="Q785" s="58"/>
      <c r="R785" s="58"/>
      <c r="S785" s="58"/>
      <c r="T785" s="58"/>
      <c r="U785" s="58"/>
      <c r="V785" s="58"/>
      <c r="W785" s="58"/>
      <c r="X785" s="58"/>
      <c r="Y785" s="58"/>
    </row>
    <row r="786">
      <c r="A786" s="58"/>
      <c r="B786" s="58"/>
      <c r="C786" s="58"/>
      <c r="D786" s="58"/>
      <c r="E786" s="194"/>
      <c r="F786" s="58"/>
      <c r="G786" s="58"/>
      <c r="H786" s="58"/>
      <c r="I786" s="58"/>
      <c r="J786" s="58"/>
      <c r="K786" s="58"/>
      <c r="L786" s="58"/>
      <c r="M786" s="58"/>
      <c r="N786" s="58"/>
      <c r="O786" s="58"/>
      <c r="P786" s="58"/>
      <c r="Q786" s="58"/>
      <c r="R786" s="58"/>
      <c r="S786" s="58"/>
      <c r="T786" s="58"/>
      <c r="U786" s="58"/>
      <c r="V786" s="58"/>
      <c r="W786" s="58"/>
      <c r="X786" s="58"/>
      <c r="Y786" s="58"/>
    </row>
    <row r="787">
      <c r="A787" s="58"/>
      <c r="B787" s="58"/>
      <c r="C787" s="58"/>
      <c r="D787" s="58"/>
      <c r="E787" s="194"/>
      <c r="F787" s="58"/>
      <c r="G787" s="58"/>
      <c r="H787" s="58"/>
      <c r="I787" s="58"/>
      <c r="J787" s="58"/>
      <c r="K787" s="58"/>
      <c r="L787" s="58"/>
      <c r="M787" s="58"/>
      <c r="N787" s="58"/>
      <c r="O787" s="58"/>
      <c r="P787" s="58"/>
      <c r="Q787" s="58"/>
      <c r="R787" s="58"/>
      <c r="S787" s="58"/>
      <c r="T787" s="58"/>
      <c r="U787" s="58"/>
      <c r="V787" s="58"/>
      <c r="W787" s="58"/>
      <c r="X787" s="58"/>
      <c r="Y787" s="58"/>
    </row>
    <row r="788">
      <c r="A788" s="58"/>
      <c r="B788" s="58"/>
      <c r="C788" s="58"/>
      <c r="D788" s="58"/>
      <c r="E788" s="194"/>
      <c r="F788" s="58"/>
      <c r="G788" s="58"/>
      <c r="H788" s="58"/>
      <c r="I788" s="58"/>
      <c r="J788" s="58"/>
      <c r="K788" s="58"/>
      <c r="L788" s="58"/>
      <c r="M788" s="58"/>
      <c r="N788" s="58"/>
      <c r="O788" s="58"/>
      <c r="P788" s="58"/>
      <c r="Q788" s="58"/>
      <c r="R788" s="58"/>
      <c r="S788" s="58"/>
      <c r="T788" s="58"/>
      <c r="U788" s="58"/>
      <c r="V788" s="58"/>
      <c r="W788" s="58"/>
      <c r="X788" s="58"/>
      <c r="Y788" s="58"/>
    </row>
    <row r="789">
      <c r="A789" s="58"/>
      <c r="B789" s="58"/>
      <c r="C789" s="58"/>
      <c r="D789" s="58"/>
      <c r="E789" s="194"/>
      <c r="F789" s="58"/>
      <c r="G789" s="58"/>
      <c r="H789" s="58"/>
      <c r="I789" s="58"/>
      <c r="J789" s="58"/>
      <c r="K789" s="58"/>
      <c r="L789" s="58"/>
      <c r="M789" s="58"/>
      <c r="N789" s="58"/>
      <c r="O789" s="58"/>
      <c r="P789" s="58"/>
      <c r="Q789" s="58"/>
      <c r="R789" s="58"/>
      <c r="S789" s="58"/>
      <c r="T789" s="58"/>
      <c r="U789" s="58"/>
      <c r="V789" s="58"/>
      <c r="W789" s="58"/>
      <c r="X789" s="58"/>
      <c r="Y789" s="58"/>
    </row>
    <row r="790">
      <c r="A790" s="58"/>
      <c r="B790" s="58"/>
      <c r="C790" s="58"/>
      <c r="D790" s="58"/>
      <c r="E790" s="194"/>
      <c r="F790" s="58"/>
      <c r="G790" s="58"/>
      <c r="H790" s="58"/>
      <c r="I790" s="58"/>
      <c r="J790" s="58"/>
      <c r="K790" s="58"/>
      <c r="L790" s="58"/>
      <c r="M790" s="58"/>
      <c r="N790" s="58"/>
      <c r="O790" s="58"/>
      <c r="P790" s="58"/>
      <c r="Q790" s="58"/>
      <c r="R790" s="58"/>
      <c r="S790" s="58"/>
      <c r="T790" s="58"/>
      <c r="U790" s="58"/>
      <c r="V790" s="58"/>
      <c r="W790" s="58"/>
      <c r="X790" s="58"/>
      <c r="Y790" s="58"/>
    </row>
    <row r="791">
      <c r="A791" s="58"/>
      <c r="B791" s="58"/>
      <c r="C791" s="58"/>
      <c r="D791" s="58"/>
      <c r="E791" s="194"/>
      <c r="F791" s="58"/>
      <c r="G791" s="58"/>
      <c r="H791" s="58"/>
      <c r="I791" s="58"/>
      <c r="J791" s="58"/>
      <c r="K791" s="58"/>
      <c r="L791" s="58"/>
      <c r="M791" s="58"/>
      <c r="N791" s="58"/>
      <c r="O791" s="58"/>
      <c r="P791" s="58"/>
      <c r="Q791" s="58"/>
      <c r="R791" s="58"/>
      <c r="S791" s="58"/>
      <c r="T791" s="58"/>
      <c r="U791" s="58"/>
      <c r="V791" s="58"/>
      <c r="W791" s="58"/>
      <c r="X791" s="58"/>
      <c r="Y791" s="58"/>
    </row>
    <row r="792">
      <c r="A792" s="58"/>
      <c r="B792" s="58"/>
      <c r="C792" s="58"/>
      <c r="D792" s="58"/>
      <c r="E792" s="194"/>
      <c r="F792" s="58"/>
      <c r="G792" s="58"/>
      <c r="H792" s="58"/>
      <c r="I792" s="58"/>
      <c r="J792" s="58"/>
      <c r="K792" s="58"/>
      <c r="L792" s="58"/>
      <c r="M792" s="58"/>
      <c r="N792" s="58"/>
      <c r="O792" s="58"/>
      <c r="P792" s="58"/>
      <c r="Q792" s="58"/>
      <c r="R792" s="58"/>
      <c r="S792" s="58"/>
      <c r="T792" s="58"/>
      <c r="U792" s="58"/>
      <c r="V792" s="58"/>
      <c r="W792" s="58"/>
      <c r="X792" s="58"/>
      <c r="Y792" s="58"/>
    </row>
    <row r="793">
      <c r="A793" s="58"/>
      <c r="B793" s="58"/>
      <c r="C793" s="58"/>
      <c r="D793" s="58"/>
      <c r="E793" s="194"/>
      <c r="F793" s="58"/>
      <c r="G793" s="58"/>
      <c r="H793" s="58"/>
      <c r="I793" s="58"/>
      <c r="J793" s="58"/>
      <c r="K793" s="58"/>
      <c r="L793" s="58"/>
      <c r="M793" s="58"/>
      <c r="N793" s="58"/>
      <c r="O793" s="58"/>
      <c r="P793" s="58"/>
      <c r="Q793" s="58"/>
      <c r="R793" s="58"/>
      <c r="S793" s="58"/>
      <c r="T793" s="58"/>
      <c r="U793" s="58"/>
      <c r="V793" s="58"/>
      <c r="W793" s="58"/>
      <c r="X793" s="58"/>
      <c r="Y793" s="58"/>
    </row>
    <row r="794">
      <c r="A794" s="58"/>
      <c r="B794" s="58"/>
      <c r="C794" s="58"/>
      <c r="D794" s="58"/>
      <c r="E794" s="194"/>
      <c r="F794" s="58"/>
      <c r="G794" s="58"/>
      <c r="H794" s="58"/>
      <c r="I794" s="58"/>
      <c r="J794" s="58"/>
      <c r="K794" s="58"/>
      <c r="L794" s="58"/>
      <c r="M794" s="58"/>
      <c r="N794" s="58"/>
      <c r="O794" s="58"/>
      <c r="P794" s="58"/>
      <c r="Q794" s="58"/>
      <c r="R794" s="58"/>
      <c r="S794" s="58"/>
      <c r="T794" s="58"/>
      <c r="U794" s="58"/>
      <c r="V794" s="58"/>
      <c r="W794" s="58"/>
      <c r="X794" s="58"/>
      <c r="Y794" s="58"/>
    </row>
    <row r="795">
      <c r="A795" s="58"/>
      <c r="B795" s="58"/>
      <c r="C795" s="58"/>
      <c r="D795" s="58"/>
      <c r="E795" s="194"/>
      <c r="F795" s="58"/>
      <c r="G795" s="58"/>
      <c r="H795" s="58"/>
      <c r="I795" s="58"/>
      <c r="J795" s="58"/>
      <c r="K795" s="58"/>
      <c r="L795" s="58"/>
      <c r="M795" s="58"/>
      <c r="N795" s="58"/>
      <c r="O795" s="58"/>
      <c r="P795" s="58"/>
      <c r="Q795" s="58"/>
      <c r="R795" s="58"/>
      <c r="S795" s="58"/>
      <c r="T795" s="58"/>
      <c r="U795" s="58"/>
      <c r="V795" s="58"/>
      <c r="W795" s="58"/>
      <c r="X795" s="58"/>
      <c r="Y795" s="58"/>
    </row>
    <row r="796">
      <c r="A796" s="58"/>
      <c r="B796" s="58"/>
      <c r="C796" s="58"/>
      <c r="D796" s="58"/>
      <c r="E796" s="194"/>
      <c r="F796" s="58"/>
      <c r="G796" s="58"/>
      <c r="H796" s="58"/>
      <c r="I796" s="58"/>
      <c r="J796" s="58"/>
      <c r="K796" s="58"/>
      <c r="L796" s="58"/>
      <c r="M796" s="58"/>
      <c r="N796" s="58"/>
      <c r="O796" s="58"/>
      <c r="P796" s="58"/>
      <c r="Q796" s="58"/>
      <c r="R796" s="58"/>
      <c r="S796" s="58"/>
      <c r="T796" s="58"/>
      <c r="U796" s="58"/>
      <c r="V796" s="58"/>
      <c r="W796" s="58"/>
      <c r="X796" s="58"/>
      <c r="Y796" s="58"/>
    </row>
    <row r="797">
      <c r="A797" s="58"/>
      <c r="B797" s="58"/>
      <c r="C797" s="58"/>
      <c r="D797" s="58"/>
      <c r="E797" s="194"/>
      <c r="F797" s="58"/>
      <c r="G797" s="58"/>
      <c r="H797" s="58"/>
      <c r="I797" s="58"/>
      <c r="J797" s="58"/>
      <c r="K797" s="58"/>
      <c r="L797" s="58"/>
      <c r="M797" s="58"/>
      <c r="N797" s="58"/>
      <c r="O797" s="58"/>
      <c r="P797" s="58"/>
      <c r="Q797" s="58"/>
      <c r="R797" s="58"/>
      <c r="S797" s="58"/>
      <c r="T797" s="58"/>
      <c r="U797" s="58"/>
      <c r="V797" s="58"/>
      <c r="W797" s="58"/>
      <c r="X797" s="58"/>
      <c r="Y797" s="58"/>
    </row>
    <row r="798">
      <c r="A798" s="58"/>
      <c r="B798" s="58"/>
      <c r="C798" s="58"/>
      <c r="D798" s="58"/>
      <c r="E798" s="194"/>
      <c r="F798" s="58"/>
      <c r="G798" s="58"/>
      <c r="H798" s="58"/>
      <c r="I798" s="58"/>
      <c r="J798" s="58"/>
      <c r="K798" s="58"/>
      <c r="L798" s="58"/>
      <c r="M798" s="58"/>
      <c r="N798" s="58"/>
      <c r="O798" s="58"/>
      <c r="P798" s="58"/>
      <c r="Q798" s="58"/>
      <c r="R798" s="58"/>
      <c r="S798" s="58"/>
      <c r="T798" s="58"/>
      <c r="U798" s="58"/>
      <c r="V798" s="58"/>
      <c r="W798" s="58"/>
      <c r="X798" s="58"/>
      <c r="Y798" s="58"/>
    </row>
    <row r="799">
      <c r="A799" s="58"/>
      <c r="B799" s="58"/>
      <c r="C799" s="58"/>
      <c r="D799" s="58"/>
      <c r="E799" s="194"/>
      <c r="F799" s="58"/>
      <c r="G799" s="58"/>
      <c r="H799" s="58"/>
      <c r="I799" s="58"/>
      <c r="J799" s="58"/>
      <c r="K799" s="58"/>
      <c r="L799" s="58"/>
      <c r="M799" s="58"/>
      <c r="N799" s="58"/>
      <c r="O799" s="58"/>
      <c r="P799" s="58"/>
      <c r="Q799" s="58"/>
      <c r="R799" s="58"/>
      <c r="S799" s="58"/>
      <c r="T799" s="58"/>
      <c r="U799" s="58"/>
      <c r="V799" s="58"/>
      <c r="W799" s="58"/>
      <c r="X799" s="58"/>
      <c r="Y799" s="58"/>
    </row>
    <row r="800">
      <c r="A800" s="58"/>
      <c r="B800" s="58"/>
      <c r="C800" s="58"/>
      <c r="D800" s="58"/>
      <c r="E800" s="194"/>
      <c r="F800" s="58"/>
      <c r="G800" s="58"/>
      <c r="H800" s="58"/>
      <c r="I800" s="58"/>
      <c r="J800" s="58"/>
      <c r="K800" s="58"/>
      <c r="L800" s="58"/>
      <c r="M800" s="58"/>
      <c r="N800" s="58"/>
      <c r="O800" s="58"/>
      <c r="P800" s="58"/>
      <c r="Q800" s="58"/>
      <c r="R800" s="58"/>
      <c r="S800" s="58"/>
      <c r="T800" s="58"/>
      <c r="U800" s="58"/>
      <c r="V800" s="58"/>
      <c r="W800" s="58"/>
      <c r="X800" s="58"/>
      <c r="Y800" s="58"/>
    </row>
    <row r="801">
      <c r="A801" s="58"/>
      <c r="B801" s="58"/>
      <c r="C801" s="58"/>
      <c r="D801" s="58"/>
      <c r="E801" s="194"/>
      <c r="F801" s="58"/>
      <c r="G801" s="58"/>
      <c r="H801" s="58"/>
      <c r="I801" s="58"/>
      <c r="J801" s="58"/>
      <c r="K801" s="58"/>
      <c r="L801" s="58"/>
      <c r="M801" s="58"/>
      <c r="N801" s="58"/>
      <c r="O801" s="58"/>
      <c r="P801" s="58"/>
      <c r="Q801" s="58"/>
      <c r="R801" s="58"/>
      <c r="S801" s="58"/>
      <c r="T801" s="58"/>
      <c r="U801" s="58"/>
      <c r="V801" s="58"/>
      <c r="W801" s="58"/>
      <c r="X801" s="58"/>
      <c r="Y801" s="58"/>
    </row>
    <row r="802">
      <c r="A802" s="58"/>
      <c r="B802" s="58"/>
      <c r="C802" s="58"/>
      <c r="D802" s="58"/>
      <c r="E802" s="194"/>
      <c r="F802" s="58"/>
      <c r="G802" s="58"/>
      <c r="H802" s="58"/>
      <c r="I802" s="58"/>
      <c r="J802" s="58"/>
      <c r="K802" s="58"/>
      <c r="L802" s="58"/>
      <c r="M802" s="58"/>
      <c r="N802" s="58"/>
      <c r="O802" s="58"/>
      <c r="P802" s="58"/>
      <c r="Q802" s="58"/>
      <c r="R802" s="58"/>
      <c r="S802" s="58"/>
      <c r="T802" s="58"/>
      <c r="U802" s="58"/>
      <c r="V802" s="58"/>
      <c r="W802" s="58"/>
      <c r="X802" s="58"/>
      <c r="Y802" s="58"/>
    </row>
    <row r="803">
      <c r="A803" s="58"/>
      <c r="B803" s="58"/>
      <c r="C803" s="58"/>
      <c r="D803" s="58"/>
      <c r="E803" s="194"/>
      <c r="F803" s="58"/>
      <c r="G803" s="58"/>
      <c r="H803" s="58"/>
      <c r="I803" s="58"/>
      <c r="J803" s="58"/>
      <c r="K803" s="58"/>
      <c r="L803" s="58"/>
      <c r="M803" s="58"/>
      <c r="N803" s="58"/>
      <c r="O803" s="58"/>
      <c r="P803" s="58"/>
      <c r="Q803" s="58"/>
      <c r="R803" s="58"/>
      <c r="S803" s="58"/>
      <c r="T803" s="58"/>
      <c r="U803" s="58"/>
      <c r="V803" s="58"/>
      <c r="W803" s="58"/>
      <c r="X803" s="58"/>
      <c r="Y803" s="58"/>
    </row>
    <row r="804">
      <c r="A804" s="58"/>
      <c r="B804" s="58"/>
      <c r="C804" s="58"/>
      <c r="D804" s="58"/>
      <c r="E804" s="194"/>
      <c r="F804" s="58"/>
      <c r="G804" s="58"/>
      <c r="H804" s="58"/>
      <c r="I804" s="58"/>
      <c r="J804" s="58"/>
      <c r="K804" s="58"/>
      <c r="L804" s="58"/>
      <c r="M804" s="58"/>
      <c r="N804" s="58"/>
      <c r="O804" s="58"/>
      <c r="P804" s="58"/>
      <c r="Q804" s="58"/>
      <c r="R804" s="58"/>
      <c r="S804" s="58"/>
      <c r="T804" s="58"/>
      <c r="U804" s="58"/>
      <c r="V804" s="58"/>
      <c r="W804" s="58"/>
      <c r="X804" s="58"/>
      <c r="Y804" s="58"/>
    </row>
    <row r="805">
      <c r="A805" s="58"/>
      <c r="B805" s="58"/>
      <c r="C805" s="58"/>
      <c r="D805" s="58"/>
      <c r="E805" s="194"/>
      <c r="F805" s="58"/>
      <c r="G805" s="58"/>
      <c r="H805" s="58"/>
      <c r="I805" s="58"/>
      <c r="J805" s="58"/>
      <c r="K805" s="58"/>
      <c r="L805" s="58"/>
      <c r="M805" s="58"/>
      <c r="N805" s="58"/>
      <c r="O805" s="58"/>
      <c r="P805" s="58"/>
      <c r="Q805" s="58"/>
      <c r="R805" s="58"/>
      <c r="S805" s="58"/>
      <c r="T805" s="58"/>
      <c r="U805" s="58"/>
      <c r="V805" s="58"/>
      <c r="W805" s="58"/>
      <c r="X805" s="58"/>
      <c r="Y805" s="58"/>
    </row>
    <row r="806">
      <c r="A806" s="58"/>
      <c r="B806" s="58"/>
      <c r="C806" s="58"/>
      <c r="D806" s="58"/>
      <c r="E806" s="194"/>
      <c r="F806" s="58"/>
      <c r="G806" s="58"/>
      <c r="H806" s="58"/>
      <c r="I806" s="58"/>
      <c r="J806" s="58"/>
      <c r="K806" s="58"/>
      <c r="L806" s="58"/>
      <c r="M806" s="58"/>
      <c r="N806" s="58"/>
      <c r="O806" s="58"/>
      <c r="P806" s="58"/>
      <c r="Q806" s="58"/>
      <c r="R806" s="58"/>
      <c r="S806" s="58"/>
      <c r="T806" s="58"/>
      <c r="U806" s="58"/>
      <c r="V806" s="58"/>
      <c r="W806" s="58"/>
      <c r="X806" s="58"/>
      <c r="Y806" s="58"/>
    </row>
    <row r="807">
      <c r="A807" s="58"/>
      <c r="B807" s="58"/>
      <c r="C807" s="58"/>
      <c r="D807" s="58"/>
      <c r="E807" s="194"/>
      <c r="F807" s="58"/>
      <c r="G807" s="58"/>
      <c r="H807" s="58"/>
      <c r="I807" s="58"/>
      <c r="J807" s="58"/>
      <c r="K807" s="58"/>
      <c r="L807" s="58"/>
      <c r="M807" s="58"/>
      <c r="N807" s="58"/>
      <c r="O807" s="58"/>
      <c r="P807" s="58"/>
      <c r="Q807" s="58"/>
      <c r="R807" s="58"/>
      <c r="S807" s="58"/>
      <c r="T807" s="58"/>
      <c r="U807" s="58"/>
      <c r="V807" s="58"/>
      <c r="W807" s="58"/>
      <c r="X807" s="58"/>
      <c r="Y807" s="58"/>
    </row>
    <row r="808">
      <c r="A808" s="58"/>
      <c r="B808" s="58"/>
      <c r="C808" s="58"/>
      <c r="D808" s="58"/>
      <c r="E808" s="194"/>
      <c r="F808" s="58"/>
      <c r="G808" s="58"/>
      <c r="H808" s="58"/>
      <c r="I808" s="58"/>
      <c r="J808" s="58"/>
      <c r="K808" s="58"/>
      <c r="L808" s="58"/>
      <c r="M808" s="58"/>
      <c r="N808" s="58"/>
      <c r="O808" s="58"/>
      <c r="P808" s="58"/>
      <c r="Q808" s="58"/>
      <c r="R808" s="58"/>
      <c r="S808" s="58"/>
      <c r="T808" s="58"/>
      <c r="U808" s="58"/>
      <c r="V808" s="58"/>
      <c r="W808" s="58"/>
      <c r="X808" s="58"/>
      <c r="Y808" s="58"/>
    </row>
    <row r="809">
      <c r="A809" s="58"/>
      <c r="B809" s="58"/>
      <c r="C809" s="58"/>
      <c r="D809" s="58"/>
      <c r="E809" s="194"/>
      <c r="F809" s="58"/>
      <c r="G809" s="58"/>
      <c r="H809" s="58"/>
      <c r="I809" s="58"/>
      <c r="J809" s="58"/>
      <c r="K809" s="58"/>
      <c r="L809" s="58"/>
      <c r="M809" s="58"/>
      <c r="N809" s="58"/>
      <c r="O809" s="58"/>
      <c r="P809" s="58"/>
      <c r="Q809" s="58"/>
      <c r="R809" s="58"/>
      <c r="S809" s="58"/>
      <c r="T809" s="58"/>
      <c r="U809" s="58"/>
      <c r="V809" s="58"/>
      <c r="W809" s="58"/>
      <c r="X809" s="58"/>
      <c r="Y809" s="58"/>
    </row>
    <row r="810">
      <c r="A810" s="58"/>
      <c r="B810" s="58"/>
      <c r="C810" s="58"/>
      <c r="D810" s="58"/>
      <c r="E810" s="194"/>
      <c r="F810" s="58"/>
      <c r="G810" s="58"/>
      <c r="H810" s="58"/>
      <c r="I810" s="58"/>
      <c r="J810" s="58"/>
      <c r="K810" s="58"/>
      <c r="L810" s="58"/>
      <c r="M810" s="58"/>
      <c r="N810" s="58"/>
      <c r="O810" s="58"/>
      <c r="P810" s="58"/>
      <c r="Q810" s="58"/>
      <c r="R810" s="58"/>
      <c r="S810" s="58"/>
      <c r="T810" s="58"/>
      <c r="U810" s="58"/>
      <c r="V810" s="58"/>
      <c r="W810" s="58"/>
      <c r="X810" s="58"/>
      <c r="Y810" s="58"/>
    </row>
    <row r="811">
      <c r="A811" s="58"/>
      <c r="B811" s="58"/>
      <c r="C811" s="58"/>
      <c r="D811" s="58"/>
      <c r="E811" s="194"/>
      <c r="F811" s="58"/>
      <c r="G811" s="58"/>
      <c r="H811" s="58"/>
      <c r="I811" s="58"/>
      <c r="J811" s="58"/>
      <c r="K811" s="58"/>
      <c r="L811" s="58"/>
      <c r="M811" s="58"/>
      <c r="N811" s="58"/>
      <c r="O811" s="58"/>
      <c r="P811" s="58"/>
      <c r="Q811" s="58"/>
      <c r="R811" s="58"/>
      <c r="S811" s="58"/>
      <c r="T811" s="58"/>
      <c r="U811" s="58"/>
      <c r="V811" s="58"/>
      <c r="W811" s="58"/>
      <c r="X811" s="58"/>
      <c r="Y811" s="58"/>
    </row>
    <row r="812">
      <c r="A812" s="58"/>
      <c r="B812" s="58"/>
      <c r="C812" s="58"/>
      <c r="D812" s="58"/>
      <c r="E812" s="194"/>
      <c r="F812" s="58"/>
      <c r="G812" s="58"/>
      <c r="H812" s="58"/>
      <c r="I812" s="58"/>
      <c r="J812" s="58"/>
      <c r="K812" s="58"/>
      <c r="L812" s="58"/>
      <c r="M812" s="58"/>
      <c r="N812" s="58"/>
      <c r="O812" s="58"/>
      <c r="P812" s="58"/>
      <c r="Q812" s="58"/>
      <c r="R812" s="58"/>
      <c r="S812" s="58"/>
      <c r="T812" s="58"/>
      <c r="U812" s="58"/>
      <c r="V812" s="58"/>
      <c r="W812" s="58"/>
      <c r="X812" s="58"/>
      <c r="Y812" s="58"/>
    </row>
    <row r="813">
      <c r="A813" s="58"/>
      <c r="B813" s="58"/>
      <c r="C813" s="58"/>
      <c r="D813" s="58"/>
      <c r="E813" s="194"/>
      <c r="F813" s="58"/>
      <c r="G813" s="58"/>
      <c r="H813" s="58"/>
      <c r="I813" s="58"/>
      <c r="J813" s="58"/>
      <c r="K813" s="58"/>
      <c r="L813" s="58"/>
      <c r="M813" s="58"/>
      <c r="N813" s="58"/>
      <c r="O813" s="58"/>
      <c r="P813" s="58"/>
      <c r="Q813" s="58"/>
      <c r="R813" s="58"/>
      <c r="S813" s="58"/>
      <c r="T813" s="58"/>
      <c r="U813" s="58"/>
      <c r="V813" s="58"/>
      <c r="W813" s="58"/>
      <c r="X813" s="58"/>
      <c r="Y813" s="58"/>
    </row>
    <row r="814">
      <c r="A814" s="58"/>
      <c r="B814" s="58"/>
      <c r="C814" s="58"/>
      <c r="D814" s="58"/>
      <c r="E814" s="194"/>
      <c r="F814" s="58"/>
      <c r="G814" s="58"/>
      <c r="H814" s="58"/>
      <c r="I814" s="58"/>
      <c r="J814" s="58"/>
      <c r="K814" s="58"/>
      <c r="L814" s="58"/>
      <c r="M814" s="58"/>
      <c r="N814" s="58"/>
      <c r="O814" s="58"/>
      <c r="P814" s="58"/>
      <c r="Q814" s="58"/>
      <c r="R814" s="58"/>
      <c r="S814" s="58"/>
      <c r="T814" s="58"/>
      <c r="U814" s="58"/>
      <c r="V814" s="58"/>
      <c r="W814" s="58"/>
      <c r="X814" s="58"/>
      <c r="Y814" s="58"/>
    </row>
    <row r="815">
      <c r="A815" s="58"/>
      <c r="B815" s="58"/>
      <c r="C815" s="58"/>
      <c r="D815" s="58"/>
      <c r="E815" s="194"/>
      <c r="F815" s="58"/>
      <c r="G815" s="58"/>
      <c r="H815" s="58"/>
      <c r="I815" s="58"/>
      <c r="J815" s="58"/>
      <c r="K815" s="58"/>
      <c r="L815" s="58"/>
      <c r="M815" s="58"/>
      <c r="N815" s="58"/>
      <c r="O815" s="58"/>
      <c r="P815" s="58"/>
      <c r="Q815" s="58"/>
      <c r="R815" s="58"/>
      <c r="S815" s="58"/>
      <c r="T815" s="58"/>
      <c r="U815" s="58"/>
      <c r="V815" s="58"/>
      <c r="W815" s="58"/>
      <c r="X815" s="58"/>
      <c r="Y815" s="58"/>
    </row>
    <row r="816">
      <c r="A816" s="58"/>
      <c r="B816" s="58"/>
      <c r="C816" s="58"/>
      <c r="D816" s="58"/>
      <c r="E816" s="194"/>
      <c r="F816" s="58"/>
      <c r="G816" s="58"/>
      <c r="H816" s="58"/>
      <c r="I816" s="58"/>
      <c r="J816" s="58"/>
      <c r="K816" s="58"/>
      <c r="L816" s="58"/>
      <c r="M816" s="58"/>
      <c r="N816" s="58"/>
      <c r="O816" s="58"/>
      <c r="P816" s="58"/>
      <c r="Q816" s="58"/>
      <c r="R816" s="58"/>
      <c r="S816" s="58"/>
      <c r="T816" s="58"/>
      <c r="U816" s="58"/>
      <c r="V816" s="58"/>
      <c r="W816" s="58"/>
      <c r="X816" s="58"/>
      <c r="Y816" s="58"/>
    </row>
    <row r="817">
      <c r="A817" s="58"/>
      <c r="B817" s="58"/>
      <c r="C817" s="58"/>
      <c r="D817" s="58"/>
      <c r="E817" s="194"/>
      <c r="F817" s="58"/>
      <c r="G817" s="58"/>
      <c r="H817" s="58"/>
      <c r="I817" s="58"/>
      <c r="J817" s="58"/>
      <c r="K817" s="58"/>
      <c r="L817" s="58"/>
      <c r="M817" s="58"/>
      <c r="N817" s="58"/>
      <c r="O817" s="58"/>
      <c r="P817" s="58"/>
      <c r="Q817" s="58"/>
      <c r="R817" s="58"/>
      <c r="S817" s="58"/>
      <c r="T817" s="58"/>
      <c r="U817" s="58"/>
      <c r="V817" s="58"/>
      <c r="W817" s="58"/>
      <c r="X817" s="58"/>
      <c r="Y817" s="58"/>
    </row>
    <row r="818">
      <c r="A818" s="58"/>
      <c r="B818" s="58"/>
      <c r="C818" s="58"/>
      <c r="D818" s="58"/>
      <c r="E818" s="194"/>
      <c r="F818" s="58"/>
      <c r="G818" s="58"/>
      <c r="H818" s="58"/>
      <c r="I818" s="58"/>
      <c r="J818" s="58"/>
      <c r="K818" s="58"/>
      <c r="L818" s="58"/>
      <c r="M818" s="58"/>
      <c r="N818" s="58"/>
      <c r="O818" s="58"/>
      <c r="P818" s="58"/>
      <c r="Q818" s="58"/>
      <c r="R818" s="58"/>
      <c r="S818" s="58"/>
      <c r="T818" s="58"/>
      <c r="U818" s="58"/>
      <c r="V818" s="58"/>
      <c r="W818" s="58"/>
      <c r="X818" s="58"/>
      <c r="Y818" s="58"/>
    </row>
    <row r="819">
      <c r="A819" s="58"/>
      <c r="B819" s="58"/>
      <c r="C819" s="58"/>
      <c r="D819" s="58"/>
      <c r="E819" s="194"/>
      <c r="F819" s="58"/>
      <c r="G819" s="58"/>
      <c r="H819" s="58"/>
      <c r="I819" s="58"/>
      <c r="J819" s="58"/>
      <c r="K819" s="58"/>
      <c r="L819" s="58"/>
      <c r="M819" s="58"/>
      <c r="N819" s="58"/>
      <c r="O819" s="58"/>
      <c r="P819" s="58"/>
      <c r="Q819" s="58"/>
      <c r="R819" s="58"/>
      <c r="S819" s="58"/>
      <c r="T819" s="58"/>
      <c r="U819" s="58"/>
      <c r="V819" s="58"/>
      <c r="W819" s="58"/>
      <c r="X819" s="58"/>
      <c r="Y819" s="58"/>
    </row>
    <row r="820">
      <c r="A820" s="58"/>
      <c r="B820" s="58"/>
      <c r="C820" s="58"/>
      <c r="D820" s="58"/>
      <c r="E820" s="194"/>
      <c r="F820" s="58"/>
      <c r="G820" s="58"/>
      <c r="H820" s="58"/>
      <c r="I820" s="58"/>
      <c r="J820" s="58"/>
      <c r="K820" s="58"/>
      <c r="L820" s="58"/>
      <c r="M820" s="58"/>
      <c r="N820" s="58"/>
      <c r="O820" s="58"/>
      <c r="P820" s="58"/>
      <c r="Q820" s="58"/>
      <c r="R820" s="58"/>
      <c r="S820" s="58"/>
      <c r="T820" s="58"/>
      <c r="U820" s="58"/>
      <c r="V820" s="58"/>
      <c r="W820" s="58"/>
      <c r="X820" s="58"/>
      <c r="Y820" s="58"/>
    </row>
    <row r="821">
      <c r="A821" s="58"/>
      <c r="B821" s="58"/>
      <c r="C821" s="58"/>
      <c r="D821" s="58"/>
      <c r="E821" s="194"/>
      <c r="F821" s="58"/>
      <c r="G821" s="58"/>
      <c r="H821" s="58"/>
      <c r="I821" s="58"/>
      <c r="J821" s="58"/>
      <c r="K821" s="58"/>
      <c r="L821" s="58"/>
      <c r="M821" s="58"/>
      <c r="N821" s="58"/>
      <c r="O821" s="58"/>
      <c r="P821" s="58"/>
      <c r="Q821" s="58"/>
      <c r="R821" s="58"/>
      <c r="S821" s="58"/>
      <c r="T821" s="58"/>
      <c r="U821" s="58"/>
      <c r="V821" s="58"/>
      <c r="W821" s="58"/>
      <c r="X821" s="58"/>
      <c r="Y821" s="58"/>
    </row>
    <row r="822">
      <c r="A822" s="58"/>
      <c r="B822" s="58"/>
      <c r="C822" s="58"/>
      <c r="D822" s="58"/>
      <c r="E822" s="194"/>
      <c r="F822" s="58"/>
      <c r="G822" s="58"/>
      <c r="H822" s="58"/>
      <c r="I822" s="58"/>
      <c r="J822" s="58"/>
      <c r="K822" s="58"/>
      <c r="L822" s="58"/>
      <c r="M822" s="58"/>
      <c r="N822" s="58"/>
      <c r="O822" s="58"/>
      <c r="P822" s="58"/>
      <c r="Q822" s="58"/>
      <c r="R822" s="58"/>
      <c r="S822" s="58"/>
      <c r="T822" s="58"/>
      <c r="U822" s="58"/>
      <c r="V822" s="58"/>
      <c r="W822" s="58"/>
      <c r="X822" s="58"/>
      <c r="Y822" s="58"/>
    </row>
    <row r="823">
      <c r="A823" s="58"/>
      <c r="B823" s="58"/>
      <c r="C823" s="58"/>
      <c r="D823" s="58"/>
      <c r="E823" s="194"/>
      <c r="F823" s="58"/>
      <c r="G823" s="58"/>
      <c r="H823" s="58"/>
      <c r="I823" s="58"/>
      <c r="J823" s="58"/>
      <c r="K823" s="58"/>
      <c r="L823" s="58"/>
      <c r="M823" s="58"/>
      <c r="N823" s="58"/>
      <c r="O823" s="58"/>
      <c r="P823" s="58"/>
      <c r="Q823" s="58"/>
      <c r="R823" s="58"/>
      <c r="S823" s="58"/>
      <c r="T823" s="58"/>
      <c r="U823" s="58"/>
      <c r="V823" s="58"/>
      <c r="W823" s="58"/>
      <c r="X823" s="58"/>
      <c r="Y823" s="58"/>
    </row>
    <row r="824">
      <c r="A824" s="58"/>
      <c r="B824" s="58"/>
      <c r="C824" s="58"/>
      <c r="D824" s="58"/>
      <c r="E824" s="194"/>
      <c r="F824" s="58"/>
      <c r="G824" s="58"/>
      <c r="H824" s="58"/>
      <c r="I824" s="58"/>
      <c r="J824" s="58"/>
      <c r="K824" s="58"/>
      <c r="L824" s="58"/>
      <c r="M824" s="58"/>
      <c r="N824" s="58"/>
      <c r="O824" s="58"/>
      <c r="P824" s="58"/>
      <c r="Q824" s="58"/>
      <c r="R824" s="58"/>
      <c r="S824" s="58"/>
      <c r="T824" s="58"/>
      <c r="U824" s="58"/>
      <c r="V824" s="58"/>
      <c r="W824" s="58"/>
      <c r="X824" s="58"/>
      <c r="Y824" s="58"/>
    </row>
    <row r="825">
      <c r="A825" s="58"/>
      <c r="B825" s="58"/>
      <c r="C825" s="58"/>
      <c r="D825" s="58"/>
      <c r="E825" s="194"/>
      <c r="F825" s="58"/>
      <c r="G825" s="58"/>
      <c r="H825" s="58"/>
      <c r="I825" s="58"/>
      <c r="J825" s="58"/>
      <c r="K825" s="58"/>
      <c r="L825" s="58"/>
      <c r="M825" s="58"/>
      <c r="N825" s="58"/>
      <c r="O825" s="58"/>
      <c r="P825" s="58"/>
      <c r="Q825" s="58"/>
      <c r="R825" s="58"/>
      <c r="S825" s="58"/>
      <c r="T825" s="58"/>
      <c r="U825" s="58"/>
      <c r="V825" s="58"/>
      <c r="W825" s="58"/>
      <c r="X825" s="58"/>
      <c r="Y825" s="58"/>
    </row>
    <row r="826">
      <c r="A826" s="58"/>
      <c r="B826" s="58"/>
      <c r="C826" s="58"/>
      <c r="D826" s="58"/>
      <c r="E826" s="194"/>
      <c r="F826" s="58"/>
      <c r="G826" s="58"/>
      <c r="H826" s="58"/>
      <c r="I826" s="58"/>
      <c r="J826" s="58"/>
      <c r="K826" s="58"/>
      <c r="L826" s="58"/>
      <c r="M826" s="58"/>
      <c r="N826" s="58"/>
      <c r="O826" s="58"/>
      <c r="P826" s="58"/>
      <c r="Q826" s="58"/>
      <c r="R826" s="58"/>
      <c r="S826" s="58"/>
      <c r="T826" s="58"/>
      <c r="U826" s="58"/>
      <c r="V826" s="58"/>
      <c r="W826" s="58"/>
      <c r="X826" s="58"/>
      <c r="Y826" s="58"/>
    </row>
    <row r="827">
      <c r="A827" s="58"/>
      <c r="B827" s="58"/>
      <c r="C827" s="58"/>
      <c r="D827" s="58"/>
      <c r="E827" s="194"/>
      <c r="F827" s="58"/>
      <c r="G827" s="58"/>
      <c r="H827" s="58"/>
      <c r="I827" s="58"/>
      <c r="J827" s="58"/>
      <c r="K827" s="58"/>
      <c r="L827" s="58"/>
      <c r="M827" s="58"/>
      <c r="N827" s="58"/>
      <c r="O827" s="58"/>
      <c r="P827" s="58"/>
      <c r="Q827" s="58"/>
      <c r="R827" s="58"/>
      <c r="S827" s="58"/>
      <c r="T827" s="58"/>
      <c r="U827" s="58"/>
      <c r="V827" s="58"/>
      <c r="W827" s="58"/>
      <c r="X827" s="58"/>
      <c r="Y827" s="58"/>
    </row>
    <row r="828">
      <c r="A828" s="58"/>
      <c r="B828" s="58"/>
      <c r="C828" s="58"/>
      <c r="D828" s="58"/>
      <c r="E828" s="194"/>
      <c r="F828" s="58"/>
      <c r="G828" s="58"/>
      <c r="H828" s="58"/>
      <c r="I828" s="58"/>
      <c r="J828" s="58"/>
      <c r="K828" s="58"/>
      <c r="L828" s="58"/>
      <c r="M828" s="58"/>
      <c r="N828" s="58"/>
      <c r="O828" s="58"/>
      <c r="P828" s="58"/>
      <c r="Q828" s="58"/>
      <c r="R828" s="58"/>
      <c r="S828" s="58"/>
      <c r="T828" s="58"/>
      <c r="U828" s="58"/>
      <c r="V828" s="58"/>
      <c r="W828" s="58"/>
      <c r="X828" s="58"/>
      <c r="Y828" s="58"/>
    </row>
    <row r="829">
      <c r="A829" s="58"/>
      <c r="B829" s="58"/>
      <c r="C829" s="58"/>
      <c r="D829" s="58"/>
      <c r="E829" s="194"/>
      <c r="F829" s="58"/>
      <c r="G829" s="58"/>
      <c r="H829" s="58"/>
      <c r="I829" s="58"/>
      <c r="J829" s="58"/>
      <c r="K829" s="58"/>
      <c r="L829" s="58"/>
      <c r="M829" s="58"/>
      <c r="N829" s="58"/>
      <c r="O829" s="58"/>
      <c r="P829" s="58"/>
      <c r="Q829" s="58"/>
      <c r="R829" s="58"/>
      <c r="S829" s="58"/>
      <c r="T829" s="58"/>
      <c r="U829" s="58"/>
      <c r="V829" s="58"/>
      <c r="W829" s="58"/>
      <c r="X829" s="58"/>
      <c r="Y829" s="58"/>
    </row>
    <row r="830">
      <c r="A830" s="58"/>
      <c r="B830" s="58"/>
      <c r="C830" s="58"/>
      <c r="D830" s="58"/>
      <c r="E830" s="194"/>
      <c r="F830" s="58"/>
      <c r="G830" s="58"/>
      <c r="H830" s="58"/>
      <c r="I830" s="58"/>
      <c r="J830" s="58"/>
      <c r="K830" s="58"/>
      <c r="L830" s="58"/>
      <c r="M830" s="58"/>
      <c r="N830" s="58"/>
      <c r="O830" s="58"/>
      <c r="P830" s="58"/>
      <c r="Q830" s="58"/>
      <c r="R830" s="58"/>
      <c r="S830" s="58"/>
      <c r="T830" s="58"/>
      <c r="U830" s="58"/>
      <c r="V830" s="58"/>
      <c r="W830" s="58"/>
      <c r="X830" s="58"/>
      <c r="Y830" s="58"/>
    </row>
    <row r="831">
      <c r="A831" s="58"/>
      <c r="B831" s="58"/>
      <c r="C831" s="58"/>
      <c r="D831" s="58"/>
      <c r="E831" s="194"/>
      <c r="F831" s="58"/>
      <c r="G831" s="58"/>
      <c r="H831" s="58"/>
      <c r="I831" s="58"/>
      <c r="J831" s="58"/>
      <c r="K831" s="58"/>
      <c r="L831" s="58"/>
      <c r="M831" s="58"/>
      <c r="N831" s="58"/>
      <c r="O831" s="58"/>
      <c r="P831" s="58"/>
      <c r="Q831" s="58"/>
      <c r="R831" s="58"/>
      <c r="S831" s="58"/>
      <c r="T831" s="58"/>
      <c r="U831" s="58"/>
      <c r="V831" s="58"/>
      <c r="W831" s="58"/>
      <c r="X831" s="58"/>
      <c r="Y831" s="58"/>
    </row>
    <row r="832">
      <c r="A832" s="58"/>
      <c r="B832" s="58"/>
      <c r="C832" s="58"/>
      <c r="D832" s="58"/>
      <c r="E832" s="194"/>
      <c r="F832" s="58"/>
      <c r="G832" s="58"/>
      <c r="H832" s="58"/>
      <c r="I832" s="58"/>
      <c r="J832" s="58"/>
      <c r="K832" s="58"/>
      <c r="L832" s="58"/>
      <c r="M832" s="58"/>
      <c r="N832" s="58"/>
      <c r="O832" s="58"/>
      <c r="P832" s="58"/>
      <c r="Q832" s="58"/>
      <c r="R832" s="58"/>
      <c r="S832" s="58"/>
      <c r="T832" s="58"/>
      <c r="U832" s="58"/>
      <c r="V832" s="58"/>
      <c r="W832" s="58"/>
      <c r="X832" s="58"/>
      <c r="Y832" s="58"/>
    </row>
    <row r="833">
      <c r="A833" s="58"/>
      <c r="B833" s="58"/>
      <c r="C833" s="58"/>
      <c r="D833" s="58"/>
      <c r="E833" s="194"/>
      <c r="F833" s="58"/>
      <c r="G833" s="58"/>
      <c r="H833" s="58"/>
      <c r="I833" s="58"/>
      <c r="J833" s="58"/>
      <c r="K833" s="58"/>
      <c r="L833" s="58"/>
      <c r="M833" s="58"/>
      <c r="N833" s="58"/>
      <c r="O833" s="58"/>
      <c r="P833" s="58"/>
      <c r="Q833" s="58"/>
      <c r="R833" s="58"/>
      <c r="S833" s="58"/>
      <c r="T833" s="58"/>
      <c r="U833" s="58"/>
      <c r="V833" s="58"/>
      <c r="W833" s="58"/>
      <c r="X833" s="58"/>
      <c r="Y833" s="58"/>
    </row>
    <row r="834">
      <c r="A834" s="58"/>
      <c r="B834" s="58"/>
      <c r="C834" s="58"/>
      <c r="D834" s="58"/>
      <c r="E834" s="194"/>
      <c r="F834" s="58"/>
      <c r="G834" s="58"/>
      <c r="H834" s="58"/>
      <c r="I834" s="58"/>
      <c r="J834" s="58"/>
      <c r="K834" s="58"/>
      <c r="L834" s="58"/>
      <c r="M834" s="58"/>
      <c r="N834" s="58"/>
      <c r="O834" s="58"/>
      <c r="P834" s="58"/>
      <c r="Q834" s="58"/>
      <c r="R834" s="58"/>
      <c r="S834" s="58"/>
      <c r="T834" s="58"/>
      <c r="U834" s="58"/>
      <c r="V834" s="58"/>
      <c r="W834" s="58"/>
      <c r="X834" s="58"/>
      <c r="Y834" s="58"/>
    </row>
    <row r="835">
      <c r="A835" s="58"/>
      <c r="B835" s="58"/>
      <c r="C835" s="58"/>
      <c r="D835" s="58"/>
      <c r="E835" s="194"/>
      <c r="F835" s="58"/>
      <c r="G835" s="58"/>
      <c r="H835" s="58"/>
      <c r="I835" s="58"/>
      <c r="J835" s="58"/>
      <c r="K835" s="58"/>
      <c r="L835" s="58"/>
      <c r="M835" s="58"/>
      <c r="N835" s="58"/>
      <c r="O835" s="58"/>
      <c r="P835" s="58"/>
      <c r="Q835" s="58"/>
      <c r="R835" s="58"/>
      <c r="S835" s="58"/>
      <c r="T835" s="58"/>
      <c r="U835" s="58"/>
      <c r="V835" s="58"/>
      <c r="W835" s="58"/>
      <c r="X835" s="58"/>
      <c r="Y835" s="58"/>
    </row>
    <row r="836">
      <c r="A836" s="58"/>
      <c r="B836" s="58"/>
      <c r="C836" s="58"/>
      <c r="D836" s="58"/>
      <c r="E836" s="194"/>
      <c r="F836" s="58"/>
      <c r="G836" s="58"/>
      <c r="H836" s="58"/>
      <c r="I836" s="58"/>
      <c r="J836" s="58"/>
      <c r="K836" s="58"/>
      <c r="L836" s="58"/>
      <c r="M836" s="58"/>
      <c r="N836" s="58"/>
      <c r="O836" s="58"/>
      <c r="P836" s="58"/>
      <c r="Q836" s="58"/>
      <c r="R836" s="58"/>
      <c r="S836" s="58"/>
      <c r="T836" s="58"/>
      <c r="U836" s="58"/>
      <c r="V836" s="58"/>
      <c r="W836" s="58"/>
      <c r="X836" s="58"/>
      <c r="Y836" s="58"/>
    </row>
    <row r="837">
      <c r="A837" s="58"/>
      <c r="B837" s="58"/>
      <c r="C837" s="58"/>
      <c r="D837" s="58"/>
      <c r="E837" s="194"/>
      <c r="F837" s="58"/>
      <c r="G837" s="58"/>
      <c r="H837" s="58"/>
      <c r="I837" s="58"/>
      <c r="J837" s="58"/>
      <c r="K837" s="58"/>
      <c r="L837" s="58"/>
      <c r="M837" s="58"/>
      <c r="N837" s="58"/>
      <c r="O837" s="58"/>
      <c r="P837" s="58"/>
      <c r="Q837" s="58"/>
      <c r="R837" s="58"/>
      <c r="S837" s="58"/>
      <c r="T837" s="58"/>
      <c r="U837" s="58"/>
      <c r="V837" s="58"/>
      <c r="W837" s="58"/>
      <c r="X837" s="58"/>
      <c r="Y837" s="58"/>
    </row>
    <row r="838">
      <c r="A838" s="58"/>
      <c r="B838" s="58"/>
      <c r="C838" s="58"/>
      <c r="D838" s="58"/>
      <c r="E838" s="194"/>
      <c r="F838" s="58"/>
      <c r="G838" s="58"/>
      <c r="H838" s="58"/>
      <c r="I838" s="58"/>
      <c r="J838" s="58"/>
      <c r="K838" s="58"/>
      <c r="L838" s="58"/>
      <c r="M838" s="58"/>
      <c r="N838" s="58"/>
      <c r="O838" s="58"/>
      <c r="P838" s="58"/>
      <c r="Q838" s="58"/>
      <c r="R838" s="58"/>
      <c r="S838" s="58"/>
      <c r="T838" s="58"/>
      <c r="U838" s="58"/>
      <c r="V838" s="58"/>
      <c r="W838" s="58"/>
      <c r="X838" s="58"/>
      <c r="Y838" s="58"/>
    </row>
    <row r="839">
      <c r="A839" s="58"/>
      <c r="B839" s="58"/>
      <c r="C839" s="58"/>
      <c r="D839" s="58"/>
      <c r="E839" s="194"/>
      <c r="F839" s="58"/>
      <c r="G839" s="58"/>
      <c r="H839" s="58"/>
      <c r="I839" s="58"/>
      <c r="J839" s="58"/>
      <c r="K839" s="58"/>
      <c r="L839" s="58"/>
      <c r="M839" s="58"/>
      <c r="N839" s="58"/>
      <c r="O839" s="58"/>
      <c r="P839" s="58"/>
      <c r="Q839" s="58"/>
      <c r="R839" s="58"/>
      <c r="S839" s="58"/>
      <c r="T839" s="58"/>
      <c r="U839" s="58"/>
      <c r="V839" s="58"/>
      <c r="W839" s="58"/>
      <c r="X839" s="58"/>
      <c r="Y839" s="58"/>
    </row>
    <row r="840">
      <c r="A840" s="58"/>
      <c r="B840" s="58"/>
      <c r="C840" s="58"/>
      <c r="D840" s="58"/>
      <c r="E840" s="194"/>
      <c r="F840" s="58"/>
      <c r="G840" s="58"/>
      <c r="H840" s="58"/>
      <c r="I840" s="58"/>
      <c r="J840" s="58"/>
      <c r="K840" s="58"/>
      <c r="L840" s="58"/>
      <c r="M840" s="58"/>
      <c r="N840" s="58"/>
      <c r="O840" s="58"/>
      <c r="P840" s="58"/>
      <c r="Q840" s="58"/>
      <c r="R840" s="58"/>
      <c r="S840" s="58"/>
      <c r="T840" s="58"/>
      <c r="U840" s="58"/>
      <c r="V840" s="58"/>
      <c r="W840" s="58"/>
      <c r="X840" s="58"/>
      <c r="Y840" s="58"/>
    </row>
    <row r="841">
      <c r="A841" s="58"/>
      <c r="B841" s="58"/>
      <c r="C841" s="58"/>
      <c r="D841" s="58"/>
      <c r="E841" s="194"/>
      <c r="F841" s="58"/>
      <c r="G841" s="58"/>
      <c r="H841" s="58"/>
      <c r="I841" s="58"/>
      <c r="J841" s="58"/>
      <c r="K841" s="58"/>
      <c r="L841" s="58"/>
      <c r="M841" s="58"/>
      <c r="N841" s="58"/>
      <c r="O841" s="58"/>
      <c r="P841" s="58"/>
      <c r="Q841" s="58"/>
      <c r="R841" s="58"/>
      <c r="S841" s="58"/>
      <c r="T841" s="58"/>
      <c r="U841" s="58"/>
      <c r="V841" s="58"/>
      <c r="W841" s="58"/>
      <c r="X841" s="58"/>
      <c r="Y841" s="58"/>
    </row>
    <row r="842">
      <c r="A842" s="58"/>
      <c r="B842" s="58"/>
      <c r="C842" s="58"/>
      <c r="D842" s="58"/>
      <c r="E842" s="194"/>
      <c r="F842" s="58"/>
      <c r="G842" s="58"/>
      <c r="H842" s="58"/>
      <c r="I842" s="58"/>
      <c r="J842" s="58"/>
      <c r="K842" s="58"/>
      <c r="L842" s="58"/>
      <c r="M842" s="58"/>
      <c r="N842" s="58"/>
      <c r="O842" s="58"/>
      <c r="P842" s="58"/>
      <c r="Q842" s="58"/>
      <c r="R842" s="58"/>
      <c r="S842" s="58"/>
      <c r="T842" s="58"/>
      <c r="U842" s="58"/>
      <c r="V842" s="58"/>
      <c r="W842" s="58"/>
      <c r="X842" s="58"/>
      <c r="Y842" s="58"/>
    </row>
    <row r="843">
      <c r="A843" s="58"/>
      <c r="B843" s="58"/>
      <c r="C843" s="58"/>
      <c r="D843" s="58"/>
      <c r="E843" s="194"/>
      <c r="F843" s="58"/>
      <c r="G843" s="58"/>
      <c r="H843" s="58"/>
      <c r="I843" s="58"/>
      <c r="J843" s="58"/>
      <c r="K843" s="58"/>
      <c r="L843" s="58"/>
      <c r="M843" s="58"/>
      <c r="N843" s="58"/>
      <c r="O843" s="58"/>
      <c r="P843" s="58"/>
      <c r="Q843" s="58"/>
      <c r="R843" s="58"/>
      <c r="S843" s="58"/>
      <c r="T843" s="58"/>
      <c r="U843" s="58"/>
      <c r="V843" s="58"/>
      <c r="W843" s="58"/>
      <c r="X843" s="58"/>
      <c r="Y843" s="58"/>
    </row>
    <row r="844">
      <c r="A844" s="58"/>
      <c r="B844" s="58"/>
      <c r="C844" s="58"/>
      <c r="D844" s="58"/>
      <c r="E844" s="194"/>
      <c r="F844" s="58"/>
      <c r="G844" s="58"/>
      <c r="H844" s="58"/>
      <c r="I844" s="58"/>
      <c r="J844" s="58"/>
      <c r="K844" s="58"/>
      <c r="L844" s="58"/>
      <c r="M844" s="58"/>
      <c r="N844" s="58"/>
      <c r="O844" s="58"/>
      <c r="P844" s="58"/>
      <c r="Q844" s="58"/>
      <c r="R844" s="58"/>
      <c r="S844" s="58"/>
      <c r="T844" s="58"/>
      <c r="U844" s="58"/>
      <c r="V844" s="58"/>
      <c r="W844" s="58"/>
      <c r="X844" s="58"/>
      <c r="Y844" s="58"/>
    </row>
    <row r="845">
      <c r="A845" s="58"/>
      <c r="B845" s="58"/>
      <c r="C845" s="58"/>
      <c r="D845" s="58"/>
      <c r="E845" s="194"/>
      <c r="F845" s="58"/>
      <c r="G845" s="58"/>
      <c r="H845" s="58"/>
      <c r="I845" s="58"/>
      <c r="J845" s="58"/>
      <c r="K845" s="58"/>
      <c r="L845" s="58"/>
      <c r="M845" s="58"/>
      <c r="N845" s="58"/>
      <c r="O845" s="58"/>
      <c r="P845" s="58"/>
      <c r="Q845" s="58"/>
      <c r="R845" s="58"/>
      <c r="S845" s="58"/>
      <c r="T845" s="58"/>
      <c r="U845" s="58"/>
      <c r="V845" s="58"/>
      <c r="W845" s="58"/>
      <c r="X845" s="58"/>
      <c r="Y845" s="58"/>
    </row>
    <row r="846">
      <c r="A846" s="58"/>
      <c r="B846" s="58"/>
      <c r="C846" s="58"/>
      <c r="D846" s="58"/>
      <c r="E846" s="194"/>
      <c r="F846" s="58"/>
      <c r="G846" s="58"/>
      <c r="H846" s="58"/>
      <c r="I846" s="58"/>
      <c r="J846" s="58"/>
      <c r="K846" s="58"/>
      <c r="L846" s="58"/>
      <c r="M846" s="58"/>
      <c r="N846" s="58"/>
      <c r="O846" s="58"/>
      <c r="P846" s="58"/>
      <c r="Q846" s="58"/>
      <c r="R846" s="58"/>
      <c r="S846" s="58"/>
      <c r="T846" s="58"/>
      <c r="U846" s="58"/>
      <c r="V846" s="58"/>
      <c r="W846" s="58"/>
      <c r="X846" s="58"/>
      <c r="Y846" s="58"/>
    </row>
    <row r="847">
      <c r="A847" s="58"/>
      <c r="B847" s="58"/>
      <c r="C847" s="58"/>
      <c r="D847" s="58"/>
      <c r="E847" s="194"/>
      <c r="F847" s="58"/>
      <c r="G847" s="58"/>
      <c r="H847" s="58"/>
      <c r="I847" s="58"/>
      <c r="J847" s="58"/>
      <c r="K847" s="58"/>
      <c r="L847" s="58"/>
      <c r="M847" s="58"/>
      <c r="N847" s="58"/>
      <c r="O847" s="58"/>
      <c r="P847" s="58"/>
      <c r="Q847" s="58"/>
      <c r="R847" s="58"/>
      <c r="S847" s="58"/>
      <c r="T847" s="58"/>
      <c r="U847" s="58"/>
      <c r="V847" s="58"/>
      <c r="W847" s="58"/>
      <c r="X847" s="58"/>
      <c r="Y847" s="58"/>
    </row>
    <row r="848">
      <c r="A848" s="58"/>
      <c r="B848" s="58"/>
      <c r="C848" s="58"/>
      <c r="D848" s="58"/>
      <c r="E848" s="194"/>
      <c r="F848" s="58"/>
      <c r="G848" s="58"/>
      <c r="H848" s="58"/>
      <c r="I848" s="58"/>
      <c r="J848" s="58"/>
      <c r="K848" s="58"/>
      <c r="L848" s="58"/>
      <c r="M848" s="58"/>
      <c r="N848" s="58"/>
      <c r="O848" s="58"/>
      <c r="P848" s="58"/>
      <c r="Q848" s="58"/>
      <c r="R848" s="58"/>
      <c r="S848" s="58"/>
      <c r="T848" s="58"/>
      <c r="U848" s="58"/>
      <c r="V848" s="58"/>
      <c r="W848" s="58"/>
      <c r="X848" s="58"/>
      <c r="Y848" s="58"/>
    </row>
    <row r="849">
      <c r="A849" s="58"/>
      <c r="B849" s="58"/>
      <c r="C849" s="58"/>
      <c r="D849" s="58"/>
      <c r="E849" s="194"/>
      <c r="F849" s="58"/>
      <c r="G849" s="58"/>
      <c r="H849" s="58"/>
      <c r="I849" s="58"/>
      <c r="J849" s="58"/>
      <c r="K849" s="58"/>
      <c r="L849" s="58"/>
      <c r="M849" s="58"/>
      <c r="N849" s="58"/>
      <c r="O849" s="58"/>
      <c r="P849" s="58"/>
      <c r="Q849" s="58"/>
      <c r="R849" s="58"/>
      <c r="S849" s="58"/>
      <c r="T849" s="58"/>
      <c r="U849" s="58"/>
      <c r="V849" s="58"/>
      <c r="W849" s="58"/>
      <c r="X849" s="58"/>
      <c r="Y849" s="58"/>
    </row>
    <row r="850">
      <c r="A850" s="58"/>
      <c r="B850" s="58"/>
      <c r="C850" s="58"/>
      <c r="D850" s="58"/>
      <c r="E850" s="194"/>
      <c r="F850" s="58"/>
      <c r="G850" s="58"/>
      <c r="H850" s="58"/>
      <c r="I850" s="58"/>
      <c r="J850" s="58"/>
      <c r="K850" s="58"/>
      <c r="L850" s="58"/>
      <c r="M850" s="58"/>
      <c r="N850" s="58"/>
      <c r="O850" s="58"/>
      <c r="P850" s="58"/>
      <c r="Q850" s="58"/>
      <c r="R850" s="58"/>
      <c r="S850" s="58"/>
      <c r="T850" s="58"/>
      <c r="U850" s="58"/>
      <c r="V850" s="58"/>
      <c r="W850" s="58"/>
      <c r="X850" s="58"/>
      <c r="Y850" s="58"/>
    </row>
    <row r="851">
      <c r="A851" s="58"/>
      <c r="B851" s="58"/>
      <c r="C851" s="58"/>
      <c r="D851" s="58"/>
      <c r="E851" s="194"/>
      <c r="F851" s="58"/>
      <c r="G851" s="58"/>
      <c r="H851" s="58"/>
      <c r="I851" s="58"/>
      <c r="J851" s="58"/>
      <c r="K851" s="58"/>
      <c r="L851" s="58"/>
      <c r="M851" s="58"/>
      <c r="N851" s="58"/>
      <c r="O851" s="58"/>
      <c r="P851" s="58"/>
      <c r="Q851" s="58"/>
      <c r="R851" s="58"/>
      <c r="S851" s="58"/>
      <c r="T851" s="58"/>
      <c r="U851" s="58"/>
      <c r="V851" s="58"/>
      <c r="W851" s="58"/>
      <c r="X851" s="58"/>
      <c r="Y851" s="58"/>
    </row>
    <row r="852">
      <c r="A852" s="58"/>
      <c r="B852" s="58"/>
      <c r="C852" s="58"/>
      <c r="D852" s="58"/>
      <c r="E852" s="194"/>
      <c r="F852" s="58"/>
      <c r="G852" s="58"/>
      <c r="H852" s="58"/>
      <c r="I852" s="58"/>
      <c r="J852" s="58"/>
      <c r="K852" s="58"/>
      <c r="L852" s="58"/>
      <c r="M852" s="58"/>
      <c r="N852" s="58"/>
      <c r="O852" s="58"/>
      <c r="P852" s="58"/>
      <c r="Q852" s="58"/>
      <c r="R852" s="58"/>
      <c r="S852" s="58"/>
      <c r="T852" s="58"/>
      <c r="U852" s="58"/>
      <c r="V852" s="58"/>
      <c r="W852" s="58"/>
      <c r="X852" s="58"/>
      <c r="Y852" s="58"/>
    </row>
    <row r="853">
      <c r="A853" s="58"/>
      <c r="B853" s="58"/>
      <c r="C853" s="58"/>
      <c r="D853" s="58"/>
      <c r="E853" s="194"/>
      <c r="F853" s="58"/>
      <c r="G853" s="58"/>
      <c r="H853" s="58"/>
      <c r="I853" s="58"/>
      <c r="J853" s="58"/>
      <c r="K853" s="58"/>
      <c r="L853" s="58"/>
      <c r="M853" s="58"/>
      <c r="N853" s="58"/>
      <c r="O853" s="58"/>
      <c r="P853" s="58"/>
      <c r="Q853" s="58"/>
      <c r="R853" s="58"/>
      <c r="S853" s="58"/>
      <c r="T853" s="58"/>
      <c r="U853" s="58"/>
      <c r="V853" s="58"/>
      <c r="W853" s="58"/>
      <c r="X853" s="58"/>
      <c r="Y853" s="58"/>
    </row>
    <row r="854">
      <c r="A854" s="58"/>
      <c r="B854" s="58"/>
      <c r="C854" s="58"/>
      <c r="D854" s="58"/>
      <c r="E854" s="194"/>
      <c r="F854" s="58"/>
      <c r="G854" s="58"/>
      <c r="H854" s="58"/>
      <c r="I854" s="58"/>
      <c r="J854" s="58"/>
      <c r="K854" s="58"/>
      <c r="L854" s="58"/>
      <c r="M854" s="58"/>
      <c r="N854" s="58"/>
      <c r="O854" s="58"/>
      <c r="P854" s="58"/>
      <c r="Q854" s="58"/>
      <c r="R854" s="58"/>
      <c r="S854" s="58"/>
      <c r="T854" s="58"/>
      <c r="U854" s="58"/>
      <c r="V854" s="58"/>
      <c r="W854" s="58"/>
      <c r="X854" s="58"/>
      <c r="Y854" s="58"/>
    </row>
    <row r="855">
      <c r="A855" s="58"/>
      <c r="B855" s="58"/>
      <c r="C855" s="58"/>
      <c r="D855" s="58"/>
      <c r="E855" s="194"/>
      <c r="F855" s="58"/>
      <c r="G855" s="58"/>
      <c r="H855" s="58"/>
      <c r="I855" s="58"/>
      <c r="J855" s="58"/>
      <c r="K855" s="58"/>
      <c r="L855" s="58"/>
      <c r="M855" s="58"/>
      <c r="N855" s="58"/>
      <c r="O855" s="58"/>
      <c r="P855" s="58"/>
      <c r="Q855" s="58"/>
      <c r="R855" s="58"/>
      <c r="S855" s="58"/>
      <c r="T855" s="58"/>
      <c r="U855" s="58"/>
      <c r="V855" s="58"/>
      <c r="W855" s="58"/>
      <c r="X855" s="58"/>
      <c r="Y855" s="58"/>
    </row>
    <row r="856">
      <c r="A856" s="58"/>
      <c r="B856" s="58"/>
      <c r="C856" s="58"/>
      <c r="D856" s="58"/>
      <c r="E856" s="194"/>
      <c r="F856" s="58"/>
      <c r="G856" s="58"/>
      <c r="H856" s="58"/>
      <c r="I856" s="58"/>
      <c r="J856" s="58"/>
      <c r="K856" s="58"/>
      <c r="L856" s="58"/>
      <c r="M856" s="58"/>
      <c r="N856" s="58"/>
      <c r="O856" s="58"/>
      <c r="P856" s="58"/>
      <c r="Q856" s="58"/>
      <c r="R856" s="58"/>
      <c r="S856" s="58"/>
      <c r="T856" s="58"/>
      <c r="U856" s="58"/>
      <c r="V856" s="58"/>
      <c r="W856" s="58"/>
      <c r="X856" s="58"/>
      <c r="Y856" s="58"/>
    </row>
    <row r="857">
      <c r="A857" s="58"/>
      <c r="B857" s="58"/>
      <c r="C857" s="58"/>
      <c r="D857" s="58"/>
      <c r="E857" s="194"/>
      <c r="F857" s="58"/>
      <c r="G857" s="58"/>
      <c r="H857" s="58"/>
      <c r="I857" s="58"/>
      <c r="J857" s="58"/>
      <c r="K857" s="58"/>
      <c r="L857" s="58"/>
      <c r="M857" s="58"/>
      <c r="N857" s="58"/>
      <c r="O857" s="58"/>
      <c r="P857" s="58"/>
      <c r="Q857" s="58"/>
      <c r="R857" s="58"/>
      <c r="S857" s="58"/>
      <c r="T857" s="58"/>
      <c r="U857" s="58"/>
      <c r="V857" s="58"/>
      <c r="W857" s="58"/>
      <c r="X857" s="58"/>
      <c r="Y857" s="58"/>
    </row>
    <row r="858">
      <c r="A858" s="58"/>
      <c r="B858" s="58"/>
      <c r="C858" s="58"/>
      <c r="D858" s="58"/>
      <c r="E858" s="194"/>
      <c r="F858" s="58"/>
      <c r="G858" s="58"/>
      <c r="H858" s="58"/>
      <c r="I858" s="58"/>
      <c r="J858" s="58"/>
      <c r="K858" s="58"/>
      <c r="L858" s="58"/>
      <c r="M858" s="58"/>
      <c r="N858" s="58"/>
      <c r="O858" s="58"/>
      <c r="P858" s="58"/>
      <c r="Q858" s="58"/>
      <c r="R858" s="58"/>
      <c r="S858" s="58"/>
      <c r="T858" s="58"/>
      <c r="U858" s="58"/>
      <c r="V858" s="58"/>
      <c r="W858" s="58"/>
      <c r="X858" s="58"/>
      <c r="Y858" s="58"/>
    </row>
    <row r="859">
      <c r="A859" s="58"/>
      <c r="B859" s="58"/>
      <c r="C859" s="58"/>
      <c r="D859" s="58"/>
      <c r="E859" s="194"/>
      <c r="F859" s="58"/>
      <c r="G859" s="58"/>
      <c r="H859" s="58"/>
      <c r="I859" s="58"/>
      <c r="J859" s="58"/>
      <c r="K859" s="58"/>
      <c r="L859" s="58"/>
      <c r="M859" s="58"/>
      <c r="N859" s="58"/>
      <c r="O859" s="58"/>
      <c r="P859" s="58"/>
      <c r="Q859" s="58"/>
      <c r="R859" s="58"/>
      <c r="S859" s="58"/>
      <c r="T859" s="58"/>
      <c r="U859" s="58"/>
      <c r="V859" s="58"/>
      <c r="W859" s="58"/>
      <c r="X859" s="58"/>
      <c r="Y859" s="58"/>
    </row>
    <row r="860">
      <c r="A860" s="58"/>
      <c r="B860" s="58"/>
      <c r="C860" s="58"/>
      <c r="D860" s="58"/>
      <c r="E860" s="194"/>
      <c r="F860" s="58"/>
      <c r="G860" s="58"/>
      <c r="H860" s="58"/>
      <c r="I860" s="58"/>
      <c r="J860" s="58"/>
      <c r="K860" s="58"/>
      <c r="L860" s="58"/>
      <c r="M860" s="58"/>
      <c r="N860" s="58"/>
      <c r="O860" s="58"/>
      <c r="P860" s="58"/>
      <c r="Q860" s="58"/>
      <c r="R860" s="58"/>
      <c r="S860" s="58"/>
      <c r="T860" s="58"/>
      <c r="U860" s="58"/>
      <c r="V860" s="58"/>
      <c r="W860" s="58"/>
      <c r="X860" s="58"/>
      <c r="Y860" s="58"/>
    </row>
    <row r="861">
      <c r="A861" s="58"/>
      <c r="B861" s="58"/>
      <c r="C861" s="58"/>
      <c r="D861" s="58"/>
      <c r="E861" s="194"/>
      <c r="F861" s="58"/>
      <c r="G861" s="58"/>
      <c r="H861" s="58"/>
      <c r="I861" s="58"/>
      <c r="J861" s="58"/>
      <c r="K861" s="58"/>
      <c r="L861" s="58"/>
      <c r="M861" s="58"/>
      <c r="N861" s="58"/>
      <c r="O861" s="58"/>
      <c r="P861" s="58"/>
      <c r="Q861" s="58"/>
      <c r="R861" s="58"/>
      <c r="S861" s="58"/>
      <c r="T861" s="58"/>
      <c r="U861" s="58"/>
      <c r="V861" s="58"/>
      <c r="W861" s="58"/>
      <c r="X861" s="58"/>
      <c r="Y861" s="58"/>
    </row>
    <row r="862">
      <c r="A862" s="58"/>
      <c r="B862" s="58"/>
      <c r="C862" s="58"/>
      <c r="D862" s="58"/>
      <c r="E862" s="194"/>
      <c r="F862" s="58"/>
      <c r="G862" s="58"/>
      <c r="H862" s="58"/>
      <c r="I862" s="58"/>
      <c r="J862" s="58"/>
      <c r="K862" s="58"/>
      <c r="L862" s="58"/>
      <c r="M862" s="58"/>
      <c r="N862" s="58"/>
      <c r="O862" s="58"/>
      <c r="P862" s="58"/>
      <c r="Q862" s="58"/>
      <c r="R862" s="58"/>
      <c r="S862" s="58"/>
      <c r="T862" s="58"/>
      <c r="U862" s="58"/>
      <c r="V862" s="58"/>
      <c r="W862" s="58"/>
      <c r="X862" s="58"/>
      <c r="Y862" s="58"/>
    </row>
    <row r="863">
      <c r="A863" s="58"/>
      <c r="B863" s="58"/>
      <c r="C863" s="58"/>
      <c r="D863" s="58"/>
      <c r="E863" s="194"/>
      <c r="F863" s="58"/>
      <c r="G863" s="58"/>
      <c r="H863" s="58"/>
      <c r="I863" s="58"/>
      <c r="J863" s="58"/>
      <c r="K863" s="58"/>
      <c r="L863" s="58"/>
      <c r="M863" s="58"/>
      <c r="N863" s="58"/>
      <c r="O863" s="58"/>
      <c r="P863" s="58"/>
      <c r="Q863" s="58"/>
      <c r="R863" s="58"/>
      <c r="S863" s="58"/>
      <c r="T863" s="58"/>
      <c r="U863" s="58"/>
      <c r="V863" s="58"/>
      <c r="W863" s="58"/>
      <c r="X863" s="58"/>
      <c r="Y863" s="58"/>
    </row>
    <row r="864">
      <c r="A864" s="58"/>
      <c r="B864" s="58"/>
      <c r="C864" s="58"/>
      <c r="D864" s="58"/>
      <c r="E864" s="194"/>
      <c r="F864" s="58"/>
      <c r="G864" s="58"/>
      <c r="H864" s="58"/>
      <c r="I864" s="58"/>
      <c r="J864" s="58"/>
      <c r="K864" s="58"/>
      <c r="L864" s="58"/>
      <c r="M864" s="58"/>
      <c r="N864" s="58"/>
      <c r="O864" s="58"/>
      <c r="P864" s="58"/>
      <c r="Q864" s="58"/>
      <c r="R864" s="58"/>
      <c r="S864" s="58"/>
      <c r="T864" s="58"/>
      <c r="U864" s="58"/>
      <c r="V864" s="58"/>
      <c r="W864" s="58"/>
      <c r="X864" s="58"/>
      <c r="Y864" s="58"/>
    </row>
    <row r="865">
      <c r="A865" s="58"/>
      <c r="B865" s="58"/>
      <c r="C865" s="58"/>
      <c r="D865" s="58"/>
      <c r="E865" s="194"/>
      <c r="F865" s="58"/>
      <c r="G865" s="58"/>
      <c r="H865" s="58"/>
      <c r="I865" s="58"/>
      <c r="J865" s="58"/>
      <c r="K865" s="58"/>
      <c r="L865" s="58"/>
      <c r="M865" s="58"/>
      <c r="N865" s="58"/>
      <c r="O865" s="58"/>
      <c r="P865" s="58"/>
      <c r="Q865" s="58"/>
      <c r="R865" s="58"/>
      <c r="S865" s="58"/>
      <c r="T865" s="58"/>
      <c r="U865" s="58"/>
      <c r="V865" s="58"/>
      <c r="W865" s="58"/>
      <c r="X865" s="58"/>
      <c r="Y865" s="58"/>
    </row>
    <row r="866">
      <c r="A866" s="58"/>
      <c r="B866" s="58"/>
      <c r="C866" s="58"/>
      <c r="D866" s="58"/>
      <c r="E866" s="194"/>
      <c r="F866" s="58"/>
      <c r="G866" s="58"/>
      <c r="H866" s="58"/>
      <c r="I866" s="58"/>
      <c r="J866" s="58"/>
      <c r="K866" s="58"/>
      <c r="L866" s="58"/>
      <c r="M866" s="58"/>
      <c r="N866" s="58"/>
      <c r="O866" s="58"/>
      <c r="P866" s="58"/>
      <c r="Q866" s="58"/>
      <c r="R866" s="58"/>
      <c r="S866" s="58"/>
      <c r="T866" s="58"/>
      <c r="U866" s="58"/>
      <c r="V866" s="58"/>
      <c r="W866" s="58"/>
      <c r="X866" s="58"/>
      <c r="Y866" s="58"/>
    </row>
    <row r="867">
      <c r="A867" s="58"/>
      <c r="B867" s="58"/>
      <c r="C867" s="58"/>
      <c r="D867" s="58"/>
      <c r="E867" s="194"/>
      <c r="F867" s="58"/>
      <c r="G867" s="58"/>
      <c r="H867" s="58"/>
      <c r="I867" s="58"/>
      <c r="J867" s="58"/>
      <c r="K867" s="58"/>
      <c r="L867" s="58"/>
      <c r="M867" s="58"/>
      <c r="N867" s="58"/>
      <c r="O867" s="58"/>
      <c r="P867" s="58"/>
      <c r="Q867" s="58"/>
      <c r="R867" s="58"/>
      <c r="S867" s="58"/>
      <c r="T867" s="58"/>
      <c r="U867" s="58"/>
      <c r="V867" s="58"/>
      <c r="W867" s="58"/>
      <c r="X867" s="58"/>
      <c r="Y867" s="58"/>
    </row>
    <row r="868">
      <c r="A868" s="58"/>
      <c r="B868" s="58"/>
      <c r="C868" s="58"/>
      <c r="D868" s="58"/>
      <c r="E868" s="194"/>
      <c r="F868" s="58"/>
      <c r="G868" s="58"/>
      <c r="H868" s="58"/>
      <c r="I868" s="58"/>
      <c r="J868" s="58"/>
      <c r="K868" s="58"/>
      <c r="L868" s="58"/>
      <c r="M868" s="58"/>
      <c r="N868" s="58"/>
      <c r="O868" s="58"/>
      <c r="P868" s="58"/>
      <c r="Q868" s="58"/>
      <c r="R868" s="58"/>
      <c r="S868" s="58"/>
      <c r="T868" s="58"/>
      <c r="U868" s="58"/>
      <c r="V868" s="58"/>
      <c r="W868" s="58"/>
      <c r="X868" s="58"/>
      <c r="Y868" s="58"/>
    </row>
    <row r="869">
      <c r="A869" s="58"/>
      <c r="B869" s="58"/>
      <c r="C869" s="58"/>
      <c r="D869" s="58"/>
      <c r="E869" s="194"/>
      <c r="F869" s="58"/>
      <c r="G869" s="58"/>
      <c r="H869" s="58"/>
      <c r="I869" s="58"/>
      <c r="J869" s="58"/>
      <c r="K869" s="58"/>
      <c r="L869" s="58"/>
      <c r="M869" s="58"/>
      <c r="N869" s="58"/>
      <c r="O869" s="58"/>
      <c r="P869" s="58"/>
      <c r="Q869" s="58"/>
      <c r="R869" s="58"/>
      <c r="S869" s="58"/>
      <c r="T869" s="58"/>
      <c r="U869" s="58"/>
      <c r="V869" s="58"/>
      <c r="W869" s="58"/>
      <c r="X869" s="58"/>
      <c r="Y869" s="58"/>
    </row>
    <row r="870">
      <c r="A870" s="58"/>
      <c r="B870" s="58"/>
      <c r="C870" s="58"/>
      <c r="D870" s="58"/>
      <c r="E870" s="194"/>
      <c r="F870" s="58"/>
      <c r="G870" s="58"/>
      <c r="H870" s="58"/>
      <c r="I870" s="58"/>
      <c r="J870" s="58"/>
      <c r="K870" s="58"/>
      <c r="L870" s="58"/>
      <c r="M870" s="58"/>
      <c r="N870" s="58"/>
      <c r="O870" s="58"/>
      <c r="P870" s="58"/>
      <c r="Q870" s="58"/>
      <c r="R870" s="58"/>
      <c r="S870" s="58"/>
      <c r="T870" s="58"/>
      <c r="U870" s="58"/>
      <c r="V870" s="58"/>
      <c r="W870" s="58"/>
      <c r="X870" s="58"/>
      <c r="Y870" s="58"/>
    </row>
    <row r="871">
      <c r="A871" s="58"/>
      <c r="B871" s="58"/>
      <c r="C871" s="58"/>
      <c r="D871" s="58"/>
      <c r="E871" s="194"/>
      <c r="F871" s="58"/>
      <c r="G871" s="58"/>
      <c r="H871" s="58"/>
      <c r="I871" s="58"/>
      <c r="J871" s="58"/>
      <c r="K871" s="58"/>
      <c r="L871" s="58"/>
      <c r="M871" s="58"/>
      <c r="N871" s="58"/>
      <c r="O871" s="58"/>
      <c r="P871" s="58"/>
      <c r="Q871" s="58"/>
      <c r="R871" s="58"/>
      <c r="S871" s="58"/>
      <c r="T871" s="58"/>
      <c r="U871" s="58"/>
      <c r="V871" s="58"/>
      <c r="W871" s="58"/>
      <c r="X871" s="58"/>
      <c r="Y871" s="58"/>
    </row>
    <row r="872">
      <c r="A872" s="58"/>
      <c r="B872" s="58"/>
      <c r="C872" s="58"/>
      <c r="D872" s="58"/>
      <c r="E872" s="194"/>
      <c r="F872" s="58"/>
      <c r="G872" s="58"/>
      <c r="H872" s="58"/>
      <c r="I872" s="58"/>
      <c r="J872" s="58"/>
      <c r="K872" s="58"/>
      <c r="L872" s="58"/>
      <c r="M872" s="58"/>
      <c r="N872" s="58"/>
      <c r="O872" s="58"/>
      <c r="P872" s="58"/>
      <c r="Q872" s="58"/>
      <c r="R872" s="58"/>
      <c r="S872" s="58"/>
      <c r="T872" s="58"/>
      <c r="U872" s="58"/>
      <c r="V872" s="58"/>
      <c r="W872" s="58"/>
      <c r="X872" s="58"/>
      <c r="Y872" s="58"/>
    </row>
    <row r="873">
      <c r="A873" s="58"/>
      <c r="B873" s="58"/>
      <c r="C873" s="58"/>
      <c r="D873" s="58"/>
      <c r="E873" s="194"/>
      <c r="F873" s="58"/>
      <c r="G873" s="58"/>
      <c r="H873" s="58"/>
      <c r="I873" s="58"/>
      <c r="J873" s="58"/>
      <c r="K873" s="58"/>
      <c r="L873" s="58"/>
      <c r="M873" s="58"/>
      <c r="N873" s="58"/>
      <c r="O873" s="58"/>
      <c r="P873" s="58"/>
      <c r="Q873" s="58"/>
      <c r="R873" s="58"/>
      <c r="S873" s="58"/>
      <c r="T873" s="58"/>
      <c r="U873" s="58"/>
      <c r="V873" s="58"/>
      <c r="W873" s="58"/>
      <c r="X873" s="58"/>
      <c r="Y873" s="58"/>
    </row>
    <row r="874">
      <c r="A874" s="58"/>
      <c r="B874" s="58"/>
      <c r="C874" s="58"/>
      <c r="D874" s="58"/>
      <c r="E874" s="194"/>
      <c r="F874" s="58"/>
      <c r="G874" s="58"/>
      <c r="H874" s="58"/>
      <c r="I874" s="58"/>
      <c r="J874" s="58"/>
      <c r="K874" s="58"/>
      <c r="L874" s="58"/>
      <c r="M874" s="58"/>
      <c r="N874" s="58"/>
      <c r="O874" s="58"/>
      <c r="P874" s="58"/>
      <c r="Q874" s="58"/>
      <c r="R874" s="58"/>
      <c r="S874" s="58"/>
      <c r="T874" s="58"/>
      <c r="U874" s="58"/>
      <c r="V874" s="58"/>
      <c r="W874" s="58"/>
      <c r="X874" s="58"/>
      <c r="Y874" s="58"/>
    </row>
    <row r="875">
      <c r="A875" s="58"/>
      <c r="B875" s="58"/>
      <c r="C875" s="58"/>
      <c r="D875" s="58"/>
      <c r="E875" s="194"/>
      <c r="F875" s="58"/>
      <c r="G875" s="58"/>
      <c r="H875" s="58"/>
      <c r="I875" s="58"/>
      <c r="J875" s="58"/>
      <c r="K875" s="58"/>
      <c r="L875" s="58"/>
      <c r="M875" s="58"/>
      <c r="N875" s="58"/>
      <c r="O875" s="58"/>
      <c r="P875" s="58"/>
      <c r="Q875" s="58"/>
      <c r="R875" s="58"/>
      <c r="S875" s="58"/>
      <c r="T875" s="58"/>
      <c r="U875" s="58"/>
      <c r="V875" s="58"/>
      <c r="W875" s="58"/>
      <c r="X875" s="58"/>
      <c r="Y875" s="58"/>
    </row>
    <row r="876">
      <c r="A876" s="58"/>
      <c r="B876" s="58"/>
      <c r="C876" s="58"/>
      <c r="D876" s="58"/>
      <c r="E876" s="194"/>
      <c r="F876" s="58"/>
      <c r="G876" s="58"/>
      <c r="H876" s="58"/>
      <c r="I876" s="58"/>
      <c r="J876" s="58"/>
      <c r="K876" s="58"/>
      <c r="L876" s="58"/>
      <c r="M876" s="58"/>
      <c r="N876" s="58"/>
      <c r="O876" s="58"/>
      <c r="P876" s="58"/>
      <c r="Q876" s="58"/>
      <c r="R876" s="58"/>
      <c r="S876" s="58"/>
      <c r="T876" s="58"/>
      <c r="U876" s="58"/>
      <c r="V876" s="58"/>
      <c r="W876" s="58"/>
      <c r="X876" s="58"/>
      <c r="Y876" s="58"/>
    </row>
    <row r="877">
      <c r="A877" s="58"/>
      <c r="B877" s="58"/>
      <c r="C877" s="58"/>
      <c r="D877" s="58"/>
      <c r="E877" s="194"/>
      <c r="F877" s="58"/>
      <c r="G877" s="58"/>
      <c r="H877" s="58"/>
      <c r="I877" s="58"/>
      <c r="J877" s="58"/>
      <c r="K877" s="58"/>
      <c r="L877" s="58"/>
      <c r="M877" s="58"/>
      <c r="N877" s="58"/>
      <c r="O877" s="58"/>
      <c r="P877" s="58"/>
      <c r="Q877" s="58"/>
      <c r="R877" s="58"/>
      <c r="S877" s="58"/>
      <c r="T877" s="58"/>
      <c r="U877" s="58"/>
      <c r="V877" s="58"/>
      <c r="W877" s="58"/>
      <c r="X877" s="58"/>
      <c r="Y877" s="58"/>
    </row>
    <row r="878">
      <c r="A878" s="58"/>
      <c r="B878" s="58"/>
      <c r="C878" s="58"/>
      <c r="D878" s="58"/>
      <c r="E878" s="194"/>
      <c r="F878" s="58"/>
      <c r="G878" s="58"/>
      <c r="H878" s="58"/>
      <c r="I878" s="58"/>
      <c r="J878" s="58"/>
      <c r="K878" s="58"/>
      <c r="L878" s="58"/>
      <c r="M878" s="58"/>
      <c r="N878" s="58"/>
      <c r="O878" s="58"/>
      <c r="P878" s="58"/>
      <c r="Q878" s="58"/>
      <c r="R878" s="58"/>
      <c r="S878" s="58"/>
      <c r="T878" s="58"/>
      <c r="U878" s="58"/>
      <c r="V878" s="58"/>
      <c r="W878" s="58"/>
      <c r="X878" s="58"/>
      <c r="Y878" s="58"/>
    </row>
    <row r="879">
      <c r="A879" s="58"/>
      <c r="B879" s="58"/>
      <c r="C879" s="58"/>
      <c r="D879" s="58"/>
      <c r="E879" s="194"/>
      <c r="F879" s="58"/>
      <c r="G879" s="58"/>
      <c r="H879" s="58"/>
      <c r="I879" s="58"/>
      <c r="J879" s="58"/>
      <c r="K879" s="58"/>
      <c r="L879" s="58"/>
      <c r="M879" s="58"/>
      <c r="N879" s="58"/>
      <c r="O879" s="58"/>
      <c r="P879" s="58"/>
      <c r="Q879" s="58"/>
      <c r="R879" s="58"/>
      <c r="S879" s="58"/>
      <c r="T879" s="58"/>
      <c r="U879" s="58"/>
      <c r="V879" s="58"/>
      <c r="W879" s="58"/>
      <c r="X879" s="58"/>
      <c r="Y879" s="58"/>
    </row>
    <row r="880">
      <c r="A880" s="58"/>
      <c r="B880" s="58"/>
      <c r="C880" s="58"/>
      <c r="D880" s="58"/>
      <c r="E880" s="194"/>
      <c r="F880" s="58"/>
      <c r="G880" s="58"/>
      <c r="H880" s="58"/>
      <c r="I880" s="58"/>
      <c r="J880" s="58"/>
      <c r="K880" s="58"/>
      <c r="L880" s="58"/>
      <c r="M880" s="58"/>
      <c r="N880" s="58"/>
      <c r="O880" s="58"/>
      <c r="P880" s="58"/>
      <c r="Q880" s="58"/>
      <c r="R880" s="58"/>
      <c r="S880" s="58"/>
      <c r="T880" s="58"/>
      <c r="U880" s="58"/>
      <c r="V880" s="58"/>
      <c r="W880" s="58"/>
      <c r="X880" s="58"/>
      <c r="Y880" s="58"/>
    </row>
    <row r="881">
      <c r="A881" s="58"/>
      <c r="B881" s="58"/>
      <c r="C881" s="58"/>
      <c r="D881" s="58"/>
      <c r="E881" s="194"/>
      <c r="F881" s="58"/>
      <c r="G881" s="58"/>
      <c r="H881" s="58"/>
      <c r="I881" s="58"/>
      <c r="J881" s="58"/>
      <c r="K881" s="58"/>
      <c r="L881" s="58"/>
      <c r="M881" s="58"/>
      <c r="N881" s="58"/>
      <c r="O881" s="58"/>
      <c r="P881" s="58"/>
      <c r="Q881" s="58"/>
      <c r="R881" s="58"/>
      <c r="S881" s="58"/>
      <c r="T881" s="58"/>
      <c r="U881" s="58"/>
      <c r="V881" s="58"/>
      <c r="W881" s="58"/>
      <c r="X881" s="58"/>
      <c r="Y881" s="58"/>
    </row>
    <row r="882">
      <c r="A882" s="58"/>
      <c r="B882" s="58"/>
      <c r="C882" s="58"/>
      <c r="D882" s="58"/>
      <c r="E882" s="194"/>
      <c r="F882" s="58"/>
      <c r="G882" s="58"/>
      <c r="H882" s="58"/>
      <c r="I882" s="58"/>
      <c r="J882" s="58"/>
      <c r="K882" s="58"/>
      <c r="L882" s="58"/>
      <c r="M882" s="58"/>
      <c r="N882" s="58"/>
      <c r="O882" s="58"/>
      <c r="P882" s="58"/>
      <c r="Q882" s="58"/>
      <c r="R882" s="58"/>
      <c r="S882" s="58"/>
      <c r="T882" s="58"/>
      <c r="U882" s="58"/>
      <c r="V882" s="58"/>
      <c r="W882" s="58"/>
      <c r="X882" s="58"/>
      <c r="Y882" s="58"/>
    </row>
    <row r="883">
      <c r="A883" s="58"/>
      <c r="B883" s="58"/>
      <c r="C883" s="58"/>
      <c r="D883" s="58"/>
      <c r="E883" s="194"/>
      <c r="F883" s="58"/>
      <c r="G883" s="58"/>
      <c r="H883" s="58"/>
      <c r="I883" s="58"/>
      <c r="J883" s="58"/>
      <c r="K883" s="58"/>
      <c r="L883" s="58"/>
      <c r="M883" s="58"/>
      <c r="N883" s="58"/>
      <c r="O883" s="58"/>
      <c r="P883" s="58"/>
      <c r="Q883" s="58"/>
      <c r="R883" s="58"/>
      <c r="S883" s="58"/>
      <c r="T883" s="58"/>
      <c r="U883" s="58"/>
      <c r="V883" s="58"/>
      <c r="W883" s="58"/>
      <c r="X883" s="58"/>
      <c r="Y883" s="58"/>
    </row>
    <row r="884">
      <c r="A884" s="58"/>
      <c r="B884" s="58"/>
      <c r="C884" s="58"/>
      <c r="D884" s="58"/>
      <c r="E884" s="194"/>
      <c r="F884" s="58"/>
      <c r="G884" s="58"/>
      <c r="H884" s="58"/>
      <c r="I884" s="58"/>
      <c r="J884" s="58"/>
      <c r="K884" s="58"/>
      <c r="L884" s="58"/>
      <c r="M884" s="58"/>
      <c r="N884" s="58"/>
      <c r="O884" s="58"/>
      <c r="P884" s="58"/>
      <c r="Q884" s="58"/>
      <c r="R884" s="58"/>
      <c r="S884" s="58"/>
      <c r="T884" s="58"/>
      <c r="U884" s="58"/>
      <c r="V884" s="58"/>
      <c r="W884" s="58"/>
      <c r="X884" s="58"/>
      <c r="Y884" s="58"/>
    </row>
    <row r="885">
      <c r="A885" s="58"/>
      <c r="B885" s="58"/>
      <c r="C885" s="58"/>
      <c r="D885" s="58"/>
      <c r="E885" s="194"/>
      <c r="F885" s="58"/>
      <c r="G885" s="58"/>
      <c r="H885" s="58"/>
      <c r="I885" s="58"/>
      <c r="J885" s="58"/>
      <c r="K885" s="58"/>
      <c r="L885" s="58"/>
      <c r="M885" s="58"/>
      <c r="N885" s="58"/>
      <c r="O885" s="58"/>
      <c r="P885" s="58"/>
      <c r="Q885" s="58"/>
      <c r="R885" s="58"/>
      <c r="S885" s="58"/>
      <c r="T885" s="58"/>
      <c r="U885" s="58"/>
      <c r="V885" s="58"/>
      <c r="W885" s="58"/>
      <c r="X885" s="58"/>
      <c r="Y885" s="58"/>
    </row>
    <row r="886">
      <c r="A886" s="58"/>
      <c r="B886" s="58"/>
      <c r="C886" s="58"/>
      <c r="D886" s="58"/>
      <c r="E886" s="194"/>
      <c r="F886" s="58"/>
      <c r="G886" s="58"/>
      <c r="H886" s="58"/>
      <c r="I886" s="58"/>
      <c r="J886" s="58"/>
      <c r="K886" s="58"/>
      <c r="L886" s="58"/>
      <c r="M886" s="58"/>
      <c r="N886" s="58"/>
      <c r="O886" s="58"/>
      <c r="P886" s="58"/>
      <c r="Q886" s="58"/>
      <c r="R886" s="58"/>
      <c r="S886" s="58"/>
      <c r="T886" s="58"/>
      <c r="U886" s="58"/>
      <c r="V886" s="58"/>
      <c r="W886" s="58"/>
      <c r="X886" s="58"/>
      <c r="Y886" s="58"/>
    </row>
    <row r="887">
      <c r="A887" s="58"/>
      <c r="B887" s="58"/>
      <c r="C887" s="58"/>
      <c r="D887" s="58"/>
      <c r="E887" s="194"/>
      <c r="F887" s="58"/>
      <c r="G887" s="58"/>
      <c r="H887" s="58"/>
      <c r="I887" s="58"/>
      <c r="J887" s="58"/>
      <c r="K887" s="58"/>
      <c r="L887" s="58"/>
      <c r="M887" s="58"/>
      <c r="N887" s="58"/>
      <c r="O887" s="58"/>
      <c r="P887" s="58"/>
      <c r="Q887" s="58"/>
      <c r="R887" s="58"/>
      <c r="S887" s="58"/>
      <c r="T887" s="58"/>
      <c r="U887" s="58"/>
      <c r="V887" s="58"/>
      <c r="W887" s="58"/>
      <c r="X887" s="58"/>
      <c r="Y887" s="58"/>
    </row>
    <row r="888">
      <c r="A888" s="58"/>
      <c r="B888" s="58"/>
      <c r="C888" s="58"/>
      <c r="D888" s="58"/>
      <c r="E888" s="194"/>
      <c r="F888" s="58"/>
      <c r="G888" s="58"/>
      <c r="H888" s="58"/>
      <c r="I888" s="58"/>
      <c r="J888" s="58"/>
      <c r="K888" s="58"/>
      <c r="L888" s="58"/>
      <c r="M888" s="58"/>
      <c r="N888" s="58"/>
      <c r="O888" s="58"/>
      <c r="P888" s="58"/>
      <c r="Q888" s="58"/>
      <c r="R888" s="58"/>
      <c r="S888" s="58"/>
      <c r="T888" s="58"/>
      <c r="U888" s="58"/>
      <c r="V888" s="58"/>
      <c r="W888" s="58"/>
      <c r="X888" s="58"/>
      <c r="Y888" s="58"/>
    </row>
    <row r="889">
      <c r="A889" s="58"/>
      <c r="B889" s="58"/>
      <c r="C889" s="58"/>
      <c r="D889" s="58"/>
      <c r="E889" s="194"/>
      <c r="F889" s="58"/>
      <c r="G889" s="58"/>
      <c r="H889" s="58"/>
      <c r="I889" s="58"/>
      <c r="J889" s="58"/>
      <c r="K889" s="58"/>
      <c r="L889" s="58"/>
      <c r="M889" s="58"/>
      <c r="N889" s="58"/>
      <c r="O889" s="58"/>
      <c r="P889" s="58"/>
      <c r="Q889" s="58"/>
      <c r="R889" s="58"/>
      <c r="S889" s="58"/>
      <c r="T889" s="58"/>
      <c r="U889" s="58"/>
      <c r="V889" s="58"/>
      <c r="W889" s="58"/>
      <c r="X889" s="58"/>
      <c r="Y889" s="58"/>
    </row>
    <row r="890">
      <c r="A890" s="58"/>
      <c r="B890" s="58"/>
      <c r="C890" s="58"/>
      <c r="D890" s="58"/>
      <c r="E890" s="194"/>
      <c r="F890" s="58"/>
      <c r="G890" s="58"/>
      <c r="H890" s="58"/>
      <c r="I890" s="58"/>
      <c r="J890" s="58"/>
      <c r="K890" s="58"/>
      <c r="L890" s="58"/>
      <c r="M890" s="58"/>
      <c r="N890" s="58"/>
      <c r="O890" s="58"/>
      <c r="P890" s="58"/>
      <c r="Q890" s="58"/>
      <c r="R890" s="58"/>
      <c r="S890" s="58"/>
      <c r="T890" s="58"/>
      <c r="U890" s="58"/>
      <c r="V890" s="58"/>
      <c r="W890" s="58"/>
      <c r="X890" s="58"/>
      <c r="Y890" s="58"/>
    </row>
    <row r="891">
      <c r="A891" s="58"/>
      <c r="B891" s="58"/>
      <c r="C891" s="58"/>
      <c r="D891" s="58"/>
      <c r="E891" s="194"/>
      <c r="F891" s="58"/>
      <c r="G891" s="58"/>
      <c r="H891" s="58"/>
      <c r="I891" s="58"/>
      <c r="J891" s="58"/>
      <c r="K891" s="58"/>
      <c r="L891" s="58"/>
      <c r="M891" s="58"/>
      <c r="N891" s="58"/>
      <c r="O891" s="58"/>
      <c r="P891" s="58"/>
      <c r="Q891" s="58"/>
      <c r="R891" s="58"/>
      <c r="S891" s="58"/>
      <c r="T891" s="58"/>
      <c r="U891" s="58"/>
      <c r="V891" s="58"/>
      <c r="W891" s="58"/>
      <c r="X891" s="58"/>
      <c r="Y891" s="58"/>
    </row>
    <row r="892">
      <c r="A892" s="58"/>
      <c r="B892" s="58"/>
      <c r="C892" s="58"/>
      <c r="D892" s="58"/>
      <c r="E892" s="194"/>
      <c r="F892" s="58"/>
      <c r="G892" s="58"/>
      <c r="H892" s="58"/>
      <c r="I892" s="58"/>
      <c r="J892" s="58"/>
      <c r="K892" s="58"/>
      <c r="L892" s="58"/>
      <c r="M892" s="58"/>
      <c r="N892" s="58"/>
      <c r="O892" s="58"/>
      <c r="P892" s="58"/>
      <c r="Q892" s="58"/>
      <c r="R892" s="58"/>
      <c r="S892" s="58"/>
      <c r="T892" s="58"/>
      <c r="U892" s="58"/>
      <c r="V892" s="58"/>
      <c r="W892" s="58"/>
      <c r="X892" s="58"/>
      <c r="Y892" s="58"/>
    </row>
    <row r="893">
      <c r="A893" s="58"/>
      <c r="B893" s="58"/>
      <c r="C893" s="58"/>
      <c r="D893" s="58"/>
      <c r="E893" s="194"/>
      <c r="F893" s="58"/>
      <c r="G893" s="58"/>
      <c r="H893" s="58"/>
      <c r="I893" s="58"/>
      <c r="J893" s="58"/>
      <c r="K893" s="58"/>
      <c r="L893" s="58"/>
      <c r="M893" s="58"/>
      <c r="N893" s="58"/>
      <c r="O893" s="58"/>
      <c r="P893" s="58"/>
      <c r="Q893" s="58"/>
      <c r="R893" s="58"/>
      <c r="S893" s="58"/>
      <c r="T893" s="58"/>
      <c r="U893" s="58"/>
      <c r="V893" s="58"/>
      <c r="W893" s="58"/>
      <c r="X893" s="58"/>
      <c r="Y893" s="58"/>
    </row>
    <row r="894">
      <c r="A894" s="58"/>
      <c r="B894" s="58"/>
      <c r="C894" s="58"/>
      <c r="D894" s="58"/>
      <c r="E894" s="194"/>
      <c r="F894" s="58"/>
      <c r="G894" s="58"/>
      <c r="H894" s="58"/>
      <c r="I894" s="58"/>
      <c r="J894" s="58"/>
      <c r="K894" s="58"/>
      <c r="L894" s="58"/>
      <c r="M894" s="58"/>
      <c r="N894" s="58"/>
      <c r="O894" s="58"/>
      <c r="P894" s="58"/>
      <c r="Q894" s="58"/>
      <c r="R894" s="58"/>
      <c r="S894" s="58"/>
      <c r="T894" s="58"/>
      <c r="U894" s="58"/>
      <c r="V894" s="58"/>
      <c r="W894" s="58"/>
      <c r="X894" s="58"/>
      <c r="Y894" s="58"/>
    </row>
    <row r="895">
      <c r="A895" s="58"/>
      <c r="B895" s="58"/>
      <c r="C895" s="58"/>
      <c r="D895" s="58"/>
      <c r="E895" s="194"/>
      <c r="F895" s="58"/>
      <c r="G895" s="58"/>
      <c r="H895" s="58"/>
      <c r="I895" s="58"/>
      <c r="J895" s="58"/>
      <c r="K895" s="58"/>
      <c r="L895" s="58"/>
      <c r="M895" s="58"/>
      <c r="N895" s="58"/>
      <c r="O895" s="58"/>
      <c r="P895" s="58"/>
      <c r="Q895" s="58"/>
      <c r="R895" s="58"/>
      <c r="S895" s="58"/>
      <c r="T895" s="58"/>
      <c r="U895" s="58"/>
      <c r="V895" s="58"/>
      <c r="W895" s="58"/>
      <c r="X895" s="58"/>
      <c r="Y895" s="58"/>
    </row>
    <row r="896">
      <c r="A896" s="58"/>
      <c r="B896" s="58"/>
      <c r="C896" s="58"/>
      <c r="D896" s="58"/>
      <c r="E896" s="194"/>
      <c r="F896" s="58"/>
      <c r="G896" s="58"/>
      <c r="H896" s="58"/>
      <c r="I896" s="58"/>
      <c r="J896" s="58"/>
      <c r="K896" s="58"/>
      <c r="L896" s="58"/>
      <c r="M896" s="58"/>
      <c r="N896" s="58"/>
      <c r="O896" s="58"/>
      <c r="P896" s="58"/>
      <c r="Q896" s="58"/>
      <c r="R896" s="58"/>
      <c r="S896" s="58"/>
      <c r="T896" s="58"/>
      <c r="U896" s="58"/>
      <c r="V896" s="58"/>
      <c r="W896" s="58"/>
      <c r="X896" s="58"/>
      <c r="Y896" s="58"/>
    </row>
    <row r="897">
      <c r="A897" s="58"/>
      <c r="B897" s="58"/>
      <c r="C897" s="58"/>
      <c r="D897" s="58"/>
      <c r="E897" s="194"/>
      <c r="F897" s="58"/>
      <c r="G897" s="58"/>
      <c r="H897" s="58"/>
      <c r="I897" s="58"/>
      <c r="J897" s="58"/>
      <c r="K897" s="58"/>
      <c r="L897" s="58"/>
      <c r="M897" s="58"/>
      <c r="N897" s="58"/>
      <c r="O897" s="58"/>
      <c r="P897" s="58"/>
      <c r="Q897" s="58"/>
      <c r="R897" s="58"/>
      <c r="S897" s="58"/>
      <c r="T897" s="58"/>
      <c r="U897" s="58"/>
      <c r="V897" s="58"/>
      <c r="W897" s="58"/>
      <c r="X897" s="58"/>
      <c r="Y897" s="58"/>
    </row>
    <row r="898">
      <c r="A898" s="58"/>
      <c r="B898" s="58"/>
      <c r="C898" s="58"/>
      <c r="D898" s="58"/>
      <c r="E898" s="194"/>
      <c r="F898" s="58"/>
      <c r="G898" s="58"/>
      <c r="H898" s="58"/>
      <c r="I898" s="58"/>
      <c r="J898" s="58"/>
      <c r="K898" s="58"/>
      <c r="L898" s="58"/>
      <c r="M898" s="58"/>
      <c r="N898" s="58"/>
      <c r="O898" s="58"/>
      <c r="P898" s="58"/>
      <c r="Q898" s="58"/>
      <c r="R898" s="58"/>
      <c r="S898" s="58"/>
      <c r="T898" s="58"/>
      <c r="U898" s="58"/>
      <c r="V898" s="58"/>
      <c r="W898" s="58"/>
      <c r="X898" s="58"/>
      <c r="Y898" s="58"/>
    </row>
    <row r="899">
      <c r="A899" s="58"/>
      <c r="B899" s="58"/>
      <c r="C899" s="58"/>
      <c r="D899" s="58"/>
      <c r="E899" s="194"/>
      <c r="F899" s="58"/>
      <c r="G899" s="58"/>
      <c r="H899" s="58"/>
      <c r="I899" s="58"/>
      <c r="J899" s="58"/>
      <c r="K899" s="58"/>
      <c r="L899" s="58"/>
      <c r="M899" s="58"/>
      <c r="N899" s="58"/>
      <c r="O899" s="58"/>
      <c r="P899" s="58"/>
      <c r="Q899" s="58"/>
      <c r="R899" s="58"/>
      <c r="S899" s="58"/>
      <c r="T899" s="58"/>
      <c r="U899" s="58"/>
      <c r="V899" s="58"/>
      <c r="W899" s="58"/>
      <c r="X899" s="58"/>
      <c r="Y899" s="58"/>
    </row>
    <row r="900">
      <c r="A900" s="58"/>
      <c r="B900" s="58"/>
      <c r="C900" s="58"/>
      <c r="D900" s="58"/>
      <c r="E900" s="194"/>
      <c r="F900" s="58"/>
      <c r="G900" s="58"/>
      <c r="H900" s="58"/>
      <c r="I900" s="58"/>
      <c r="J900" s="58"/>
      <c r="K900" s="58"/>
      <c r="L900" s="58"/>
      <c r="M900" s="58"/>
      <c r="N900" s="58"/>
      <c r="O900" s="58"/>
      <c r="P900" s="58"/>
      <c r="Q900" s="58"/>
      <c r="R900" s="58"/>
      <c r="S900" s="58"/>
      <c r="T900" s="58"/>
      <c r="U900" s="58"/>
      <c r="V900" s="58"/>
      <c r="W900" s="58"/>
      <c r="X900" s="58"/>
      <c r="Y900" s="58"/>
    </row>
    <row r="901">
      <c r="A901" s="58"/>
      <c r="B901" s="58"/>
      <c r="C901" s="58"/>
      <c r="D901" s="58"/>
      <c r="E901" s="194"/>
      <c r="F901" s="58"/>
      <c r="G901" s="58"/>
      <c r="H901" s="58"/>
      <c r="I901" s="58"/>
      <c r="J901" s="58"/>
      <c r="K901" s="58"/>
      <c r="L901" s="58"/>
      <c r="M901" s="58"/>
      <c r="N901" s="58"/>
      <c r="O901" s="58"/>
      <c r="P901" s="58"/>
      <c r="Q901" s="58"/>
      <c r="R901" s="58"/>
      <c r="S901" s="58"/>
      <c r="T901" s="58"/>
      <c r="U901" s="58"/>
      <c r="V901" s="58"/>
      <c r="W901" s="58"/>
      <c r="X901" s="58"/>
      <c r="Y901" s="58"/>
    </row>
    <row r="902">
      <c r="A902" s="58"/>
      <c r="B902" s="58"/>
      <c r="C902" s="58"/>
      <c r="D902" s="58"/>
      <c r="E902" s="194"/>
      <c r="F902" s="58"/>
      <c r="G902" s="58"/>
      <c r="H902" s="58"/>
      <c r="I902" s="58"/>
      <c r="J902" s="58"/>
      <c r="K902" s="58"/>
      <c r="L902" s="58"/>
      <c r="M902" s="58"/>
      <c r="N902" s="58"/>
      <c r="O902" s="58"/>
      <c r="P902" s="58"/>
      <c r="Q902" s="58"/>
      <c r="R902" s="58"/>
      <c r="S902" s="58"/>
      <c r="T902" s="58"/>
      <c r="U902" s="58"/>
      <c r="V902" s="58"/>
      <c r="W902" s="58"/>
      <c r="X902" s="58"/>
      <c r="Y902" s="58"/>
    </row>
    <row r="903">
      <c r="A903" s="58"/>
      <c r="B903" s="58"/>
      <c r="C903" s="58"/>
      <c r="D903" s="58"/>
      <c r="E903" s="194"/>
      <c r="F903" s="58"/>
      <c r="G903" s="58"/>
      <c r="H903" s="58"/>
      <c r="I903" s="58"/>
      <c r="J903" s="58"/>
      <c r="K903" s="58"/>
      <c r="L903" s="58"/>
      <c r="M903" s="58"/>
      <c r="N903" s="58"/>
      <c r="O903" s="58"/>
      <c r="P903" s="58"/>
      <c r="Q903" s="58"/>
      <c r="R903" s="58"/>
      <c r="S903" s="58"/>
      <c r="T903" s="58"/>
      <c r="U903" s="58"/>
      <c r="V903" s="58"/>
      <c r="W903" s="58"/>
      <c r="X903" s="58"/>
      <c r="Y903" s="58"/>
    </row>
    <row r="904">
      <c r="A904" s="58"/>
      <c r="B904" s="58"/>
      <c r="C904" s="58"/>
      <c r="D904" s="58"/>
      <c r="E904" s="194"/>
      <c r="F904" s="58"/>
      <c r="G904" s="58"/>
      <c r="H904" s="58"/>
      <c r="I904" s="58"/>
      <c r="J904" s="58"/>
      <c r="K904" s="58"/>
      <c r="L904" s="58"/>
      <c r="M904" s="58"/>
      <c r="N904" s="58"/>
      <c r="O904" s="58"/>
      <c r="P904" s="58"/>
      <c r="Q904" s="58"/>
      <c r="R904" s="58"/>
      <c r="S904" s="58"/>
      <c r="T904" s="58"/>
      <c r="U904" s="58"/>
      <c r="V904" s="58"/>
      <c r="W904" s="58"/>
      <c r="X904" s="58"/>
      <c r="Y904" s="58"/>
    </row>
    <row r="905">
      <c r="A905" s="58"/>
      <c r="B905" s="58"/>
      <c r="C905" s="58"/>
      <c r="D905" s="58"/>
      <c r="E905" s="194"/>
      <c r="F905" s="58"/>
      <c r="G905" s="58"/>
      <c r="H905" s="58"/>
      <c r="I905" s="58"/>
      <c r="J905" s="58"/>
      <c r="K905" s="58"/>
      <c r="L905" s="58"/>
      <c r="M905" s="58"/>
      <c r="N905" s="58"/>
      <c r="O905" s="58"/>
      <c r="P905" s="58"/>
      <c r="Q905" s="58"/>
      <c r="R905" s="58"/>
      <c r="S905" s="58"/>
      <c r="T905" s="58"/>
      <c r="U905" s="58"/>
      <c r="V905" s="58"/>
      <c r="W905" s="58"/>
      <c r="X905" s="58"/>
      <c r="Y905" s="58"/>
    </row>
    <row r="906">
      <c r="A906" s="58"/>
      <c r="B906" s="58"/>
      <c r="C906" s="58"/>
      <c r="D906" s="58"/>
      <c r="E906" s="194"/>
      <c r="F906" s="58"/>
      <c r="G906" s="58"/>
      <c r="H906" s="58"/>
      <c r="I906" s="58"/>
      <c r="J906" s="58"/>
      <c r="K906" s="58"/>
      <c r="L906" s="58"/>
      <c r="M906" s="58"/>
      <c r="N906" s="58"/>
      <c r="O906" s="58"/>
      <c r="P906" s="58"/>
      <c r="Q906" s="58"/>
      <c r="R906" s="58"/>
      <c r="S906" s="58"/>
      <c r="T906" s="58"/>
      <c r="U906" s="58"/>
      <c r="V906" s="58"/>
      <c r="W906" s="58"/>
      <c r="X906" s="58"/>
      <c r="Y906" s="58"/>
    </row>
    <row r="907">
      <c r="A907" s="58"/>
      <c r="B907" s="58"/>
      <c r="C907" s="58"/>
      <c r="D907" s="58"/>
      <c r="E907" s="194"/>
      <c r="F907" s="58"/>
      <c r="G907" s="58"/>
      <c r="H907" s="58"/>
      <c r="I907" s="58"/>
      <c r="J907" s="58"/>
      <c r="K907" s="58"/>
      <c r="L907" s="58"/>
      <c r="M907" s="58"/>
      <c r="N907" s="58"/>
      <c r="O907" s="58"/>
      <c r="P907" s="58"/>
      <c r="Q907" s="58"/>
      <c r="R907" s="58"/>
      <c r="S907" s="58"/>
      <c r="T907" s="58"/>
      <c r="U907" s="58"/>
      <c r="V907" s="58"/>
      <c r="W907" s="58"/>
      <c r="X907" s="58"/>
      <c r="Y907" s="58"/>
    </row>
    <row r="908">
      <c r="A908" s="58"/>
      <c r="B908" s="58"/>
      <c r="C908" s="58"/>
      <c r="D908" s="58"/>
      <c r="E908" s="194"/>
      <c r="F908" s="58"/>
      <c r="G908" s="58"/>
      <c r="H908" s="58"/>
      <c r="I908" s="58"/>
      <c r="J908" s="58"/>
      <c r="K908" s="58"/>
      <c r="L908" s="58"/>
      <c r="M908" s="58"/>
      <c r="N908" s="58"/>
      <c r="O908" s="58"/>
      <c r="P908" s="58"/>
      <c r="Q908" s="58"/>
      <c r="R908" s="58"/>
      <c r="S908" s="58"/>
      <c r="T908" s="58"/>
      <c r="U908" s="58"/>
      <c r="V908" s="58"/>
      <c r="W908" s="58"/>
      <c r="X908" s="58"/>
      <c r="Y908" s="58"/>
    </row>
    <row r="909">
      <c r="A909" s="58"/>
      <c r="B909" s="58"/>
      <c r="C909" s="58"/>
      <c r="D909" s="58"/>
      <c r="E909" s="194"/>
      <c r="F909" s="58"/>
      <c r="G909" s="58"/>
      <c r="H909" s="58"/>
      <c r="I909" s="58"/>
      <c r="J909" s="58"/>
      <c r="K909" s="58"/>
      <c r="L909" s="58"/>
      <c r="M909" s="58"/>
      <c r="N909" s="58"/>
      <c r="O909" s="58"/>
      <c r="P909" s="58"/>
      <c r="Q909" s="58"/>
      <c r="R909" s="58"/>
      <c r="S909" s="58"/>
      <c r="T909" s="58"/>
      <c r="U909" s="58"/>
      <c r="V909" s="58"/>
      <c r="W909" s="58"/>
      <c r="X909" s="58"/>
      <c r="Y909" s="58"/>
    </row>
    <row r="910">
      <c r="A910" s="58"/>
      <c r="B910" s="58"/>
      <c r="C910" s="58"/>
      <c r="D910" s="58"/>
      <c r="E910" s="194"/>
      <c r="F910" s="58"/>
      <c r="G910" s="58"/>
      <c r="H910" s="58"/>
      <c r="I910" s="58"/>
      <c r="J910" s="58"/>
      <c r="K910" s="58"/>
      <c r="L910" s="58"/>
      <c r="M910" s="58"/>
      <c r="N910" s="58"/>
      <c r="O910" s="58"/>
      <c r="P910" s="58"/>
      <c r="Q910" s="58"/>
      <c r="R910" s="58"/>
      <c r="S910" s="58"/>
      <c r="T910" s="58"/>
      <c r="U910" s="58"/>
      <c r="V910" s="58"/>
      <c r="W910" s="58"/>
      <c r="X910" s="58"/>
      <c r="Y910" s="58"/>
    </row>
    <row r="911">
      <c r="A911" s="58"/>
      <c r="B911" s="58"/>
      <c r="C911" s="58"/>
      <c r="D911" s="58"/>
      <c r="E911" s="194"/>
      <c r="F911" s="58"/>
      <c r="G911" s="58"/>
      <c r="H911" s="58"/>
      <c r="I911" s="58"/>
      <c r="J911" s="58"/>
      <c r="K911" s="58"/>
      <c r="L911" s="58"/>
      <c r="M911" s="58"/>
      <c r="N911" s="58"/>
      <c r="O911" s="58"/>
      <c r="P911" s="58"/>
      <c r="Q911" s="58"/>
      <c r="R911" s="58"/>
      <c r="S911" s="58"/>
      <c r="T911" s="58"/>
      <c r="U911" s="58"/>
      <c r="V911" s="58"/>
      <c r="W911" s="58"/>
      <c r="X911" s="58"/>
      <c r="Y911" s="58"/>
    </row>
    <row r="912">
      <c r="A912" s="58"/>
      <c r="B912" s="58"/>
      <c r="C912" s="58"/>
      <c r="D912" s="58"/>
      <c r="E912" s="194"/>
      <c r="F912" s="58"/>
      <c r="G912" s="58"/>
      <c r="H912" s="58"/>
      <c r="I912" s="58"/>
      <c r="J912" s="58"/>
      <c r="K912" s="58"/>
      <c r="L912" s="58"/>
      <c r="M912" s="58"/>
      <c r="N912" s="58"/>
      <c r="O912" s="58"/>
      <c r="P912" s="58"/>
      <c r="Q912" s="58"/>
      <c r="R912" s="58"/>
      <c r="S912" s="58"/>
      <c r="T912" s="58"/>
      <c r="U912" s="58"/>
      <c r="V912" s="58"/>
      <c r="W912" s="58"/>
      <c r="X912" s="58"/>
      <c r="Y912" s="58"/>
    </row>
    <row r="913">
      <c r="A913" s="58"/>
      <c r="B913" s="58"/>
      <c r="C913" s="58"/>
      <c r="D913" s="58"/>
      <c r="E913" s="194"/>
      <c r="F913" s="58"/>
      <c r="G913" s="58"/>
      <c r="H913" s="58"/>
      <c r="I913" s="58"/>
      <c r="J913" s="58"/>
      <c r="K913" s="58"/>
      <c r="L913" s="58"/>
      <c r="M913" s="58"/>
      <c r="N913" s="58"/>
      <c r="O913" s="58"/>
      <c r="P913" s="58"/>
      <c r="Q913" s="58"/>
      <c r="R913" s="58"/>
      <c r="S913" s="58"/>
      <c r="T913" s="58"/>
      <c r="U913" s="58"/>
      <c r="V913" s="58"/>
      <c r="W913" s="58"/>
      <c r="X913" s="58"/>
      <c r="Y913" s="58"/>
    </row>
    <row r="914">
      <c r="A914" s="58"/>
      <c r="B914" s="58"/>
      <c r="C914" s="58"/>
      <c r="D914" s="58"/>
      <c r="E914" s="194"/>
      <c r="F914" s="58"/>
      <c r="G914" s="58"/>
      <c r="H914" s="58"/>
      <c r="I914" s="58"/>
      <c r="J914" s="58"/>
      <c r="K914" s="58"/>
      <c r="L914" s="58"/>
      <c r="M914" s="58"/>
      <c r="N914" s="58"/>
      <c r="O914" s="58"/>
      <c r="P914" s="58"/>
      <c r="Q914" s="58"/>
      <c r="R914" s="58"/>
      <c r="S914" s="58"/>
      <c r="T914" s="58"/>
      <c r="U914" s="58"/>
      <c r="V914" s="58"/>
      <c r="W914" s="58"/>
      <c r="X914" s="58"/>
      <c r="Y914" s="58"/>
    </row>
    <row r="915">
      <c r="A915" s="58"/>
      <c r="B915" s="58"/>
      <c r="C915" s="58"/>
      <c r="D915" s="58"/>
      <c r="E915" s="194"/>
      <c r="F915" s="58"/>
      <c r="G915" s="58"/>
      <c r="H915" s="58"/>
      <c r="I915" s="58"/>
      <c r="J915" s="58"/>
      <c r="K915" s="58"/>
      <c r="L915" s="58"/>
      <c r="M915" s="58"/>
      <c r="N915" s="58"/>
      <c r="O915" s="58"/>
      <c r="P915" s="58"/>
      <c r="Q915" s="58"/>
      <c r="R915" s="58"/>
      <c r="S915" s="58"/>
      <c r="T915" s="58"/>
      <c r="U915" s="58"/>
      <c r="V915" s="58"/>
      <c r="W915" s="58"/>
      <c r="X915" s="58"/>
      <c r="Y915" s="58"/>
    </row>
    <row r="916">
      <c r="A916" s="58"/>
      <c r="B916" s="58"/>
      <c r="C916" s="58"/>
      <c r="D916" s="58"/>
      <c r="E916" s="194"/>
      <c r="F916" s="58"/>
      <c r="G916" s="58"/>
      <c r="H916" s="58"/>
      <c r="I916" s="58"/>
      <c r="J916" s="58"/>
      <c r="K916" s="58"/>
      <c r="L916" s="58"/>
      <c r="M916" s="58"/>
      <c r="N916" s="58"/>
      <c r="O916" s="58"/>
      <c r="P916" s="58"/>
      <c r="Q916" s="58"/>
      <c r="R916" s="58"/>
      <c r="S916" s="58"/>
      <c r="T916" s="58"/>
      <c r="U916" s="58"/>
      <c r="V916" s="58"/>
      <c r="W916" s="58"/>
      <c r="X916" s="58"/>
      <c r="Y916" s="58"/>
    </row>
    <row r="917">
      <c r="A917" s="58"/>
      <c r="B917" s="58"/>
      <c r="C917" s="58"/>
      <c r="D917" s="58"/>
      <c r="E917" s="194"/>
      <c r="F917" s="58"/>
      <c r="G917" s="58"/>
      <c r="H917" s="58"/>
      <c r="I917" s="58"/>
      <c r="J917" s="58"/>
      <c r="K917" s="58"/>
      <c r="L917" s="58"/>
      <c r="M917" s="58"/>
      <c r="N917" s="58"/>
      <c r="O917" s="58"/>
      <c r="P917" s="58"/>
      <c r="Q917" s="58"/>
      <c r="R917" s="58"/>
      <c r="S917" s="58"/>
      <c r="T917" s="58"/>
      <c r="U917" s="58"/>
      <c r="V917" s="58"/>
      <c r="W917" s="58"/>
      <c r="X917" s="58"/>
      <c r="Y917" s="58"/>
    </row>
    <row r="918">
      <c r="A918" s="58"/>
      <c r="B918" s="58"/>
      <c r="C918" s="58"/>
      <c r="D918" s="58"/>
      <c r="E918" s="194"/>
      <c r="F918" s="58"/>
      <c r="G918" s="58"/>
      <c r="H918" s="58"/>
      <c r="I918" s="58"/>
      <c r="J918" s="58"/>
      <c r="K918" s="58"/>
      <c r="L918" s="58"/>
      <c r="M918" s="58"/>
      <c r="N918" s="58"/>
      <c r="O918" s="58"/>
      <c r="P918" s="58"/>
      <c r="Q918" s="58"/>
      <c r="R918" s="58"/>
      <c r="S918" s="58"/>
      <c r="T918" s="58"/>
      <c r="U918" s="58"/>
      <c r="V918" s="58"/>
      <c r="W918" s="58"/>
      <c r="X918" s="58"/>
      <c r="Y918" s="58"/>
    </row>
    <row r="919">
      <c r="A919" s="58"/>
      <c r="B919" s="58"/>
      <c r="C919" s="58"/>
      <c r="D919" s="58"/>
      <c r="E919" s="194"/>
      <c r="F919" s="58"/>
      <c r="G919" s="58"/>
      <c r="H919" s="58"/>
      <c r="I919" s="58"/>
      <c r="J919" s="58"/>
      <c r="K919" s="58"/>
      <c r="L919" s="58"/>
      <c r="M919" s="58"/>
      <c r="N919" s="58"/>
      <c r="O919" s="58"/>
      <c r="P919" s="58"/>
      <c r="Q919" s="58"/>
      <c r="R919" s="58"/>
      <c r="S919" s="58"/>
      <c r="T919" s="58"/>
      <c r="U919" s="58"/>
      <c r="V919" s="58"/>
      <c r="W919" s="58"/>
      <c r="X919" s="58"/>
      <c r="Y919" s="58"/>
    </row>
    <row r="920">
      <c r="A920" s="58"/>
      <c r="B920" s="58"/>
      <c r="C920" s="58"/>
      <c r="D920" s="58"/>
      <c r="E920" s="194"/>
      <c r="F920" s="58"/>
      <c r="G920" s="58"/>
      <c r="H920" s="58"/>
      <c r="I920" s="58"/>
      <c r="J920" s="58"/>
      <c r="K920" s="58"/>
      <c r="L920" s="58"/>
      <c r="M920" s="58"/>
      <c r="N920" s="58"/>
      <c r="O920" s="58"/>
      <c r="P920" s="58"/>
      <c r="Q920" s="58"/>
      <c r="R920" s="58"/>
      <c r="S920" s="58"/>
      <c r="T920" s="58"/>
      <c r="U920" s="58"/>
      <c r="V920" s="58"/>
      <c r="W920" s="58"/>
      <c r="X920" s="58"/>
      <c r="Y920" s="58"/>
    </row>
    <row r="921">
      <c r="A921" s="58"/>
      <c r="B921" s="58"/>
      <c r="C921" s="58"/>
      <c r="D921" s="58"/>
      <c r="E921" s="194"/>
      <c r="F921" s="58"/>
      <c r="G921" s="58"/>
      <c r="H921" s="58"/>
      <c r="I921" s="58"/>
      <c r="J921" s="58"/>
      <c r="K921" s="58"/>
      <c r="L921" s="58"/>
      <c r="M921" s="58"/>
      <c r="N921" s="58"/>
      <c r="O921" s="58"/>
      <c r="P921" s="58"/>
      <c r="Q921" s="58"/>
      <c r="R921" s="58"/>
      <c r="S921" s="58"/>
      <c r="T921" s="58"/>
      <c r="U921" s="58"/>
      <c r="V921" s="58"/>
      <c r="W921" s="58"/>
      <c r="X921" s="58"/>
      <c r="Y921" s="58"/>
    </row>
    <row r="922">
      <c r="A922" s="58"/>
      <c r="B922" s="58"/>
      <c r="C922" s="58"/>
      <c r="D922" s="58"/>
      <c r="E922" s="194"/>
      <c r="F922" s="58"/>
      <c r="G922" s="58"/>
      <c r="H922" s="58"/>
      <c r="I922" s="58"/>
      <c r="J922" s="58"/>
      <c r="K922" s="58"/>
      <c r="L922" s="58"/>
      <c r="M922" s="58"/>
      <c r="N922" s="58"/>
      <c r="O922" s="58"/>
      <c r="P922" s="58"/>
      <c r="Q922" s="58"/>
      <c r="R922" s="58"/>
      <c r="S922" s="58"/>
      <c r="T922" s="58"/>
      <c r="U922" s="58"/>
      <c r="V922" s="58"/>
      <c r="W922" s="58"/>
      <c r="X922" s="58"/>
      <c r="Y922" s="58"/>
    </row>
    <row r="923">
      <c r="A923" s="58"/>
      <c r="B923" s="58"/>
      <c r="C923" s="58"/>
      <c r="D923" s="58"/>
      <c r="E923" s="194"/>
      <c r="F923" s="58"/>
      <c r="G923" s="58"/>
      <c r="H923" s="58"/>
      <c r="I923" s="58"/>
      <c r="J923" s="58"/>
      <c r="K923" s="58"/>
      <c r="L923" s="58"/>
      <c r="M923" s="58"/>
      <c r="N923" s="58"/>
      <c r="O923" s="58"/>
      <c r="P923" s="58"/>
      <c r="Q923" s="58"/>
      <c r="R923" s="58"/>
      <c r="S923" s="58"/>
      <c r="T923" s="58"/>
      <c r="U923" s="58"/>
      <c r="V923" s="58"/>
      <c r="W923" s="58"/>
      <c r="X923" s="58"/>
      <c r="Y923" s="58"/>
    </row>
    <row r="924">
      <c r="A924" s="58"/>
      <c r="B924" s="58"/>
      <c r="C924" s="58"/>
      <c r="D924" s="58"/>
      <c r="E924" s="194"/>
      <c r="F924" s="58"/>
      <c r="G924" s="58"/>
      <c r="H924" s="58"/>
      <c r="I924" s="58"/>
      <c r="J924" s="58"/>
      <c r="K924" s="58"/>
      <c r="L924" s="58"/>
      <c r="M924" s="58"/>
      <c r="N924" s="58"/>
      <c r="O924" s="58"/>
      <c r="P924" s="58"/>
      <c r="Q924" s="58"/>
      <c r="R924" s="58"/>
      <c r="S924" s="58"/>
      <c r="T924" s="58"/>
      <c r="U924" s="58"/>
      <c r="V924" s="58"/>
      <c r="W924" s="58"/>
      <c r="X924" s="58"/>
      <c r="Y924" s="58"/>
    </row>
    <row r="925">
      <c r="A925" s="58"/>
      <c r="B925" s="58"/>
      <c r="C925" s="58"/>
      <c r="D925" s="58"/>
      <c r="E925" s="194"/>
      <c r="F925" s="58"/>
      <c r="G925" s="58"/>
      <c r="H925" s="58"/>
      <c r="I925" s="58"/>
      <c r="J925" s="58"/>
      <c r="K925" s="58"/>
      <c r="L925" s="58"/>
      <c r="M925" s="58"/>
      <c r="N925" s="58"/>
      <c r="O925" s="58"/>
      <c r="P925" s="58"/>
      <c r="Q925" s="58"/>
      <c r="R925" s="58"/>
      <c r="S925" s="58"/>
      <c r="T925" s="58"/>
      <c r="U925" s="58"/>
      <c r="V925" s="58"/>
      <c r="W925" s="58"/>
      <c r="X925" s="58"/>
      <c r="Y925" s="58"/>
    </row>
    <row r="926">
      <c r="A926" s="58"/>
      <c r="B926" s="58"/>
      <c r="C926" s="58"/>
      <c r="D926" s="58"/>
      <c r="E926" s="194"/>
      <c r="F926" s="58"/>
      <c r="G926" s="58"/>
      <c r="H926" s="58"/>
      <c r="I926" s="58"/>
      <c r="J926" s="58"/>
      <c r="K926" s="58"/>
      <c r="L926" s="58"/>
      <c r="M926" s="58"/>
      <c r="N926" s="58"/>
      <c r="O926" s="58"/>
      <c r="P926" s="58"/>
      <c r="Q926" s="58"/>
      <c r="R926" s="58"/>
      <c r="S926" s="58"/>
      <c r="T926" s="58"/>
      <c r="U926" s="58"/>
      <c r="V926" s="58"/>
      <c r="W926" s="58"/>
      <c r="X926" s="58"/>
      <c r="Y926" s="58"/>
    </row>
    <row r="927">
      <c r="A927" s="58"/>
      <c r="B927" s="58"/>
      <c r="C927" s="58"/>
      <c r="D927" s="58"/>
      <c r="E927" s="194"/>
      <c r="F927" s="58"/>
      <c r="G927" s="58"/>
      <c r="H927" s="58"/>
      <c r="I927" s="58"/>
      <c r="J927" s="58"/>
      <c r="K927" s="58"/>
      <c r="L927" s="58"/>
      <c r="M927" s="58"/>
      <c r="N927" s="58"/>
      <c r="O927" s="58"/>
      <c r="P927" s="58"/>
      <c r="Q927" s="58"/>
      <c r="R927" s="58"/>
      <c r="S927" s="58"/>
      <c r="T927" s="58"/>
      <c r="U927" s="58"/>
      <c r="V927" s="58"/>
      <c r="W927" s="58"/>
      <c r="X927" s="58"/>
      <c r="Y927" s="58"/>
    </row>
    <row r="928">
      <c r="A928" s="58"/>
      <c r="B928" s="58"/>
      <c r="C928" s="58"/>
      <c r="D928" s="58"/>
      <c r="E928" s="194"/>
      <c r="F928" s="58"/>
      <c r="G928" s="58"/>
      <c r="H928" s="58"/>
      <c r="I928" s="58"/>
      <c r="J928" s="58"/>
      <c r="K928" s="58"/>
      <c r="L928" s="58"/>
      <c r="M928" s="58"/>
      <c r="N928" s="58"/>
      <c r="O928" s="58"/>
      <c r="P928" s="58"/>
      <c r="Q928" s="58"/>
      <c r="R928" s="58"/>
      <c r="S928" s="58"/>
      <c r="T928" s="58"/>
      <c r="U928" s="58"/>
      <c r="V928" s="58"/>
      <c r="W928" s="58"/>
      <c r="X928" s="58"/>
      <c r="Y928" s="58"/>
    </row>
    <row r="929">
      <c r="A929" s="58"/>
      <c r="B929" s="58"/>
      <c r="C929" s="58"/>
      <c r="D929" s="58"/>
      <c r="E929" s="194"/>
      <c r="F929" s="58"/>
      <c r="G929" s="58"/>
      <c r="H929" s="58"/>
      <c r="I929" s="58"/>
      <c r="J929" s="58"/>
      <c r="K929" s="58"/>
      <c r="L929" s="58"/>
      <c r="M929" s="58"/>
      <c r="N929" s="58"/>
      <c r="O929" s="58"/>
      <c r="P929" s="58"/>
      <c r="Q929" s="58"/>
      <c r="R929" s="58"/>
      <c r="S929" s="58"/>
      <c r="T929" s="58"/>
      <c r="U929" s="58"/>
      <c r="V929" s="58"/>
      <c r="W929" s="58"/>
      <c r="X929" s="58"/>
      <c r="Y929" s="58"/>
    </row>
    <row r="930">
      <c r="A930" s="58"/>
      <c r="B930" s="58"/>
      <c r="C930" s="58"/>
      <c r="D930" s="58"/>
      <c r="E930" s="194"/>
      <c r="F930" s="58"/>
      <c r="G930" s="58"/>
      <c r="H930" s="58"/>
      <c r="I930" s="58"/>
      <c r="J930" s="58"/>
      <c r="K930" s="58"/>
      <c r="L930" s="58"/>
      <c r="M930" s="58"/>
      <c r="N930" s="58"/>
      <c r="O930" s="58"/>
      <c r="P930" s="58"/>
      <c r="Q930" s="58"/>
      <c r="R930" s="58"/>
      <c r="S930" s="58"/>
      <c r="T930" s="58"/>
      <c r="U930" s="58"/>
      <c r="V930" s="58"/>
      <c r="W930" s="58"/>
      <c r="X930" s="58"/>
      <c r="Y930" s="58"/>
    </row>
    <row r="931">
      <c r="A931" s="58"/>
      <c r="B931" s="58"/>
      <c r="C931" s="58"/>
      <c r="D931" s="58"/>
      <c r="E931" s="194"/>
      <c r="F931" s="58"/>
      <c r="G931" s="58"/>
      <c r="H931" s="58"/>
      <c r="I931" s="58"/>
      <c r="J931" s="58"/>
      <c r="K931" s="58"/>
      <c r="L931" s="58"/>
      <c r="M931" s="58"/>
      <c r="N931" s="58"/>
      <c r="O931" s="58"/>
      <c r="P931" s="58"/>
      <c r="Q931" s="58"/>
      <c r="R931" s="58"/>
      <c r="S931" s="58"/>
      <c r="T931" s="58"/>
      <c r="U931" s="58"/>
      <c r="V931" s="58"/>
      <c r="W931" s="58"/>
      <c r="X931" s="58"/>
      <c r="Y931" s="58"/>
    </row>
    <row r="932">
      <c r="A932" s="58"/>
      <c r="B932" s="58"/>
      <c r="C932" s="58"/>
      <c r="D932" s="58"/>
      <c r="E932" s="194"/>
      <c r="F932" s="58"/>
      <c r="G932" s="58"/>
      <c r="H932" s="58"/>
      <c r="I932" s="58"/>
      <c r="J932" s="58"/>
      <c r="K932" s="58"/>
      <c r="L932" s="58"/>
      <c r="M932" s="58"/>
      <c r="N932" s="58"/>
      <c r="O932" s="58"/>
      <c r="P932" s="58"/>
      <c r="Q932" s="58"/>
      <c r="R932" s="58"/>
      <c r="S932" s="58"/>
      <c r="T932" s="58"/>
      <c r="U932" s="58"/>
      <c r="V932" s="58"/>
      <c r="W932" s="58"/>
      <c r="X932" s="58"/>
      <c r="Y932" s="58"/>
    </row>
    <row r="933">
      <c r="A933" s="58"/>
      <c r="B933" s="58"/>
      <c r="C933" s="58"/>
      <c r="D933" s="58"/>
      <c r="E933" s="194"/>
      <c r="F933" s="58"/>
      <c r="G933" s="58"/>
      <c r="H933" s="58"/>
      <c r="I933" s="58"/>
      <c r="J933" s="58"/>
      <c r="K933" s="58"/>
      <c r="L933" s="58"/>
      <c r="M933" s="58"/>
      <c r="N933" s="58"/>
      <c r="O933" s="58"/>
      <c r="P933" s="58"/>
      <c r="Q933" s="58"/>
      <c r="R933" s="58"/>
      <c r="S933" s="58"/>
      <c r="T933" s="58"/>
      <c r="U933" s="58"/>
      <c r="V933" s="58"/>
      <c r="W933" s="58"/>
      <c r="X933" s="58"/>
      <c r="Y933" s="58"/>
    </row>
    <row r="934">
      <c r="A934" s="58"/>
      <c r="B934" s="58"/>
      <c r="C934" s="58"/>
      <c r="D934" s="58"/>
      <c r="E934" s="194"/>
      <c r="F934" s="58"/>
      <c r="G934" s="58"/>
      <c r="H934" s="58"/>
      <c r="I934" s="58"/>
      <c r="J934" s="58"/>
      <c r="K934" s="58"/>
      <c r="L934" s="58"/>
      <c r="M934" s="58"/>
      <c r="N934" s="58"/>
      <c r="O934" s="58"/>
      <c r="P934" s="58"/>
      <c r="Q934" s="58"/>
      <c r="R934" s="58"/>
      <c r="S934" s="58"/>
      <c r="T934" s="58"/>
      <c r="U934" s="58"/>
      <c r="V934" s="58"/>
      <c r="W934" s="58"/>
      <c r="X934" s="58"/>
      <c r="Y934" s="58"/>
    </row>
    <row r="935">
      <c r="A935" s="58"/>
      <c r="B935" s="58"/>
      <c r="C935" s="58"/>
      <c r="D935" s="58"/>
      <c r="E935" s="194"/>
      <c r="F935" s="58"/>
      <c r="G935" s="58"/>
      <c r="H935" s="58"/>
      <c r="I935" s="58"/>
      <c r="J935" s="58"/>
      <c r="K935" s="58"/>
      <c r="L935" s="58"/>
      <c r="M935" s="58"/>
      <c r="N935" s="58"/>
      <c r="O935" s="58"/>
      <c r="P935" s="58"/>
      <c r="Q935" s="58"/>
      <c r="R935" s="58"/>
      <c r="S935" s="58"/>
      <c r="T935" s="58"/>
      <c r="U935" s="58"/>
      <c r="V935" s="58"/>
      <c r="W935" s="58"/>
      <c r="X935" s="58"/>
      <c r="Y935" s="58"/>
    </row>
    <row r="936">
      <c r="A936" s="58"/>
      <c r="B936" s="58"/>
      <c r="C936" s="58"/>
      <c r="D936" s="58"/>
      <c r="E936" s="194"/>
      <c r="F936" s="58"/>
      <c r="G936" s="58"/>
      <c r="H936" s="58"/>
      <c r="I936" s="58"/>
      <c r="J936" s="58"/>
      <c r="K936" s="58"/>
      <c r="L936" s="58"/>
      <c r="M936" s="58"/>
      <c r="N936" s="58"/>
      <c r="O936" s="58"/>
      <c r="P936" s="58"/>
      <c r="Q936" s="58"/>
      <c r="R936" s="58"/>
      <c r="S936" s="58"/>
      <c r="T936" s="58"/>
      <c r="U936" s="58"/>
      <c r="V936" s="58"/>
      <c r="W936" s="58"/>
      <c r="X936" s="58"/>
      <c r="Y936" s="58"/>
    </row>
    <row r="937">
      <c r="A937" s="58"/>
      <c r="B937" s="58"/>
      <c r="C937" s="58"/>
      <c r="D937" s="58"/>
      <c r="E937" s="194"/>
      <c r="F937" s="58"/>
      <c r="G937" s="58"/>
      <c r="H937" s="58"/>
      <c r="I937" s="58"/>
      <c r="J937" s="58"/>
      <c r="K937" s="58"/>
      <c r="L937" s="58"/>
      <c r="M937" s="58"/>
      <c r="N937" s="58"/>
      <c r="O937" s="58"/>
      <c r="P937" s="58"/>
      <c r="Q937" s="58"/>
      <c r="R937" s="58"/>
      <c r="S937" s="58"/>
      <c r="T937" s="58"/>
      <c r="U937" s="58"/>
      <c r="V937" s="58"/>
      <c r="W937" s="58"/>
      <c r="X937" s="58"/>
      <c r="Y937" s="58"/>
    </row>
    <row r="938">
      <c r="A938" s="58"/>
      <c r="B938" s="58"/>
      <c r="C938" s="58"/>
      <c r="D938" s="58"/>
      <c r="E938" s="194"/>
      <c r="F938" s="58"/>
      <c r="G938" s="58"/>
      <c r="H938" s="58"/>
      <c r="I938" s="58"/>
      <c r="J938" s="58"/>
      <c r="K938" s="58"/>
      <c r="L938" s="58"/>
      <c r="M938" s="58"/>
      <c r="N938" s="58"/>
      <c r="O938" s="58"/>
      <c r="P938" s="58"/>
      <c r="Q938" s="58"/>
      <c r="R938" s="58"/>
      <c r="S938" s="58"/>
      <c r="T938" s="58"/>
      <c r="U938" s="58"/>
      <c r="V938" s="58"/>
      <c r="W938" s="58"/>
      <c r="X938" s="58"/>
      <c r="Y938" s="58"/>
    </row>
    <row r="939">
      <c r="A939" s="58"/>
      <c r="B939" s="58"/>
      <c r="C939" s="58"/>
      <c r="D939" s="58"/>
      <c r="E939" s="194"/>
      <c r="F939" s="58"/>
      <c r="G939" s="58"/>
      <c r="H939" s="58"/>
      <c r="I939" s="58"/>
      <c r="J939" s="58"/>
      <c r="K939" s="58"/>
      <c r="L939" s="58"/>
      <c r="M939" s="58"/>
      <c r="N939" s="58"/>
      <c r="O939" s="58"/>
      <c r="P939" s="58"/>
      <c r="Q939" s="58"/>
      <c r="R939" s="58"/>
      <c r="S939" s="58"/>
      <c r="T939" s="58"/>
      <c r="U939" s="58"/>
      <c r="V939" s="58"/>
      <c r="W939" s="58"/>
      <c r="X939" s="58"/>
      <c r="Y939" s="58"/>
    </row>
    <row r="940">
      <c r="A940" s="58"/>
      <c r="B940" s="58"/>
      <c r="C940" s="58"/>
      <c r="D940" s="58"/>
      <c r="E940" s="194"/>
      <c r="F940" s="58"/>
      <c r="G940" s="58"/>
      <c r="H940" s="58"/>
      <c r="I940" s="58"/>
      <c r="J940" s="58"/>
      <c r="K940" s="58"/>
      <c r="L940" s="58"/>
      <c r="M940" s="58"/>
      <c r="N940" s="58"/>
      <c r="O940" s="58"/>
      <c r="P940" s="58"/>
      <c r="Q940" s="58"/>
      <c r="R940" s="58"/>
      <c r="S940" s="58"/>
      <c r="T940" s="58"/>
      <c r="U940" s="58"/>
      <c r="V940" s="58"/>
      <c r="W940" s="58"/>
      <c r="X940" s="58"/>
      <c r="Y940" s="58"/>
    </row>
    <row r="941">
      <c r="A941" s="58"/>
      <c r="B941" s="58"/>
      <c r="C941" s="58"/>
      <c r="D941" s="58"/>
      <c r="E941" s="194"/>
      <c r="F941" s="58"/>
      <c r="G941" s="58"/>
      <c r="H941" s="58"/>
      <c r="I941" s="58"/>
      <c r="J941" s="58"/>
      <c r="K941" s="58"/>
      <c r="L941" s="58"/>
      <c r="M941" s="58"/>
      <c r="N941" s="58"/>
      <c r="O941" s="58"/>
      <c r="P941" s="58"/>
      <c r="Q941" s="58"/>
      <c r="R941" s="58"/>
      <c r="S941" s="58"/>
      <c r="T941" s="58"/>
      <c r="U941" s="58"/>
      <c r="V941" s="58"/>
      <c r="W941" s="58"/>
      <c r="X941" s="58"/>
      <c r="Y941" s="58"/>
    </row>
    <row r="942">
      <c r="A942" s="58"/>
      <c r="B942" s="58"/>
      <c r="C942" s="58"/>
      <c r="D942" s="58"/>
      <c r="E942" s="194"/>
      <c r="F942" s="58"/>
      <c r="G942" s="58"/>
      <c r="H942" s="58"/>
      <c r="I942" s="58"/>
      <c r="J942" s="58"/>
      <c r="K942" s="58"/>
      <c r="L942" s="58"/>
      <c r="M942" s="58"/>
      <c r="N942" s="58"/>
      <c r="O942" s="58"/>
      <c r="P942" s="58"/>
      <c r="Q942" s="58"/>
      <c r="R942" s="58"/>
      <c r="S942" s="58"/>
      <c r="T942" s="58"/>
      <c r="U942" s="58"/>
      <c r="V942" s="58"/>
      <c r="W942" s="58"/>
      <c r="X942" s="58"/>
      <c r="Y942" s="58"/>
    </row>
    <row r="943">
      <c r="A943" s="58"/>
      <c r="B943" s="58"/>
      <c r="C943" s="58"/>
      <c r="D943" s="58"/>
      <c r="E943" s="194"/>
      <c r="F943" s="58"/>
      <c r="G943" s="58"/>
      <c r="H943" s="58"/>
      <c r="I943" s="58"/>
      <c r="J943" s="58"/>
      <c r="K943" s="58"/>
      <c r="L943" s="58"/>
      <c r="M943" s="58"/>
      <c r="N943" s="58"/>
      <c r="O943" s="58"/>
      <c r="P943" s="58"/>
      <c r="Q943" s="58"/>
      <c r="R943" s="58"/>
      <c r="S943" s="58"/>
      <c r="T943" s="58"/>
      <c r="U943" s="58"/>
      <c r="V943" s="58"/>
      <c r="W943" s="58"/>
      <c r="X943" s="58"/>
      <c r="Y943" s="58"/>
    </row>
    <row r="944">
      <c r="A944" s="58"/>
      <c r="B944" s="58"/>
      <c r="C944" s="58"/>
      <c r="D944" s="58"/>
      <c r="E944" s="194"/>
      <c r="F944" s="58"/>
      <c r="G944" s="58"/>
      <c r="H944" s="58"/>
      <c r="I944" s="58"/>
      <c r="J944" s="58"/>
      <c r="K944" s="58"/>
      <c r="L944" s="58"/>
      <c r="M944" s="58"/>
      <c r="N944" s="58"/>
      <c r="O944" s="58"/>
      <c r="P944" s="58"/>
      <c r="Q944" s="58"/>
      <c r="R944" s="58"/>
      <c r="S944" s="58"/>
      <c r="T944" s="58"/>
      <c r="U944" s="58"/>
      <c r="V944" s="58"/>
      <c r="W944" s="58"/>
      <c r="X944" s="58"/>
      <c r="Y944" s="58"/>
    </row>
    <row r="945">
      <c r="A945" s="58"/>
      <c r="B945" s="58"/>
      <c r="C945" s="58"/>
      <c r="D945" s="58"/>
      <c r="E945" s="194"/>
      <c r="F945" s="58"/>
      <c r="G945" s="58"/>
      <c r="H945" s="58"/>
      <c r="I945" s="58"/>
      <c r="J945" s="58"/>
      <c r="K945" s="58"/>
      <c r="L945" s="58"/>
      <c r="M945" s="58"/>
      <c r="N945" s="58"/>
      <c r="O945" s="58"/>
      <c r="P945" s="58"/>
      <c r="Q945" s="58"/>
      <c r="R945" s="58"/>
      <c r="S945" s="58"/>
      <c r="T945" s="58"/>
      <c r="U945" s="58"/>
      <c r="V945" s="58"/>
      <c r="W945" s="58"/>
      <c r="X945" s="58"/>
      <c r="Y945" s="58"/>
    </row>
    <row r="946">
      <c r="A946" s="58"/>
      <c r="B946" s="58"/>
      <c r="C946" s="58"/>
      <c r="D946" s="58"/>
      <c r="E946" s="194"/>
      <c r="F946" s="58"/>
      <c r="G946" s="58"/>
      <c r="H946" s="58"/>
      <c r="I946" s="58"/>
      <c r="J946" s="58"/>
      <c r="K946" s="58"/>
      <c r="L946" s="58"/>
      <c r="M946" s="58"/>
      <c r="N946" s="58"/>
      <c r="O946" s="58"/>
      <c r="P946" s="58"/>
      <c r="Q946" s="58"/>
      <c r="R946" s="58"/>
      <c r="S946" s="58"/>
      <c r="T946" s="58"/>
      <c r="U946" s="58"/>
      <c r="V946" s="58"/>
      <c r="W946" s="58"/>
      <c r="X946" s="58"/>
      <c r="Y946" s="58"/>
    </row>
    <row r="947">
      <c r="A947" s="58"/>
      <c r="B947" s="58"/>
      <c r="C947" s="58"/>
      <c r="D947" s="58"/>
      <c r="E947" s="194"/>
      <c r="F947" s="58"/>
      <c r="G947" s="58"/>
      <c r="H947" s="58"/>
      <c r="I947" s="58"/>
      <c r="J947" s="58"/>
      <c r="K947" s="58"/>
      <c r="L947" s="58"/>
      <c r="M947" s="58"/>
      <c r="N947" s="58"/>
      <c r="O947" s="58"/>
      <c r="P947" s="58"/>
      <c r="Q947" s="58"/>
      <c r="R947" s="58"/>
      <c r="S947" s="58"/>
      <c r="T947" s="58"/>
      <c r="U947" s="58"/>
      <c r="V947" s="58"/>
      <c r="W947" s="58"/>
      <c r="X947" s="58"/>
      <c r="Y947" s="58"/>
    </row>
    <row r="948">
      <c r="A948" s="58"/>
      <c r="B948" s="58"/>
      <c r="C948" s="58"/>
      <c r="D948" s="58"/>
      <c r="E948" s="194"/>
      <c r="F948" s="58"/>
      <c r="G948" s="58"/>
      <c r="H948" s="58"/>
      <c r="I948" s="58"/>
      <c r="J948" s="58"/>
      <c r="K948" s="58"/>
      <c r="L948" s="58"/>
      <c r="M948" s="58"/>
      <c r="N948" s="58"/>
      <c r="O948" s="58"/>
      <c r="P948" s="58"/>
      <c r="Q948" s="58"/>
      <c r="R948" s="58"/>
      <c r="S948" s="58"/>
      <c r="T948" s="58"/>
      <c r="U948" s="58"/>
      <c r="V948" s="58"/>
      <c r="W948" s="58"/>
      <c r="X948" s="58"/>
      <c r="Y948" s="58"/>
    </row>
    <row r="949">
      <c r="A949" s="58"/>
      <c r="B949" s="58"/>
      <c r="C949" s="58"/>
      <c r="D949" s="58"/>
      <c r="E949" s="194"/>
      <c r="F949" s="58"/>
      <c r="G949" s="58"/>
      <c r="H949" s="58"/>
      <c r="I949" s="58"/>
      <c r="J949" s="58"/>
      <c r="K949" s="58"/>
      <c r="L949" s="58"/>
      <c r="M949" s="58"/>
      <c r="N949" s="58"/>
      <c r="O949" s="58"/>
      <c r="P949" s="58"/>
      <c r="Q949" s="58"/>
      <c r="R949" s="58"/>
      <c r="S949" s="58"/>
      <c r="T949" s="58"/>
      <c r="U949" s="58"/>
      <c r="V949" s="58"/>
      <c r="W949" s="58"/>
      <c r="X949" s="58"/>
      <c r="Y949" s="58"/>
    </row>
    <row r="950">
      <c r="A950" s="58"/>
      <c r="B950" s="58"/>
      <c r="C950" s="58"/>
      <c r="D950" s="58"/>
      <c r="E950" s="194"/>
      <c r="F950" s="58"/>
      <c r="G950" s="58"/>
      <c r="H950" s="58"/>
      <c r="I950" s="58"/>
      <c r="J950" s="58"/>
      <c r="K950" s="58"/>
      <c r="L950" s="58"/>
      <c r="M950" s="58"/>
      <c r="N950" s="58"/>
      <c r="O950" s="58"/>
      <c r="P950" s="58"/>
      <c r="Q950" s="58"/>
      <c r="R950" s="58"/>
      <c r="S950" s="58"/>
      <c r="T950" s="58"/>
      <c r="U950" s="58"/>
      <c r="V950" s="58"/>
      <c r="W950" s="58"/>
      <c r="X950" s="58"/>
      <c r="Y950" s="58"/>
    </row>
    <row r="951">
      <c r="A951" s="58"/>
      <c r="B951" s="58"/>
      <c r="C951" s="58"/>
      <c r="D951" s="58"/>
      <c r="E951" s="194"/>
      <c r="F951" s="58"/>
      <c r="G951" s="58"/>
      <c r="H951" s="58"/>
      <c r="I951" s="58"/>
      <c r="J951" s="58"/>
      <c r="K951" s="58"/>
      <c r="L951" s="58"/>
      <c r="M951" s="58"/>
      <c r="N951" s="58"/>
      <c r="O951" s="58"/>
      <c r="P951" s="58"/>
      <c r="Q951" s="58"/>
      <c r="R951" s="58"/>
      <c r="S951" s="58"/>
      <c r="T951" s="58"/>
      <c r="U951" s="58"/>
      <c r="V951" s="58"/>
      <c r="W951" s="58"/>
      <c r="X951" s="58"/>
      <c r="Y951" s="58"/>
    </row>
    <row r="952">
      <c r="A952" s="58"/>
      <c r="B952" s="58"/>
      <c r="C952" s="58"/>
      <c r="D952" s="58"/>
      <c r="E952" s="194"/>
      <c r="F952" s="58"/>
      <c r="G952" s="58"/>
      <c r="H952" s="58"/>
      <c r="I952" s="58"/>
      <c r="J952" s="58"/>
      <c r="K952" s="58"/>
      <c r="L952" s="58"/>
      <c r="M952" s="58"/>
      <c r="N952" s="58"/>
      <c r="O952" s="58"/>
      <c r="P952" s="58"/>
      <c r="Q952" s="58"/>
      <c r="R952" s="58"/>
      <c r="S952" s="58"/>
      <c r="T952" s="58"/>
      <c r="U952" s="58"/>
      <c r="V952" s="58"/>
      <c r="W952" s="58"/>
      <c r="X952" s="58"/>
      <c r="Y952" s="58"/>
    </row>
    <row r="953">
      <c r="A953" s="58"/>
      <c r="B953" s="58"/>
      <c r="C953" s="58"/>
      <c r="D953" s="58"/>
      <c r="E953" s="194"/>
      <c r="F953" s="58"/>
      <c r="G953" s="58"/>
      <c r="H953" s="58"/>
      <c r="I953" s="58"/>
      <c r="J953" s="58"/>
      <c r="K953" s="58"/>
      <c r="L953" s="58"/>
      <c r="M953" s="58"/>
      <c r="N953" s="58"/>
      <c r="O953" s="58"/>
      <c r="P953" s="58"/>
      <c r="Q953" s="58"/>
      <c r="R953" s="58"/>
      <c r="S953" s="58"/>
      <c r="T953" s="58"/>
      <c r="U953" s="58"/>
      <c r="V953" s="58"/>
      <c r="W953" s="58"/>
      <c r="X953" s="58"/>
      <c r="Y953" s="58"/>
    </row>
    <row r="954">
      <c r="A954" s="58"/>
      <c r="B954" s="58"/>
      <c r="C954" s="58"/>
      <c r="D954" s="58"/>
      <c r="E954" s="194"/>
      <c r="F954" s="58"/>
      <c r="G954" s="58"/>
      <c r="H954" s="58"/>
      <c r="I954" s="58"/>
      <c r="J954" s="58"/>
      <c r="K954" s="58"/>
      <c r="L954" s="58"/>
      <c r="M954" s="58"/>
      <c r="N954" s="58"/>
      <c r="O954" s="58"/>
      <c r="P954" s="58"/>
      <c r="Q954" s="58"/>
      <c r="R954" s="58"/>
      <c r="S954" s="58"/>
      <c r="T954" s="58"/>
      <c r="U954" s="58"/>
      <c r="V954" s="58"/>
      <c r="W954" s="58"/>
      <c r="X954" s="58"/>
      <c r="Y954" s="58"/>
    </row>
    <row r="955">
      <c r="A955" s="58"/>
      <c r="B955" s="58"/>
      <c r="C955" s="58"/>
      <c r="D955" s="58"/>
      <c r="E955" s="194"/>
      <c r="F955" s="58"/>
      <c r="G955" s="58"/>
      <c r="H955" s="58"/>
      <c r="I955" s="58"/>
      <c r="J955" s="58"/>
      <c r="K955" s="58"/>
      <c r="L955" s="58"/>
      <c r="M955" s="58"/>
      <c r="N955" s="58"/>
      <c r="O955" s="58"/>
      <c r="P955" s="58"/>
      <c r="Q955" s="58"/>
      <c r="R955" s="58"/>
      <c r="S955" s="58"/>
      <c r="T955" s="58"/>
      <c r="U955" s="58"/>
      <c r="V955" s="58"/>
      <c r="W955" s="58"/>
      <c r="X955" s="58"/>
      <c r="Y955" s="58"/>
    </row>
    <row r="956">
      <c r="A956" s="58"/>
      <c r="B956" s="58"/>
      <c r="C956" s="58"/>
      <c r="D956" s="58"/>
      <c r="E956" s="194"/>
      <c r="F956" s="58"/>
      <c r="G956" s="58"/>
      <c r="H956" s="58"/>
      <c r="I956" s="58"/>
      <c r="J956" s="58"/>
      <c r="K956" s="58"/>
      <c r="L956" s="58"/>
      <c r="M956" s="58"/>
      <c r="N956" s="58"/>
      <c r="O956" s="58"/>
      <c r="P956" s="58"/>
      <c r="Q956" s="58"/>
      <c r="R956" s="58"/>
      <c r="S956" s="58"/>
      <c r="T956" s="58"/>
      <c r="U956" s="58"/>
      <c r="V956" s="58"/>
      <c r="W956" s="58"/>
      <c r="X956" s="58"/>
      <c r="Y956" s="58"/>
    </row>
    <row r="957">
      <c r="A957" s="58"/>
      <c r="B957" s="58"/>
      <c r="C957" s="58"/>
      <c r="D957" s="58"/>
      <c r="E957" s="194"/>
      <c r="F957" s="58"/>
      <c r="G957" s="58"/>
      <c r="H957" s="58"/>
      <c r="I957" s="58"/>
      <c r="J957" s="58"/>
      <c r="K957" s="58"/>
      <c r="L957" s="58"/>
      <c r="M957" s="58"/>
      <c r="N957" s="58"/>
      <c r="O957" s="58"/>
      <c r="P957" s="58"/>
      <c r="Q957" s="58"/>
      <c r="R957" s="58"/>
      <c r="S957" s="58"/>
      <c r="T957" s="58"/>
      <c r="U957" s="58"/>
      <c r="V957" s="58"/>
      <c r="W957" s="58"/>
      <c r="X957" s="58"/>
      <c r="Y957" s="58"/>
    </row>
    <row r="958">
      <c r="A958" s="58"/>
      <c r="B958" s="58"/>
      <c r="C958" s="58"/>
      <c r="D958" s="58"/>
      <c r="E958" s="194"/>
      <c r="F958" s="58"/>
      <c r="G958" s="58"/>
      <c r="H958" s="58"/>
      <c r="I958" s="58"/>
      <c r="J958" s="58"/>
      <c r="K958" s="58"/>
      <c r="L958" s="58"/>
      <c r="M958" s="58"/>
      <c r="N958" s="58"/>
      <c r="O958" s="58"/>
      <c r="P958" s="58"/>
      <c r="Q958" s="58"/>
      <c r="R958" s="58"/>
      <c r="S958" s="58"/>
      <c r="T958" s="58"/>
      <c r="U958" s="58"/>
      <c r="V958" s="58"/>
      <c r="W958" s="58"/>
      <c r="X958" s="58"/>
      <c r="Y958" s="58"/>
    </row>
    <row r="959">
      <c r="A959" s="58"/>
      <c r="B959" s="58"/>
      <c r="C959" s="58"/>
      <c r="D959" s="58"/>
      <c r="E959" s="194"/>
      <c r="F959" s="58"/>
      <c r="G959" s="58"/>
      <c r="H959" s="58"/>
      <c r="I959" s="58"/>
      <c r="J959" s="58"/>
      <c r="K959" s="58"/>
      <c r="L959" s="58"/>
      <c r="M959" s="58"/>
      <c r="N959" s="58"/>
      <c r="O959" s="58"/>
      <c r="P959" s="58"/>
      <c r="Q959" s="58"/>
      <c r="R959" s="58"/>
      <c r="S959" s="58"/>
      <c r="T959" s="58"/>
      <c r="U959" s="58"/>
      <c r="V959" s="58"/>
      <c r="W959" s="58"/>
      <c r="X959" s="58"/>
      <c r="Y959" s="58"/>
    </row>
    <row r="960">
      <c r="A960" s="58"/>
      <c r="B960" s="58"/>
      <c r="C960" s="58"/>
      <c r="D960" s="58"/>
      <c r="E960" s="194"/>
      <c r="F960" s="58"/>
      <c r="G960" s="58"/>
      <c r="H960" s="58"/>
      <c r="I960" s="58"/>
      <c r="J960" s="58"/>
      <c r="K960" s="58"/>
      <c r="L960" s="58"/>
      <c r="M960" s="58"/>
      <c r="N960" s="58"/>
      <c r="O960" s="58"/>
      <c r="P960" s="58"/>
      <c r="Q960" s="58"/>
      <c r="R960" s="58"/>
      <c r="S960" s="58"/>
      <c r="T960" s="58"/>
      <c r="U960" s="58"/>
      <c r="V960" s="58"/>
      <c r="W960" s="58"/>
      <c r="X960" s="58"/>
      <c r="Y960" s="58"/>
    </row>
    <row r="961">
      <c r="A961" s="58"/>
      <c r="B961" s="58"/>
      <c r="C961" s="58"/>
      <c r="D961" s="58"/>
      <c r="E961" s="194"/>
      <c r="F961" s="58"/>
      <c r="G961" s="58"/>
      <c r="H961" s="58"/>
      <c r="I961" s="58"/>
      <c r="J961" s="58"/>
      <c r="K961" s="58"/>
      <c r="L961" s="58"/>
      <c r="M961" s="58"/>
      <c r="N961" s="58"/>
      <c r="O961" s="58"/>
      <c r="P961" s="58"/>
      <c r="Q961" s="58"/>
      <c r="R961" s="58"/>
      <c r="S961" s="58"/>
      <c r="T961" s="58"/>
      <c r="U961" s="58"/>
      <c r="V961" s="58"/>
      <c r="W961" s="58"/>
      <c r="X961" s="58"/>
      <c r="Y961" s="58"/>
    </row>
    <row r="962">
      <c r="A962" s="58"/>
      <c r="B962" s="58"/>
      <c r="C962" s="58"/>
      <c r="D962" s="58"/>
      <c r="E962" s="194"/>
      <c r="F962" s="58"/>
      <c r="G962" s="58"/>
      <c r="H962" s="58"/>
      <c r="I962" s="58"/>
      <c r="J962" s="58"/>
      <c r="K962" s="58"/>
      <c r="L962" s="58"/>
      <c r="M962" s="58"/>
      <c r="N962" s="58"/>
      <c r="O962" s="58"/>
      <c r="P962" s="58"/>
      <c r="Q962" s="58"/>
      <c r="R962" s="58"/>
      <c r="S962" s="58"/>
      <c r="T962" s="58"/>
      <c r="U962" s="58"/>
      <c r="V962" s="58"/>
      <c r="W962" s="58"/>
      <c r="X962" s="58"/>
      <c r="Y962" s="58"/>
    </row>
    <row r="963">
      <c r="A963" s="58"/>
      <c r="B963" s="58"/>
      <c r="C963" s="58"/>
      <c r="D963" s="58"/>
      <c r="E963" s="194"/>
      <c r="F963" s="58"/>
      <c r="G963" s="58"/>
      <c r="H963" s="58"/>
      <c r="I963" s="58"/>
      <c r="J963" s="58"/>
      <c r="K963" s="58"/>
      <c r="L963" s="58"/>
      <c r="M963" s="58"/>
      <c r="N963" s="58"/>
      <c r="O963" s="58"/>
      <c r="P963" s="58"/>
      <c r="Q963" s="58"/>
      <c r="R963" s="58"/>
      <c r="S963" s="58"/>
      <c r="T963" s="58"/>
      <c r="U963" s="58"/>
      <c r="V963" s="58"/>
      <c r="W963" s="58"/>
      <c r="X963" s="58"/>
      <c r="Y963" s="58"/>
    </row>
    <row r="964">
      <c r="A964" s="58"/>
      <c r="B964" s="58"/>
      <c r="C964" s="58"/>
      <c r="D964" s="58"/>
      <c r="E964" s="194"/>
      <c r="F964" s="58"/>
      <c r="G964" s="58"/>
      <c r="H964" s="58"/>
      <c r="I964" s="58"/>
      <c r="J964" s="58"/>
      <c r="K964" s="58"/>
      <c r="L964" s="58"/>
      <c r="M964" s="58"/>
      <c r="N964" s="58"/>
      <c r="O964" s="58"/>
      <c r="P964" s="58"/>
      <c r="Q964" s="58"/>
      <c r="R964" s="58"/>
      <c r="S964" s="58"/>
      <c r="T964" s="58"/>
      <c r="U964" s="58"/>
      <c r="V964" s="58"/>
      <c r="W964" s="58"/>
      <c r="X964" s="58"/>
      <c r="Y964" s="58"/>
    </row>
    <row r="965">
      <c r="A965" s="58"/>
      <c r="B965" s="58"/>
      <c r="C965" s="58"/>
      <c r="D965" s="58"/>
      <c r="E965" s="194"/>
      <c r="F965" s="58"/>
      <c r="G965" s="58"/>
      <c r="H965" s="58"/>
      <c r="I965" s="58"/>
      <c r="J965" s="58"/>
      <c r="K965" s="58"/>
      <c r="L965" s="58"/>
      <c r="M965" s="58"/>
      <c r="N965" s="58"/>
      <c r="O965" s="58"/>
      <c r="P965" s="58"/>
      <c r="Q965" s="58"/>
      <c r="R965" s="58"/>
      <c r="S965" s="58"/>
      <c r="T965" s="58"/>
      <c r="U965" s="58"/>
      <c r="V965" s="58"/>
      <c r="W965" s="58"/>
      <c r="X965" s="58"/>
      <c r="Y965" s="58"/>
    </row>
    <row r="966">
      <c r="A966" s="58"/>
      <c r="B966" s="58"/>
      <c r="C966" s="58"/>
      <c r="D966" s="58"/>
      <c r="E966" s="194"/>
      <c r="F966" s="58"/>
      <c r="G966" s="58"/>
      <c r="H966" s="58"/>
      <c r="I966" s="58"/>
      <c r="J966" s="58"/>
      <c r="K966" s="58"/>
      <c r="L966" s="58"/>
      <c r="M966" s="58"/>
      <c r="N966" s="58"/>
      <c r="O966" s="58"/>
      <c r="P966" s="58"/>
      <c r="Q966" s="58"/>
      <c r="R966" s="58"/>
      <c r="S966" s="58"/>
      <c r="T966" s="58"/>
      <c r="U966" s="58"/>
      <c r="V966" s="58"/>
      <c r="W966" s="58"/>
      <c r="X966" s="58"/>
      <c r="Y966" s="58"/>
    </row>
    <row r="967">
      <c r="A967" s="58"/>
      <c r="B967" s="58"/>
      <c r="C967" s="58"/>
      <c r="D967" s="58"/>
      <c r="E967" s="194"/>
      <c r="F967" s="58"/>
      <c r="G967" s="58"/>
      <c r="H967" s="58"/>
      <c r="I967" s="58"/>
      <c r="J967" s="58"/>
      <c r="K967" s="58"/>
      <c r="L967" s="58"/>
      <c r="M967" s="58"/>
      <c r="N967" s="58"/>
      <c r="O967" s="58"/>
      <c r="P967" s="58"/>
      <c r="Q967" s="58"/>
      <c r="R967" s="58"/>
      <c r="S967" s="58"/>
      <c r="T967" s="58"/>
      <c r="U967" s="58"/>
      <c r="V967" s="58"/>
      <c r="W967" s="58"/>
      <c r="X967" s="58"/>
      <c r="Y967" s="58"/>
    </row>
    <row r="968">
      <c r="A968" s="58"/>
      <c r="B968" s="58"/>
      <c r="C968" s="58"/>
      <c r="D968" s="58"/>
      <c r="E968" s="194"/>
      <c r="F968" s="58"/>
      <c r="G968" s="58"/>
      <c r="H968" s="58"/>
      <c r="I968" s="58"/>
      <c r="J968" s="58"/>
      <c r="K968" s="58"/>
      <c r="L968" s="58"/>
      <c r="M968" s="58"/>
      <c r="N968" s="58"/>
      <c r="O968" s="58"/>
      <c r="P968" s="58"/>
      <c r="Q968" s="58"/>
      <c r="R968" s="58"/>
      <c r="S968" s="58"/>
      <c r="T968" s="58"/>
      <c r="U968" s="58"/>
      <c r="V968" s="58"/>
      <c r="W968" s="58"/>
      <c r="X968" s="58"/>
      <c r="Y968" s="58"/>
    </row>
    <row r="969">
      <c r="A969" s="58"/>
      <c r="B969" s="58"/>
      <c r="C969" s="58"/>
      <c r="D969" s="58"/>
      <c r="E969" s="194"/>
      <c r="F969" s="58"/>
      <c r="G969" s="58"/>
      <c r="H969" s="58"/>
      <c r="I969" s="58"/>
      <c r="J969" s="58"/>
      <c r="K969" s="58"/>
      <c r="L969" s="58"/>
      <c r="M969" s="58"/>
      <c r="N969" s="58"/>
      <c r="O969" s="58"/>
      <c r="P969" s="58"/>
      <c r="Q969" s="58"/>
      <c r="R969" s="58"/>
      <c r="S969" s="58"/>
      <c r="T969" s="58"/>
      <c r="U969" s="58"/>
      <c r="V969" s="58"/>
      <c r="W969" s="58"/>
      <c r="X969" s="58"/>
      <c r="Y969" s="58"/>
    </row>
    <row r="970">
      <c r="A970" s="58"/>
      <c r="B970" s="58"/>
      <c r="C970" s="58"/>
      <c r="D970" s="58"/>
      <c r="E970" s="194"/>
      <c r="F970" s="58"/>
      <c r="G970" s="58"/>
      <c r="H970" s="58"/>
      <c r="I970" s="58"/>
      <c r="J970" s="58"/>
      <c r="K970" s="58"/>
      <c r="L970" s="58"/>
      <c r="M970" s="58"/>
      <c r="N970" s="58"/>
      <c r="O970" s="58"/>
      <c r="P970" s="58"/>
      <c r="Q970" s="58"/>
      <c r="R970" s="58"/>
      <c r="S970" s="58"/>
      <c r="T970" s="58"/>
      <c r="U970" s="58"/>
      <c r="V970" s="58"/>
      <c r="W970" s="58"/>
      <c r="X970" s="58"/>
      <c r="Y970" s="58"/>
    </row>
    <row r="971">
      <c r="A971" s="58"/>
      <c r="B971" s="58"/>
      <c r="C971" s="58"/>
      <c r="D971" s="58"/>
      <c r="E971" s="194"/>
      <c r="F971" s="58"/>
      <c r="G971" s="58"/>
      <c r="H971" s="58"/>
      <c r="I971" s="58"/>
      <c r="J971" s="58"/>
      <c r="K971" s="58"/>
      <c r="L971" s="58"/>
      <c r="M971" s="58"/>
      <c r="N971" s="58"/>
      <c r="O971" s="58"/>
      <c r="P971" s="58"/>
      <c r="Q971" s="58"/>
      <c r="R971" s="58"/>
      <c r="S971" s="58"/>
      <c r="T971" s="58"/>
      <c r="U971" s="58"/>
      <c r="V971" s="58"/>
      <c r="W971" s="58"/>
      <c r="X971" s="58"/>
      <c r="Y971" s="58"/>
    </row>
    <row r="972">
      <c r="A972" s="58"/>
      <c r="B972" s="58"/>
      <c r="C972" s="58"/>
      <c r="D972" s="58"/>
      <c r="E972" s="194"/>
      <c r="F972" s="58"/>
      <c r="G972" s="58"/>
      <c r="H972" s="58"/>
      <c r="I972" s="58"/>
      <c r="J972" s="58"/>
      <c r="K972" s="58"/>
      <c r="L972" s="58"/>
      <c r="M972" s="58"/>
      <c r="N972" s="58"/>
      <c r="O972" s="58"/>
      <c r="P972" s="58"/>
      <c r="Q972" s="58"/>
      <c r="R972" s="58"/>
      <c r="S972" s="58"/>
      <c r="T972" s="58"/>
      <c r="U972" s="58"/>
      <c r="V972" s="58"/>
      <c r="W972" s="58"/>
      <c r="X972" s="58"/>
      <c r="Y972" s="58"/>
    </row>
    <row r="973">
      <c r="A973" s="58"/>
      <c r="B973" s="58"/>
      <c r="C973" s="58"/>
      <c r="D973" s="58"/>
      <c r="E973" s="194"/>
      <c r="F973" s="58"/>
      <c r="G973" s="58"/>
      <c r="H973" s="58"/>
      <c r="I973" s="58"/>
      <c r="J973" s="58"/>
      <c r="K973" s="58"/>
      <c r="L973" s="58"/>
      <c r="M973" s="58"/>
      <c r="N973" s="58"/>
      <c r="O973" s="58"/>
      <c r="P973" s="58"/>
      <c r="Q973" s="58"/>
      <c r="R973" s="58"/>
      <c r="S973" s="58"/>
      <c r="T973" s="58"/>
      <c r="U973" s="58"/>
      <c r="V973" s="58"/>
      <c r="W973" s="58"/>
      <c r="X973" s="58"/>
      <c r="Y973" s="58"/>
    </row>
    <row r="974">
      <c r="A974" s="58"/>
      <c r="B974" s="58"/>
      <c r="C974" s="58"/>
      <c r="D974" s="58"/>
      <c r="E974" s="194"/>
      <c r="F974" s="58"/>
      <c r="G974" s="58"/>
      <c r="H974" s="58"/>
      <c r="I974" s="58"/>
      <c r="J974" s="58"/>
      <c r="K974" s="58"/>
      <c r="L974" s="58"/>
      <c r="M974" s="58"/>
      <c r="N974" s="58"/>
      <c r="O974" s="58"/>
      <c r="P974" s="58"/>
      <c r="Q974" s="58"/>
      <c r="R974" s="58"/>
      <c r="S974" s="58"/>
      <c r="T974" s="58"/>
      <c r="U974" s="58"/>
      <c r="V974" s="58"/>
      <c r="W974" s="58"/>
      <c r="X974" s="58"/>
      <c r="Y974" s="58"/>
    </row>
    <row r="975">
      <c r="A975" s="58"/>
      <c r="B975" s="58"/>
      <c r="C975" s="58"/>
      <c r="D975" s="58"/>
      <c r="E975" s="194"/>
      <c r="F975" s="58"/>
      <c r="G975" s="58"/>
      <c r="H975" s="58"/>
      <c r="I975" s="58"/>
      <c r="J975" s="58"/>
      <c r="K975" s="58"/>
      <c r="L975" s="58"/>
      <c r="M975" s="58"/>
      <c r="N975" s="58"/>
      <c r="O975" s="58"/>
      <c r="P975" s="58"/>
      <c r="Q975" s="58"/>
      <c r="R975" s="58"/>
      <c r="S975" s="58"/>
      <c r="T975" s="58"/>
      <c r="U975" s="58"/>
      <c r="V975" s="58"/>
      <c r="W975" s="58"/>
      <c r="X975" s="58"/>
      <c r="Y975" s="58"/>
    </row>
    <row r="976">
      <c r="A976" s="58"/>
      <c r="B976" s="58"/>
      <c r="C976" s="58"/>
      <c r="D976" s="58"/>
      <c r="E976" s="194"/>
      <c r="F976" s="58"/>
      <c r="G976" s="58"/>
      <c r="H976" s="58"/>
      <c r="I976" s="58"/>
      <c r="J976" s="58"/>
      <c r="K976" s="58"/>
      <c r="L976" s="58"/>
      <c r="M976" s="58"/>
      <c r="N976" s="58"/>
      <c r="O976" s="58"/>
      <c r="P976" s="58"/>
      <c r="Q976" s="58"/>
      <c r="R976" s="58"/>
      <c r="S976" s="58"/>
      <c r="T976" s="58"/>
      <c r="U976" s="58"/>
      <c r="V976" s="58"/>
      <c r="W976" s="58"/>
      <c r="X976" s="58"/>
      <c r="Y976" s="58"/>
    </row>
    <row r="977">
      <c r="A977" s="58"/>
      <c r="B977" s="58"/>
      <c r="C977" s="58"/>
      <c r="D977" s="58"/>
      <c r="E977" s="194"/>
      <c r="F977" s="58"/>
      <c r="G977" s="58"/>
      <c r="H977" s="58"/>
      <c r="I977" s="58"/>
      <c r="J977" s="58"/>
      <c r="K977" s="58"/>
      <c r="L977" s="58"/>
      <c r="M977" s="58"/>
      <c r="N977" s="58"/>
      <c r="O977" s="58"/>
      <c r="P977" s="58"/>
      <c r="Q977" s="58"/>
      <c r="R977" s="58"/>
      <c r="S977" s="58"/>
      <c r="T977" s="58"/>
      <c r="U977" s="58"/>
      <c r="V977" s="58"/>
      <c r="W977" s="58"/>
      <c r="X977" s="58"/>
      <c r="Y977" s="58"/>
    </row>
    <row r="978">
      <c r="A978" s="58"/>
      <c r="B978" s="58"/>
      <c r="C978" s="58"/>
      <c r="D978" s="58"/>
      <c r="E978" s="194"/>
      <c r="F978" s="58"/>
      <c r="G978" s="58"/>
      <c r="H978" s="58"/>
      <c r="I978" s="58"/>
      <c r="J978" s="58"/>
      <c r="K978" s="58"/>
      <c r="L978" s="58"/>
      <c r="M978" s="58"/>
      <c r="N978" s="58"/>
      <c r="O978" s="58"/>
      <c r="P978" s="58"/>
      <c r="Q978" s="58"/>
      <c r="R978" s="58"/>
      <c r="S978" s="58"/>
      <c r="T978" s="58"/>
      <c r="U978" s="58"/>
      <c r="V978" s="58"/>
      <c r="W978" s="58"/>
      <c r="X978" s="58"/>
      <c r="Y978" s="58"/>
    </row>
    <row r="979">
      <c r="A979" s="58"/>
      <c r="B979" s="58"/>
      <c r="C979" s="58"/>
      <c r="D979" s="58"/>
      <c r="E979" s="194"/>
      <c r="F979" s="58"/>
      <c r="G979" s="58"/>
      <c r="H979" s="58"/>
      <c r="I979" s="58"/>
      <c r="J979" s="58"/>
      <c r="K979" s="58"/>
      <c r="L979" s="58"/>
      <c r="M979" s="58"/>
      <c r="N979" s="58"/>
      <c r="O979" s="58"/>
      <c r="P979" s="58"/>
      <c r="Q979" s="58"/>
      <c r="R979" s="58"/>
      <c r="S979" s="58"/>
      <c r="T979" s="58"/>
      <c r="U979" s="58"/>
      <c r="V979" s="58"/>
      <c r="W979" s="58"/>
      <c r="X979" s="58"/>
      <c r="Y979" s="58"/>
    </row>
    <row r="980">
      <c r="A980" s="58"/>
      <c r="B980" s="58"/>
      <c r="C980" s="58"/>
      <c r="D980" s="58"/>
      <c r="E980" s="194"/>
      <c r="F980" s="58"/>
      <c r="G980" s="58"/>
      <c r="H980" s="58"/>
      <c r="I980" s="58"/>
      <c r="J980" s="58"/>
      <c r="K980" s="58"/>
      <c r="L980" s="58"/>
      <c r="M980" s="58"/>
      <c r="N980" s="58"/>
      <c r="O980" s="58"/>
      <c r="P980" s="58"/>
      <c r="Q980" s="58"/>
      <c r="R980" s="58"/>
      <c r="S980" s="58"/>
      <c r="T980" s="58"/>
      <c r="U980" s="58"/>
      <c r="V980" s="58"/>
      <c r="W980" s="58"/>
      <c r="X980" s="58"/>
      <c r="Y980" s="58"/>
    </row>
    <row r="981">
      <c r="A981" s="58"/>
      <c r="B981" s="58"/>
      <c r="C981" s="58"/>
      <c r="D981" s="58"/>
      <c r="E981" s="194"/>
      <c r="F981" s="58"/>
      <c r="G981" s="58"/>
      <c r="H981" s="58"/>
      <c r="I981" s="58"/>
      <c r="J981" s="58"/>
      <c r="K981" s="58"/>
      <c r="L981" s="58"/>
      <c r="M981" s="58"/>
      <c r="N981" s="58"/>
      <c r="O981" s="58"/>
      <c r="P981" s="58"/>
      <c r="Q981" s="58"/>
      <c r="R981" s="58"/>
      <c r="S981" s="58"/>
      <c r="T981" s="58"/>
      <c r="U981" s="58"/>
      <c r="V981" s="58"/>
      <c r="W981" s="58"/>
      <c r="X981" s="58"/>
      <c r="Y981" s="58"/>
    </row>
    <row r="982">
      <c r="A982" s="58"/>
      <c r="B982" s="58"/>
      <c r="C982" s="58"/>
      <c r="D982" s="58"/>
      <c r="E982" s="194"/>
      <c r="F982" s="58"/>
      <c r="G982" s="58"/>
      <c r="H982" s="58"/>
      <c r="I982" s="58"/>
      <c r="J982" s="58"/>
      <c r="K982" s="58"/>
      <c r="L982" s="58"/>
      <c r="M982" s="58"/>
      <c r="N982" s="58"/>
      <c r="O982" s="58"/>
      <c r="P982" s="58"/>
      <c r="Q982" s="58"/>
      <c r="R982" s="58"/>
      <c r="S982" s="58"/>
      <c r="T982" s="58"/>
      <c r="U982" s="58"/>
      <c r="V982" s="58"/>
      <c r="W982" s="58"/>
      <c r="X982" s="58"/>
      <c r="Y982" s="58"/>
    </row>
    <row r="983">
      <c r="A983" s="58"/>
      <c r="B983" s="58"/>
      <c r="C983" s="58"/>
      <c r="D983" s="58"/>
      <c r="E983" s="194"/>
      <c r="F983" s="58"/>
      <c r="G983" s="58"/>
      <c r="H983" s="58"/>
      <c r="I983" s="58"/>
      <c r="J983" s="58"/>
      <c r="K983" s="58"/>
      <c r="L983" s="58"/>
      <c r="M983" s="58"/>
      <c r="N983" s="58"/>
      <c r="O983" s="58"/>
      <c r="P983" s="58"/>
      <c r="Q983" s="58"/>
      <c r="R983" s="58"/>
      <c r="S983" s="58"/>
      <c r="T983" s="58"/>
      <c r="U983" s="58"/>
      <c r="V983" s="58"/>
      <c r="W983" s="58"/>
      <c r="X983" s="58"/>
      <c r="Y983" s="58"/>
    </row>
    <row r="984">
      <c r="A984" s="58"/>
      <c r="B984" s="58"/>
      <c r="C984" s="58"/>
      <c r="D984" s="58"/>
      <c r="E984" s="194"/>
      <c r="F984" s="58"/>
      <c r="G984" s="58"/>
      <c r="H984" s="58"/>
      <c r="I984" s="58"/>
      <c r="J984" s="58"/>
      <c r="K984" s="58"/>
      <c r="L984" s="58"/>
      <c r="M984" s="58"/>
      <c r="N984" s="58"/>
      <c r="O984" s="58"/>
      <c r="P984" s="58"/>
      <c r="Q984" s="58"/>
      <c r="R984" s="58"/>
      <c r="S984" s="58"/>
      <c r="T984" s="58"/>
      <c r="U984" s="58"/>
      <c r="V984" s="58"/>
      <c r="W984" s="58"/>
      <c r="X984" s="58"/>
      <c r="Y984" s="58"/>
    </row>
    <row r="985">
      <c r="A985" s="58"/>
      <c r="B985" s="58"/>
      <c r="C985" s="58"/>
      <c r="D985" s="58"/>
      <c r="E985" s="194"/>
      <c r="F985" s="58"/>
      <c r="G985" s="58"/>
      <c r="H985" s="58"/>
      <c r="I985" s="58"/>
      <c r="J985" s="58"/>
      <c r="K985" s="58"/>
      <c r="L985" s="58"/>
      <c r="M985" s="58"/>
      <c r="N985" s="58"/>
      <c r="O985" s="58"/>
      <c r="P985" s="58"/>
      <c r="Q985" s="58"/>
      <c r="R985" s="58"/>
      <c r="S985" s="58"/>
      <c r="T985" s="58"/>
      <c r="U985" s="58"/>
      <c r="V985" s="58"/>
      <c r="W985" s="58"/>
      <c r="X985" s="58"/>
      <c r="Y985" s="58"/>
    </row>
    <row r="986">
      <c r="A986" s="58"/>
      <c r="B986" s="58"/>
      <c r="C986" s="58"/>
      <c r="D986" s="58"/>
      <c r="E986" s="194"/>
      <c r="F986" s="58"/>
      <c r="G986" s="58"/>
      <c r="H986" s="58"/>
      <c r="I986" s="58"/>
      <c r="J986" s="58"/>
      <c r="K986" s="58"/>
      <c r="L986" s="58"/>
      <c r="M986" s="58"/>
      <c r="N986" s="58"/>
      <c r="O986" s="58"/>
      <c r="P986" s="58"/>
      <c r="Q986" s="58"/>
      <c r="R986" s="58"/>
      <c r="S986" s="58"/>
      <c r="T986" s="58"/>
      <c r="U986" s="58"/>
      <c r="V986" s="58"/>
      <c r="W986" s="58"/>
      <c r="X986" s="58"/>
      <c r="Y986" s="58"/>
    </row>
    <row r="987">
      <c r="A987" s="58"/>
      <c r="B987" s="58"/>
      <c r="C987" s="58"/>
      <c r="D987" s="58"/>
      <c r="E987" s="194"/>
      <c r="F987" s="58"/>
      <c r="G987" s="58"/>
      <c r="H987" s="58"/>
      <c r="I987" s="58"/>
      <c r="J987" s="58"/>
      <c r="K987" s="58"/>
      <c r="L987" s="58"/>
      <c r="M987" s="58"/>
      <c r="N987" s="58"/>
      <c r="O987" s="58"/>
      <c r="P987" s="58"/>
      <c r="Q987" s="58"/>
      <c r="R987" s="58"/>
      <c r="S987" s="58"/>
      <c r="T987" s="58"/>
      <c r="U987" s="58"/>
      <c r="V987" s="58"/>
      <c r="W987" s="58"/>
      <c r="X987" s="58"/>
      <c r="Y987" s="58"/>
    </row>
    <row r="988">
      <c r="A988" s="58"/>
      <c r="B988" s="58"/>
      <c r="C988" s="58"/>
      <c r="D988" s="58"/>
      <c r="E988" s="194"/>
      <c r="F988" s="58"/>
      <c r="G988" s="58"/>
      <c r="H988" s="58"/>
      <c r="I988" s="58"/>
      <c r="J988" s="58"/>
      <c r="K988" s="58"/>
      <c r="L988" s="58"/>
      <c r="M988" s="58"/>
      <c r="N988" s="58"/>
      <c r="O988" s="58"/>
      <c r="P988" s="58"/>
      <c r="Q988" s="58"/>
      <c r="R988" s="58"/>
      <c r="S988" s="58"/>
      <c r="T988" s="58"/>
      <c r="U988" s="58"/>
      <c r="V988" s="58"/>
      <c r="W988" s="58"/>
      <c r="X988" s="58"/>
      <c r="Y988" s="58"/>
    </row>
    <row r="989">
      <c r="A989" s="58"/>
      <c r="B989" s="58"/>
      <c r="C989" s="58"/>
      <c r="D989" s="58"/>
      <c r="E989" s="194"/>
      <c r="F989" s="58"/>
      <c r="G989" s="58"/>
      <c r="H989" s="58"/>
      <c r="I989" s="58"/>
      <c r="J989" s="58"/>
      <c r="K989" s="58"/>
      <c r="L989" s="58"/>
      <c r="M989" s="58"/>
      <c r="N989" s="58"/>
      <c r="O989" s="58"/>
      <c r="P989" s="58"/>
      <c r="Q989" s="58"/>
      <c r="R989" s="58"/>
      <c r="S989" s="58"/>
      <c r="T989" s="58"/>
      <c r="U989" s="58"/>
      <c r="V989" s="58"/>
      <c r="W989" s="58"/>
      <c r="X989" s="58"/>
      <c r="Y989" s="58"/>
    </row>
    <row r="990">
      <c r="A990" s="58"/>
      <c r="B990" s="58"/>
      <c r="C990" s="58"/>
      <c r="D990" s="58"/>
      <c r="E990" s="194"/>
      <c r="F990" s="58"/>
      <c r="G990" s="58"/>
      <c r="H990" s="58"/>
      <c r="I990" s="58"/>
      <c r="J990" s="58"/>
      <c r="K990" s="58"/>
      <c r="L990" s="58"/>
      <c r="M990" s="58"/>
      <c r="N990" s="58"/>
      <c r="O990" s="58"/>
      <c r="P990" s="58"/>
      <c r="Q990" s="58"/>
      <c r="R990" s="58"/>
      <c r="S990" s="58"/>
      <c r="T990" s="58"/>
      <c r="U990" s="58"/>
      <c r="V990" s="58"/>
      <c r="W990" s="58"/>
      <c r="X990" s="58"/>
      <c r="Y990" s="58"/>
    </row>
    <row r="991">
      <c r="A991" s="58"/>
      <c r="B991" s="58"/>
      <c r="C991" s="58"/>
      <c r="D991" s="58"/>
      <c r="E991" s="194"/>
      <c r="F991" s="58"/>
      <c r="G991" s="58"/>
      <c r="H991" s="58"/>
      <c r="I991" s="58"/>
      <c r="J991" s="58"/>
      <c r="K991" s="58"/>
      <c r="L991" s="58"/>
      <c r="M991" s="58"/>
      <c r="N991" s="58"/>
      <c r="O991" s="58"/>
      <c r="P991" s="58"/>
      <c r="Q991" s="58"/>
      <c r="R991" s="58"/>
      <c r="S991" s="58"/>
      <c r="T991" s="58"/>
      <c r="U991" s="58"/>
      <c r="V991" s="58"/>
      <c r="W991" s="58"/>
      <c r="X991" s="58"/>
      <c r="Y991" s="58"/>
    </row>
    <row r="992">
      <c r="A992" s="58"/>
      <c r="B992" s="58"/>
      <c r="C992" s="58"/>
      <c r="D992" s="58"/>
      <c r="E992" s="194"/>
      <c r="F992" s="58"/>
      <c r="G992" s="58"/>
      <c r="H992" s="58"/>
      <c r="I992" s="58"/>
      <c r="J992" s="58"/>
      <c r="K992" s="58"/>
      <c r="L992" s="58"/>
      <c r="M992" s="58"/>
      <c r="N992" s="58"/>
      <c r="O992" s="58"/>
      <c r="P992" s="58"/>
      <c r="Q992" s="58"/>
      <c r="R992" s="58"/>
      <c r="S992" s="58"/>
      <c r="T992" s="58"/>
      <c r="U992" s="58"/>
      <c r="V992" s="58"/>
      <c r="W992" s="58"/>
      <c r="X992" s="58"/>
      <c r="Y992" s="58"/>
    </row>
    <row r="993">
      <c r="A993" s="58"/>
      <c r="B993" s="58"/>
      <c r="C993" s="58"/>
      <c r="D993" s="58"/>
      <c r="E993" s="194"/>
      <c r="F993" s="58"/>
      <c r="G993" s="58"/>
      <c r="H993" s="58"/>
      <c r="I993" s="58"/>
      <c r="J993" s="58"/>
      <c r="K993" s="58"/>
      <c r="L993" s="58"/>
      <c r="M993" s="58"/>
      <c r="N993" s="58"/>
      <c r="O993" s="58"/>
      <c r="P993" s="58"/>
      <c r="Q993" s="58"/>
      <c r="R993" s="58"/>
      <c r="S993" s="58"/>
      <c r="T993" s="58"/>
      <c r="U993" s="58"/>
      <c r="V993" s="58"/>
      <c r="W993" s="58"/>
      <c r="X993" s="58"/>
      <c r="Y993" s="58"/>
    </row>
    <row r="994">
      <c r="A994" s="58"/>
      <c r="B994" s="58"/>
      <c r="C994" s="58"/>
      <c r="D994" s="58"/>
      <c r="E994" s="194"/>
      <c r="F994" s="58"/>
      <c r="G994" s="58"/>
      <c r="H994" s="58"/>
      <c r="I994" s="58"/>
      <c r="J994" s="58"/>
      <c r="K994" s="58"/>
      <c r="L994" s="58"/>
      <c r="M994" s="58"/>
      <c r="N994" s="58"/>
      <c r="O994" s="58"/>
      <c r="P994" s="58"/>
      <c r="Q994" s="58"/>
      <c r="R994" s="58"/>
      <c r="S994" s="58"/>
      <c r="T994" s="58"/>
      <c r="U994" s="58"/>
      <c r="V994" s="58"/>
      <c r="W994" s="58"/>
      <c r="X994" s="58"/>
      <c r="Y994" s="58"/>
    </row>
    <row r="995">
      <c r="A995" s="58"/>
      <c r="B995" s="58"/>
      <c r="C995" s="58"/>
      <c r="D995" s="58"/>
      <c r="E995" s="194"/>
      <c r="F995" s="58"/>
      <c r="G995" s="58"/>
      <c r="H995" s="58"/>
      <c r="I995" s="58"/>
      <c r="J995" s="58"/>
      <c r="K995" s="58"/>
      <c r="L995" s="58"/>
      <c r="M995" s="58"/>
      <c r="N995" s="58"/>
      <c r="O995" s="58"/>
      <c r="P995" s="58"/>
      <c r="Q995" s="58"/>
      <c r="R995" s="58"/>
      <c r="S995" s="58"/>
      <c r="T995" s="58"/>
      <c r="U995" s="58"/>
      <c r="V995" s="58"/>
      <c r="W995" s="58"/>
      <c r="X995" s="58"/>
      <c r="Y995" s="58"/>
    </row>
    <row r="996">
      <c r="A996" s="58"/>
      <c r="B996" s="58"/>
      <c r="C996" s="58"/>
      <c r="D996" s="58"/>
      <c r="E996" s="194"/>
      <c r="F996" s="58"/>
      <c r="G996" s="58"/>
      <c r="H996" s="58"/>
      <c r="I996" s="58"/>
      <c r="J996" s="58"/>
      <c r="K996" s="58"/>
      <c r="L996" s="58"/>
      <c r="M996" s="58"/>
      <c r="N996" s="58"/>
      <c r="O996" s="58"/>
      <c r="P996" s="58"/>
      <c r="Q996" s="58"/>
      <c r="R996" s="58"/>
      <c r="S996" s="58"/>
      <c r="T996" s="58"/>
      <c r="U996" s="58"/>
      <c r="V996" s="58"/>
      <c r="W996" s="58"/>
      <c r="X996" s="58"/>
      <c r="Y996" s="58"/>
    </row>
    <row r="997">
      <c r="A997" s="58"/>
      <c r="B997" s="58"/>
      <c r="C997" s="58"/>
      <c r="D997" s="58"/>
      <c r="E997" s="194"/>
      <c r="F997" s="58"/>
      <c r="G997" s="58"/>
      <c r="H997" s="58"/>
      <c r="I997" s="58"/>
      <c r="J997" s="58"/>
      <c r="K997" s="58"/>
      <c r="L997" s="58"/>
      <c r="M997" s="58"/>
      <c r="N997" s="58"/>
      <c r="O997" s="58"/>
      <c r="P997" s="58"/>
      <c r="Q997" s="58"/>
      <c r="R997" s="58"/>
      <c r="S997" s="58"/>
      <c r="T997" s="58"/>
      <c r="U997" s="58"/>
      <c r="V997" s="58"/>
      <c r="W997" s="58"/>
      <c r="X997" s="58"/>
      <c r="Y997" s="58"/>
    </row>
    <row r="998">
      <c r="A998" s="58"/>
      <c r="B998" s="58"/>
      <c r="C998" s="58"/>
      <c r="D998" s="58"/>
      <c r="E998" s="194"/>
      <c r="F998" s="58"/>
      <c r="G998" s="58"/>
      <c r="H998" s="58"/>
      <c r="I998" s="58"/>
      <c r="J998" s="58"/>
      <c r="K998" s="58"/>
      <c r="L998" s="58"/>
      <c r="M998" s="58"/>
      <c r="N998" s="58"/>
      <c r="O998" s="58"/>
      <c r="P998" s="58"/>
      <c r="Q998" s="58"/>
      <c r="R998" s="58"/>
      <c r="S998" s="58"/>
      <c r="T998" s="58"/>
      <c r="U998" s="58"/>
      <c r="V998" s="58"/>
      <c r="W998" s="58"/>
      <c r="X998" s="58"/>
      <c r="Y998" s="58"/>
    </row>
    <row r="999">
      <c r="A999" s="58"/>
      <c r="B999" s="58"/>
      <c r="C999" s="58"/>
      <c r="D999" s="58"/>
      <c r="E999" s="194"/>
      <c r="F999" s="58"/>
      <c r="G999" s="58"/>
      <c r="H999" s="58"/>
      <c r="I999" s="58"/>
      <c r="J999" s="58"/>
      <c r="K999" s="58"/>
      <c r="L999" s="58"/>
      <c r="M999" s="58"/>
      <c r="N999" s="58"/>
      <c r="O999" s="58"/>
      <c r="P999" s="58"/>
      <c r="Q999" s="58"/>
      <c r="R999" s="58"/>
      <c r="S999" s="58"/>
      <c r="T999" s="58"/>
      <c r="U999" s="58"/>
      <c r="V999" s="58"/>
      <c r="W999" s="58"/>
      <c r="X999" s="58"/>
      <c r="Y999" s="58"/>
    </row>
    <row r="1000">
      <c r="A1000" s="58"/>
      <c r="B1000" s="58"/>
      <c r="C1000" s="58"/>
      <c r="D1000" s="58"/>
      <c r="E1000" s="194"/>
      <c r="F1000" s="58"/>
      <c r="G1000" s="58"/>
      <c r="H1000" s="58"/>
      <c r="I1000" s="58"/>
      <c r="J1000" s="58"/>
      <c r="K1000" s="58"/>
      <c r="L1000" s="58"/>
      <c r="M1000" s="58"/>
      <c r="N1000" s="58"/>
      <c r="O1000" s="58"/>
      <c r="P1000" s="58"/>
      <c r="Q1000" s="58"/>
      <c r="R1000" s="58"/>
      <c r="S1000" s="58"/>
      <c r="T1000" s="58"/>
      <c r="U1000" s="58"/>
      <c r="V1000" s="58"/>
      <c r="W1000" s="58"/>
      <c r="X1000" s="58"/>
      <c r="Y1000" s="5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18.0"/>
    <col customWidth="1" min="3" max="3" width="14.88"/>
    <col customWidth="1" min="4" max="4" width="25.5"/>
    <col customWidth="1" min="5" max="5" width="29.88"/>
    <col customWidth="1" min="6" max="6" width="47.88"/>
    <col customWidth="1" min="7" max="7" width="21.75"/>
    <col customWidth="1" min="8" max="8" width="23.38"/>
  </cols>
  <sheetData>
    <row r="1">
      <c r="A1" s="31" t="s">
        <v>78</v>
      </c>
      <c r="B1" s="32" t="s">
        <v>79</v>
      </c>
      <c r="C1" s="66" t="s">
        <v>80</v>
      </c>
      <c r="D1" s="66" t="s">
        <v>81</v>
      </c>
      <c r="E1" s="67" t="s">
        <v>82</v>
      </c>
      <c r="F1" s="68" t="s">
        <v>413</v>
      </c>
      <c r="G1" s="68" t="s">
        <v>414</v>
      </c>
      <c r="H1" s="31" t="s">
        <v>83</v>
      </c>
      <c r="I1" s="31" t="s">
        <v>278</v>
      </c>
    </row>
    <row r="2">
      <c r="A2" s="38" t="s">
        <v>84</v>
      </c>
      <c r="B2" s="59" t="s">
        <v>5704</v>
      </c>
      <c r="C2" s="59" t="s">
        <v>5705</v>
      </c>
      <c r="D2" s="59" t="s">
        <v>417</v>
      </c>
      <c r="E2" s="59" t="s">
        <v>5518</v>
      </c>
      <c r="F2" s="59" t="s">
        <v>5706</v>
      </c>
      <c r="G2" s="59" t="s">
        <v>5707</v>
      </c>
      <c r="H2" s="59" t="s">
        <v>5708</v>
      </c>
      <c r="I2" s="140" t="s">
        <v>13</v>
      </c>
      <c r="L2" s="1" t="s">
        <v>284</v>
      </c>
      <c r="M2" s="21">
        <f>SUM(M3:M9)</f>
        <v>39</v>
      </c>
    </row>
    <row r="3">
      <c r="A3" s="38" t="s">
        <v>92</v>
      </c>
      <c r="B3" s="59" t="s">
        <v>5704</v>
      </c>
      <c r="C3" s="59" t="s">
        <v>5709</v>
      </c>
      <c r="D3" s="59" t="s">
        <v>5710</v>
      </c>
      <c r="E3" s="59" t="s">
        <v>5711</v>
      </c>
      <c r="F3" s="59" t="s">
        <v>5712</v>
      </c>
      <c r="G3" s="59" t="s">
        <v>5713</v>
      </c>
      <c r="H3" s="59" t="s">
        <v>5714</v>
      </c>
      <c r="I3" s="140" t="s">
        <v>13</v>
      </c>
      <c r="L3" s="1" t="s">
        <v>14</v>
      </c>
      <c r="M3" s="21">
        <f>COUNTIF($I$2:$I$40,"Colombia")</f>
        <v>3</v>
      </c>
    </row>
    <row r="4">
      <c r="A4" s="38" t="s">
        <v>96</v>
      </c>
      <c r="B4" s="59" t="s">
        <v>5704</v>
      </c>
      <c r="C4" s="59" t="s">
        <v>5715</v>
      </c>
      <c r="D4" s="59" t="s">
        <v>5716</v>
      </c>
      <c r="E4" s="59" t="s">
        <v>5717</v>
      </c>
      <c r="F4" s="59" t="s">
        <v>5718</v>
      </c>
      <c r="G4" s="59" t="s">
        <v>46</v>
      </c>
      <c r="H4" s="59" t="s">
        <v>5719</v>
      </c>
      <c r="I4" s="140" t="s">
        <v>13</v>
      </c>
      <c r="L4" s="1" t="s">
        <v>15</v>
      </c>
      <c r="M4" s="21">
        <f>COUNTIF($I$2:$I$40,"Panama")</f>
        <v>3</v>
      </c>
    </row>
    <row r="5">
      <c r="A5" s="38" t="s">
        <v>101</v>
      </c>
      <c r="B5" s="59" t="s">
        <v>5704</v>
      </c>
      <c r="C5" s="59" t="s">
        <v>5715</v>
      </c>
      <c r="D5" s="59" t="s">
        <v>5720</v>
      </c>
      <c r="E5" s="59" t="s">
        <v>5721</v>
      </c>
      <c r="F5" s="59" t="s">
        <v>5722</v>
      </c>
      <c r="G5" s="59" t="s">
        <v>5723</v>
      </c>
      <c r="H5" s="59" t="s">
        <v>5724</v>
      </c>
      <c r="I5" s="140" t="s">
        <v>13</v>
      </c>
      <c r="L5" s="1" t="s">
        <v>16</v>
      </c>
      <c r="M5" s="21">
        <f>COUNTIF($I$2:$I$40,"Costa Rica")</f>
        <v>3</v>
      </c>
    </row>
    <row r="6">
      <c r="A6" s="38" t="s">
        <v>106</v>
      </c>
      <c r="B6" s="59" t="s">
        <v>5704</v>
      </c>
      <c r="C6" s="59" t="s">
        <v>5715</v>
      </c>
      <c r="D6" s="59" t="s">
        <v>5720</v>
      </c>
      <c r="E6" s="59" t="s">
        <v>5721</v>
      </c>
      <c r="F6" s="59" t="s">
        <v>5725</v>
      </c>
      <c r="G6" s="59" t="s">
        <v>5723</v>
      </c>
      <c r="H6" s="59" t="s">
        <v>5726</v>
      </c>
      <c r="I6" s="140" t="s">
        <v>13</v>
      </c>
      <c r="L6" s="1" t="s">
        <v>17</v>
      </c>
      <c r="M6" s="21">
        <f>COUNTIF($I$2:$I$40,"Honduras")</f>
        <v>3</v>
      </c>
    </row>
    <row r="7">
      <c r="A7" s="38" t="s">
        <v>110</v>
      </c>
      <c r="B7" s="59" t="s">
        <v>5704</v>
      </c>
      <c r="C7" s="59" t="s">
        <v>5715</v>
      </c>
      <c r="D7" s="59" t="s">
        <v>5727</v>
      </c>
      <c r="E7" s="59" t="s">
        <v>5728</v>
      </c>
      <c r="F7" s="59" t="s">
        <v>5729</v>
      </c>
      <c r="G7" s="59" t="s">
        <v>5723</v>
      </c>
      <c r="H7" s="59" t="s">
        <v>5714</v>
      </c>
      <c r="I7" s="140" t="s">
        <v>18</v>
      </c>
      <c r="L7" s="1" t="s">
        <v>18</v>
      </c>
      <c r="M7" s="21">
        <f>COUNTIF($I$2:$I$40,"El Salvador")</f>
        <v>3</v>
      </c>
    </row>
    <row r="8">
      <c r="A8" s="38" t="s">
        <v>115</v>
      </c>
      <c r="B8" s="59" t="s">
        <v>5704</v>
      </c>
      <c r="C8" s="59" t="s">
        <v>5715</v>
      </c>
      <c r="D8" s="59" t="s">
        <v>5730</v>
      </c>
      <c r="E8" s="59" t="s">
        <v>5728</v>
      </c>
      <c r="F8" s="59" t="s">
        <v>5729</v>
      </c>
      <c r="G8" s="59" t="s">
        <v>5723</v>
      </c>
      <c r="H8" s="59" t="s">
        <v>5714</v>
      </c>
      <c r="I8" s="140" t="s">
        <v>17</v>
      </c>
      <c r="L8" s="1" t="s">
        <v>19</v>
      </c>
      <c r="M8" s="21">
        <f>COUNTIF($I$2:$I$40,"Miami")</f>
        <v>3</v>
      </c>
    </row>
    <row r="9">
      <c r="A9" s="38" t="s">
        <v>120</v>
      </c>
      <c r="B9" s="59" t="s">
        <v>5704</v>
      </c>
      <c r="C9" s="59" t="s">
        <v>5715</v>
      </c>
      <c r="D9" s="59" t="s">
        <v>5731</v>
      </c>
      <c r="E9" s="59" t="s">
        <v>5728</v>
      </c>
      <c r="F9" s="59" t="s">
        <v>5729</v>
      </c>
      <c r="G9" s="59" t="s">
        <v>5723</v>
      </c>
      <c r="H9" s="59" t="s">
        <v>5714</v>
      </c>
      <c r="I9" s="140" t="s">
        <v>15</v>
      </c>
      <c r="L9" s="1" t="s">
        <v>13</v>
      </c>
      <c r="M9" s="21">
        <f>COUNTIF($I$2:$I$40,"Todos")</f>
        <v>21</v>
      </c>
    </row>
    <row r="10">
      <c r="A10" s="38" t="s">
        <v>125</v>
      </c>
      <c r="B10" s="59" t="s">
        <v>5704</v>
      </c>
      <c r="C10" s="59" t="s">
        <v>5715</v>
      </c>
      <c r="D10" s="59" t="s">
        <v>5732</v>
      </c>
      <c r="E10" s="59" t="s">
        <v>5728</v>
      </c>
      <c r="F10" s="59" t="s">
        <v>5729</v>
      </c>
      <c r="G10" s="59" t="s">
        <v>5723</v>
      </c>
      <c r="H10" s="59" t="s">
        <v>5714</v>
      </c>
      <c r="I10" s="140" t="s">
        <v>16</v>
      </c>
    </row>
    <row r="11">
      <c r="A11" s="38" t="s">
        <v>129</v>
      </c>
      <c r="B11" s="59" t="s">
        <v>5704</v>
      </c>
      <c r="C11" s="59" t="s">
        <v>5715</v>
      </c>
      <c r="D11" s="59" t="s">
        <v>5733</v>
      </c>
      <c r="E11" s="59" t="s">
        <v>5728</v>
      </c>
      <c r="F11" s="59" t="s">
        <v>5729</v>
      </c>
      <c r="G11" s="59" t="s">
        <v>5723</v>
      </c>
      <c r="H11" s="59" t="s">
        <v>5714</v>
      </c>
      <c r="I11" s="140" t="s">
        <v>14</v>
      </c>
    </row>
    <row r="12">
      <c r="A12" s="38" t="s">
        <v>134</v>
      </c>
      <c r="B12" s="59" t="s">
        <v>5704</v>
      </c>
      <c r="C12" s="59" t="s">
        <v>5715</v>
      </c>
      <c r="D12" s="59" t="s">
        <v>5734</v>
      </c>
      <c r="E12" s="59" t="s">
        <v>5728</v>
      </c>
      <c r="F12" s="59" t="s">
        <v>5729</v>
      </c>
      <c r="G12" s="59" t="s">
        <v>5723</v>
      </c>
      <c r="H12" s="59" t="s">
        <v>5714</v>
      </c>
      <c r="I12" s="140" t="s">
        <v>19</v>
      </c>
    </row>
    <row r="13">
      <c r="A13" s="38" t="s">
        <v>139</v>
      </c>
      <c r="B13" s="59" t="s">
        <v>5704</v>
      </c>
      <c r="C13" s="59" t="s">
        <v>5735</v>
      </c>
      <c r="D13" s="59" t="s">
        <v>5727</v>
      </c>
      <c r="E13" s="59" t="s">
        <v>5736</v>
      </c>
      <c r="F13" s="59" t="s">
        <v>5737</v>
      </c>
      <c r="G13" s="59" t="s">
        <v>5738</v>
      </c>
      <c r="H13" s="59" t="s">
        <v>5739</v>
      </c>
      <c r="I13" s="140" t="s">
        <v>18</v>
      </c>
    </row>
    <row r="14">
      <c r="A14" s="38" t="s">
        <v>144</v>
      </c>
      <c r="B14" s="59" t="s">
        <v>5704</v>
      </c>
      <c r="C14" s="59" t="s">
        <v>5735</v>
      </c>
      <c r="D14" s="59" t="s">
        <v>5730</v>
      </c>
      <c r="E14" s="59" t="s">
        <v>5736</v>
      </c>
      <c r="F14" s="59" t="s">
        <v>5737</v>
      </c>
      <c r="G14" s="59" t="s">
        <v>5738</v>
      </c>
      <c r="H14" s="59" t="s">
        <v>5739</v>
      </c>
      <c r="I14" s="140" t="s">
        <v>17</v>
      </c>
    </row>
    <row r="15">
      <c r="A15" s="38" t="s">
        <v>149</v>
      </c>
      <c r="B15" s="59" t="s">
        <v>5704</v>
      </c>
      <c r="C15" s="59" t="s">
        <v>5735</v>
      </c>
      <c r="D15" s="59" t="s">
        <v>5731</v>
      </c>
      <c r="E15" s="59" t="s">
        <v>5736</v>
      </c>
      <c r="F15" s="59" t="s">
        <v>5737</v>
      </c>
      <c r="G15" s="59" t="s">
        <v>5738</v>
      </c>
      <c r="H15" s="59" t="s">
        <v>5739</v>
      </c>
      <c r="I15" s="140" t="s">
        <v>15</v>
      </c>
    </row>
    <row r="16">
      <c r="A16" s="38" t="s">
        <v>153</v>
      </c>
      <c r="B16" s="59" t="s">
        <v>5704</v>
      </c>
      <c r="C16" s="59" t="s">
        <v>5735</v>
      </c>
      <c r="D16" s="59" t="s">
        <v>5732</v>
      </c>
      <c r="E16" s="59" t="s">
        <v>5736</v>
      </c>
      <c r="F16" s="59" t="s">
        <v>5737</v>
      </c>
      <c r="G16" s="59" t="s">
        <v>5738</v>
      </c>
      <c r="H16" s="59" t="s">
        <v>5739</v>
      </c>
      <c r="I16" s="140" t="s">
        <v>16</v>
      </c>
    </row>
    <row r="17">
      <c r="A17" s="38" t="s">
        <v>158</v>
      </c>
      <c r="B17" s="59" t="s">
        <v>5704</v>
      </c>
      <c r="C17" s="59" t="s">
        <v>5735</v>
      </c>
      <c r="D17" s="59" t="s">
        <v>5733</v>
      </c>
      <c r="E17" s="59" t="s">
        <v>5736</v>
      </c>
      <c r="F17" s="59" t="s">
        <v>5737</v>
      </c>
      <c r="G17" s="59" t="s">
        <v>5738</v>
      </c>
      <c r="H17" s="59" t="s">
        <v>5739</v>
      </c>
      <c r="I17" s="140" t="s">
        <v>14</v>
      </c>
    </row>
    <row r="18">
      <c r="A18" s="38" t="s">
        <v>162</v>
      </c>
      <c r="B18" s="59" t="s">
        <v>5704</v>
      </c>
      <c r="C18" s="59" t="s">
        <v>5735</v>
      </c>
      <c r="D18" s="59" t="s">
        <v>5734</v>
      </c>
      <c r="E18" s="59" t="s">
        <v>5736</v>
      </c>
      <c r="F18" s="59" t="s">
        <v>5737</v>
      </c>
      <c r="G18" s="59" t="s">
        <v>5738</v>
      </c>
      <c r="H18" s="59" t="s">
        <v>5739</v>
      </c>
      <c r="I18" s="140" t="s">
        <v>19</v>
      </c>
    </row>
    <row r="19">
      <c r="A19" s="38" t="s">
        <v>165</v>
      </c>
      <c r="B19" s="59" t="s">
        <v>5704</v>
      </c>
      <c r="C19" s="59" t="s">
        <v>5740</v>
      </c>
      <c r="D19" s="59" t="s">
        <v>5727</v>
      </c>
      <c r="E19" s="59" t="s">
        <v>5741</v>
      </c>
      <c r="F19" s="59" t="s">
        <v>5742</v>
      </c>
      <c r="G19" s="59" t="s">
        <v>5743</v>
      </c>
      <c r="H19" s="59" t="s">
        <v>5744</v>
      </c>
      <c r="I19" s="140" t="s">
        <v>18</v>
      </c>
    </row>
    <row r="20">
      <c r="A20" s="38" t="s">
        <v>167</v>
      </c>
      <c r="B20" s="59" t="s">
        <v>5704</v>
      </c>
      <c r="C20" s="59" t="s">
        <v>5745</v>
      </c>
      <c r="D20" s="59" t="s">
        <v>5730</v>
      </c>
      <c r="E20" s="59" t="s">
        <v>5741</v>
      </c>
      <c r="F20" s="59" t="s">
        <v>5746</v>
      </c>
      <c r="G20" s="59" t="s">
        <v>5743</v>
      </c>
      <c r="H20" s="59" t="s">
        <v>5744</v>
      </c>
      <c r="I20" s="140" t="s">
        <v>17</v>
      </c>
    </row>
    <row r="21">
      <c r="A21" s="38" t="s">
        <v>170</v>
      </c>
      <c r="B21" s="59" t="s">
        <v>5704</v>
      </c>
      <c r="C21" s="59" t="s">
        <v>5747</v>
      </c>
      <c r="D21" s="59" t="s">
        <v>5731</v>
      </c>
      <c r="E21" s="59" t="s">
        <v>5741</v>
      </c>
      <c r="F21" s="59" t="s">
        <v>5748</v>
      </c>
      <c r="G21" s="59" t="s">
        <v>5743</v>
      </c>
      <c r="H21" s="59" t="s">
        <v>5744</v>
      </c>
      <c r="I21" s="140" t="s">
        <v>15</v>
      </c>
    </row>
    <row r="22">
      <c r="A22" s="38" t="s">
        <v>175</v>
      </c>
      <c r="B22" s="59" t="s">
        <v>5704</v>
      </c>
      <c r="C22" s="59" t="s">
        <v>5749</v>
      </c>
      <c r="D22" s="59" t="s">
        <v>5732</v>
      </c>
      <c r="E22" s="59" t="s">
        <v>5741</v>
      </c>
      <c r="F22" s="59" t="s">
        <v>5750</v>
      </c>
      <c r="G22" s="59" t="s">
        <v>5743</v>
      </c>
      <c r="H22" s="59" t="s">
        <v>5744</v>
      </c>
      <c r="I22" s="140" t="s">
        <v>16</v>
      </c>
    </row>
    <row r="23">
      <c r="A23" s="38" t="s">
        <v>180</v>
      </c>
      <c r="B23" s="59" t="s">
        <v>5704</v>
      </c>
      <c r="C23" s="59" t="s">
        <v>5751</v>
      </c>
      <c r="D23" s="59" t="s">
        <v>5733</v>
      </c>
      <c r="E23" s="59" t="s">
        <v>5741</v>
      </c>
      <c r="F23" s="59" t="s">
        <v>5752</v>
      </c>
      <c r="G23" s="59" t="s">
        <v>5743</v>
      </c>
      <c r="H23" s="59" t="s">
        <v>5744</v>
      </c>
      <c r="I23" s="140" t="s">
        <v>14</v>
      </c>
    </row>
    <row r="24">
      <c r="A24" s="38" t="s">
        <v>185</v>
      </c>
      <c r="B24" s="59" t="s">
        <v>5704</v>
      </c>
      <c r="C24" s="59" t="s">
        <v>5753</v>
      </c>
      <c r="D24" s="59" t="s">
        <v>5734</v>
      </c>
      <c r="E24" s="59" t="s">
        <v>5741</v>
      </c>
      <c r="F24" s="59" t="s">
        <v>5754</v>
      </c>
      <c r="G24" s="59" t="s">
        <v>5743</v>
      </c>
      <c r="H24" s="59" t="s">
        <v>5744</v>
      </c>
      <c r="I24" s="140" t="s">
        <v>19</v>
      </c>
    </row>
    <row r="25">
      <c r="A25" s="38" t="s">
        <v>190</v>
      </c>
      <c r="B25" s="59" t="s">
        <v>5704</v>
      </c>
      <c r="C25" s="59" t="s">
        <v>5755</v>
      </c>
      <c r="D25" s="59" t="s">
        <v>4296</v>
      </c>
      <c r="E25" s="59" t="s">
        <v>5756</v>
      </c>
      <c r="F25" s="59" t="s">
        <v>5757</v>
      </c>
      <c r="G25" s="59" t="s">
        <v>46</v>
      </c>
      <c r="H25" s="59" t="s">
        <v>4748</v>
      </c>
      <c r="I25" s="140" t="s">
        <v>13</v>
      </c>
    </row>
    <row r="26">
      <c r="A26" s="38" t="s">
        <v>195</v>
      </c>
      <c r="B26" s="59" t="s">
        <v>5704</v>
      </c>
      <c r="C26" s="59" t="s">
        <v>5758</v>
      </c>
      <c r="D26" s="59" t="s">
        <v>4301</v>
      </c>
      <c r="E26" s="59" t="s">
        <v>5759</v>
      </c>
      <c r="F26" s="59" t="s">
        <v>5757</v>
      </c>
      <c r="G26" s="59" t="s">
        <v>46</v>
      </c>
      <c r="H26" s="59" t="s">
        <v>4748</v>
      </c>
      <c r="I26" s="140" t="s">
        <v>13</v>
      </c>
    </row>
    <row r="27">
      <c r="A27" s="38" t="s">
        <v>200</v>
      </c>
      <c r="B27" s="59" t="s">
        <v>5704</v>
      </c>
      <c r="C27" s="59" t="s">
        <v>5760</v>
      </c>
      <c r="D27" s="59" t="s">
        <v>4304</v>
      </c>
      <c r="E27" s="59" t="s">
        <v>5761</v>
      </c>
      <c r="F27" s="59" t="s">
        <v>5757</v>
      </c>
      <c r="G27" s="59" t="s">
        <v>46</v>
      </c>
      <c r="H27" s="59" t="s">
        <v>4748</v>
      </c>
      <c r="I27" s="140" t="s">
        <v>13</v>
      </c>
    </row>
    <row r="28">
      <c r="A28" s="38" t="s">
        <v>205</v>
      </c>
      <c r="B28" s="59" t="s">
        <v>5704</v>
      </c>
      <c r="C28" s="59" t="s">
        <v>5762</v>
      </c>
      <c r="D28" s="59" t="s">
        <v>4463</v>
      </c>
      <c r="E28" s="59" t="s">
        <v>5763</v>
      </c>
      <c r="F28" s="59" t="s">
        <v>5764</v>
      </c>
      <c r="G28" s="59" t="s">
        <v>46</v>
      </c>
      <c r="H28" s="59" t="s">
        <v>4754</v>
      </c>
      <c r="I28" s="140" t="s">
        <v>13</v>
      </c>
    </row>
    <row r="29">
      <c r="A29" s="38" t="s">
        <v>210</v>
      </c>
      <c r="B29" s="59" t="s">
        <v>5704</v>
      </c>
      <c r="C29" s="59" t="s">
        <v>5765</v>
      </c>
      <c r="D29" s="59" t="s">
        <v>4466</v>
      </c>
      <c r="E29" s="59" t="s">
        <v>5766</v>
      </c>
      <c r="F29" s="59" t="s">
        <v>5764</v>
      </c>
      <c r="G29" s="59" t="s">
        <v>46</v>
      </c>
      <c r="H29" s="59" t="s">
        <v>4754</v>
      </c>
      <c r="I29" s="140" t="s">
        <v>13</v>
      </c>
    </row>
    <row r="30">
      <c r="A30" s="38" t="s">
        <v>215</v>
      </c>
      <c r="B30" s="59" t="s">
        <v>5704</v>
      </c>
      <c r="C30" s="59" t="s">
        <v>5767</v>
      </c>
      <c r="D30" s="59" t="s">
        <v>4468</v>
      </c>
      <c r="E30" s="59" t="s">
        <v>5768</v>
      </c>
      <c r="F30" s="59" t="s">
        <v>5764</v>
      </c>
      <c r="G30" s="59" t="s">
        <v>46</v>
      </c>
      <c r="H30" s="59" t="s">
        <v>4754</v>
      </c>
      <c r="I30" s="140" t="s">
        <v>13</v>
      </c>
    </row>
    <row r="31">
      <c r="A31" s="38" t="s">
        <v>220</v>
      </c>
      <c r="B31" s="59" t="s">
        <v>5704</v>
      </c>
      <c r="C31" s="59" t="s">
        <v>5769</v>
      </c>
      <c r="D31" s="59" t="s">
        <v>4470</v>
      </c>
      <c r="E31" s="59" t="s">
        <v>5770</v>
      </c>
      <c r="F31" s="59" t="s">
        <v>5764</v>
      </c>
      <c r="G31" s="59" t="s">
        <v>46</v>
      </c>
      <c r="H31" s="59" t="s">
        <v>4754</v>
      </c>
      <c r="I31" s="140" t="s">
        <v>13</v>
      </c>
    </row>
    <row r="32">
      <c r="A32" s="38" t="s">
        <v>224</v>
      </c>
      <c r="B32" s="59" t="s">
        <v>5704</v>
      </c>
      <c r="C32" s="59" t="s">
        <v>5771</v>
      </c>
      <c r="D32" s="59" t="s">
        <v>4474</v>
      </c>
      <c r="E32" s="59" t="s">
        <v>5772</v>
      </c>
      <c r="F32" s="59" t="s">
        <v>5764</v>
      </c>
      <c r="G32" s="59" t="s">
        <v>46</v>
      </c>
      <c r="H32" s="59" t="s">
        <v>4754</v>
      </c>
      <c r="I32" s="140" t="s">
        <v>13</v>
      </c>
    </row>
    <row r="33">
      <c r="A33" s="38" t="s">
        <v>228</v>
      </c>
      <c r="B33" s="59" t="s">
        <v>5704</v>
      </c>
      <c r="C33" s="59" t="s">
        <v>5773</v>
      </c>
      <c r="D33" s="59" t="s">
        <v>4476</v>
      </c>
      <c r="E33" s="59" t="s">
        <v>5774</v>
      </c>
      <c r="F33" s="59" t="s">
        <v>5764</v>
      </c>
      <c r="G33" s="59" t="s">
        <v>46</v>
      </c>
      <c r="H33" s="59" t="s">
        <v>4754</v>
      </c>
      <c r="I33" s="140" t="s">
        <v>13</v>
      </c>
    </row>
    <row r="34">
      <c r="A34" s="38" t="s">
        <v>233</v>
      </c>
      <c r="B34" s="59" t="s">
        <v>5704</v>
      </c>
      <c r="C34" s="59" t="s">
        <v>5775</v>
      </c>
      <c r="D34" s="59" t="s">
        <v>4470</v>
      </c>
      <c r="E34" s="59" t="s">
        <v>5776</v>
      </c>
      <c r="F34" s="59" t="s">
        <v>5764</v>
      </c>
      <c r="G34" s="59" t="s">
        <v>46</v>
      </c>
      <c r="H34" s="59" t="s">
        <v>4754</v>
      </c>
      <c r="I34" s="140" t="s">
        <v>13</v>
      </c>
    </row>
    <row r="35">
      <c r="A35" s="38" t="s">
        <v>237</v>
      </c>
      <c r="B35" s="59" t="s">
        <v>5704</v>
      </c>
      <c r="C35" s="59" t="s">
        <v>5777</v>
      </c>
      <c r="D35" s="59" t="s">
        <v>4761</v>
      </c>
      <c r="E35" s="59" t="s">
        <v>5778</v>
      </c>
      <c r="F35" s="59" t="s">
        <v>5764</v>
      </c>
      <c r="G35" s="59" t="s">
        <v>46</v>
      </c>
      <c r="H35" s="59" t="s">
        <v>4754</v>
      </c>
      <c r="I35" s="140" t="s">
        <v>13</v>
      </c>
    </row>
    <row r="36">
      <c r="A36" s="38" t="s">
        <v>241</v>
      </c>
      <c r="B36" s="59" t="s">
        <v>5704</v>
      </c>
      <c r="C36" s="59" t="s">
        <v>5779</v>
      </c>
      <c r="D36" s="59" t="s">
        <v>4479</v>
      </c>
      <c r="E36" s="59" t="s">
        <v>5780</v>
      </c>
      <c r="F36" s="59" t="s">
        <v>5764</v>
      </c>
      <c r="G36" s="59" t="s">
        <v>46</v>
      </c>
      <c r="H36" s="59" t="s">
        <v>4754</v>
      </c>
      <c r="I36" s="140" t="s">
        <v>13</v>
      </c>
    </row>
    <row r="37">
      <c r="A37" s="38" t="s">
        <v>245</v>
      </c>
      <c r="B37" s="59" t="s">
        <v>5704</v>
      </c>
      <c r="C37" s="59" t="s">
        <v>5781</v>
      </c>
      <c r="D37" s="59" t="s">
        <v>4483</v>
      </c>
      <c r="E37" s="59" t="s">
        <v>5782</v>
      </c>
      <c r="F37" s="59" t="s">
        <v>5764</v>
      </c>
      <c r="G37" s="59" t="s">
        <v>46</v>
      </c>
      <c r="H37" s="59" t="s">
        <v>4754</v>
      </c>
      <c r="I37" s="140" t="s">
        <v>13</v>
      </c>
    </row>
    <row r="38">
      <c r="A38" s="38" t="s">
        <v>250</v>
      </c>
      <c r="B38" s="59" t="s">
        <v>5704</v>
      </c>
      <c r="C38" s="59" t="s">
        <v>5783</v>
      </c>
      <c r="D38" s="59" t="s">
        <v>4485</v>
      </c>
      <c r="E38" s="59" t="s">
        <v>5784</v>
      </c>
      <c r="F38" s="59" t="s">
        <v>5764</v>
      </c>
      <c r="G38" s="59" t="s">
        <v>46</v>
      </c>
      <c r="H38" s="59" t="s">
        <v>4754</v>
      </c>
      <c r="I38" s="140" t="s">
        <v>13</v>
      </c>
    </row>
    <row r="39">
      <c r="A39" s="38" t="s">
        <v>254</v>
      </c>
      <c r="B39" s="59" t="s">
        <v>5704</v>
      </c>
      <c r="C39" s="121" t="s">
        <v>5785</v>
      </c>
      <c r="D39" s="59" t="s">
        <v>402</v>
      </c>
      <c r="E39" s="59" t="s">
        <v>3759</v>
      </c>
      <c r="F39" s="59" t="s">
        <v>5786</v>
      </c>
      <c r="G39" s="59" t="s">
        <v>46</v>
      </c>
      <c r="H39" s="59" t="s">
        <v>479</v>
      </c>
      <c r="I39" s="140" t="s">
        <v>13</v>
      </c>
    </row>
    <row r="40">
      <c r="A40" s="38" t="s">
        <v>258</v>
      </c>
      <c r="B40" s="59" t="s">
        <v>5704</v>
      </c>
      <c r="C40" s="121" t="s">
        <v>5787</v>
      </c>
      <c r="D40" s="59" t="s">
        <v>406</v>
      </c>
      <c r="E40" s="59" t="s">
        <v>3761</v>
      </c>
      <c r="F40" s="59" t="s">
        <v>5786</v>
      </c>
      <c r="G40" s="59" t="s">
        <v>46</v>
      </c>
      <c r="H40" s="59" t="s">
        <v>479</v>
      </c>
      <c r="I40" s="140" t="s">
        <v>13</v>
      </c>
    </row>
  </sheetData>
  <autoFilter ref="$A$1:$I$40"/>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4.38"/>
    <col customWidth="1" min="3" max="3" width="46.25"/>
    <col customWidth="1" min="4" max="4" width="39.0"/>
    <col customWidth="1" min="5" max="5" width="35.5"/>
    <col customWidth="1" min="6" max="6" width="34.13"/>
    <col customWidth="1" min="7" max="7" width="29.13"/>
    <col customWidth="1" min="8" max="8" width="44.75"/>
  </cols>
  <sheetData>
    <row r="1">
      <c r="A1" s="31" t="s">
        <v>78</v>
      </c>
      <c r="B1" s="32" t="s">
        <v>79</v>
      </c>
      <c r="C1" s="66" t="s">
        <v>80</v>
      </c>
      <c r="D1" s="66" t="s">
        <v>81</v>
      </c>
      <c r="E1" s="67" t="s">
        <v>82</v>
      </c>
      <c r="F1" s="68" t="s">
        <v>413</v>
      </c>
      <c r="G1" s="68" t="s">
        <v>414</v>
      </c>
      <c r="H1" s="31" t="s">
        <v>83</v>
      </c>
      <c r="I1" s="31" t="s">
        <v>2</v>
      </c>
      <c r="M1" s="195"/>
    </row>
    <row r="2">
      <c r="A2" s="55" t="s">
        <v>84</v>
      </c>
      <c r="B2" s="39" t="s">
        <v>5788</v>
      </c>
      <c r="C2" s="39" t="s">
        <v>5789</v>
      </c>
      <c r="D2" s="39" t="s">
        <v>5790</v>
      </c>
      <c r="E2" s="41" t="s">
        <v>5791</v>
      </c>
      <c r="F2" s="41" t="s">
        <v>5792</v>
      </c>
      <c r="G2" s="41" t="s">
        <v>5793</v>
      </c>
      <c r="H2" s="41" t="s">
        <v>5794</v>
      </c>
      <c r="I2" s="196" t="s">
        <v>13</v>
      </c>
      <c r="L2" s="1" t="s">
        <v>284</v>
      </c>
      <c r="M2" s="195">
        <f>SUM(M3:M9)</f>
        <v>91</v>
      </c>
    </row>
    <row r="3">
      <c r="A3" s="55" t="s">
        <v>92</v>
      </c>
      <c r="B3" s="39" t="s">
        <v>5788</v>
      </c>
      <c r="C3" s="39" t="s">
        <v>5795</v>
      </c>
      <c r="D3" s="39" t="s">
        <v>5796</v>
      </c>
      <c r="E3" s="41" t="s">
        <v>5797</v>
      </c>
      <c r="F3" s="41" t="s">
        <v>5798</v>
      </c>
      <c r="G3" s="41" t="s">
        <v>5799</v>
      </c>
      <c r="H3" s="41" t="s">
        <v>5800</v>
      </c>
      <c r="I3" s="196" t="s">
        <v>13</v>
      </c>
      <c r="L3" s="1" t="s">
        <v>13</v>
      </c>
      <c r="M3" s="195">
        <f>COUNTIF($I$2:$I$92,"Todos")</f>
        <v>44</v>
      </c>
    </row>
    <row r="4">
      <c r="A4" s="55" t="s">
        <v>96</v>
      </c>
      <c r="B4" s="39" t="s">
        <v>5788</v>
      </c>
      <c r="C4" s="39" t="s">
        <v>5795</v>
      </c>
      <c r="D4" s="39" t="s">
        <v>5801</v>
      </c>
      <c r="E4" s="41" t="s">
        <v>5797</v>
      </c>
      <c r="F4" s="41" t="s">
        <v>5519</v>
      </c>
      <c r="G4" s="41" t="s">
        <v>5520</v>
      </c>
      <c r="H4" s="41" t="s">
        <v>5802</v>
      </c>
      <c r="I4" s="196" t="s">
        <v>13</v>
      </c>
      <c r="L4" s="1" t="s">
        <v>14</v>
      </c>
      <c r="M4" s="195">
        <f>COUNTIF($I$2:$I$92,"Colombia")</f>
        <v>0</v>
      </c>
    </row>
    <row r="5">
      <c r="A5" s="55" t="s">
        <v>101</v>
      </c>
      <c r="B5" s="39" t="s">
        <v>5788</v>
      </c>
      <c r="C5" s="39" t="s">
        <v>5803</v>
      </c>
      <c r="D5" s="39" t="s">
        <v>5801</v>
      </c>
      <c r="E5" s="41" t="s">
        <v>5797</v>
      </c>
      <c r="F5" s="41" t="s">
        <v>5804</v>
      </c>
      <c r="G5" s="41" t="s">
        <v>5805</v>
      </c>
      <c r="H5" s="41" t="s">
        <v>5806</v>
      </c>
      <c r="I5" s="196" t="s">
        <v>13</v>
      </c>
      <c r="L5" s="1" t="s">
        <v>15</v>
      </c>
      <c r="M5" s="195">
        <f>COUNTIF($I$2:$I$92,"Panama")</f>
        <v>14</v>
      </c>
    </row>
    <row r="6">
      <c r="A6" s="55" t="s">
        <v>106</v>
      </c>
      <c r="B6" s="39" t="s">
        <v>5788</v>
      </c>
      <c r="C6" s="39" t="s">
        <v>5807</v>
      </c>
      <c r="D6" s="39" t="s">
        <v>5808</v>
      </c>
      <c r="E6" s="197" t="s">
        <v>5809</v>
      </c>
      <c r="F6" s="41" t="s">
        <v>5810</v>
      </c>
      <c r="G6" s="41" t="s">
        <v>5811</v>
      </c>
      <c r="H6" s="41" t="s">
        <v>5812</v>
      </c>
      <c r="I6" s="196" t="s">
        <v>13</v>
      </c>
      <c r="L6" s="1" t="s">
        <v>16</v>
      </c>
      <c r="M6" s="195">
        <f>COUNTIF($I$2:$I$93,"Costa Rica")</f>
        <v>15</v>
      </c>
    </row>
    <row r="7">
      <c r="A7" s="55" t="s">
        <v>110</v>
      </c>
      <c r="B7" s="39" t="s">
        <v>5788</v>
      </c>
      <c r="C7" s="39" t="s">
        <v>5813</v>
      </c>
      <c r="D7" s="39" t="s">
        <v>5808</v>
      </c>
      <c r="E7" s="197" t="s">
        <v>5809</v>
      </c>
      <c r="F7" s="41" t="s">
        <v>5814</v>
      </c>
      <c r="G7" s="41" t="s">
        <v>5811</v>
      </c>
      <c r="H7" s="41" t="s">
        <v>5815</v>
      </c>
      <c r="I7" s="196" t="s">
        <v>13</v>
      </c>
      <c r="L7" s="1" t="s">
        <v>17</v>
      </c>
      <c r="M7" s="195">
        <f>COUNTIF($I$2:$I$93,"Honduras")</f>
        <v>12</v>
      </c>
    </row>
    <row r="8">
      <c r="A8" s="55" t="s">
        <v>115</v>
      </c>
      <c r="B8" s="39" t="s">
        <v>5788</v>
      </c>
      <c r="C8" s="39" t="s">
        <v>5816</v>
      </c>
      <c r="D8" s="39" t="s">
        <v>5817</v>
      </c>
      <c r="E8" s="197" t="s">
        <v>5809</v>
      </c>
      <c r="F8" s="41" t="s">
        <v>5818</v>
      </c>
      <c r="G8" s="41" t="s">
        <v>5819</v>
      </c>
      <c r="H8" s="41" t="s">
        <v>5820</v>
      </c>
      <c r="I8" s="196" t="s">
        <v>13</v>
      </c>
      <c r="L8" s="1" t="s">
        <v>18</v>
      </c>
      <c r="M8" s="195">
        <f>COUNTIF($I$2:$I$93,"El Salvador")</f>
        <v>6</v>
      </c>
    </row>
    <row r="9">
      <c r="A9" s="55" t="s">
        <v>120</v>
      </c>
      <c r="B9" s="39" t="s">
        <v>5788</v>
      </c>
      <c r="C9" s="39" t="s">
        <v>5821</v>
      </c>
      <c r="D9" s="39" t="s">
        <v>5822</v>
      </c>
      <c r="E9" s="197" t="s">
        <v>5823</v>
      </c>
      <c r="F9" s="41" t="s">
        <v>5824</v>
      </c>
      <c r="G9" s="41" t="s">
        <v>5825</v>
      </c>
      <c r="H9" s="41" t="s">
        <v>5826</v>
      </c>
      <c r="I9" s="196" t="s">
        <v>13</v>
      </c>
      <c r="L9" s="1" t="s">
        <v>19</v>
      </c>
      <c r="M9" s="195">
        <f>COUNTIF($I$2:$I$93,"Miami")</f>
        <v>0</v>
      </c>
    </row>
    <row r="10">
      <c r="A10" s="55" t="s">
        <v>125</v>
      </c>
      <c r="B10" s="39" t="s">
        <v>5788</v>
      </c>
      <c r="C10" s="39" t="s">
        <v>5827</v>
      </c>
      <c r="D10" s="39" t="s">
        <v>5828</v>
      </c>
      <c r="E10" s="197" t="s">
        <v>5797</v>
      </c>
      <c r="F10" s="41" t="s">
        <v>5829</v>
      </c>
      <c r="G10" s="41" t="s">
        <v>5830</v>
      </c>
      <c r="H10" s="41" t="s">
        <v>5831</v>
      </c>
      <c r="I10" s="196" t="s">
        <v>13</v>
      </c>
      <c r="M10" s="195"/>
    </row>
    <row r="11">
      <c r="A11" s="198" t="s">
        <v>129</v>
      </c>
      <c r="B11" s="199" t="s">
        <v>5788</v>
      </c>
      <c r="C11" s="199" t="s">
        <v>5832</v>
      </c>
      <c r="D11" s="199" t="s">
        <v>5833</v>
      </c>
      <c r="E11" s="200" t="s">
        <v>5834</v>
      </c>
      <c r="F11" s="201" t="s">
        <v>5835</v>
      </c>
      <c r="G11" s="201" t="s">
        <v>5836</v>
      </c>
      <c r="H11" s="201" t="s">
        <v>5837</v>
      </c>
      <c r="I11" s="202" t="s">
        <v>13</v>
      </c>
      <c r="J11" s="203"/>
      <c r="K11" s="203"/>
      <c r="L11" s="203"/>
      <c r="M11" s="204"/>
      <c r="N11" s="203"/>
      <c r="O11" s="203"/>
      <c r="P11" s="203"/>
      <c r="Q11" s="203"/>
      <c r="R11" s="203"/>
      <c r="S11" s="203"/>
      <c r="T11" s="203"/>
      <c r="U11" s="203"/>
      <c r="V11" s="203"/>
      <c r="W11" s="203"/>
      <c r="X11" s="203"/>
      <c r="Y11" s="203"/>
      <c r="Z11" s="203"/>
    </row>
    <row r="12">
      <c r="A12" s="55" t="s">
        <v>134</v>
      </c>
      <c r="B12" s="39" t="s">
        <v>5788</v>
      </c>
      <c r="C12" s="39" t="s">
        <v>5838</v>
      </c>
      <c r="D12" s="39" t="s">
        <v>5839</v>
      </c>
      <c r="E12" s="197" t="s">
        <v>5797</v>
      </c>
      <c r="F12" s="41" t="s">
        <v>5840</v>
      </c>
      <c r="G12" s="41" t="s">
        <v>5841</v>
      </c>
      <c r="H12" s="41"/>
      <c r="I12" s="196" t="s">
        <v>13</v>
      </c>
      <c r="M12" s="195"/>
    </row>
    <row r="13">
      <c r="A13" s="55" t="s">
        <v>139</v>
      </c>
      <c r="B13" s="39" t="s">
        <v>5788</v>
      </c>
      <c r="C13" s="39" t="s">
        <v>5842</v>
      </c>
      <c r="D13" s="39" t="s">
        <v>5843</v>
      </c>
      <c r="E13" s="197" t="s">
        <v>5797</v>
      </c>
      <c r="F13" s="41" t="s">
        <v>5844</v>
      </c>
      <c r="G13" s="41" t="s">
        <v>5845</v>
      </c>
      <c r="H13" s="41" t="s">
        <v>5846</v>
      </c>
      <c r="I13" s="196" t="s">
        <v>13</v>
      </c>
      <c r="M13" s="195"/>
    </row>
    <row r="14">
      <c r="A14" s="55" t="s">
        <v>144</v>
      </c>
      <c r="B14" s="39" t="s">
        <v>5788</v>
      </c>
      <c r="C14" s="39" t="s">
        <v>5847</v>
      </c>
      <c r="D14" s="39" t="s">
        <v>5848</v>
      </c>
      <c r="E14" s="197" t="s">
        <v>5797</v>
      </c>
      <c r="F14" s="41" t="s">
        <v>5849</v>
      </c>
      <c r="G14" s="41" t="s">
        <v>5850</v>
      </c>
      <c r="H14" s="41" t="s">
        <v>5851</v>
      </c>
      <c r="I14" s="196" t="s">
        <v>13</v>
      </c>
      <c r="M14" s="195"/>
    </row>
    <row r="15">
      <c r="A15" s="55" t="s">
        <v>149</v>
      </c>
      <c r="B15" s="39" t="s">
        <v>5788</v>
      </c>
      <c r="C15" s="39" t="s">
        <v>5852</v>
      </c>
      <c r="D15" s="39" t="s">
        <v>5853</v>
      </c>
      <c r="E15" s="197" t="s">
        <v>5797</v>
      </c>
      <c r="F15" s="41" t="s">
        <v>5854</v>
      </c>
      <c r="G15" s="41" t="s">
        <v>5855</v>
      </c>
      <c r="H15" s="41" t="s">
        <v>5856</v>
      </c>
      <c r="I15" s="196" t="s">
        <v>13</v>
      </c>
      <c r="M15" s="195"/>
    </row>
    <row r="16">
      <c r="A16" s="55" t="s">
        <v>153</v>
      </c>
      <c r="B16" s="39" t="s">
        <v>5788</v>
      </c>
      <c r="C16" s="39" t="s">
        <v>5857</v>
      </c>
      <c r="D16" s="39" t="s">
        <v>5853</v>
      </c>
      <c r="E16" s="197" t="s">
        <v>5797</v>
      </c>
      <c r="F16" s="41" t="s">
        <v>5854</v>
      </c>
      <c r="G16" s="41" t="s">
        <v>5858</v>
      </c>
      <c r="H16" s="41" t="s">
        <v>5859</v>
      </c>
      <c r="I16" s="196" t="s">
        <v>13</v>
      </c>
      <c r="M16" s="195"/>
    </row>
    <row r="17">
      <c r="A17" s="55" t="s">
        <v>158</v>
      </c>
      <c r="B17" s="39" t="s">
        <v>5788</v>
      </c>
      <c r="C17" s="39" t="s">
        <v>5860</v>
      </c>
      <c r="D17" s="39" t="s">
        <v>5861</v>
      </c>
      <c r="E17" s="41" t="s">
        <v>5862</v>
      </c>
      <c r="F17" s="41" t="s">
        <v>5863</v>
      </c>
      <c r="G17" s="41" t="s">
        <v>5864</v>
      </c>
      <c r="H17" s="41" t="s">
        <v>5865</v>
      </c>
      <c r="I17" s="196" t="s">
        <v>13</v>
      </c>
      <c r="M17" s="195"/>
    </row>
    <row r="18">
      <c r="A18" s="55" t="s">
        <v>162</v>
      </c>
      <c r="B18" s="39" t="s">
        <v>5788</v>
      </c>
      <c r="C18" s="39" t="s">
        <v>5866</v>
      </c>
      <c r="D18" s="39" t="s">
        <v>5867</v>
      </c>
      <c r="E18" s="197" t="s">
        <v>5797</v>
      </c>
      <c r="F18" s="41" t="s">
        <v>5868</v>
      </c>
      <c r="G18" s="41" t="s">
        <v>5869</v>
      </c>
      <c r="H18" s="41" t="s">
        <v>5870</v>
      </c>
      <c r="I18" s="196" t="s">
        <v>13</v>
      </c>
      <c r="M18" s="195"/>
    </row>
    <row r="19">
      <c r="A19" s="38" t="s">
        <v>165</v>
      </c>
      <c r="B19" s="42" t="s">
        <v>5788</v>
      </c>
      <c r="C19" s="42" t="s">
        <v>5871</v>
      </c>
      <c r="D19" s="43" t="s">
        <v>5872</v>
      </c>
      <c r="E19" s="43" t="s">
        <v>5862</v>
      </c>
      <c r="F19" s="43" t="s">
        <v>5863</v>
      </c>
      <c r="G19" s="43" t="s">
        <v>5873</v>
      </c>
      <c r="H19" s="43" t="s">
        <v>5874</v>
      </c>
      <c r="I19" s="205" t="s">
        <v>13</v>
      </c>
      <c r="J19" s="10"/>
      <c r="K19" s="10"/>
      <c r="L19" s="10"/>
      <c r="M19" s="206"/>
      <c r="N19" s="10"/>
      <c r="O19" s="10"/>
      <c r="P19" s="10"/>
      <c r="Q19" s="10"/>
      <c r="R19" s="10"/>
      <c r="S19" s="10"/>
      <c r="T19" s="10"/>
      <c r="U19" s="10"/>
      <c r="V19" s="10"/>
      <c r="W19" s="10"/>
      <c r="X19" s="10"/>
      <c r="Y19" s="10"/>
      <c r="Z19" s="10"/>
    </row>
    <row r="20">
      <c r="A20" s="55" t="s">
        <v>167</v>
      </c>
      <c r="B20" s="39" t="s">
        <v>5788</v>
      </c>
      <c r="C20" s="111" t="s">
        <v>5875</v>
      </c>
      <c r="D20" s="111" t="s">
        <v>5867</v>
      </c>
      <c r="E20" s="197" t="s">
        <v>5797</v>
      </c>
      <c r="F20" s="41" t="s">
        <v>5876</v>
      </c>
      <c r="G20" s="41" t="s">
        <v>5877</v>
      </c>
      <c r="H20" s="41" t="s">
        <v>5878</v>
      </c>
      <c r="I20" s="196" t="s">
        <v>13</v>
      </c>
      <c r="J20" s="207"/>
      <c r="K20" s="207"/>
      <c r="L20" s="207"/>
      <c r="M20" s="208"/>
      <c r="N20" s="207"/>
      <c r="O20" s="207"/>
      <c r="P20" s="207"/>
      <c r="Q20" s="207"/>
      <c r="R20" s="207"/>
      <c r="S20" s="207"/>
      <c r="T20" s="207"/>
      <c r="U20" s="207"/>
      <c r="V20" s="207"/>
      <c r="W20" s="207"/>
      <c r="X20" s="207"/>
      <c r="Y20" s="207"/>
      <c r="Z20" s="207"/>
    </row>
    <row r="21">
      <c r="A21" s="55" t="s">
        <v>170</v>
      </c>
      <c r="B21" s="39" t="s">
        <v>5788</v>
      </c>
      <c r="C21" s="39" t="s">
        <v>5879</v>
      </c>
      <c r="D21" s="43" t="s">
        <v>5872</v>
      </c>
      <c r="E21" s="41" t="s">
        <v>5880</v>
      </c>
      <c r="F21" s="41" t="s">
        <v>5881</v>
      </c>
      <c r="G21" s="41" t="s">
        <v>5882</v>
      </c>
      <c r="H21" s="41" t="s">
        <v>5883</v>
      </c>
      <c r="I21" s="196" t="s">
        <v>13</v>
      </c>
      <c r="M21" s="195"/>
    </row>
    <row r="22">
      <c r="A22" s="55" t="s">
        <v>175</v>
      </c>
      <c r="B22" s="39" t="s">
        <v>5788</v>
      </c>
      <c r="C22" s="39" t="s">
        <v>5884</v>
      </c>
      <c r="D22" s="111" t="s">
        <v>5867</v>
      </c>
      <c r="E22" s="197" t="s">
        <v>5797</v>
      </c>
      <c r="F22" s="41" t="s">
        <v>5885</v>
      </c>
      <c r="G22" s="41" t="s">
        <v>5886</v>
      </c>
      <c r="H22" s="41" t="s">
        <v>5878</v>
      </c>
      <c r="I22" s="196" t="s">
        <v>13</v>
      </c>
      <c r="M22" s="195"/>
    </row>
    <row r="23">
      <c r="A23" s="55" t="s">
        <v>180</v>
      </c>
      <c r="B23" s="39" t="s">
        <v>5788</v>
      </c>
      <c r="C23" s="39" t="s">
        <v>5887</v>
      </c>
      <c r="D23" s="41" t="s">
        <v>5888</v>
      </c>
      <c r="E23" s="41" t="s">
        <v>5880</v>
      </c>
      <c r="F23" s="111" t="s">
        <v>5889</v>
      </c>
      <c r="G23" s="209" t="s">
        <v>5890</v>
      </c>
      <c r="H23" s="41" t="s">
        <v>5891</v>
      </c>
      <c r="I23" s="196" t="s">
        <v>13</v>
      </c>
      <c r="M23" s="195"/>
    </row>
    <row r="24">
      <c r="A24" s="55" t="s">
        <v>185</v>
      </c>
      <c r="B24" s="39" t="s">
        <v>5788</v>
      </c>
      <c r="C24" s="39" t="s">
        <v>5892</v>
      </c>
      <c r="D24" s="39" t="s">
        <v>5893</v>
      </c>
      <c r="E24" s="197" t="s">
        <v>5797</v>
      </c>
      <c r="F24" s="41" t="s">
        <v>5894</v>
      </c>
      <c r="G24" s="41" t="s">
        <v>5886</v>
      </c>
      <c r="H24" s="41" t="s">
        <v>5895</v>
      </c>
      <c r="I24" s="196" t="s">
        <v>13</v>
      </c>
      <c r="M24" s="195"/>
    </row>
    <row r="25">
      <c r="A25" s="55" t="s">
        <v>190</v>
      </c>
      <c r="B25" s="39" t="s">
        <v>5788</v>
      </c>
      <c r="C25" s="39" t="s">
        <v>5896</v>
      </c>
      <c r="D25" s="41" t="s">
        <v>5897</v>
      </c>
      <c r="E25" s="41" t="s">
        <v>5880</v>
      </c>
      <c r="F25" s="41" t="s">
        <v>5881</v>
      </c>
      <c r="G25" s="41" t="s">
        <v>5886</v>
      </c>
      <c r="H25" s="41" t="s">
        <v>5898</v>
      </c>
      <c r="I25" s="196" t="s">
        <v>13</v>
      </c>
      <c r="M25" s="195"/>
    </row>
    <row r="26">
      <c r="A26" s="55" t="s">
        <v>195</v>
      </c>
      <c r="B26" s="39" t="s">
        <v>5788</v>
      </c>
      <c r="C26" s="39" t="s">
        <v>5899</v>
      </c>
      <c r="D26" s="39" t="s">
        <v>5900</v>
      </c>
      <c r="E26" s="197" t="s">
        <v>5797</v>
      </c>
      <c r="F26" s="41" t="s">
        <v>5901</v>
      </c>
      <c r="G26" s="41" t="s">
        <v>5886</v>
      </c>
      <c r="H26" s="41" t="s">
        <v>5902</v>
      </c>
      <c r="I26" s="196" t="s">
        <v>13</v>
      </c>
      <c r="M26" s="195"/>
    </row>
    <row r="27">
      <c r="A27" s="55" t="s">
        <v>200</v>
      </c>
      <c r="B27" s="39" t="s">
        <v>5788</v>
      </c>
      <c r="C27" s="39" t="s">
        <v>5903</v>
      </c>
      <c r="D27" s="39" t="s">
        <v>5853</v>
      </c>
      <c r="E27" s="197" t="s">
        <v>5797</v>
      </c>
      <c r="F27" s="41" t="s">
        <v>5904</v>
      </c>
      <c r="G27" s="41" t="s">
        <v>5858</v>
      </c>
      <c r="H27" s="41" t="s">
        <v>5878</v>
      </c>
      <c r="I27" s="196" t="s">
        <v>13</v>
      </c>
      <c r="J27" s="57"/>
      <c r="K27" s="57"/>
      <c r="L27" s="57"/>
      <c r="M27" s="210"/>
      <c r="N27" s="57"/>
      <c r="O27" s="57"/>
      <c r="P27" s="57"/>
      <c r="Q27" s="57"/>
      <c r="R27" s="57"/>
      <c r="S27" s="57"/>
      <c r="T27" s="57"/>
      <c r="U27" s="57"/>
      <c r="V27" s="57"/>
      <c r="W27" s="57"/>
      <c r="X27" s="57"/>
      <c r="Y27" s="57"/>
      <c r="Z27" s="57"/>
    </row>
    <row r="28">
      <c r="A28" s="55" t="s">
        <v>205</v>
      </c>
      <c r="B28" s="39" t="s">
        <v>5788</v>
      </c>
      <c r="C28" s="39" t="s">
        <v>5905</v>
      </c>
      <c r="D28" s="39" t="s">
        <v>5861</v>
      </c>
      <c r="E28" s="41" t="s">
        <v>5862</v>
      </c>
      <c r="F28" s="41" t="s">
        <v>5863</v>
      </c>
      <c r="G28" s="41" t="s">
        <v>5906</v>
      </c>
      <c r="H28" s="41" t="s">
        <v>5907</v>
      </c>
      <c r="I28" s="196" t="s">
        <v>13</v>
      </c>
      <c r="M28" s="195"/>
    </row>
    <row r="29">
      <c r="A29" s="55" t="s">
        <v>210</v>
      </c>
      <c r="B29" s="39" t="s">
        <v>5788</v>
      </c>
      <c r="C29" s="39" t="s">
        <v>5908</v>
      </c>
      <c r="D29" s="41" t="s">
        <v>5909</v>
      </c>
      <c r="E29" s="39" t="s">
        <v>5910</v>
      </c>
      <c r="F29" s="41" t="s">
        <v>5862</v>
      </c>
      <c r="G29" s="41" t="s">
        <v>5863</v>
      </c>
      <c r="H29" s="41" t="s">
        <v>5911</v>
      </c>
      <c r="I29" s="196" t="s">
        <v>13</v>
      </c>
      <c r="M29" s="195"/>
    </row>
    <row r="30">
      <c r="A30" s="55" t="s">
        <v>215</v>
      </c>
      <c r="B30" s="39" t="s">
        <v>5788</v>
      </c>
      <c r="C30" s="39" t="s">
        <v>5912</v>
      </c>
      <c r="D30" s="39" t="s">
        <v>5913</v>
      </c>
      <c r="E30" s="197" t="s">
        <v>5797</v>
      </c>
      <c r="F30" s="41" t="s">
        <v>5914</v>
      </c>
      <c r="G30" s="41" t="s">
        <v>5877</v>
      </c>
      <c r="H30" s="41" t="s">
        <v>5878</v>
      </c>
      <c r="I30" s="196" t="s">
        <v>13</v>
      </c>
      <c r="J30" s="123"/>
      <c r="K30" s="123"/>
      <c r="L30" s="123"/>
      <c r="M30" s="195"/>
      <c r="N30" s="123"/>
      <c r="O30" s="123"/>
      <c r="P30" s="123"/>
      <c r="Q30" s="123"/>
      <c r="R30" s="123"/>
      <c r="S30" s="123"/>
      <c r="T30" s="123"/>
      <c r="U30" s="123"/>
      <c r="V30" s="123"/>
      <c r="W30" s="123"/>
      <c r="X30" s="123"/>
      <c r="Y30" s="123"/>
      <c r="Z30" s="123"/>
    </row>
    <row r="31">
      <c r="A31" s="55" t="s">
        <v>220</v>
      </c>
      <c r="B31" s="39" t="s">
        <v>5788</v>
      </c>
      <c r="C31" s="39" t="s">
        <v>5915</v>
      </c>
      <c r="D31" s="41" t="s">
        <v>5916</v>
      </c>
      <c r="E31" s="39" t="s">
        <v>5910</v>
      </c>
      <c r="F31" s="41" t="s">
        <v>5862</v>
      </c>
      <c r="G31" s="41" t="s">
        <v>5873</v>
      </c>
      <c r="H31" s="41" t="s">
        <v>5874</v>
      </c>
      <c r="I31" s="196" t="s">
        <v>13</v>
      </c>
      <c r="M31" s="195"/>
    </row>
    <row r="32">
      <c r="A32" s="55" t="s">
        <v>224</v>
      </c>
      <c r="B32" s="39" t="s">
        <v>5788</v>
      </c>
      <c r="C32" s="111" t="s">
        <v>5917</v>
      </c>
      <c r="D32" s="39" t="s">
        <v>5918</v>
      </c>
      <c r="E32" s="197" t="s">
        <v>5797</v>
      </c>
      <c r="F32" s="41" t="s">
        <v>5919</v>
      </c>
      <c r="G32" s="41" t="s">
        <v>5877</v>
      </c>
      <c r="H32" s="41" t="s">
        <v>5878</v>
      </c>
      <c r="I32" s="196" t="s">
        <v>13</v>
      </c>
      <c r="M32" s="195"/>
    </row>
    <row r="33">
      <c r="A33" s="211" t="s">
        <v>228</v>
      </c>
      <c r="B33" s="212" t="s">
        <v>5788</v>
      </c>
      <c r="C33" s="212" t="s">
        <v>5920</v>
      </c>
      <c r="D33" s="213" t="s">
        <v>5921</v>
      </c>
      <c r="E33" s="39" t="s">
        <v>5910</v>
      </c>
      <c r="F33" s="41" t="s">
        <v>5922</v>
      </c>
      <c r="G33" s="213" t="s">
        <v>5923</v>
      </c>
      <c r="H33" s="213" t="s">
        <v>5924</v>
      </c>
      <c r="I33" s="214" t="s">
        <v>13</v>
      </c>
      <c r="J33" s="215"/>
      <c r="K33" s="215"/>
      <c r="L33" s="215"/>
      <c r="M33" s="216"/>
      <c r="N33" s="215"/>
      <c r="O33" s="215"/>
      <c r="P33" s="215"/>
      <c r="Q33" s="215"/>
      <c r="R33" s="215"/>
      <c r="S33" s="215"/>
      <c r="T33" s="215"/>
      <c r="U33" s="215"/>
      <c r="V33" s="215"/>
      <c r="W33" s="215"/>
      <c r="X33" s="215"/>
      <c r="Y33" s="215"/>
      <c r="Z33" s="215"/>
    </row>
    <row r="34">
      <c r="A34" s="55" t="s">
        <v>233</v>
      </c>
      <c r="B34" s="39" t="s">
        <v>5788</v>
      </c>
      <c r="C34" s="39" t="s">
        <v>5925</v>
      </c>
      <c r="D34" s="41" t="s">
        <v>5921</v>
      </c>
      <c r="E34" s="41" t="s">
        <v>5880</v>
      </c>
      <c r="F34" s="41" t="s">
        <v>5926</v>
      </c>
      <c r="G34" s="41" t="s">
        <v>5927</v>
      </c>
      <c r="H34" s="41" t="s">
        <v>5928</v>
      </c>
      <c r="I34" s="196" t="s">
        <v>13</v>
      </c>
      <c r="M34" s="195"/>
    </row>
    <row r="35">
      <c r="A35" s="55" t="s">
        <v>237</v>
      </c>
      <c r="B35" s="39" t="s">
        <v>5788</v>
      </c>
      <c r="C35" s="39" t="s">
        <v>5929</v>
      </c>
      <c r="D35" s="41" t="s">
        <v>5930</v>
      </c>
      <c r="E35" s="41" t="s">
        <v>5931</v>
      </c>
      <c r="F35" s="41" t="s">
        <v>5932</v>
      </c>
      <c r="G35" s="41" t="s">
        <v>5933</v>
      </c>
      <c r="H35" s="41" t="s">
        <v>5934</v>
      </c>
      <c r="I35" s="217" t="s">
        <v>15</v>
      </c>
      <c r="J35" s="57"/>
      <c r="K35" s="57"/>
      <c r="L35" s="57"/>
      <c r="M35" s="210"/>
      <c r="N35" s="57"/>
      <c r="O35" s="57"/>
      <c r="P35" s="57"/>
      <c r="Q35" s="57"/>
      <c r="R35" s="57"/>
      <c r="S35" s="57"/>
      <c r="T35" s="57"/>
      <c r="U35" s="57"/>
      <c r="V35" s="57"/>
      <c r="W35" s="57"/>
      <c r="X35" s="57"/>
      <c r="Y35" s="57"/>
      <c r="Z35" s="57"/>
    </row>
    <row r="36">
      <c r="A36" s="55" t="s">
        <v>241</v>
      </c>
      <c r="B36" s="39" t="s">
        <v>5788</v>
      </c>
      <c r="C36" s="39" t="s">
        <v>5935</v>
      </c>
      <c r="D36" s="41" t="s">
        <v>5936</v>
      </c>
      <c r="E36" s="41" t="s">
        <v>5937</v>
      </c>
      <c r="F36" s="41" t="s">
        <v>5938</v>
      </c>
      <c r="G36" s="41" t="s">
        <v>5939</v>
      </c>
      <c r="H36" s="41" t="s">
        <v>5940</v>
      </c>
      <c r="I36" s="217" t="s">
        <v>15</v>
      </c>
      <c r="J36" s="57"/>
      <c r="K36" s="57"/>
      <c r="L36" s="57"/>
      <c r="M36" s="210"/>
      <c r="N36" s="57"/>
      <c r="O36" s="57"/>
      <c r="P36" s="57"/>
      <c r="Q36" s="57"/>
      <c r="R36" s="57"/>
      <c r="S36" s="57"/>
      <c r="T36" s="57"/>
      <c r="U36" s="57"/>
      <c r="V36" s="57"/>
      <c r="W36" s="57"/>
      <c r="X36" s="57"/>
      <c r="Y36" s="57"/>
      <c r="Z36" s="57"/>
    </row>
    <row r="37">
      <c r="A37" s="55" t="s">
        <v>245</v>
      </c>
      <c r="B37" s="39" t="s">
        <v>5788</v>
      </c>
      <c r="C37" s="39" t="s">
        <v>5941</v>
      </c>
      <c r="D37" s="41" t="s">
        <v>5942</v>
      </c>
      <c r="E37" s="41" t="s">
        <v>5943</v>
      </c>
      <c r="F37" s="41" t="s">
        <v>5944</v>
      </c>
      <c r="G37" s="41" t="s">
        <v>5945</v>
      </c>
      <c r="H37" s="41" t="s">
        <v>5946</v>
      </c>
      <c r="I37" s="217" t="s">
        <v>15</v>
      </c>
      <c r="J37" s="57"/>
      <c r="K37" s="57"/>
      <c r="L37" s="57"/>
      <c r="M37" s="210"/>
      <c r="N37" s="57"/>
      <c r="O37" s="57"/>
      <c r="P37" s="57"/>
      <c r="Q37" s="57"/>
      <c r="R37" s="57"/>
      <c r="S37" s="57"/>
      <c r="T37" s="57"/>
      <c r="U37" s="57"/>
      <c r="V37" s="57"/>
      <c r="W37" s="57"/>
      <c r="X37" s="57"/>
      <c r="Y37" s="57"/>
      <c r="Z37" s="57"/>
    </row>
    <row r="38">
      <c r="A38" s="55" t="s">
        <v>250</v>
      </c>
      <c r="B38" s="39" t="s">
        <v>5788</v>
      </c>
      <c r="C38" s="39" t="s">
        <v>5947</v>
      </c>
      <c r="D38" s="41" t="s">
        <v>5948</v>
      </c>
      <c r="E38" s="41" t="s">
        <v>5949</v>
      </c>
      <c r="F38" s="41" t="s">
        <v>5950</v>
      </c>
      <c r="G38" s="41" t="s">
        <v>5951</v>
      </c>
      <c r="H38" s="41" t="s">
        <v>5952</v>
      </c>
      <c r="I38" s="217" t="s">
        <v>16</v>
      </c>
      <c r="J38" s="57"/>
      <c r="K38" s="57"/>
      <c r="L38" s="57"/>
      <c r="M38" s="210"/>
      <c r="N38" s="57"/>
      <c r="O38" s="57"/>
      <c r="P38" s="57"/>
      <c r="Q38" s="57"/>
      <c r="R38" s="57"/>
      <c r="S38" s="57"/>
      <c r="T38" s="57"/>
      <c r="U38" s="57"/>
      <c r="V38" s="57"/>
      <c r="W38" s="57"/>
      <c r="X38" s="57"/>
      <c r="Y38" s="57"/>
      <c r="Z38" s="57"/>
    </row>
    <row r="39">
      <c r="A39" s="55" t="s">
        <v>254</v>
      </c>
      <c r="B39" s="39" t="s">
        <v>5788</v>
      </c>
      <c r="C39" s="39" t="s">
        <v>5953</v>
      </c>
      <c r="D39" s="41" t="s">
        <v>5954</v>
      </c>
      <c r="E39" s="41" t="s">
        <v>5955</v>
      </c>
      <c r="F39" s="41" t="s">
        <v>5950</v>
      </c>
      <c r="G39" s="41" t="s">
        <v>5956</v>
      </c>
      <c r="H39" s="41" t="s">
        <v>5957</v>
      </c>
      <c r="I39" s="217" t="s">
        <v>17</v>
      </c>
      <c r="J39" s="57"/>
      <c r="K39" s="57"/>
      <c r="L39" s="57"/>
      <c r="M39" s="210"/>
      <c r="N39" s="57"/>
      <c r="O39" s="57"/>
      <c r="P39" s="57"/>
      <c r="Q39" s="57"/>
      <c r="R39" s="57"/>
      <c r="S39" s="57"/>
      <c r="T39" s="57"/>
      <c r="U39" s="57"/>
      <c r="V39" s="57"/>
      <c r="W39" s="57"/>
      <c r="X39" s="57"/>
      <c r="Y39" s="57"/>
      <c r="Z39" s="57"/>
    </row>
    <row r="40">
      <c r="A40" s="55" t="s">
        <v>258</v>
      </c>
      <c r="B40" s="39" t="s">
        <v>5788</v>
      </c>
      <c r="C40" s="39" t="s">
        <v>5958</v>
      </c>
      <c r="D40" s="41" t="s">
        <v>5959</v>
      </c>
      <c r="E40" s="41" t="s">
        <v>5960</v>
      </c>
      <c r="F40" s="41" t="s">
        <v>5950</v>
      </c>
      <c r="G40" s="41" t="s">
        <v>5956</v>
      </c>
      <c r="H40" s="41" t="s">
        <v>5957</v>
      </c>
      <c r="I40" s="217" t="s">
        <v>18</v>
      </c>
      <c r="J40" s="57"/>
      <c r="K40" s="57"/>
      <c r="L40" s="57"/>
      <c r="M40" s="210"/>
      <c r="N40" s="57"/>
      <c r="O40" s="57"/>
      <c r="P40" s="57"/>
      <c r="Q40" s="57"/>
      <c r="R40" s="57"/>
      <c r="S40" s="57"/>
      <c r="T40" s="57"/>
      <c r="U40" s="57"/>
      <c r="V40" s="57"/>
      <c r="W40" s="57"/>
      <c r="X40" s="57"/>
      <c r="Y40" s="57"/>
      <c r="Z40" s="57"/>
    </row>
    <row r="41">
      <c r="A41" s="55" t="s">
        <v>263</v>
      </c>
      <c r="B41" s="39" t="s">
        <v>5788</v>
      </c>
      <c r="C41" s="39" t="s">
        <v>5961</v>
      </c>
      <c r="D41" s="41" t="s">
        <v>5962</v>
      </c>
      <c r="E41" s="41" t="s">
        <v>5963</v>
      </c>
      <c r="F41" s="41" t="s">
        <v>5964</v>
      </c>
      <c r="G41" s="41" t="s">
        <v>5965</v>
      </c>
      <c r="H41" s="41" t="s">
        <v>5966</v>
      </c>
      <c r="I41" s="217" t="s">
        <v>17</v>
      </c>
      <c r="J41" s="57"/>
      <c r="K41" s="57"/>
      <c r="L41" s="57"/>
      <c r="M41" s="210"/>
      <c r="N41" s="57"/>
      <c r="O41" s="57"/>
      <c r="P41" s="57"/>
      <c r="Q41" s="57"/>
      <c r="R41" s="57"/>
      <c r="S41" s="57"/>
      <c r="T41" s="57"/>
      <c r="U41" s="57"/>
      <c r="V41" s="57"/>
      <c r="W41" s="57"/>
      <c r="X41" s="57"/>
      <c r="Y41" s="57"/>
      <c r="Z41" s="57"/>
    </row>
    <row r="42">
      <c r="A42" s="55" t="s">
        <v>268</v>
      </c>
      <c r="B42" s="39" t="s">
        <v>5788</v>
      </c>
      <c r="C42" s="39" t="s">
        <v>5967</v>
      </c>
      <c r="D42" s="41" t="s">
        <v>5968</v>
      </c>
      <c r="E42" s="41" t="s">
        <v>5969</v>
      </c>
      <c r="F42" s="41" t="s">
        <v>5950</v>
      </c>
      <c r="G42" s="41" t="s">
        <v>5970</v>
      </c>
      <c r="H42" s="41" t="s">
        <v>5952</v>
      </c>
      <c r="I42" s="217" t="s">
        <v>17</v>
      </c>
      <c r="J42" s="57"/>
      <c r="K42" s="57"/>
      <c r="L42" s="57"/>
      <c r="M42" s="210"/>
      <c r="N42" s="57"/>
      <c r="O42" s="57"/>
      <c r="P42" s="57"/>
      <c r="Q42" s="57"/>
      <c r="R42" s="57"/>
      <c r="S42" s="57"/>
      <c r="T42" s="57"/>
      <c r="U42" s="57"/>
      <c r="V42" s="57"/>
      <c r="W42" s="57"/>
      <c r="X42" s="57"/>
      <c r="Y42" s="57"/>
      <c r="Z42" s="57"/>
    </row>
    <row r="43">
      <c r="A43" s="55" t="s">
        <v>271</v>
      </c>
      <c r="B43" s="39" t="s">
        <v>5788</v>
      </c>
      <c r="C43" s="39" t="s">
        <v>5971</v>
      </c>
      <c r="D43" s="41" t="s">
        <v>5972</v>
      </c>
      <c r="E43" s="41" t="s">
        <v>5973</v>
      </c>
      <c r="F43" s="41" t="s">
        <v>5974</v>
      </c>
      <c r="G43" s="41" t="s">
        <v>5975</v>
      </c>
      <c r="H43" s="41" t="s">
        <v>5976</v>
      </c>
      <c r="I43" s="218" t="s">
        <v>16</v>
      </c>
      <c r="J43" s="123"/>
      <c r="K43" s="123"/>
      <c r="L43" s="123"/>
      <c r="M43" s="195"/>
      <c r="N43" s="123"/>
      <c r="O43" s="123"/>
      <c r="P43" s="123"/>
      <c r="Q43" s="123"/>
      <c r="R43" s="123"/>
      <c r="S43" s="123"/>
      <c r="T43" s="123"/>
      <c r="U43" s="123"/>
      <c r="V43" s="123"/>
      <c r="W43" s="123"/>
      <c r="X43" s="123"/>
      <c r="Y43" s="123"/>
      <c r="Z43" s="123"/>
    </row>
    <row r="44">
      <c r="A44" s="55" t="s">
        <v>274</v>
      </c>
      <c r="B44" s="39" t="s">
        <v>5788</v>
      </c>
      <c r="C44" s="39" t="s">
        <v>5977</v>
      </c>
      <c r="D44" s="41" t="s">
        <v>5978</v>
      </c>
      <c r="E44" s="197" t="s">
        <v>5979</v>
      </c>
      <c r="F44" s="41" t="s">
        <v>5980</v>
      </c>
      <c r="G44" s="41" t="s">
        <v>5981</v>
      </c>
      <c r="H44" s="41" t="s">
        <v>5982</v>
      </c>
      <c r="I44" s="218" t="s">
        <v>18</v>
      </c>
      <c r="M44" s="195"/>
    </row>
    <row r="45">
      <c r="A45" s="55" t="s">
        <v>405</v>
      </c>
      <c r="B45" s="39" t="s">
        <v>5788</v>
      </c>
      <c r="C45" s="39" t="s">
        <v>5983</v>
      </c>
      <c r="D45" s="41" t="s">
        <v>5984</v>
      </c>
      <c r="E45" s="197" t="s">
        <v>5985</v>
      </c>
      <c r="F45" s="41" t="s">
        <v>46</v>
      </c>
      <c r="G45" s="41" t="s">
        <v>46</v>
      </c>
      <c r="H45" s="41" t="s">
        <v>5986</v>
      </c>
      <c r="I45" s="218" t="s">
        <v>16</v>
      </c>
      <c r="M45" s="195"/>
    </row>
    <row r="46">
      <c r="A46" s="55" t="s">
        <v>408</v>
      </c>
      <c r="B46" s="39" t="s">
        <v>5788</v>
      </c>
      <c r="C46" s="39" t="s">
        <v>5987</v>
      </c>
      <c r="D46" s="41" t="s">
        <v>5948</v>
      </c>
      <c r="E46" s="41" t="s">
        <v>5988</v>
      </c>
      <c r="F46" s="41" t="s">
        <v>5950</v>
      </c>
      <c r="G46" s="41" t="s">
        <v>5956</v>
      </c>
      <c r="H46" s="41" t="s">
        <v>5957</v>
      </c>
      <c r="I46" s="218" t="s">
        <v>16</v>
      </c>
      <c r="M46" s="195"/>
    </row>
    <row r="47">
      <c r="A47" s="55" t="s">
        <v>629</v>
      </c>
      <c r="B47" s="39" t="s">
        <v>5788</v>
      </c>
      <c r="C47" s="39" t="s">
        <v>5989</v>
      </c>
      <c r="D47" s="41" t="s">
        <v>5990</v>
      </c>
      <c r="E47" s="41" t="s">
        <v>5991</v>
      </c>
      <c r="F47" s="41" t="s">
        <v>5950</v>
      </c>
      <c r="G47" s="41" t="s">
        <v>5956</v>
      </c>
      <c r="H47" s="41" t="s">
        <v>5957</v>
      </c>
      <c r="I47" s="218" t="s">
        <v>16</v>
      </c>
      <c r="M47" s="195"/>
    </row>
    <row r="48">
      <c r="A48" s="55" t="s">
        <v>633</v>
      </c>
      <c r="B48" s="39" t="s">
        <v>5788</v>
      </c>
      <c r="C48" s="39" t="s">
        <v>5989</v>
      </c>
      <c r="D48" s="41" t="s">
        <v>5992</v>
      </c>
      <c r="E48" s="41" t="s">
        <v>5993</v>
      </c>
      <c r="F48" s="41" t="s">
        <v>5950</v>
      </c>
      <c r="G48" s="41" t="s">
        <v>5956</v>
      </c>
      <c r="H48" s="41" t="s">
        <v>5957</v>
      </c>
      <c r="I48" s="217" t="s">
        <v>15</v>
      </c>
      <c r="M48" s="195"/>
    </row>
    <row r="49">
      <c r="A49" s="55" t="s">
        <v>637</v>
      </c>
      <c r="B49" s="39" t="s">
        <v>5788</v>
      </c>
      <c r="C49" s="39" t="s">
        <v>5989</v>
      </c>
      <c r="D49" s="41" t="s">
        <v>5994</v>
      </c>
      <c r="E49" s="41" t="s">
        <v>5995</v>
      </c>
      <c r="F49" s="41" t="s">
        <v>5950</v>
      </c>
      <c r="G49" s="41" t="s">
        <v>5956</v>
      </c>
      <c r="H49" s="41" t="s">
        <v>5957</v>
      </c>
      <c r="I49" s="217" t="s">
        <v>15</v>
      </c>
      <c r="M49" s="195"/>
    </row>
    <row r="50">
      <c r="A50" s="55" t="s">
        <v>641</v>
      </c>
      <c r="B50" s="39" t="s">
        <v>5788</v>
      </c>
      <c r="C50" s="39" t="s">
        <v>5987</v>
      </c>
      <c r="D50" s="41" t="s">
        <v>5996</v>
      </c>
      <c r="E50" s="41" t="s">
        <v>5997</v>
      </c>
      <c r="F50" s="41" t="s">
        <v>5950</v>
      </c>
      <c r="G50" s="41" t="s">
        <v>5956</v>
      </c>
      <c r="H50" s="41" t="s">
        <v>5957</v>
      </c>
      <c r="I50" s="217" t="s">
        <v>15</v>
      </c>
      <c r="M50" s="195"/>
    </row>
    <row r="51">
      <c r="A51" s="55" t="s">
        <v>644</v>
      </c>
      <c r="B51" s="39" t="s">
        <v>5788</v>
      </c>
      <c r="C51" s="39" t="s">
        <v>5998</v>
      </c>
      <c r="D51" s="41" t="s">
        <v>5999</v>
      </c>
      <c r="E51" s="41" t="s">
        <v>6000</v>
      </c>
      <c r="F51" s="41" t="s">
        <v>5950</v>
      </c>
      <c r="G51" s="41" t="s">
        <v>5956</v>
      </c>
      <c r="H51" s="41" t="s">
        <v>5957</v>
      </c>
      <c r="I51" s="218" t="s">
        <v>17</v>
      </c>
      <c r="M51" s="195"/>
    </row>
    <row r="52">
      <c r="A52" s="55" t="s">
        <v>647</v>
      </c>
      <c r="B52" s="39" t="s">
        <v>5788</v>
      </c>
      <c r="C52" s="39" t="s">
        <v>6001</v>
      </c>
      <c r="D52" s="41" t="s">
        <v>6002</v>
      </c>
      <c r="E52" s="41" t="s">
        <v>6003</v>
      </c>
      <c r="F52" s="41" t="s">
        <v>5950</v>
      </c>
      <c r="G52" s="41" t="s">
        <v>5956</v>
      </c>
      <c r="H52" s="41" t="s">
        <v>5957</v>
      </c>
      <c r="I52" s="218" t="s">
        <v>17</v>
      </c>
      <c r="M52" s="195"/>
    </row>
    <row r="53">
      <c r="A53" s="55" t="s">
        <v>650</v>
      </c>
      <c r="B53" s="39" t="s">
        <v>5788</v>
      </c>
      <c r="C53" s="39" t="s">
        <v>5998</v>
      </c>
      <c r="D53" s="41" t="s">
        <v>6004</v>
      </c>
      <c r="E53" s="41" t="s">
        <v>6005</v>
      </c>
      <c r="F53" s="41" t="s">
        <v>5950</v>
      </c>
      <c r="G53" s="41" t="s">
        <v>5956</v>
      </c>
      <c r="H53" s="41" t="s">
        <v>5957</v>
      </c>
      <c r="I53" s="218" t="s">
        <v>17</v>
      </c>
      <c r="M53" s="195"/>
    </row>
    <row r="54">
      <c r="A54" s="55" t="s">
        <v>654</v>
      </c>
      <c r="B54" s="39" t="s">
        <v>5788</v>
      </c>
      <c r="C54" s="39" t="s">
        <v>6006</v>
      </c>
      <c r="D54" s="41" t="s">
        <v>6007</v>
      </c>
      <c r="E54" s="41" t="s">
        <v>6008</v>
      </c>
      <c r="F54" s="41" t="s">
        <v>5950</v>
      </c>
      <c r="G54" s="41" t="s">
        <v>5956</v>
      </c>
      <c r="H54" s="41" t="s">
        <v>6009</v>
      </c>
      <c r="I54" s="218" t="s">
        <v>16</v>
      </c>
      <c r="M54" s="195"/>
    </row>
    <row r="55">
      <c r="A55" s="55" t="s">
        <v>657</v>
      </c>
      <c r="B55" s="39" t="s">
        <v>5788</v>
      </c>
      <c r="C55" s="39" t="s">
        <v>6010</v>
      </c>
      <c r="D55" s="41" t="s">
        <v>6011</v>
      </c>
      <c r="E55" s="197" t="s">
        <v>6012</v>
      </c>
      <c r="F55" s="41" t="s">
        <v>6013</v>
      </c>
      <c r="G55" s="41" t="s">
        <v>6014</v>
      </c>
      <c r="H55" s="41" t="s">
        <v>6015</v>
      </c>
      <c r="I55" s="218" t="s">
        <v>16</v>
      </c>
      <c r="M55" s="195"/>
    </row>
    <row r="56">
      <c r="A56" s="55" t="s">
        <v>660</v>
      </c>
      <c r="B56" s="39" t="s">
        <v>5788</v>
      </c>
      <c r="C56" s="39" t="s">
        <v>6016</v>
      </c>
      <c r="D56" s="41" t="s">
        <v>6017</v>
      </c>
      <c r="E56" s="41" t="s">
        <v>6018</v>
      </c>
      <c r="F56" s="41" t="s">
        <v>5950</v>
      </c>
      <c r="G56" s="41" t="s">
        <v>5956</v>
      </c>
      <c r="H56" s="41" t="s">
        <v>6019</v>
      </c>
      <c r="I56" s="218" t="s">
        <v>16</v>
      </c>
      <c r="M56" s="195"/>
    </row>
    <row r="57">
      <c r="A57" s="55" t="s">
        <v>664</v>
      </c>
      <c r="B57" s="39" t="s">
        <v>5788</v>
      </c>
      <c r="C57" s="39" t="s">
        <v>6020</v>
      </c>
      <c r="D57" s="41" t="s">
        <v>6011</v>
      </c>
      <c r="E57" s="197" t="s">
        <v>6012</v>
      </c>
      <c r="F57" s="41" t="s">
        <v>6013</v>
      </c>
      <c r="G57" s="41" t="s">
        <v>6021</v>
      </c>
      <c r="H57" s="41" t="s">
        <v>6022</v>
      </c>
      <c r="I57" s="218" t="s">
        <v>16</v>
      </c>
      <c r="M57" s="195"/>
    </row>
    <row r="58">
      <c r="A58" s="55" t="s">
        <v>668</v>
      </c>
      <c r="B58" s="39" t="s">
        <v>5788</v>
      </c>
      <c r="C58" s="39" t="s">
        <v>6023</v>
      </c>
      <c r="D58" s="41" t="s">
        <v>6024</v>
      </c>
      <c r="E58" s="41" t="s">
        <v>6025</v>
      </c>
      <c r="F58" s="41" t="s">
        <v>5950</v>
      </c>
      <c r="G58" s="41" t="s">
        <v>5956</v>
      </c>
      <c r="H58" s="41" t="s">
        <v>6026</v>
      </c>
      <c r="I58" s="218" t="s">
        <v>16</v>
      </c>
      <c r="M58" s="195"/>
    </row>
    <row r="59">
      <c r="A59" s="55" t="s">
        <v>672</v>
      </c>
      <c r="B59" s="39" t="s">
        <v>5788</v>
      </c>
      <c r="C59" s="39" t="s">
        <v>6027</v>
      </c>
      <c r="D59" s="41" t="s">
        <v>6028</v>
      </c>
      <c r="E59" s="197" t="s">
        <v>6012</v>
      </c>
      <c r="F59" s="41" t="s">
        <v>6013</v>
      </c>
      <c r="G59" s="41" t="s">
        <v>6014</v>
      </c>
      <c r="H59" s="41" t="s">
        <v>6029</v>
      </c>
      <c r="I59" s="218" t="s">
        <v>16</v>
      </c>
      <c r="M59" s="195"/>
    </row>
    <row r="60">
      <c r="A60" s="55" t="s">
        <v>676</v>
      </c>
      <c r="B60" s="39" t="s">
        <v>5788</v>
      </c>
      <c r="C60" s="39" t="s">
        <v>6030</v>
      </c>
      <c r="D60" s="41" t="s">
        <v>6028</v>
      </c>
      <c r="E60" s="41" t="s">
        <v>5880</v>
      </c>
      <c r="F60" s="41" t="s">
        <v>6013</v>
      </c>
      <c r="G60" s="41" t="s">
        <v>6031</v>
      </c>
      <c r="H60" s="41" t="s">
        <v>6015</v>
      </c>
      <c r="I60" s="218" t="s">
        <v>13</v>
      </c>
      <c r="M60" s="195"/>
    </row>
    <row r="61">
      <c r="A61" s="55" t="s">
        <v>681</v>
      </c>
      <c r="B61" s="39" t="s">
        <v>5788</v>
      </c>
      <c r="C61" s="39" t="s">
        <v>6032</v>
      </c>
      <c r="D61" s="41" t="s">
        <v>6033</v>
      </c>
      <c r="E61" s="41" t="s">
        <v>6034</v>
      </c>
      <c r="F61" s="41" t="s">
        <v>5950</v>
      </c>
      <c r="G61" s="41" t="s">
        <v>5956</v>
      </c>
      <c r="H61" s="41" t="s">
        <v>6035</v>
      </c>
      <c r="I61" s="218" t="s">
        <v>13</v>
      </c>
      <c r="M61" s="195"/>
    </row>
    <row r="62">
      <c r="A62" s="55" t="s">
        <v>686</v>
      </c>
      <c r="B62" s="39" t="s">
        <v>5788</v>
      </c>
      <c r="C62" s="39" t="s">
        <v>6036</v>
      </c>
      <c r="D62" s="41" t="s">
        <v>6011</v>
      </c>
      <c r="E62" s="41" t="s">
        <v>5880</v>
      </c>
      <c r="F62" s="41" t="s">
        <v>5926</v>
      </c>
      <c r="G62" s="41" t="s">
        <v>6037</v>
      </c>
      <c r="H62" s="41" t="s">
        <v>6038</v>
      </c>
      <c r="I62" s="218" t="s">
        <v>13</v>
      </c>
      <c r="M62" s="195"/>
    </row>
    <row r="63">
      <c r="A63" s="55" t="s">
        <v>690</v>
      </c>
      <c r="B63" s="39" t="s">
        <v>5788</v>
      </c>
      <c r="C63" s="39" t="s">
        <v>6039</v>
      </c>
      <c r="D63" s="41" t="s">
        <v>6011</v>
      </c>
      <c r="E63" s="41" t="s">
        <v>5880</v>
      </c>
      <c r="F63" s="41" t="s">
        <v>5926</v>
      </c>
      <c r="G63" s="41" t="s">
        <v>6040</v>
      </c>
      <c r="H63" s="41" t="s">
        <v>6041</v>
      </c>
      <c r="I63" s="218" t="s">
        <v>13</v>
      </c>
      <c r="M63" s="195"/>
    </row>
    <row r="64">
      <c r="A64" s="55" t="s">
        <v>693</v>
      </c>
      <c r="B64" s="39" t="s">
        <v>5788</v>
      </c>
      <c r="C64" s="39" t="s">
        <v>6042</v>
      </c>
      <c r="D64" s="41" t="s">
        <v>6043</v>
      </c>
      <c r="E64" s="41" t="s">
        <v>6044</v>
      </c>
      <c r="F64" s="41" t="s">
        <v>6045</v>
      </c>
      <c r="G64" s="41" t="s">
        <v>6046</v>
      </c>
      <c r="H64" s="41" t="s">
        <v>6047</v>
      </c>
      <c r="I64" s="217" t="s">
        <v>15</v>
      </c>
      <c r="M64" s="195"/>
    </row>
    <row r="65">
      <c r="A65" s="55" t="s">
        <v>696</v>
      </c>
      <c r="B65" s="39" t="s">
        <v>5788</v>
      </c>
      <c r="C65" s="39" t="s">
        <v>6048</v>
      </c>
      <c r="D65" s="41" t="s">
        <v>6049</v>
      </c>
      <c r="E65" s="41" t="s">
        <v>6050</v>
      </c>
      <c r="F65" s="41" t="s">
        <v>6045</v>
      </c>
      <c r="G65" s="41" t="s">
        <v>6051</v>
      </c>
      <c r="H65" s="41" t="s">
        <v>6052</v>
      </c>
      <c r="I65" s="217" t="s">
        <v>15</v>
      </c>
      <c r="M65" s="195"/>
    </row>
    <row r="66">
      <c r="A66" s="55" t="s">
        <v>700</v>
      </c>
      <c r="B66" s="39" t="s">
        <v>5788</v>
      </c>
      <c r="C66" s="39" t="s">
        <v>6053</v>
      </c>
      <c r="D66" s="41" t="s">
        <v>6054</v>
      </c>
      <c r="E66" s="41" t="s">
        <v>6055</v>
      </c>
      <c r="F66" s="41" t="s">
        <v>6056</v>
      </c>
      <c r="G66" s="41" t="s">
        <v>6057</v>
      </c>
      <c r="H66" s="41" t="s">
        <v>6058</v>
      </c>
      <c r="I66" s="218" t="s">
        <v>17</v>
      </c>
      <c r="M66" s="195"/>
    </row>
    <row r="67">
      <c r="A67" s="55" t="s">
        <v>704</v>
      </c>
      <c r="B67" s="177" t="s">
        <v>5788</v>
      </c>
      <c r="C67" s="111" t="s">
        <v>6059</v>
      </c>
      <c r="D67" s="111" t="s">
        <v>6060</v>
      </c>
      <c r="E67" s="111" t="s">
        <v>6061</v>
      </c>
      <c r="F67" s="111" t="s">
        <v>6062</v>
      </c>
      <c r="G67" s="111" t="s">
        <v>6063</v>
      </c>
      <c r="H67" s="176" t="s">
        <v>6058</v>
      </c>
      <c r="I67" s="219" t="s">
        <v>18</v>
      </c>
      <c r="J67" s="112"/>
      <c r="K67" s="112"/>
      <c r="L67" s="112"/>
      <c r="M67" s="220"/>
      <c r="N67" s="112"/>
      <c r="O67" s="112"/>
      <c r="P67" s="112"/>
      <c r="Q67" s="112"/>
      <c r="R67" s="112"/>
      <c r="S67" s="112"/>
      <c r="T67" s="112"/>
      <c r="U67" s="112"/>
      <c r="V67" s="112"/>
      <c r="W67" s="112"/>
      <c r="X67" s="112"/>
      <c r="Y67" s="112"/>
      <c r="Z67" s="112"/>
    </row>
    <row r="68">
      <c r="A68" s="55" t="s">
        <v>708</v>
      </c>
      <c r="B68" s="177" t="s">
        <v>5788</v>
      </c>
      <c r="C68" s="111" t="s">
        <v>6064</v>
      </c>
      <c r="D68" s="111" t="s">
        <v>6065</v>
      </c>
      <c r="E68" s="111" t="s">
        <v>6066</v>
      </c>
      <c r="F68" s="111" t="s">
        <v>6067</v>
      </c>
      <c r="G68" s="111" t="s">
        <v>6068</v>
      </c>
      <c r="H68" s="176" t="s">
        <v>6058</v>
      </c>
      <c r="I68" s="218" t="s">
        <v>18</v>
      </c>
      <c r="M68" s="195"/>
    </row>
    <row r="69">
      <c r="A69" s="55" t="s">
        <v>712</v>
      </c>
      <c r="B69" s="177" t="s">
        <v>5788</v>
      </c>
      <c r="C69" s="111" t="s">
        <v>6069</v>
      </c>
      <c r="D69" s="111" t="s">
        <v>6070</v>
      </c>
      <c r="E69" s="111" t="s">
        <v>6071</v>
      </c>
      <c r="F69" s="111" t="s">
        <v>6072</v>
      </c>
      <c r="G69" s="111" t="s">
        <v>6073</v>
      </c>
      <c r="H69" s="176" t="s">
        <v>6058</v>
      </c>
      <c r="I69" s="218" t="s">
        <v>17</v>
      </c>
      <c r="M69" s="195"/>
    </row>
    <row r="70">
      <c r="A70" s="55" t="s">
        <v>715</v>
      </c>
      <c r="B70" s="177" t="s">
        <v>5788</v>
      </c>
      <c r="C70" s="111" t="s">
        <v>6074</v>
      </c>
      <c r="D70" s="41" t="s">
        <v>6075</v>
      </c>
      <c r="E70" s="41" t="s">
        <v>6076</v>
      </c>
      <c r="F70" s="41" t="s">
        <v>6045</v>
      </c>
      <c r="G70" s="41" t="s">
        <v>6077</v>
      </c>
      <c r="H70" s="41" t="s">
        <v>6052</v>
      </c>
      <c r="I70" s="218" t="s">
        <v>16</v>
      </c>
      <c r="M70" s="195"/>
    </row>
    <row r="71">
      <c r="A71" s="55" t="s">
        <v>718</v>
      </c>
      <c r="B71" s="39" t="s">
        <v>5788</v>
      </c>
      <c r="C71" s="39" t="s">
        <v>6078</v>
      </c>
      <c r="D71" s="41" t="s">
        <v>6079</v>
      </c>
      <c r="E71" s="41" t="s">
        <v>6080</v>
      </c>
      <c r="F71" s="41" t="s">
        <v>6045</v>
      </c>
      <c r="G71" s="41" t="s">
        <v>6081</v>
      </c>
      <c r="H71" s="41" t="s">
        <v>6047</v>
      </c>
      <c r="I71" s="217" t="s">
        <v>15</v>
      </c>
      <c r="M71" s="195"/>
    </row>
    <row r="72">
      <c r="A72" s="55" t="s">
        <v>722</v>
      </c>
      <c r="B72" s="39" t="s">
        <v>5788</v>
      </c>
      <c r="C72" s="39" t="s">
        <v>6082</v>
      </c>
      <c r="D72" s="41" t="s">
        <v>6083</v>
      </c>
      <c r="E72" s="41" t="s">
        <v>6084</v>
      </c>
      <c r="F72" s="41" t="s">
        <v>6045</v>
      </c>
      <c r="G72" s="41" t="s">
        <v>6085</v>
      </c>
      <c r="H72" s="41" t="s">
        <v>6086</v>
      </c>
      <c r="I72" s="218" t="s">
        <v>17</v>
      </c>
      <c r="M72" s="195"/>
    </row>
    <row r="73">
      <c r="A73" s="55" t="s">
        <v>728</v>
      </c>
      <c r="B73" s="176" t="s">
        <v>5788</v>
      </c>
      <c r="C73" s="111" t="s">
        <v>6087</v>
      </c>
      <c r="D73" s="176" t="s">
        <v>6088</v>
      </c>
      <c r="E73" s="176" t="s">
        <v>5880</v>
      </c>
      <c r="F73" s="111" t="s">
        <v>6089</v>
      </c>
      <c r="G73" s="176" t="s">
        <v>6031</v>
      </c>
      <c r="H73" s="176" t="s">
        <v>6015</v>
      </c>
      <c r="I73" s="221" t="s">
        <v>17</v>
      </c>
      <c r="J73" s="207"/>
      <c r="K73" s="207"/>
      <c r="L73" s="207"/>
      <c r="M73" s="208"/>
      <c r="N73" s="207"/>
      <c r="O73" s="207"/>
      <c r="P73" s="207"/>
      <c r="Q73" s="207"/>
      <c r="R73" s="207"/>
      <c r="S73" s="207"/>
      <c r="T73" s="207"/>
      <c r="U73" s="207"/>
      <c r="V73" s="207"/>
      <c r="W73" s="207"/>
      <c r="X73" s="207"/>
      <c r="Y73" s="207"/>
      <c r="Z73" s="207"/>
    </row>
    <row r="74">
      <c r="A74" s="55" t="s">
        <v>733</v>
      </c>
      <c r="B74" s="39" t="s">
        <v>5788</v>
      </c>
      <c r="C74" s="39" t="s">
        <v>6090</v>
      </c>
      <c r="D74" s="39" t="s">
        <v>6091</v>
      </c>
      <c r="E74" s="197" t="s">
        <v>5517</v>
      </c>
      <c r="F74" s="41" t="s">
        <v>6092</v>
      </c>
      <c r="G74" s="41" t="s">
        <v>6093</v>
      </c>
      <c r="H74" s="41" t="s">
        <v>6094</v>
      </c>
      <c r="I74" s="218" t="s">
        <v>13</v>
      </c>
      <c r="M74" s="195"/>
    </row>
    <row r="75">
      <c r="A75" s="55" t="s">
        <v>736</v>
      </c>
      <c r="B75" s="39" t="s">
        <v>5788</v>
      </c>
      <c r="C75" s="39" t="s">
        <v>6095</v>
      </c>
      <c r="D75" s="39" t="s">
        <v>6096</v>
      </c>
      <c r="E75" s="197" t="s">
        <v>5517</v>
      </c>
      <c r="F75" s="41" t="s">
        <v>6097</v>
      </c>
      <c r="G75" s="41" t="s">
        <v>6098</v>
      </c>
      <c r="H75" s="41" t="s">
        <v>6099</v>
      </c>
      <c r="I75" s="218" t="s">
        <v>13</v>
      </c>
      <c r="M75" s="195"/>
    </row>
    <row r="76">
      <c r="A76" s="55" t="s">
        <v>741</v>
      </c>
      <c r="B76" s="39" t="s">
        <v>5788</v>
      </c>
      <c r="C76" s="39" t="s">
        <v>6100</v>
      </c>
      <c r="D76" s="41" t="s">
        <v>6101</v>
      </c>
      <c r="E76" s="41" t="s">
        <v>5880</v>
      </c>
      <c r="F76" s="41" t="s">
        <v>5926</v>
      </c>
      <c r="G76" s="41" t="s">
        <v>6040</v>
      </c>
      <c r="H76" s="41" t="s">
        <v>6102</v>
      </c>
      <c r="I76" s="218" t="s">
        <v>13</v>
      </c>
      <c r="M76" s="195"/>
    </row>
    <row r="77">
      <c r="A77" s="55" t="s">
        <v>745</v>
      </c>
      <c r="B77" s="39" t="s">
        <v>5788</v>
      </c>
      <c r="C77" s="39" t="s">
        <v>6103</v>
      </c>
      <c r="D77" s="41" t="s">
        <v>6104</v>
      </c>
      <c r="E77" s="41" t="s">
        <v>6105</v>
      </c>
      <c r="F77" s="41" t="s">
        <v>6045</v>
      </c>
      <c r="G77" s="41" t="s">
        <v>6106</v>
      </c>
      <c r="H77" s="41" t="s">
        <v>6107</v>
      </c>
      <c r="I77" s="218" t="s">
        <v>16</v>
      </c>
      <c r="M77" s="195"/>
    </row>
    <row r="78">
      <c r="A78" s="55" t="s">
        <v>750</v>
      </c>
      <c r="B78" s="39" t="s">
        <v>5788</v>
      </c>
      <c r="C78" s="39" t="s">
        <v>6030</v>
      </c>
      <c r="D78" s="41" t="s">
        <v>6088</v>
      </c>
      <c r="E78" s="41" t="s">
        <v>5880</v>
      </c>
      <c r="F78" s="41" t="s">
        <v>6108</v>
      </c>
      <c r="G78" s="41" t="s">
        <v>6031</v>
      </c>
      <c r="H78" s="41" t="s">
        <v>6015</v>
      </c>
      <c r="I78" s="218" t="s">
        <v>16</v>
      </c>
      <c r="M78" s="195"/>
    </row>
    <row r="79">
      <c r="A79" s="55" t="s">
        <v>756</v>
      </c>
      <c r="B79" s="39" t="s">
        <v>5788</v>
      </c>
      <c r="C79" s="39" t="s">
        <v>6109</v>
      </c>
      <c r="D79" s="41" t="s">
        <v>6049</v>
      </c>
      <c r="E79" s="41" t="s">
        <v>6050</v>
      </c>
      <c r="F79" s="41" t="s">
        <v>6045</v>
      </c>
      <c r="G79" s="41" t="s">
        <v>6051</v>
      </c>
      <c r="H79" s="41" t="s">
        <v>6052</v>
      </c>
      <c r="I79" s="217" t="s">
        <v>15</v>
      </c>
      <c r="M79" s="195"/>
    </row>
    <row r="80">
      <c r="A80" s="55" t="s">
        <v>761</v>
      </c>
      <c r="B80" s="39" t="s">
        <v>5788</v>
      </c>
      <c r="C80" s="39" t="s">
        <v>6053</v>
      </c>
      <c r="D80" s="41" t="s">
        <v>6054</v>
      </c>
      <c r="E80" s="41" t="s">
        <v>6055</v>
      </c>
      <c r="F80" s="41" t="s">
        <v>6056</v>
      </c>
      <c r="G80" s="41" t="s">
        <v>6110</v>
      </c>
      <c r="H80" s="41" t="s">
        <v>6058</v>
      </c>
      <c r="I80" s="218" t="s">
        <v>17</v>
      </c>
      <c r="M80" s="195"/>
    </row>
    <row r="81">
      <c r="A81" s="55" t="s">
        <v>767</v>
      </c>
      <c r="B81" s="177" t="s">
        <v>5788</v>
      </c>
      <c r="C81" s="111" t="s">
        <v>6111</v>
      </c>
      <c r="D81" s="111" t="s">
        <v>6060</v>
      </c>
      <c r="E81" s="111" t="s">
        <v>6061</v>
      </c>
      <c r="F81" s="111" t="s">
        <v>6062</v>
      </c>
      <c r="G81" s="111" t="s">
        <v>6063</v>
      </c>
      <c r="H81" s="176" t="s">
        <v>6058</v>
      </c>
      <c r="I81" s="219" t="s">
        <v>18</v>
      </c>
      <c r="J81" s="112"/>
      <c r="K81" s="112"/>
      <c r="L81" s="112"/>
      <c r="M81" s="220"/>
      <c r="N81" s="112"/>
      <c r="O81" s="112"/>
      <c r="P81" s="112"/>
      <c r="Q81" s="112"/>
      <c r="R81" s="112"/>
      <c r="S81" s="112"/>
      <c r="T81" s="112"/>
      <c r="U81" s="112"/>
      <c r="V81" s="112"/>
      <c r="W81" s="112"/>
      <c r="X81" s="112"/>
      <c r="Y81" s="112"/>
      <c r="Z81" s="112"/>
    </row>
    <row r="82">
      <c r="A82" s="55" t="s">
        <v>772</v>
      </c>
      <c r="B82" s="177" t="s">
        <v>5788</v>
      </c>
      <c r="C82" s="111" t="s">
        <v>6112</v>
      </c>
      <c r="D82" s="111" t="s">
        <v>6065</v>
      </c>
      <c r="E82" s="111" t="s">
        <v>6113</v>
      </c>
      <c r="F82" s="111" t="s">
        <v>6067</v>
      </c>
      <c r="G82" s="111" t="s">
        <v>6068</v>
      </c>
      <c r="H82" s="176" t="s">
        <v>6058</v>
      </c>
      <c r="I82" s="218" t="s">
        <v>18</v>
      </c>
      <c r="M82" s="195"/>
    </row>
    <row r="83">
      <c r="A83" s="55" t="s">
        <v>778</v>
      </c>
      <c r="B83" s="177" t="s">
        <v>5788</v>
      </c>
      <c r="C83" s="111" t="s">
        <v>6114</v>
      </c>
      <c r="D83" s="111" t="s">
        <v>6070</v>
      </c>
      <c r="E83" s="111" t="s">
        <v>6115</v>
      </c>
      <c r="F83" s="111" t="s">
        <v>6072</v>
      </c>
      <c r="G83" s="111" t="s">
        <v>6073</v>
      </c>
      <c r="H83" s="176" t="s">
        <v>6058</v>
      </c>
      <c r="I83" s="218" t="s">
        <v>17</v>
      </c>
      <c r="M83" s="195"/>
    </row>
    <row r="84">
      <c r="A84" s="55" t="s">
        <v>780</v>
      </c>
      <c r="B84" s="177" t="s">
        <v>5788</v>
      </c>
      <c r="C84" s="111" t="s">
        <v>6116</v>
      </c>
      <c r="D84" s="41" t="s">
        <v>6075</v>
      </c>
      <c r="E84" s="41" t="s">
        <v>6076</v>
      </c>
      <c r="F84" s="41" t="s">
        <v>6045</v>
      </c>
      <c r="G84" s="41" t="s">
        <v>6117</v>
      </c>
      <c r="H84" s="41" t="s">
        <v>6052</v>
      </c>
      <c r="I84" s="218" t="s">
        <v>16</v>
      </c>
      <c r="M84" s="195"/>
    </row>
    <row r="85">
      <c r="A85" s="55" t="s">
        <v>782</v>
      </c>
      <c r="B85" s="39" t="s">
        <v>5788</v>
      </c>
      <c r="C85" s="39" t="s">
        <v>6118</v>
      </c>
      <c r="D85" s="41" t="s">
        <v>6079</v>
      </c>
      <c r="E85" s="41" t="s">
        <v>6119</v>
      </c>
      <c r="F85" s="41" t="s">
        <v>6045</v>
      </c>
      <c r="G85" s="41" t="s">
        <v>6120</v>
      </c>
      <c r="H85" s="41" t="s">
        <v>6047</v>
      </c>
      <c r="I85" s="217" t="s">
        <v>15</v>
      </c>
      <c r="M85" s="195"/>
    </row>
    <row r="86">
      <c r="A86" s="55" t="s">
        <v>784</v>
      </c>
      <c r="B86" s="39" t="s">
        <v>5788</v>
      </c>
      <c r="C86" s="39" t="s">
        <v>6121</v>
      </c>
      <c r="D86" s="41" t="s">
        <v>6079</v>
      </c>
      <c r="E86" s="41" t="s">
        <v>6084</v>
      </c>
      <c r="F86" s="41" t="s">
        <v>6045</v>
      </c>
      <c r="G86" s="41" t="s">
        <v>6085</v>
      </c>
      <c r="H86" s="41" t="s">
        <v>6086</v>
      </c>
      <c r="I86" s="217" t="s">
        <v>15</v>
      </c>
      <c r="M86" s="195"/>
    </row>
    <row r="87">
      <c r="A87" s="55" t="s">
        <v>789</v>
      </c>
      <c r="B87" s="176" t="s">
        <v>5788</v>
      </c>
      <c r="C87" s="111" t="s">
        <v>6122</v>
      </c>
      <c r="D87" s="176" t="s">
        <v>6088</v>
      </c>
      <c r="E87" s="176" t="s">
        <v>5880</v>
      </c>
      <c r="F87" s="111" t="s">
        <v>6123</v>
      </c>
      <c r="G87" s="176" t="s">
        <v>6031</v>
      </c>
      <c r="H87" s="111" t="s">
        <v>6124</v>
      </c>
      <c r="I87" s="217" t="s">
        <v>15</v>
      </c>
      <c r="J87" s="207"/>
      <c r="K87" s="207"/>
      <c r="L87" s="207"/>
      <c r="M87" s="208"/>
      <c r="N87" s="207"/>
      <c r="O87" s="207"/>
      <c r="P87" s="207"/>
      <c r="Q87" s="207"/>
      <c r="R87" s="207"/>
      <c r="S87" s="207"/>
      <c r="T87" s="207"/>
      <c r="U87" s="207"/>
      <c r="V87" s="207"/>
      <c r="W87" s="207"/>
      <c r="X87" s="207"/>
      <c r="Y87" s="207"/>
      <c r="Z87" s="207"/>
    </row>
    <row r="88">
      <c r="A88" s="55" t="s">
        <v>793</v>
      </c>
      <c r="B88" s="176" t="s">
        <v>5788</v>
      </c>
      <c r="C88" s="111" t="s">
        <v>6125</v>
      </c>
      <c r="D88" s="176" t="s">
        <v>6088</v>
      </c>
      <c r="E88" s="176" t="s">
        <v>5880</v>
      </c>
      <c r="F88" s="111" t="s">
        <v>6123</v>
      </c>
      <c r="G88" s="176" t="s">
        <v>6031</v>
      </c>
      <c r="H88" s="176" t="s">
        <v>6015</v>
      </c>
      <c r="I88" s="217" t="s">
        <v>15</v>
      </c>
      <c r="J88" s="207"/>
      <c r="K88" s="207"/>
      <c r="L88" s="207"/>
      <c r="M88" s="208"/>
      <c r="N88" s="207"/>
      <c r="O88" s="207"/>
      <c r="P88" s="207"/>
      <c r="Q88" s="207"/>
      <c r="R88" s="207"/>
      <c r="S88" s="207"/>
      <c r="T88" s="207"/>
      <c r="U88" s="207"/>
      <c r="V88" s="207"/>
      <c r="W88" s="207"/>
      <c r="X88" s="207"/>
      <c r="Y88" s="207"/>
      <c r="Z88" s="207"/>
    </row>
    <row r="89">
      <c r="A89" s="55" t="s">
        <v>798</v>
      </c>
      <c r="B89" s="39" t="s">
        <v>5788</v>
      </c>
      <c r="C89" s="39" t="s">
        <v>6126</v>
      </c>
      <c r="D89" s="39" t="s">
        <v>6091</v>
      </c>
      <c r="E89" s="197" t="s">
        <v>5517</v>
      </c>
      <c r="F89" s="41" t="s">
        <v>6092</v>
      </c>
      <c r="G89" s="41" t="s">
        <v>6093</v>
      </c>
      <c r="H89" s="41" t="s">
        <v>6094</v>
      </c>
      <c r="I89" s="218" t="s">
        <v>13</v>
      </c>
      <c r="M89" s="195"/>
    </row>
    <row r="90">
      <c r="A90" s="55" t="s">
        <v>804</v>
      </c>
      <c r="B90" s="39" t="s">
        <v>5788</v>
      </c>
      <c r="C90" s="39" t="s">
        <v>6127</v>
      </c>
      <c r="D90" s="39" t="s">
        <v>6096</v>
      </c>
      <c r="E90" s="197" t="s">
        <v>5517</v>
      </c>
      <c r="F90" s="41" t="s">
        <v>6097</v>
      </c>
      <c r="G90" s="41" t="s">
        <v>6098</v>
      </c>
      <c r="H90" s="41" t="s">
        <v>6099</v>
      </c>
      <c r="I90" s="218" t="s">
        <v>13</v>
      </c>
      <c r="M90" s="195"/>
    </row>
    <row r="91">
      <c r="A91" s="55" t="s">
        <v>807</v>
      </c>
      <c r="B91" s="39" t="s">
        <v>5788</v>
      </c>
      <c r="C91" s="39" t="s">
        <v>6128</v>
      </c>
      <c r="D91" s="41" t="s">
        <v>6101</v>
      </c>
      <c r="E91" s="41" t="s">
        <v>5880</v>
      </c>
      <c r="F91" s="41" t="s">
        <v>5926</v>
      </c>
      <c r="G91" s="41" t="s">
        <v>6040</v>
      </c>
      <c r="H91" s="41" t="s">
        <v>6129</v>
      </c>
      <c r="I91" s="218" t="s">
        <v>13</v>
      </c>
      <c r="M91" s="195"/>
    </row>
    <row r="92">
      <c r="A92" s="222" t="s">
        <v>812</v>
      </c>
      <c r="B92" s="223" t="s">
        <v>5788</v>
      </c>
      <c r="C92" s="224" t="s">
        <v>6125</v>
      </c>
      <c r="D92" s="223" t="s">
        <v>6088</v>
      </c>
      <c r="E92" s="223" t="s">
        <v>5880</v>
      </c>
      <c r="F92" s="224" t="s">
        <v>6130</v>
      </c>
      <c r="G92" s="223" t="s">
        <v>6031</v>
      </c>
      <c r="H92" s="223" t="s">
        <v>6015</v>
      </c>
      <c r="I92" s="218" t="s">
        <v>13</v>
      </c>
      <c r="M92" s="195"/>
    </row>
    <row r="93">
      <c r="A93" s="225"/>
      <c r="D93" s="57"/>
      <c r="E93" s="123"/>
      <c r="F93" s="57"/>
      <c r="G93" s="57"/>
      <c r="H93" s="57"/>
      <c r="I93" s="195"/>
      <c r="M93" s="195"/>
    </row>
    <row r="94">
      <c r="A94" s="225"/>
      <c r="D94" s="57"/>
      <c r="E94" s="123"/>
      <c r="F94" s="57"/>
      <c r="G94" s="57"/>
      <c r="H94" s="57"/>
      <c r="I94" s="195"/>
      <c r="M94" s="195"/>
    </row>
    <row r="95">
      <c r="A95" s="225"/>
      <c r="D95" s="57"/>
      <c r="E95" s="123"/>
      <c r="F95" s="57"/>
      <c r="G95" s="57"/>
      <c r="H95" s="57"/>
      <c r="I95" s="195"/>
      <c r="M95" s="195"/>
    </row>
    <row r="96">
      <c r="D96" s="57"/>
      <c r="E96" s="123"/>
      <c r="F96" s="57"/>
      <c r="G96" s="57"/>
      <c r="H96" s="57"/>
      <c r="I96" s="195"/>
      <c r="M96" s="195"/>
    </row>
    <row r="97">
      <c r="D97" s="57"/>
      <c r="E97" s="123"/>
      <c r="F97" s="57"/>
      <c r="G97" s="57"/>
      <c r="H97" s="57"/>
      <c r="I97" s="195"/>
      <c r="M97" s="195"/>
    </row>
    <row r="98">
      <c r="D98" s="57"/>
      <c r="E98" s="123"/>
      <c r="F98" s="57"/>
      <c r="G98" s="57"/>
      <c r="H98" s="57"/>
      <c r="I98" s="195"/>
      <c r="M98" s="195"/>
    </row>
    <row r="99">
      <c r="D99" s="57"/>
      <c r="E99" s="123"/>
      <c r="F99" s="57"/>
      <c r="G99" s="57"/>
      <c r="H99" s="57"/>
      <c r="I99" s="195"/>
      <c r="M99" s="195"/>
    </row>
    <row r="100">
      <c r="D100" s="57"/>
      <c r="E100" s="123"/>
      <c r="F100" s="57"/>
      <c r="G100" s="57"/>
      <c r="H100" s="57"/>
      <c r="I100" s="195"/>
      <c r="M100" s="195"/>
    </row>
    <row r="101">
      <c r="D101" s="57"/>
      <c r="E101" s="123"/>
      <c r="F101" s="57"/>
      <c r="G101" s="57"/>
      <c r="H101" s="57"/>
      <c r="I101" s="195"/>
      <c r="M101" s="195"/>
    </row>
    <row r="102">
      <c r="D102" s="57"/>
      <c r="E102" s="123"/>
      <c r="F102" s="57"/>
      <c r="G102" s="57"/>
      <c r="H102" s="57"/>
      <c r="I102" s="195"/>
      <c r="M102" s="195"/>
    </row>
    <row r="103">
      <c r="D103" s="57"/>
      <c r="E103" s="123"/>
      <c r="F103" s="57"/>
      <c r="G103" s="57"/>
      <c r="H103" s="57"/>
      <c r="I103" s="195"/>
      <c r="M103" s="195"/>
    </row>
    <row r="104">
      <c r="D104" s="57"/>
      <c r="E104" s="123"/>
      <c r="F104" s="57"/>
      <c r="G104" s="57"/>
      <c r="H104" s="57"/>
      <c r="I104" s="195"/>
      <c r="M104" s="195"/>
    </row>
    <row r="105">
      <c r="D105" s="57"/>
      <c r="E105" s="123"/>
      <c r="F105" s="57"/>
      <c r="G105" s="57"/>
      <c r="H105" s="57"/>
      <c r="I105" s="195"/>
      <c r="M105" s="195"/>
    </row>
    <row r="106">
      <c r="D106" s="57"/>
      <c r="E106" s="123"/>
      <c r="F106" s="57"/>
      <c r="G106" s="57"/>
      <c r="H106" s="57"/>
      <c r="I106" s="195"/>
      <c r="M106" s="195"/>
    </row>
    <row r="107">
      <c r="D107" s="57"/>
      <c r="E107" s="123"/>
      <c r="F107" s="57"/>
      <c r="G107" s="57"/>
      <c r="H107" s="57"/>
      <c r="I107" s="195"/>
      <c r="M107" s="195"/>
    </row>
    <row r="108">
      <c r="D108" s="57"/>
      <c r="E108" s="123"/>
      <c r="F108" s="57"/>
      <c r="G108" s="57"/>
      <c r="H108" s="57"/>
      <c r="I108" s="195"/>
      <c r="M108" s="195"/>
    </row>
    <row r="109">
      <c r="D109" s="57"/>
      <c r="E109" s="123"/>
      <c r="F109" s="57"/>
      <c r="G109" s="57"/>
      <c r="H109" s="57"/>
      <c r="I109" s="195"/>
      <c r="M109" s="195"/>
    </row>
    <row r="110">
      <c r="D110" s="57"/>
      <c r="E110" s="123"/>
      <c r="F110" s="57"/>
      <c r="G110" s="57"/>
      <c r="H110" s="57"/>
      <c r="I110" s="195"/>
      <c r="M110" s="195"/>
    </row>
    <row r="111">
      <c r="D111" s="57"/>
      <c r="E111" s="123"/>
      <c r="F111" s="57"/>
      <c r="G111" s="57"/>
      <c r="H111" s="57"/>
      <c r="I111" s="195"/>
      <c r="M111" s="195"/>
    </row>
    <row r="112">
      <c r="D112" s="57"/>
      <c r="E112" s="123"/>
      <c r="F112" s="57"/>
      <c r="G112" s="57"/>
      <c r="H112" s="57"/>
      <c r="I112" s="195"/>
      <c r="M112" s="195"/>
    </row>
    <row r="113">
      <c r="D113" s="57"/>
      <c r="E113" s="123"/>
      <c r="F113" s="57"/>
      <c r="G113" s="57"/>
      <c r="H113" s="57"/>
      <c r="I113" s="195"/>
      <c r="M113" s="195"/>
    </row>
    <row r="114">
      <c r="D114" s="57"/>
      <c r="E114" s="123"/>
      <c r="F114" s="57"/>
      <c r="G114" s="57"/>
      <c r="H114" s="57"/>
      <c r="I114" s="195"/>
      <c r="M114" s="195"/>
    </row>
    <row r="115">
      <c r="D115" s="57"/>
      <c r="E115" s="123"/>
      <c r="F115" s="57"/>
      <c r="G115" s="57"/>
      <c r="H115" s="57"/>
      <c r="I115" s="195"/>
      <c r="M115" s="195"/>
    </row>
    <row r="116">
      <c r="D116" s="57"/>
      <c r="E116" s="123"/>
      <c r="F116" s="57"/>
      <c r="G116" s="57"/>
      <c r="H116" s="57"/>
      <c r="I116" s="195"/>
      <c r="M116" s="195"/>
    </row>
    <row r="117">
      <c r="D117" s="57"/>
      <c r="E117" s="123"/>
      <c r="F117" s="57"/>
      <c r="G117" s="57"/>
      <c r="H117" s="57"/>
      <c r="I117" s="195"/>
      <c r="M117" s="195"/>
    </row>
    <row r="118">
      <c r="D118" s="57"/>
      <c r="E118" s="123"/>
      <c r="F118" s="57"/>
      <c r="G118" s="57"/>
      <c r="H118" s="57"/>
      <c r="I118" s="195"/>
      <c r="M118" s="195"/>
    </row>
    <row r="119">
      <c r="D119" s="57"/>
      <c r="E119" s="123"/>
      <c r="F119" s="57"/>
      <c r="G119" s="57"/>
      <c r="H119" s="57"/>
      <c r="I119" s="195"/>
      <c r="M119" s="195"/>
    </row>
    <row r="120">
      <c r="D120" s="57"/>
      <c r="E120" s="123"/>
      <c r="F120" s="57"/>
      <c r="G120" s="57"/>
      <c r="H120" s="57"/>
      <c r="I120" s="195"/>
      <c r="M120" s="195"/>
    </row>
    <row r="121">
      <c r="D121" s="57"/>
      <c r="E121" s="123"/>
      <c r="F121" s="57"/>
      <c r="G121" s="57"/>
      <c r="H121" s="57"/>
      <c r="I121" s="195"/>
      <c r="M121" s="195"/>
    </row>
    <row r="122">
      <c r="D122" s="57"/>
      <c r="E122" s="123"/>
      <c r="F122" s="57"/>
      <c r="G122" s="57"/>
      <c r="H122" s="57"/>
      <c r="I122" s="195"/>
      <c r="M122" s="195"/>
    </row>
    <row r="123">
      <c r="D123" s="57"/>
      <c r="E123" s="123"/>
      <c r="F123" s="57"/>
      <c r="G123" s="57"/>
      <c r="H123" s="57"/>
      <c r="I123" s="195"/>
      <c r="M123" s="195"/>
    </row>
    <row r="124">
      <c r="D124" s="57"/>
      <c r="E124" s="123"/>
      <c r="F124" s="57"/>
      <c r="G124" s="57"/>
      <c r="H124" s="57"/>
      <c r="I124" s="195"/>
      <c r="M124" s="195"/>
    </row>
    <row r="125">
      <c r="D125" s="57"/>
      <c r="E125" s="123"/>
      <c r="F125" s="57"/>
      <c r="G125" s="57"/>
      <c r="H125" s="57"/>
      <c r="I125" s="195"/>
      <c r="M125" s="195"/>
    </row>
    <row r="126">
      <c r="D126" s="57"/>
      <c r="E126" s="123"/>
      <c r="F126" s="57"/>
      <c r="G126" s="57"/>
      <c r="H126" s="57"/>
      <c r="I126" s="195"/>
      <c r="M126" s="195"/>
    </row>
    <row r="127">
      <c r="D127" s="57"/>
      <c r="E127" s="123"/>
      <c r="F127" s="57"/>
      <c r="G127" s="57"/>
      <c r="H127" s="57"/>
      <c r="I127" s="195"/>
      <c r="M127" s="195"/>
    </row>
    <row r="128">
      <c r="D128" s="57"/>
      <c r="E128" s="123"/>
      <c r="F128" s="57"/>
      <c r="G128" s="57"/>
      <c r="H128" s="57"/>
      <c r="I128" s="195"/>
      <c r="M128" s="195"/>
    </row>
    <row r="129">
      <c r="D129" s="57"/>
      <c r="E129" s="123"/>
      <c r="F129" s="57"/>
      <c r="G129" s="57"/>
      <c r="H129" s="57"/>
      <c r="I129" s="195"/>
      <c r="M129" s="195"/>
    </row>
    <row r="130">
      <c r="D130" s="57"/>
      <c r="E130" s="123"/>
      <c r="F130" s="57"/>
      <c r="G130" s="57"/>
      <c r="H130" s="57"/>
      <c r="I130" s="195"/>
      <c r="M130" s="195"/>
    </row>
    <row r="131">
      <c r="D131" s="57"/>
      <c r="E131" s="123"/>
      <c r="F131" s="57"/>
      <c r="G131" s="57"/>
      <c r="H131" s="57"/>
      <c r="I131" s="195"/>
      <c r="M131" s="195"/>
    </row>
    <row r="132">
      <c r="D132" s="57"/>
      <c r="E132" s="123"/>
      <c r="F132" s="57"/>
      <c r="G132" s="57"/>
      <c r="H132" s="57"/>
      <c r="I132" s="195"/>
      <c r="M132" s="195"/>
    </row>
    <row r="133">
      <c r="D133" s="57"/>
      <c r="E133" s="123"/>
      <c r="F133" s="57"/>
      <c r="G133" s="57"/>
      <c r="H133" s="57"/>
      <c r="I133" s="195"/>
      <c r="M133" s="195"/>
    </row>
    <row r="134">
      <c r="D134" s="57"/>
      <c r="E134" s="123"/>
      <c r="F134" s="57"/>
      <c r="G134" s="57"/>
      <c r="H134" s="57"/>
      <c r="I134" s="195"/>
      <c r="M134" s="195"/>
    </row>
    <row r="135">
      <c r="D135" s="57"/>
      <c r="E135" s="123"/>
      <c r="F135" s="57"/>
      <c r="G135" s="57"/>
      <c r="H135" s="57"/>
      <c r="I135" s="195"/>
      <c r="M135" s="195"/>
    </row>
    <row r="136">
      <c r="D136" s="57"/>
      <c r="E136" s="123"/>
      <c r="F136" s="57"/>
      <c r="G136" s="57"/>
      <c r="H136" s="57"/>
      <c r="I136" s="195"/>
      <c r="M136" s="195"/>
    </row>
    <row r="137">
      <c r="D137" s="57"/>
      <c r="E137" s="123"/>
      <c r="F137" s="57"/>
      <c r="G137" s="57"/>
      <c r="H137" s="57"/>
      <c r="I137" s="195"/>
      <c r="M137" s="195"/>
    </row>
    <row r="138">
      <c r="D138" s="57"/>
      <c r="E138" s="123"/>
      <c r="F138" s="57"/>
      <c r="G138" s="57"/>
      <c r="H138" s="57"/>
      <c r="I138" s="195"/>
      <c r="M138" s="195"/>
    </row>
    <row r="139">
      <c r="D139" s="57"/>
      <c r="E139" s="123"/>
      <c r="F139" s="57"/>
      <c r="G139" s="57"/>
      <c r="H139" s="57"/>
      <c r="I139" s="195"/>
      <c r="M139" s="195"/>
    </row>
    <row r="140">
      <c r="D140" s="57"/>
      <c r="E140" s="123"/>
      <c r="F140" s="57"/>
      <c r="G140" s="57"/>
      <c r="H140" s="57"/>
      <c r="I140" s="195"/>
      <c r="M140" s="195"/>
    </row>
    <row r="141">
      <c r="D141" s="57"/>
      <c r="E141" s="123"/>
      <c r="F141" s="57"/>
      <c r="G141" s="57"/>
      <c r="H141" s="57"/>
      <c r="I141" s="195"/>
      <c r="M141" s="195"/>
    </row>
    <row r="142">
      <c r="D142" s="57"/>
      <c r="E142" s="123"/>
      <c r="F142" s="57"/>
      <c r="G142" s="57"/>
      <c r="H142" s="57"/>
      <c r="I142" s="195"/>
      <c r="M142" s="195"/>
    </row>
    <row r="143">
      <c r="D143" s="57"/>
      <c r="E143" s="123"/>
      <c r="F143" s="57"/>
      <c r="G143" s="57"/>
      <c r="H143" s="57"/>
      <c r="I143" s="195"/>
      <c r="M143" s="195"/>
    </row>
    <row r="144">
      <c r="D144" s="57"/>
      <c r="E144" s="123"/>
      <c r="F144" s="57"/>
      <c r="G144" s="57"/>
      <c r="H144" s="57"/>
      <c r="I144" s="195"/>
      <c r="M144" s="195"/>
    </row>
    <row r="145">
      <c r="D145" s="57"/>
      <c r="E145" s="123"/>
      <c r="F145" s="57"/>
      <c r="G145" s="57"/>
      <c r="H145" s="57"/>
      <c r="I145" s="195"/>
      <c r="M145" s="195"/>
    </row>
    <row r="146">
      <c r="D146" s="57"/>
      <c r="E146" s="123"/>
      <c r="F146" s="57"/>
      <c r="G146" s="57"/>
      <c r="H146" s="57"/>
      <c r="I146" s="195"/>
      <c r="M146" s="195"/>
    </row>
    <row r="147">
      <c r="D147" s="57"/>
      <c r="E147" s="123"/>
      <c r="F147" s="57"/>
      <c r="G147" s="57"/>
      <c r="H147" s="57"/>
      <c r="I147" s="195"/>
      <c r="M147" s="195"/>
    </row>
    <row r="148">
      <c r="D148" s="57"/>
      <c r="E148" s="123"/>
      <c r="F148" s="57"/>
      <c r="G148" s="57"/>
      <c r="H148" s="57"/>
      <c r="I148" s="195"/>
      <c r="M148" s="195"/>
    </row>
    <row r="149">
      <c r="D149" s="57"/>
      <c r="E149" s="123"/>
      <c r="F149" s="57"/>
      <c r="G149" s="57"/>
      <c r="H149" s="57"/>
      <c r="I149" s="195"/>
      <c r="M149" s="195"/>
    </row>
    <row r="150">
      <c r="D150" s="57"/>
      <c r="E150" s="123"/>
      <c r="F150" s="57"/>
      <c r="G150" s="57"/>
      <c r="H150" s="57"/>
      <c r="I150" s="195"/>
      <c r="M150" s="195"/>
    </row>
    <row r="151">
      <c r="D151" s="57"/>
      <c r="E151" s="123"/>
      <c r="F151" s="57"/>
      <c r="G151" s="57"/>
      <c r="H151" s="57"/>
      <c r="I151" s="195"/>
      <c r="M151" s="195"/>
    </row>
    <row r="152">
      <c r="D152" s="57"/>
      <c r="E152" s="123"/>
      <c r="F152" s="57"/>
      <c r="G152" s="57"/>
      <c r="H152" s="57"/>
      <c r="I152" s="195"/>
      <c r="M152" s="195"/>
    </row>
    <row r="153">
      <c r="D153" s="57"/>
      <c r="E153" s="123"/>
      <c r="F153" s="57"/>
      <c r="G153" s="57"/>
      <c r="H153" s="57"/>
      <c r="I153" s="195"/>
      <c r="M153" s="195"/>
    </row>
    <row r="154">
      <c r="D154" s="57"/>
      <c r="E154" s="123"/>
      <c r="F154" s="57"/>
      <c r="G154" s="57"/>
      <c r="H154" s="57"/>
      <c r="I154" s="195"/>
      <c r="M154" s="195"/>
    </row>
    <row r="155">
      <c r="D155" s="57"/>
      <c r="E155" s="123"/>
      <c r="F155" s="57"/>
      <c r="G155" s="57"/>
      <c r="H155" s="57"/>
      <c r="I155" s="195"/>
      <c r="M155" s="195"/>
    </row>
    <row r="156">
      <c r="D156" s="57"/>
      <c r="E156" s="123"/>
      <c r="F156" s="57"/>
      <c r="G156" s="57"/>
      <c r="H156" s="57"/>
      <c r="I156" s="195"/>
      <c r="M156" s="195"/>
    </row>
    <row r="157">
      <c r="D157" s="57"/>
      <c r="E157" s="123"/>
      <c r="F157" s="57"/>
      <c r="G157" s="57"/>
      <c r="H157" s="57"/>
      <c r="I157" s="195"/>
      <c r="M157" s="195"/>
    </row>
    <row r="158">
      <c r="D158" s="57"/>
      <c r="E158" s="123"/>
      <c r="F158" s="57"/>
      <c r="G158" s="57"/>
      <c r="H158" s="57"/>
      <c r="I158" s="195"/>
      <c r="M158" s="195"/>
    </row>
    <row r="159">
      <c r="D159" s="57"/>
      <c r="E159" s="123"/>
      <c r="F159" s="57"/>
      <c r="G159" s="57"/>
      <c r="H159" s="57"/>
      <c r="I159" s="195"/>
      <c r="M159" s="195"/>
    </row>
    <row r="160">
      <c r="D160" s="57"/>
      <c r="E160" s="123"/>
      <c r="F160" s="57"/>
      <c r="G160" s="57"/>
      <c r="H160" s="57"/>
      <c r="I160" s="195"/>
      <c r="M160" s="195"/>
    </row>
    <row r="161">
      <c r="D161" s="57"/>
      <c r="E161" s="123"/>
      <c r="F161" s="57"/>
      <c r="G161" s="57"/>
      <c r="H161" s="57"/>
      <c r="I161" s="195"/>
      <c r="M161" s="195"/>
    </row>
    <row r="162">
      <c r="D162" s="57"/>
      <c r="E162" s="123"/>
      <c r="F162" s="57"/>
      <c r="G162" s="57"/>
      <c r="H162" s="57"/>
      <c r="I162" s="195"/>
      <c r="M162" s="195"/>
    </row>
    <row r="163">
      <c r="D163" s="57"/>
      <c r="E163" s="123"/>
      <c r="F163" s="57"/>
      <c r="G163" s="57"/>
      <c r="H163" s="57"/>
      <c r="I163" s="195"/>
      <c r="M163" s="195"/>
    </row>
    <row r="164">
      <c r="D164" s="57"/>
      <c r="E164" s="123"/>
      <c r="F164" s="57"/>
      <c r="G164" s="57"/>
      <c r="H164" s="57"/>
      <c r="I164" s="195"/>
      <c r="M164" s="195"/>
    </row>
    <row r="165">
      <c r="D165" s="57"/>
      <c r="E165" s="123"/>
      <c r="F165" s="57"/>
      <c r="G165" s="57"/>
      <c r="H165" s="57"/>
      <c r="I165" s="195"/>
      <c r="M165" s="195"/>
    </row>
    <row r="166">
      <c r="D166" s="57"/>
      <c r="E166" s="123"/>
      <c r="F166" s="57"/>
      <c r="G166" s="57"/>
      <c r="H166" s="57"/>
      <c r="I166" s="195"/>
      <c r="M166" s="195"/>
    </row>
    <row r="167">
      <c r="D167" s="57"/>
      <c r="E167" s="123"/>
      <c r="F167" s="57"/>
      <c r="G167" s="57"/>
      <c r="H167" s="57"/>
      <c r="I167" s="195"/>
      <c r="M167" s="195"/>
    </row>
    <row r="168">
      <c r="D168" s="57"/>
      <c r="E168" s="123"/>
      <c r="F168" s="57"/>
      <c r="G168" s="57"/>
      <c r="H168" s="57"/>
      <c r="I168" s="195"/>
      <c r="M168" s="195"/>
    </row>
    <row r="169">
      <c r="D169" s="57"/>
      <c r="E169" s="123"/>
      <c r="F169" s="57"/>
      <c r="G169" s="57"/>
      <c r="H169" s="57"/>
      <c r="I169" s="195"/>
      <c r="M169" s="195"/>
    </row>
    <row r="170">
      <c r="D170" s="57"/>
      <c r="E170" s="123"/>
      <c r="F170" s="57"/>
      <c r="G170" s="57"/>
      <c r="H170" s="57"/>
      <c r="I170" s="195"/>
      <c r="M170" s="195"/>
    </row>
    <row r="171">
      <c r="D171" s="57"/>
      <c r="E171" s="123"/>
      <c r="F171" s="57"/>
      <c r="G171" s="57"/>
      <c r="H171" s="57"/>
      <c r="I171" s="195"/>
      <c r="M171" s="195"/>
    </row>
    <row r="172">
      <c r="D172" s="57"/>
      <c r="E172" s="123"/>
      <c r="F172" s="57"/>
      <c r="G172" s="57"/>
      <c r="H172" s="57"/>
      <c r="I172" s="195"/>
      <c r="M172" s="195"/>
    </row>
    <row r="173">
      <c r="D173" s="57"/>
      <c r="E173" s="123"/>
      <c r="F173" s="57"/>
      <c r="G173" s="57"/>
      <c r="H173" s="57"/>
      <c r="I173" s="195"/>
      <c r="M173" s="195"/>
    </row>
    <row r="174">
      <c r="D174" s="57"/>
      <c r="E174" s="123"/>
      <c r="F174" s="57"/>
      <c r="G174" s="57"/>
      <c r="H174" s="57"/>
      <c r="I174" s="195"/>
      <c r="M174" s="195"/>
    </row>
    <row r="175">
      <c r="D175" s="57"/>
      <c r="E175" s="123"/>
      <c r="F175" s="57"/>
      <c r="G175" s="57"/>
      <c r="H175" s="57"/>
      <c r="I175" s="195"/>
      <c r="M175" s="195"/>
    </row>
    <row r="176">
      <c r="D176" s="57"/>
      <c r="E176" s="123"/>
      <c r="F176" s="57"/>
      <c r="G176" s="57"/>
      <c r="H176" s="57"/>
      <c r="I176" s="195"/>
      <c r="M176" s="195"/>
    </row>
    <row r="177">
      <c r="D177" s="57"/>
      <c r="E177" s="123"/>
      <c r="F177" s="57"/>
      <c r="G177" s="57"/>
      <c r="H177" s="57"/>
      <c r="I177" s="195"/>
      <c r="M177" s="195"/>
    </row>
    <row r="178">
      <c r="D178" s="57"/>
      <c r="E178" s="123"/>
      <c r="F178" s="57"/>
      <c r="G178" s="57"/>
      <c r="H178" s="57"/>
      <c r="I178" s="195"/>
      <c r="M178" s="195"/>
    </row>
    <row r="179">
      <c r="D179" s="57"/>
      <c r="E179" s="123"/>
      <c r="F179" s="57"/>
      <c r="G179" s="57"/>
      <c r="H179" s="57"/>
      <c r="I179" s="195"/>
      <c r="M179" s="195"/>
    </row>
    <row r="180">
      <c r="D180" s="57"/>
      <c r="E180" s="123"/>
      <c r="F180" s="57"/>
      <c r="G180" s="57"/>
      <c r="H180" s="57"/>
      <c r="I180" s="195"/>
      <c r="M180" s="195"/>
    </row>
    <row r="181">
      <c r="D181" s="57"/>
      <c r="E181" s="123"/>
      <c r="F181" s="57"/>
      <c r="G181" s="57"/>
      <c r="H181" s="57"/>
      <c r="I181" s="195"/>
      <c r="M181" s="195"/>
    </row>
    <row r="182">
      <c r="D182" s="57"/>
      <c r="E182" s="123"/>
      <c r="F182" s="57"/>
      <c r="G182" s="57"/>
      <c r="H182" s="57"/>
      <c r="I182" s="195"/>
      <c r="M182" s="195"/>
    </row>
    <row r="183">
      <c r="D183" s="57"/>
      <c r="E183" s="123"/>
      <c r="F183" s="57"/>
      <c r="G183" s="57"/>
      <c r="H183" s="57"/>
      <c r="I183" s="195"/>
      <c r="M183" s="195"/>
    </row>
    <row r="184">
      <c r="D184" s="57"/>
      <c r="E184" s="123"/>
      <c r="F184" s="57"/>
      <c r="G184" s="57"/>
      <c r="H184" s="57"/>
      <c r="I184" s="195"/>
      <c r="M184" s="195"/>
    </row>
    <row r="185">
      <c r="D185" s="57"/>
      <c r="E185" s="123"/>
      <c r="F185" s="57"/>
      <c r="G185" s="57"/>
      <c r="H185" s="57"/>
      <c r="I185" s="195"/>
      <c r="M185" s="195"/>
    </row>
    <row r="186">
      <c r="D186" s="57"/>
      <c r="E186" s="123"/>
      <c r="F186" s="57"/>
      <c r="G186" s="57"/>
      <c r="H186" s="57"/>
      <c r="I186" s="195"/>
      <c r="M186" s="195"/>
    </row>
    <row r="187">
      <c r="D187" s="57"/>
      <c r="E187" s="123"/>
      <c r="F187" s="57"/>
      <c r="G187" s="57"/>
      <c r="H187" s="57"/>
      <c r="I187" s="195"/>
      <c r="M187" s="195"/>
    </row>
    <row r="188">
      <c r="D188" s="57"/>
      <c r="E188" s="123"/>
      <c r="F188" s="57"/>
      <c r="G188" s="57"/>
      <c r="H188" s="57"/>
      <c r="I188" s="195"/>
      <c r="M188" s="195"/>
    </row>
    <row r="189">
      <c r="D189" s="57"/>
      <c r="E189" s="123"/>
      <c r="F189" s="57"/>
      <c r="G189" s="57"/>
      <c r="H189" s="57"/>
      <c r="I189" s="195"/>
      <c r="M189" s="195"/>
    </row>
    <row r="190">
      <c r="D190" s="57"/>
      <c r="E190" s="123"/>
      <c r="F190" s="57"/>
      <c r="G190" s="57"/>
      <c r="H190" s="57"/>
      <c r="I190" s="195"/>
      <c r="M190" s="195"/>
    </row>
    <row r="191">
      <c r="D191" s="57"/>
      <c r="E191" s="123"/>
      <c r="F191" s="57"/>
      <c r="G191" s="57"/>
      <c r="H191" s="57"/>
      <c r="I191" s="195"/>
      <c r="M191" s="195"/>
    </row>
    <row r="192">
      <c r="D192" s="57"/>
      <c r="E192" s="123"/>
      <c r="F192" s="57"/>
      <c r="G192" s="57"/>
      <c r="H192" s="57"/>
      <c r="I192" s="195"/>
      <c r="M192" s="195"/>
    </row>
    <row r="193">
      <c r="D193" s="57"/>
      <c r="E193" s="123"/>
      <c r="F193" s="57"/>
      <c r="G193" s="57"/>
      <c r="H193" s="57"/>
      <c r="I193" s="195"/>
      <c r="M193" s="195"/>
    </row>
    <row r="194">
      <c r="D194" s="57"/>
      <c r="E194" s="123"/>
      <c r="F194" s="57"/>
      <c r="G194" s="57"/>
      <c r="H194" s="57"/>
      <c r="I194" s="195"/>
      <c r="M194" s="195"/>
    </row>
    <row r="195">
      <c r="D195" s="57"/>
      <c r="E195" s="123"/>
      <c r="F195" s="57"/>
      <c r="G195" s="57"/>
      <c r="H195" s="57"/>
      <c r="I195" s="195"/>
      <c r="M195" s="195"/>
    </row>
    <row r="196">
      <c r="D196" s="57"/>
      <c r="E196" s="123"/>
      <c r="F196" s="57"/>
      <c r="G196" s="57"/>
      <c r="H196" s="57"/>
      <c r="I196" s="195"/>
      <c r="M196" s="195"/>
    </row>
    <row r="197">
      <c r="D197" s="57"/>
      <c r="E197" s="123"/>
      <c r="F197" s="57"/>
      <c r="G197" s="57"/>
      <c r="H197" s="57"/>
      <c r="I197" s="195"/>
      <c r="M197" s="195"/>
    </row>
    <row r="198">
      <c r="D198" s="57"/>
      <c r="E198" s="123"/>
      <c r="F198" s="57"/>
      <c r="G198" s="57"/>
      <c r="H198" s="57"/>
      <c r="I198" s="195"/>
      <c r="M198" s="195"/>
    </row>
    <row r="199">
      <c r="D199" s="57"/>
      <c r="E199" s="123"/>
      <c r="F199" s="57"/>
      <c r="G199" s="57"/>
      <c r="H199" s="57"/>
      <c r="I199" s="195"/>
      <c r="M199" s="195"/>
    </row>
    <row r="200">
      <c r="D200" s="57"/>
      <c r="E200" s="123"/>
      <c r="F200" s="57"/>
      <c r="G200" s="57"/>
      <c r="H200" s="57"/>
      <c r="I200" s="195"/>
      <c r="M200" s="195"/>
    </row>
    <row r="201">
      <c r="D201" s="57"/>
      <c r="E201" s="123"/>
      <c r="F201" s="57"/>
      <c r="G201" s="57"/>
      <c r="H201" s="57"/>
      <c r="I201" s="195"/>
      <c r="M201" s="195"/>
    </row>
    <row r="202">
      <c r="D202" s="57"/>
      <c r="E202" s="123"/>
      <c r="F202" s="57"/>
      <c r="G202" s="57"/>
      <c r="H202" s="57"/>
      <c r="I202" s="195"/>
      <c r="M202" s="195"/>
    </row>
    <row r="203">
      <c r="D203" s="57"/>
      <c r="E203" s="123"/>
      <c r="F203" s="57"/>
      <c r="G203" s="57"/>
      <c r="H203" s="57"/>
      <c r="I203" s="195"/>
      <c r="M203" s="195"/>
    </row>
    <row r="204">
      <c r="D204" s="57"/>
      <c r="E204" s="123"/>
      <c r="F204" s="57"/>
      <c r="G204" s="57"/>
      <c r="H204" s="57"/>
      <c r="I204" s="195"/>
      <c r="M204" s="195"/>
    </row>
    <row r="205">
      <c r="D205" s="57"/>
      <c r="E205" s="123"/>
      <c r="F205" s="57"/>
      <c r="G205" s="57"/>
      <c r="H205" s="57"/>
      <c r="I205" s="195"/>
      <c r="M205" s="195"/>
    </row>
    <row r="206">
      <c r="D206" s="57"/>
      <c r="E206" s="123"/>
      <c r="F206" s="57"/>
      <c r="G206" s="57"/>
      <c r="H206" s="57"/>
      <c r="I206" s="195"/>
      <c r="M206" s="195"/>
    </row>
    <row r="207">
      <c r="D207" s="57"/>
      <c r="E207" s="123"/>
      <c r="F207" s="57"/>
      <c r="G207" s="57"/>
      <c r="H207" s="57"/>
      <c r="I207" s="195"/>
      <c r="M207" s="195"/>
    </row>
    <row r="208">
      <c r="D208" s="57"/>
      <c r="E208" s="123"/>
      <c r="F208" s="57"/>
      <c r="G208" s="57"/>
      <c r="H208" s="57"/>
      <c r="I208" s="195"/>
      <c r="M208" s="195"/>
    </row>
    <row r="209">
      <c r="D209" s="57"/>
      <c r="E209" s="123"/>
      <c r="F209" s="57"/>
      <c r="G209" s="57"/>
      <c r="H209" s="57"/>
      <c r="I209" s="195"/>
      <c r="M209" s="195"/>
    </row>
    <row r="210">
      <c r="D210" s="57"/>
      <c r="E210" s="123"/>
      <c r="F210" s="57"/>
      <c r="G210" s="57"/>
      <c r="H210" s="57"/>
      <c r="I210" s="195"/>
      <c r="M210" s="195"/>
    </row>
    <row r="211">
      <c r="D211" s="57"/>
      <c r="E211" s="123"/>
      <c r="F211" s="57"/>
      <c r="G211" s="57"/>
      <c r="H211" s="57"/>
      <c r="I211" s="195"/>
      <c r="M211" s="195"/>
    </row>
    <row r="212">
      <c r="D212" s="57"/>
      <c r="E212" s="123"/>
      <c r="F212" s="57"/>
      <c r="G212" s="57"/>
      <c r="H212" s="57"/>
      <c r="I212" s="195"/>
      <c r="M212" s="195"/>
    </row>
    <row r="213">
      <c r="D213" s="57"/>
      <c r="E213" s="123"/>
      <c r="F213" s="57"/>
      <c r="G213" s="57"/>
      <c r="H213" s="57"/>
      <c r="I213" s="195"/>
      <c r="M213" s="195"/>
    </row>
    <row r="214">
      <c r="D214" s="57"/>
      <c r="E214" s="123"/>
      <c r="F214" s="57"/>
      <c r="G214" s="57"/>
      <c r="H214" s="57"/>
      <c r="I214" s="195"/>
      <c r="M214" s="195"/>
    </row>
    <row r="215">
      <c r="D215" s="57"/>
      <c r="E215" s="123"/>
      <c r="F215" s="57"/>
      <c r="G215" s="57"/>
      <c r="H215" s="57"/>
      <c r="I215" s="195"/>
      <c r="M215" s="195"/>
    </row>
    <row r="216">
      <c r="D216" s="57"/>
      <c r="E216" s="123"/>
      <c r="F216" s="57"/>
      <c r="G216" s="57"/>
      <c r="H216" s="57"/>
      <c r="I216" s="195"/>
      <c r="M216" s="195"/>
    </row>
    <row r="217">
      <c r="D217" s="57"/>
      <c r="E217" s="123"/>
      <c r="F217" s="57"/>
      <c r="G217" s="57"/>
      <c r="H217" s="57"/>
      <c r="I217" s="195"/>
      <c r="M217" s="195"/>
    </row>
    <row r="218">
      <c r="D218" s="57"/>
      <c r="E218" s="123"/>
      <c r="F218" s="57"/>
      <c r="G218" s="57"/>
      <c r="H218" s="57"/>
      <c r="I218" s="195"/>
      <c r="M218" s="195"/>
    </row>
    <row r="219">
      <c r="D219" s="57"/>
      <c r="E219" s="123"/>
      <c r="F219" s="57"/>
      <c r="G219" s="57"/>
      <c r="H219" s="57"/>
      <c r="I219" s="195"/>
      <c r="M219" s="195"/>
    </row>
    <row r="220">
      <c r="D220" s="57"/>
      <c r="E220" s="123"/>
      <c r="F220" s="57"/>
      <c r="G220" s="57"/>
      <c r="H220" s="57"/>
      <c r="I220" s="195"/>
      <c r="M220" s="195"/>
    </row>
    <row r="221">
      <c r="D221" s="57"/>
      <c r="E221" s="123"/>
      <c r="F221" s="57"/>
      <c r="G221" s="57"/>
      <c r="H221" s="57"/>
      <c r="I221" s="195"/>
      <c r="M221" s="195"/>
    </row>
    <row r="222">
      <c r="D222" s="57"/>
      <c r="E222" s="123"/>
      <c r="F222" s="57"/>
      <c r="G222" s="57"/>
      <c r="H222" s="57"/>
      <c r="I222" s="195"/>
      <c r="M222" s="195"/>
    </row>
    <row r="223">
      <c r="D223" s="57"/>
      <c r="E223" s="123"/>
      <c r="F223" s="57"/>
      <c r="G223" s="57"/>
      <c r="H223" s="57"/>
      <c r="I223" s="195"/>
      <c r="M223" s="195"/>
    </row>
    <row r="224">
      <c r="D224" s="57"/>
      <c r="E224" s="123"/>
      <c r="F224" s="57"/>
      <c r="G224" s="57"/>
      <c r="H224" s="57"/>
      <c r="I224" s="195"/>
      <c r="M224" s="195"/>
    </row>
    <row r="225">
      <c r="D225" s="57"/>
      <c r="E225" s="123"/>
      <c r="F225" s="57"/>
      <c r="G225" s="57"/>
      <c r="H225" s="57"/>
      <c r="I225" s="195"/>
      <c r="M225" s="195"/>
    </row>
    <row r="226">
      <c r="D226" s="57"/>
      <c r="E226" s="123"/>
      <c r="F226" s="57"/>
      <c r="G226" s="57"/>
      <c r="H226" s="57"/>
      <c r="I226" s="195"/>
      <c r="M226" s="195"/>
    </row>
    <row r="227">
      <c r="D227" s="57"/>
      <c r="E227" s="123"/>
      <c r="F227" s="57"/>
      <c r="G227" s="57"/>
      <c r="H227" s="57"/>
      <c r="I227" s="195"/>
      <c r="M227" s="195"/>
    </row>
    <row r="228">
      <c r="D228" s="57"/>
      <c r="E228" s="123"/>
      <c r="F228" s="57"/>
      <c r="G228" s="57"/>
      <c r="H228" s="57"/>
      <c r="I228" s="195"/>
      <c r="M228" s="195"/>
    </row>
    <row r="229">
      <c r="D229" s="57"/>
      <c r="E229" s="123"/>
      <c r="F229" s="57"/>
      <c r="G229" s="57"/>
      <c r="H229" s="57"/>
      <c r="I229" s="195"/>
      <c r="M229" s="195"/>
    </row>
    <row r="230">
      <c r="D230" s="57"/>
      <c r="E230" s="123"/>
      <c r="F230" s="57"/>
      <c r="G230" s="57"/>
      <c r="H230" s="57"/>
      <c r="I230" s="195"/>
      <c r="M230" s="195"/>
    </row>
    <row r="231">
      <c r="D231" s="57"/>
      <c r="E231" s="123"/>
      <c r="F231" s="57"/>
      <c r="G231" s="57"/>
      <c r="H231" s="57"/>
      <c r="I231" s="195"/>
      <c r="M231" s="195"/>
    </row>
    <row r="232">
      <c r="D232" s="57"/>
      <c r="E232" s="123"/>
      <c r="F232" s="57"/>
      <c r="G232" s="57"/>
      <c r="H232" s="57"/>
      <c r="I232" s="195"/>
      <c r="M232" s="195"/>
    </row>
    <row r="233">
      <c r="D233" s="57"/>
      <c r="E233" s="123"/>
      <c r="F233" s="57"/>
      <c r="G233" s="57"/>
      <c r="H233" s="57"/>
      <c r="I233" s="195"/>
      <c r="M233" s="195"/>
    </row>
    <row r="234">
      <c r="D234" s="57"/>
      <c r="E234" s="123"/>
      <c r="F234" s="57"/>
      <c r="G234" s="57"/>
      <c r="H234" s="57"/>
      <c r="I234" s="195"/>
      <c r="M234" s="195"/>
    </row>
    <row r="235">
      <c r="D235" s="57"/>
      <c r="E235" s="123"/>
      <c r="F235" s="57"/>
      <c r="G235" s="57"/>
      <c r="H235" s="57"/>
      <c r="I235" s="195"/>
      <c r="M235" s="195"/>
    </row>
    <row r="236">
      <c r="D236" s="57"/>
      <c r="E236" s="123"/>
      <c r="F236" s="57"/>
      <c r="G236" s="57"/>
      <c r="H236" s="57"/>
      <c r="I236" s="195"/>
      <c r="M236" s="195"/>
    </row>
    <row r="237">
      <c r="D237" s="57"/>
      <c r="E237" s="123"/>
      <c r="F237" s="57"/>
      <c r="G237" s="57"/>
      <c r="H237" s="57"/>
      <c r="I237" s="195"/>
      <c r="M237" s="195"/>
    </row>
    <row r="238">
      <c r="D238" s="57"/>
      <c r="E238" s="123"/>
      <c r="F238" s="57"/>
      <c r="G238" s="57"/>
      <c r="H238" s="57"/>
      <c r="I238" s="195"/>
      <c r="M238" s="195"/>
    </row>
    <row r="239">
      <c r="D239" s="57"/>
      <c r="E239" s="123"/>
      <c r="F239" s="57"/>
      <c r="G239" s="57"/>
      <c r="H239" s="57"/>
      <c r="I239" s="195"/>
      <c r="M239" s="195"/>
    </row>
    <row r="240">
      <c r="D240" s="57"/>
      <c r="E240" s="123"/>
      <c r="F240" s="57"/>
      <c r="G240" s="57"/>
      <c r="H240" s="57"/>
      <c r="I240" s="195"/>
      <c r="M240" s="195"/>
    </row>
    <row r="241">
      <c r="D241" s="57"/>
      <c r="E241" s="123"/>
      <c r="F241" s="57"/>
      <c r="G241" s="57"/>
      <c r="H241" s="57"/>
      <c r="I241" s="195"/>
      <c r="M241" s="195"/>
    </row>
    <row r="242">
      <c r="D242" s="57"/>
      <c r="E242" s="123"/>
      <c r="F242" s="57"/>
      <c r="G242" s="57"/>
      <c r="H242" s="57"/>
      <c r="I242" s="195"/>
      <c r="M242" s="195"/>
    </row>
    <row r="243">
      <c r="D243" s="57"/>
      <c r="E243" s="123"/>
      <c r="F243" s="57"/>
      <c r="G243" s="57"/>
      <c r="H243" s="57"/>
      <c r="I243" s="195"/>
      <c r="M243" s="195"/>
    </row>
    <row r="244">
      <c r="D244" s="57"/>
      <c r="E244" s="123"/>
      <c r="F244" s="57"/>
      <c r="G244" s="57"/>
      <c r="H244" s="57"/>
      <c r="I244" s="195"/>
      <c r="M244" s="195"/>
    </row>
    <row r="245">
      <c r="D245" s="57"/>
      <c r="E245" s="123"/>
      <c r="F245" s="57"/>
      <c r="G245" s="57"/>
      <c r="H245" s="57"/>
      <c r="I245" s="195"/>
      <c r="M245" s="195"/>
    </row>
    <row r="246">
      <c r="D246" s="57"/>
      <c r="E246" s="123"/>
      <c r="F246" s="57"/>
      <c r="G246" s="57"/>
      <c r="H246" s="57"/>
      <c r="I246" s="195"/>
      <c r="M246" s="195"/>
    </row>
    <row r="247">
      <c r="D247" s="57"/>
      <c r="E247" s="123"/>
      <c r="F247" s="57"/>
      <c r="G247" s="57"/>
      <c r="H247" s="57"/>
      <c r="I247" s="195"/>
      <c r="M247" s="195"/>
    </row>
    <row r="248">
      <c r="D248" s="57"/>
      <c r="E248" s="123"/>
      <c r="F248" s="57"/>
      <c r="G248" s="57"/>
      <c r="H248" s="57"/>
      <c r="I248" s="195"/>
      <c r="M248" s="195"/>
    </row>
    <row r="249">
      <c r="D249" s="57"/>
      <c r="E249" s="123"/>
      <c r="F249" s="57"/>
      <c r="G249" s="57"/>
      <c r="H249" s="57"/>
      <c r="I249" s="195"/>
      <c r="M249" s="195"/>
    </row>
    <row r="250">
      <c r="D250" s="57"/>
      <c r="E250" s="123"/>
      <c r="F250" s="57"/>
      <c r="G250" s="57"/>
      <c r="H250" s="57"/>
      <c r="I250" s="195"/>
      <c r="M250" s="195"/>
    </row>
    <row r="251">
      <c r="D251" s="57"/>
      <c r="E251" s="123"/>
      <c r="F251" s="57"/>
      <c r="G251" s="57"/>
      <c r="H251" s="57"/>
      <c r="I251" s="195"/>
      <c r="M251" s="195"/>
    </row>
    <row r="252">
      <c r="D252" s="57"/>
      <c r="E252" s="123"/>
      <c r="F252" s="57"/>
      <c r="G252" s="57"/>
      <c r="H252" s="57"/>
      <c r="I252" s="195"/>
      <c r="M252" s="195"/>
    </row>
    <row r="253">
      <c r="D253" s="57"/>
      <c r="E253" s="123"/>
      <c r="F253" s="57"/>
      <c r="G253" s="57"/>
      <c r="H253" s="57"/>
      <c r="I253" s="195"/>
      <c r="M253" s="195"/>
    </row>
    <row r="254">
      <c r="D254" s="57"/>
      <c r="E254" s="123"/>
      <c r="F254" s="57"/>
      <c r="G254" s="57"/>
      <c r="H254" s="57"/>
      <c r="I254" s="195"/>
      <c r="M254" s="195"/>
    </row>
    <row r="255">
      <c r="D255" s="57"/>
      <c r="E255" s="123"/>
      <c r="F255" s="57"/>
      <c r="G255" s="57"/>
      <c r="H255" s="57"/>
      <c r="I255" s="195"/>
      <c r="M255" s="195"/>
    </row>
    <row r="256">
      <c r="D256" s="57"/>
      <c r="E256" s="123"/>
      <c r="F256" s="57"/>
      <c r="G256" s="57"/>
      <c r="H256" s="57"/>
      <c r="I256" s="195"/>
      <c r="M256" s="195"/>
    </row>
    <row r="257">
      <c r="D257" s="57"/>
      <c r="E257" s="123"/>
      <c r="F257" s="57"/>
      <c r="G257" s="57"/>
      <c r="H257" s="57"/>
      <c r="I257" s="195"/>
      <c r="M257" s="195"/>
    </row>
    <row r="258">
      <c r="D258" s="57"/>
      <c r="E258" s="123"/>
      <c r="F258" s="57"/>
      <c r="G258" s="57"/>
      <c r="H258" s="57"/>
      <c r="I258" s="195"/>
      <c r="M258" s="195"/>
    </row>
    <row r="259">
      <c r="D259" s="57"/>
      <c r="E259" s="123"/>
      <c r="F259" s="57"/>
      <c r="G259" s="57"/>
      <c r="H259" s="57"/>
      <c r="I259" s="195"/>
      <c r="M259" s="195"/>
    </row>
    <row r="260">
      <c r="D260" s="57"/>
      <c r="E260" s="123"/>
      <c r="F260" s="57"/>
      <c r="G260" s="57"/>
      <c r="H260" s="57"/>
      <c r="I260" s="195"/>
      <c r="M260" s="195"/>
    </row>
    <row r="261">
      <c r="D261" s="57"/>
      <c r="E261" s="123"/>
      <c r="F261" s="57"/>
      <c r="G261" s="57"/>
      <c r="H261" s="57"/>
      <c r="I261" s="195"/>
      <c r="M261" s="195"/>
    </row>
    <row r="262">
      <c r="D262" s="57"/>
      <c r="E262" s="123"/>
      <c r="F262" s="57"/>
      <c r="G262" s="57"/>
      <c r="H262" s="57"/>
      <c r="I262" s="195"/>
      <c r="M262" s="195"/>
    </row>
    <row r="263">
      <c r="D263" s="57"/>
      <c r="E263" s="123"/>
      <c r="F263" s="57"/>
      <c r="G263" s="57"/>
      <c r="H263" s="57"/>
      <c r="I263" s="195"/>
      <c r="M263" s="195"/>
    </row>
    <row r="264">
      <c r="D264" s="57"/>
      <c r="E264" s="123"/>
      <c r="F264" s="57"/>
      <c r="G264" s="57"/>
      <c r="H264" s="57"/>
      <c r="I264" s="195"/>
      <c r="M264" s="195"/>
    </row>
    <row r="265">
      <c r="D265" s="57"/>
      <c r="E265" s="123"/>
      <c r="F265" s="57"/>
      <c r="G265" s="57"/>
      <c r="H265" s="57"/>
      <c r="I265" s="195"/>
      <c r="M265" s="195"/>
    </row>
    <row r="266">
      <c r="D266" s="57"/>
      <c r="E266" s="123"/>
      <c r="F266" s="57"/>
      <c r="G266" s="57"/>
      <c r="H266" s="57"/>
      <c r="I266" s="195"/>
      <c r="M266" s="195"/>
    </row>
    <row r="267">
      <c r="D267" s="57"/>
      <c r="E267" s="123"/>
      <c r="F267" s="57"/>
      <c r="G267" s="57"/>
      <c r="H267" s="57"/>
      <c r="I267" s="195"/>
      <c r="M267" s="195"/>
    </row>
    <row r="268">
      <c r="D268" s="57"/>
      <c r="E268" s="123"/>
      <c r="F268" s="57"/>
      <c r="G268" s="57"/>
      <c r="H268" s="57"/>
      <c r="I268" s="195"/>
      <c r="M268" s="195"/>
    </row>
    <row r="269">
      <c r="D269" s="57"/>
      <c r="E269" s="123"/>
      <c r="F269" s="57"/>
      <c r="G269" s="57"/>
      <c r="H269" s="57"/>
      <c r="I269" s="195"/>
      <c r="M269" s="195"/>
    </row>
    <row r="270">
      <c r="D270" s="57"/>
      <c r="E270" s="123"/>
      <c r="F270" s="57"/>
      <c r="G270" s="57"/>
      <c r="H270" s="57"/>
      <c r="I270" s="195"/>
      <c r="M270" s="195"/>
    </row>
    <row r="271">
      <c r="D271" s="57"/>
      <c r="E271" s="123"/>
      <c r="F271" s="57"/>
      <c r="G271" s="57"/>
      <c r="H271" s="57"/>
      <c r="I271" s="195"/>
      <c r="M271" s="195"/>
    </row>
    <row r="272">
      <c r="D272" s="57"/>
      <c r="E272" s="123"/>
      <c r="F272" s="57"/>
      <c r="G272" s="57"/>
      <c r="H272" s="57"/>
      <c r="I272" s="195"/>
      <c r="M272" s="195"/>
    </row>
    <row r="273">
      <c r="D273" s="57"/>
      <c r="E273" s="123"/>
      <c r="F273" s="57"/>
      <c r="G273" s="57"/>
      <c r="H273" s="57"/>
      <c r="I273" s="195"/>
      <c r="M273" s="195"/>
    </row>
    <row r="274">
      <c r="D274" s="57"/>
      <c r="E274" s="123"/>
      <c r="F274" s="57"/>
      <c r="G274" s="57"/>
      <c r="H274" s="57"/>
      <c r="I274" s="195"/>
      <c r="M274" s="195"/>
    </row>
    <row r="275">
      <c r="D275" s="57"/>
      <c r="E275" s="123"/>
      <c r="F275" s="57"/>
      <c r="G275" s="57"/>
      <c r="H275" s="57"/>
      <c r="I275" s="195"/>
      <c r="M275" s="195"/>
    </row>
    <row r="276">
      <c r="D276" s="57"/>
      <c r="E276" s="123"/>
      <c r="F276" s="57"/>
      <c r="G276" s="57"/>
      <c r="H276" s="57"/>
      <c r="I276" s="195"/>
      <c r="M276" s="195"/>
    </row>
    <row r="277">
      <c r="D277" s="57"/>
      <c r="E277" s="123"/>
      <c r="F277" s="57"/>
      <c r="G277" s="57"/>
      <c r="H277" s="57"/>
      <c r="I277" s="195"/>
      <c r="M277" s="195"/>
    </row>
    <row r="278">
      <c r="D278" s="57"/>
      <c r="E278" s="123"/>
      <c r="F278" s="57"/>
      <c r="G278" s="57"/>
      <c r="H278" s="57"/>
      <c r="I278" s="195"/>
      <c r="M278" s="195"/>
    </row>
    <row r="279">
      <c r="D279" s="57"/>
      <c r="E279" s="123"/>
      <c r="F279" s="57"/>
      <c r="G279" s="57"/>
      <c r="H279" s="57"/>
      <c r="I279" s="195"/>
      <c r="M279" s="195"/>
    </row>
    <row r="280">
      <c r="D280" s="57"/>
      <c r="E280" s="123"/>
      <c r="F280" s="57"/>
      <c r="G280" s="57"/>
      <c r="H280" s="57"/>
      <c r="I280" s="195"/>
      <c r="M280" s="195"/>
    </row>
    <row r="281">
      <c r="D281" s="57"/>
      <c r="E281" s="123"/>
      <c r="F281" s="57"/>
      <c r="G281" s="57"/>
      <c r="H281" s="57"/>
      <c r="I281" s="195"/>
      <c r="M281" s="195"/>
    </row>
    <row r="282">
      <c r="D282" s="57"/>
      <c r="E282" s="123"/>
      <c r="F282" s="57"/>
      <c r="G282" s="57"/>
      <c r="H282" s="57"/>
      <c r="I282" s="195"/>
      <c r="M282" s="195"/>
    </row>
    <row r="283">
      <c r="D283" s="57"/>
      <c r="E283" s="123"/>
      <c r="F283" s="57"/>
      <c r="G283" s="57"/>
      <c r="H283" s="57"/>
      <c r="I283" s="195"/>
      <c r="M283" s="195"/>
    </row>
    <row r="284">
      <c r="D284" s="57"/>
      <c r="E284" s="123"/>
      <c r="F284" s="57"/>
      <c r="G284" s="57"/>
      <c r="H284" s="57"/>
      <c r="I284" s="195"/>
      <c r="M284" s="195"/>
    </row>
    <row r="285">
      <c r="D285" s="57"/>
      <c r="E285" s="123"/>
      <c r="F285" s="57"/>
      <c r="G285" s="57"/>
      <c r="H285" s="57"/>
      <c r="I285" s="195"/>
      <c r="M285" s="195"/>
    </row>
    <row r="286">
      <c r="D286" s="57"/>
      <c r="E286" s="123"/>
      <c r="F286" s="57"/>
      <c r="G286" s="57"/>
      <c r="H286" s="57"/>
      <c r="I286" s="195"/>
      <c r="M286" s="195"/>
    </row>
    <row r="287">
      <c r="D287" s="57"/>
      <c r="E287" s="123"/>
      <c r="F287" s="57"/>
      <c r="G287" s="57"/>
      <c r="H287" s="57"/>
      <c r="I287" s="195"/>
      <c r="M287" s="195"/>
    </row>
    <row r="288">
      <c r="D288" s="57"/>
      <c r="E288" s="123"/>
      <c r="F288" s="57"/>
      <c r="G288" s="57"/>
      <c r="H288" s="57"/>
      <c r="I288" s="195"/>
      <c r="M288" s="195"/>
    </row>
    <row r="289">
      <c r="D289" s="57"/>
      <c r="E289" s="123"/>
      <c r="F289" s="57"/>
      <c r="G289" s="57"/>
      <c r="H289" s="57"/>
      <c r="I289" s="195"/>
      <c r="M289" s="195"/>
    </row>
    <row r="290">
      <c r="D290" s="57"/>
      <c r="E290" s="123"/>
      <c r="F290" s="57"/>
      <c r="G290" s="57"/>
      <c r="H290" s="57"/>
      <c r="I290" s="195"/>
      <c r="M290" s="195"/>
    </row>
    <row r="291">
      <c r="D291" s="57"/>
      <c r="E291" s="123"/>
      <c r="F291" s="57"/>
      <c r="G291" s="57"/>
      <c r="H291" s="57"/>
      <c r="I291" s="195"/>
      <c r="M291" s="195"/>
    </row>
    <row r="292">
      <c r="D292" s="57"/>
      <c r="E292" s="123"/>
      <c r="F292" s="57"/>
      <c r="G292" s="57"/>
      <c r="H292" s="57"/>
      <c r="I292" s="195"/>
      <c r="M292" s="195"/>
    </row>
    <row r="293">
      <c r="D293" s="57"/>
      <c r="E293" s="123"/>
      <c r="F293" s="57"/>
      <c r="G293" s="57"/>
      <c r="H293" s="57"/>
      <c r="I293" s="195"/>
      <c r="M293" s="195"/>
    </row>
    <row r="294">
      <c r="D294" s="57"/>
      <c r="E294" s="123"/>
      <c r="F294" s="57"/>
      <c r="G294" s="57"/>
      <c r="H294" s="57"/>
      <c r="I294" s="195"/>
      <c r="M294" s="195"/>
    </row>
    <row r="295">
      <c r="D295" s="57"/>
      <c r="E295" s="123"/>
      <c r="F295" s="57"/>
      <c r="G295" s="57"/>
      <c r="H295" s="57"/>
      <c r="I295" s="195"/>
      <c r="M295" s="195"/>
    </row>
    <row r="296">
      <c r="D296" s="57"/>
      <c r="E296" s="123"/>
      <c r="F296" s="57"/>
      <c r="G296" s="57"/>
      <c r="H296" s="57"/>
      <c r="I296" s="195"/>
      <c r="M296" s="195"/>
    </row>
    <row r="297">
      <c r="D297" s="57"/>
      <c r="E297" s="123"/>
      <c r="F297" s="57"/>
      <c r="G297" s="57"/>
      <c r="H297" s="57"/>
      <c r="I297" s="195"/>
      <c r="M297" s="195"/>
    </row>
    <row r="298">
      <c r="D298" s="57"/>
      <c r="E298" s="123"/>
      <c r="F298" s="57"/>
      <c r="G298" s="57"/>
      <c r="H298" s="57"/>
      <c r="I298" s="195"/>
      <c r="M298" s="195"/>
    </row>
    <row r="299">
      <c r="D299" s="57"/>
      <c r="E299" s="123"/>
      <c r="F299" s="57"/>
      <c r="G299" s="57"/>
      <c r="H299" s="57"/>
      <c r="I299" s="195"/>
      <c r="M299" s="195"/>
    </row>
    <row r="300">
      <c r="D300" s="57"/>
      <c r="E300" s="123"/>
      <c r="F300" s="57"/>
      <c r="G300" s="57"/>
      <c r="H300" s="57"/>
      <c r="I300" s="195"/>
      <c r="M300" s="195"/>
    </row>
    <row r="301">
      <c r="D301" s="57"/>
      <c r="E301" s="123"/>
      <c r="F301" s="57"/>
      <c r="G301" s="57"/>
      <c r="H301" s="57"/>
      <c r="I301" s="195"/>
      <c r="M301" s="195"/>
    </row>
    <row r="302">
      <c r="D302" s="57"/>
      <c r="E302" s="123"/>
      <c r="F302" s="57"/>
      <c r="G302" s="57"/>
      <c r="H302" s="57"/>
      <c r="I302" s="195"/>
      <c r="M302" s="195"/>
    </row>
    <row r="303">
      <c r="D303" s="57"/>
      <c r="E303" s="123"/>
      <c r="F303" s="57"/>
      <c r="G303" s="57"/>
      <c r="H303" s="57"/>
      <c r="I303" s="195"/>
      <c r="M303" s="195"/>
    </row>
    <row r="304">
      <c r="D304" s="57"/>
      <c r="E304" s="123"/>
      <c r="F304" s="57"/>
      <c r="G304" s="57"/>
      <c r="H304" s="57"/>
      <c r="I304" s="195"/>
      <c r="M304" s="195"/>
    </row>
    <row r="305">
      <c r="D305" s="57"/>
      <c r="E305" s="123"/>
      <c r="F305" s="57"/>
      <c r="G305" s="57"/>
      <c r="H305" s="57"/>
      <c r="I305" s="195"/>
      <c r="M305" s="195"/>
    </row>
    <row r="306">
      <c r="D306" s="57"/>
      <c r="E306" s="123"/>
      <c r="F306" s="57"/>
      <c r="G306" s="57"/>
      <c r="H306" s="57"/>
      <c r="I306" s="195"/>
      <c r="M306" s="195"/>
    </row>
    <row r="307">
      <c r="D307" s="57"/>
      <c r="E307" s="123"/>
      <c r="F307" s="57"/>
      <c r="G307" s="57"/>
      <c r="H307" s="57"/>
      <c r="I307" s="195"/>
      <c r="M307" s="195"/>
    </row>
    <row r="308">
      <c r="D308" s="57"/>
      <c r="E308" s="123"/>
      <c r="F308" s="57"/>
      <c r="G308" s="57"/>
      <c r="H308" s="57"/>
      <c r="I308" s="195"/>
      <c r="M308" s="195"/>
    </row>
    <row r="309">
      <c r="D309" s="57"/>
      <c r="E309" s="123"/>
      <c r="F309" s="57"/>
      <c r="G309" s="57"/>
      <c r="H309" s="57"/>
      <c r="I309" s="195"/>
      <c r="M309" s="195"/>
    </row>
    <row r="310">
      <c r="D310" s="57"/>
      <c r="E310" s="123"/>
      <c r="F310" s="57"/>
      <c r="G310" s="57"/>
      <c r="H310" s="57"/>
      <c r="I310" s="195"/>
      <c r="M310" s="195"/>
    </row>
    <row r="311">
      <c r="D311" s="57"/>
      <c r="E311" s="123"/>
      <c r="F311" s="57"/>
      <c r="G311" s="57"/>
      <c r="H311" s="57"/>
      <c r="I311" s="195"/>
      <c r="M311" s="195"/>
    </row>
    <row r="312">
      <c r="D312" s="57"/>
      <c r="E312" s="123"/>
      <c r="F312" s="57"/>
      <c r="G312" s="57"/>
      <c r="H312" s="57"/>
      <c r="I312" s="195"/>
      <c r="M312" s="195"/>
    </row>
    <row r="313">
      <c r="D313" s="57"/>
      <c r="E313" s="123"/>
      <c r="F313" s="57"/>
      <c r="G313" s="57"/>
      <c r="H313" s="57"/>
      <c r="I313" s="195"/>
      <c r="M313" s="195"/>
    </row>
    <row r="314">
      <c r="D314" s="57"/>
      <c r="E314" s="123"/>
      <c r="F314" s="57"/>
      <c r="G314" s="57"/>
      <c r="H314" s="57"/>
      <c r="I314" s="195"/>
      <c r="M314" s="195"/>
    </row>
    <row r="315">
      <c r="D315" s="57"/>
      <c r="E315" s="123"/>
      <c r="F315" s="57"/>
      <c r="G315" s="57"/>
      <c r="H315" s="57"/>
      <c r="I315" s="195"/>
      <c r="M315" s="195"/>
    </row>
    <row r="316">
      <c r="D316" s="57"/>
      <c r="E316" s="123"/>
      <c r="F316" s="57"/>
      <c r="G316" s="57"/>
      <c r="H316" s="57"/>
      <c r="I316" s="195"/>
      <c r="M316" s="195"/>
    </row>
    <row r="317">
      <c r="D317" s="57"/>
      <c r="E317" s="123"/>
      <c r="F317" s="57"/>
      <c r="G317" s="57"/>
      <c r="H317" s="57"/>
      <c r="I317" s="195"/>
      <c r="M317" s="195"/>
    </row>
    <row r="318">
      <c r="D318" s="57"/>
      <c r="E318" s="123"/>
      <c r="F318" s="57"/>
      <c r="G318" s="57"/>
      <c r="H318" s="57"/>
      <c r="I318" s="195"/>
      <c r="M318" s="195"/>
    </row>
    <row r="319">
      <c r="D319" s="57"/>
      <c r="E319" s="123"/>
      <c r="F319" s="57"/>
      <c r="G319" s="57"/>
      <c r="H319" s="57"/>
      <c r="I319" s="195"/>
      <c r="M319" s="195"/>
    </row>
    <row r="320">
      <c r="D320" s="57"/>
      <c r="E320" s="123"/>
      <c r="F320" s="57"/>
      <c r="G320" s="57"/>
      <c r="H320" s="57"/>
      <c r="I320" s="195"/>
      <c r="M320" s="195"/>
    </row>
    <row r="321">
      <c r="D321" s="57"/>
      <c r="E321" s="123"/>
      <c r="F321" s="57"/>
      <c r="G321" s="57"/>
      <c r="H321" s="57"/>
      <c r="I321" s="195"/>
      <c r="M321" s="195"/>
    </row>
    <row r="322">
      <c r="D322" s="57"/>
      <c r="E322" s="123"/>
      <c r="F322" s="57"/>
      <c r="G322" s="57"/>
      <c r="H322" s="57"/>
      <c r="I322" s="195"/>
      <c r="M322" s="195"/>
    </row>
    <row r="323">
      <c r="D323" s="57"/>
      <c r="E323" s="123"/>
      <c r="F323" s="57"/>
      <c r="G323" s="57"/>
      <c r="H323" s="57"/>
      <c r="I323" s="195"/>
      <c r="M323" s="195"/>
    </row>
    <row r="324">
      <c r="D324" s="57"/>
      <c r="E324" s="123"/>
      <c r="F324" s="57"/>
      <c r="G324" s="57"/>
      <c r="H324" s="57"/>
      <c r="I324" s="195"/>
      <c r="M324" s="195"/>
    </row>
    <row r="325">
      <c r="D325" s="57"/>
      <c r="E325" s="123"/>
      <c r="F325" s="57"/>
      <c r="G325" s="57"/>
      <c r="H325" s="57"/>
      <c r="I325" s="195"/>
      <c r="M325" s="195"/>
    </row>
    <row r="326">
      <c r="D326" s="57"/>
      <c r="E326" s="123"/>
      <c r="F326" s="57"/>
      <c r="G326" s="57"/>
      <c r="H326" s="57"/>
      <c r="I326" s="195"/>
      <c r="M326" s="195"/>
    </row>
    <row r="327">
      <c r="D327" s="57"/>
      <c r="E327" s="123"/>
      <c r="F327" s="57"/>
      <c r="G327" s="57"/>
      <c r="H327" s="57"/>
      <c r="I327" s="195"/>
      <c r="M327" s="195"/>
    </row>
    <row r="328">
      <c r="D328" s="57"/>
      <c r="E328" s="123"/>
      <c r="F328" s="57"/>
      <c r="G328" s="57"/>
      <c r="H328" s="57"/>
      <c r="I328" s="195"/>
      <c r="M328" s="195"/>
    </row>
    <row r="329">
      <c r="D329" s="57"/>
      <c r="E329" s="123"/>
      <c r="F329" s="57"/>
      <c r="G329" s="57"/>
      <c r="H329" s="57"/>
      <c r="I329" s="195"/>
      <c r="M329" s="195"/>
    </row>
    <row r="330">
      <c r="D330" s="57"/>
      <c r="E330" s="123"/>
      <c r="F330" s="57"/>
      <c r="G330" s="57"/>
      <c r="H330" s="57"/>
      <c r="I330" s="195"/>
      <c r="M330" s="195"/>
    </row>
    <row r="331">
      <c r="D331" s="57"/>
      <c r="E331" s="123"/>
      <c r="F331" s="57"/>
      <c r="G331" s="57"/>
      <c r="H331" s="57"/>
      <c r="I331" s="195"/>
      <c r="M331" s="195"/>
    </row>
    <row r="332">
      <c r="D332" s="57"/>
      <c r="E332" s="123"/>
      <c r="F332" s="57"/>
      <c r="G332" s="57"/>
      <c r="H332" s="57"/>
      <c r="I332" s="195"/>
      <c r="M332" s="195"/>
    </row>
    <row r="333">
      <c r="D333" s="57"/>
      <c r="E333" s="123"/>
      <c r="F333" s="57"/>
      <c r="G333" s="57"/>
      <c r="H333" s="57"/>
      <c r="I333" s="195"/>
      <c r="M333" s="195"/>
    </row>
    <row r="334">
      <c r="D334" s="57"/>
      <c r="E334" s="123"/>
      <c r="F334" s="57"/>
      <c r="G334" s="57"/>
      <c r="H334" s="57"/>
      <c r="I334" s="195"/>
      <c r="M334" s="195"/>
    </row>
    <row r="335">
      <c r="D335" s="57"/>
      <c r="E335" s="123"/>
      <c r="F335" s="57"/>
      <c r="G335" s="57"/>
      <c r="H335" s="57"/>
      <c r="I335" s="195"/>
      <c r="M335" s="195"/>
    </row>
    <row r="336">
      <c r="D336" s="57"/>
      <c r="E336" s="123"/>
      <c r="F336" s="57"/>
      <c r="G336" s="57"/>
      <c r="H336" s="57"/>
      <c r="I336" s="195"/>
      <c r="M336" s="195"/>
    </row>
    <row r="337">
      <c r="D337" s="57"/>
      <c r="E337" s="123"/>
      <c r="F337" s="57"/>
      <c r="G337" s="57"/>
      <c r="H337" s="57"/>
      <c r="I337" s="195"/>
      <c r="M337" s="195"/>
    </row>
    <row r="338">
      <c r="D338" s="57"/>
      <c r="E338" s="123"/>
      <c r="F338" s="57"/>
      <c r="G338" s="57"/>
      <c r="H338" s="57"/>
      <c r="I338" s="195"/>
      <c r="M338" s="195"/>
    </row>
    <row r="339">
      <c r="D339" s="57"/>
      <c r="E339" s="123"/>
      <c r="F339" s="57"/>
      <c r="G339" s="57"/>
      <c r="H339" s="57"/>
      <c r="I339" s="195"/>
      <c r="M339" s="195"/>
    </row>
    <row r="340">
      <c r="D340" s="57"/>
      <c r="E340" s="123"/>
      <c r="F340" s="57"/>
      <c r="G340" s="57"/>
      <c r="H340" s="57"/>
      <c r="I340" s="195"/>
      <c r="M340" s="195"/>
    </row>
    <row r="341">
      <c r="D341" s="57"/>
      <c r="E341" s="123"/>
      <c r="F341" s="57"/>
      <c r="G341" s="57"/>
      <c r="H341" s="57"/>
      <c r="I341" s="195"/>
      <c r="M341" s="195"/>
    </row>
    <row r="342">
      <c r="D342" s="57"/>
      <c r="E342" s="123"/>
      <c r="F342" s="57"/>
      <c r="G342" s="57"/>
      <c r="H342" s="57"/>
      <c r="I342" s="195"/>
      <c r="M342" s="195"/>
    </row>
    <row r="343">
      <c r="D343" s="57"/>
      <c r="E343" s="123"/>
      <c r="F343" s="57"/>
      <c r="G343" s="57"/>
      <c r="H343" s="57"/>
      <c r="I343" s="195"/>
      <c r="M343" s="195"/>
    </row>
    <row r="344">
      <c r="D344" s="57"/>
      <c r="E344" s="123"/>
      <c r="F344" s="57"/>
      <c r="G344" s="57"/>
      <c r="H344" s="57"/>
      <c r="I344" s="195"/>
      <c r="M344" s="195"/>
    </row>
    <row r="345">
      <c r="D345" s="57"/>
      <c r="E345" s="123"/>
      <c r="F345" s="57"/>
      <c r="G345" s="57"/>
      <c r="H345" s="57"/>
      <c r="I345" s="195"/>
      <c r="M345" s="195"/>
    </row>
    <row r="346">
      <c r="D346" s="57"/>
      <c r="E346" s="123"/>
      <c r="F346" s="57"/>
      <c r="G346" s="57"/>
      <c r="H346" s="57"/>
      <c r="I346" s="195"/>
      <c r="M346" s="195"/>
    </row>
    <row r="347">
      <c r="D347" s="57"/>
      <c r="E347" s="123"/>
      <c r="F347" s="57"/>
      <c r="G347" s="57"/>
      <c r="H347" s="57"/>
      <c r="I347" s="195"/>
      <c r="M347" s="195"/>
    </row>
    <row r="348">
      <c r="D348" s="57"/>
      <c r="E348" s="123"/>
      <c r="F348" s="57"/>
      <c r="G348" s="57"/>
      <c r="H348" s="57"/>
      <c r="I348" s="195"/>
      <c r="M348" s="195"/>
    </row>
    <row r="349">
      <c r="D349" s="57"/>
      <c r="E349" s="123"/>
      <c r="F349" s="57"/>
      <c r="G349" s="57"/>
      <c r="H349" s="57"/>
      <c r="I349" s="195"/>
      <c r="M349" s="195"/>
    </row>
    <row r="350">
      <c r="D350" s="57"/>
      <c r="E350" s="123"/>
      <c r="F350" s="57"/>
      <c r="G350" s="57"/>
      <c r="H350" s="57"/>
      <c r="I350" s="195"/>
      <c r="M350" s="195"/>
    </row>
    <row r="351">
      <c r="D351" s="57"/>
      <c r="E351" s="123"/>
      <c r="F351" s="57"/>
      <c r="G351" s="57"/>
      <c r="H351" s="57"/>
      <c r="I351" s="195"/>
      <c r="M351" s="195"/>
    </row>
    <row r="352">
      <c r="D352" s="57"/>
      <c r="E352" s="123"/>
      <c r="F352" s="57"/>
      <c r="G352" s="57"/>
      <c r="H352" s="57"/>
      <c r="I352" s="195"/>
      <c r="M352" s="195"/>
    </row>
    <row r="353">
      <c r="D353" s="57"/>
      <c r="E353" s="123"/>
      <c r="F353" s="57"/>
      <c r="G353" s="57"/>
      <c r="H353" s="57"/>
      <c r="I353" s="195"/>
      <c r="M353" s="195"/>
    </row>
    <row r="354">
      <c r="D354" s="57"/>
      <c r="E354" s="123"/>
      <c r="F354" s="57"/>
      <c r="G354" s="57"/>
      <c r="H354" s="57"/>
      <c r="I354" s="195"/>
      <c r="M354" s="195"/>
    </row>
    <row r="355">
      <c r="D355" s="57"/>
      <c r="E355" s="123"/>
      <c r="F355" s="57"/>
      <c r="G355" s="57"/>
      <c r="H355" s="57"/>
      <c r="I355" s="195"/>
      <c r="M355" s="195"/>
    </row>
    <row r="356">
      <c r="D356" s="57"/>
      <c r="E356" s="123"/>
      <c r="F356" s="57"/>
      <c r="G356" s="57"/>
      <c r="H356" s="57"/>
      <c r="I356" s="195"/>
      <c r="M356" s="195"/>
    </row>
    <row r="357">
      <c r="D357" s="57"/>
      <c r="E357" s="123"/>
      <c r="F357" s="57"/>
      <c r="G357" s="57"/>
      <c r="H357" s="57"/>
      <c r="I357" s="195"/>
      <c r="M357" s="195"/>
    </row>
    <row r="358">
      <c r="D358" s="57"/>
      <c r="E358" s="123"/>
      <c r="F358" s="57"/>
      <c r="G358" s="57"/>
      <c r="H358" s="57"/>
      <c r="I358" s="195"/>
      <c r="M358" s="195"/>
    </row>
    <row r="359">
      <c r="D359" s="57"/>
      <c r="E359" s="123"/>
      <c r="F359" s="57"/>
      <c r="G359" s="57"/>
      <c r="H359" s="57"/>
      <c r="I359" s="195"/>
      <c r="M359" s="195"/>
    </row>
    <row r="360">
      <c r="D360" s="57"/>
      <c r="E360" s="123"/>
      <c r="F360" s="57"/>
      <c r="G360" s="57"/>
      <c r="H360" s="57"/>
      <c r="I360" s="195"/>
      <c r="M360" s="195"/>
    </row>
    <row r="361">
      <c r="D361" s="57"/>
      <c r="E361" s="123"/>
      <c r="F361" s="57"/>
      <c r="G361" s="57"/>
      <c r="H361" s="57"/>
      <c r="I361" s="195"/>
      <c r="M361" s="195"/>
    </row>
    <row r="362">
      <c r="D362" s="57"/>
      <c r="E362" s="123"/>
      <c r="F362" s="57"/>
      <c r="G362" s="57"/>
      <c r="H362" s="57"/>
      <c r="I362" s="195"/>
      <c r="M362" s="195"/>
    </row>
    <row r="363">
      <c r="D363" s="57"/>
      <c r="E363" s="123"/>
      <c r="F363" s="57"/>
      <c r="G363" s="57"/>
      <c r="H363" s="57"/>
      <c r="I363" s="195"/>
      <c r="M363" s="195"/>
    </row>
    <row r="364">
      <c r="D364" s="57"/>
      <c r="E364" s="123"/>
      <c r="F364" s="57"/>
      <c r="G364" s="57"/>
      <c r="H364" s="57"/>
      <c r="I364" s="195"/>
      <c r="M364" s="195"/>
    </row>
    <row r="365">
      <c r="D365" s="57"/>
      <c r="E365" s="123"/>
      <c r="F365" s="57"/>
      <c r="G365" s="57"/>
      <c r="H365" s="57"/>
      <c r="I365" s="195"/>
      <c r="M365" s="195"/>
    </row>
    <row r="366">
      <c r="D366" s="57"/>
      <c r="E366" s="123"/>
      <c r="F366" s="57"/>
      <c r="G366" s="57"/>
      <c r="H366" s="57"/>
      <c r="I366" s="195"/>
      <c r="M366" s="195"/>
    </row>
    <row r="367">
      <c r="D367" s="57"/>
      <c r="E367" s="123"/>
      <c r="F367" s="57"/>
      <c r="G367" s="57"/>
      <c r="H367" s="57"/>
      <c r="I367" s="195"/>
      <c r="M367" s="195"/>
    </row>
    <row r="368">
      <c r="D368" s="57"/>
      <c r="E368" s="123"/>
      <c r="F368" s="57"/>
      <c r="G368" s="57"/>
      <c r="H368" s="57"/>
      <c r="I368" s="195"/>
      <c r="M368" s="195"/>
    </row>
    <row r="369">
      <c r="D369" s="57"/>
      <c r="E369" s="123"/>
      <c r="F369" s="57"/>
      <c r="G369" s="57"/>
      <c r="H369" s="57"/>
      <c r="I369" s="195"/>
      <c r="M369" s="195"/>
    </row>
    <row r="370">
      <c r="D370" s="57"/>
      <c r="E370" s="123"/>
      <c r="F370" s="57"/>
      <c r="G370" s="57"/>
      <c r="H370" s="57"/>
      <c r="I370" s="195"/>
      <c r="M370" s="195"/>
    </row>
    <row r="371">
      <c r="D371" s="57"/>
      <c r="E371" s="123"/>
      <c r="F371" s="57"/>
      <c r="G371" s="57"/>
      <c r="H371" s="57"/>
      <c r="I371" s="195"/>
      <c r="M371" s="195"/>
    </row>
    <row r="372">
      <c r="D372" s="57"/>
      <c r="E372" s="123"/>
      <c r="F372" s="57"/>
      <c r="G372" s="57"/>
      <c r="H372" s="57"/>
      <c r="I372" s="195"/>
      <c r="M372" s="195"/>
    </row>
    <row r="373">
      <c r="D373" s="57"/>
      <c r="E373" s="123"/>
      <c r="F373" s="57"/>
      <c r="G373" s="57"/>
      <c r="H373" s="57"/>
      <c r="I373" s="195"/>
      <c r="M373" s="195"/>
    </row>
    <row r="374">
      <c r="D374" s="57"/>
      <c r="E374" s="123"/>
      <c r="F374" s="57"/>
      <c r="G374" s="57"/>
      <c r="H374" s="57"/>
      <c r="I374" s="195"/>
      <c r="M374" s="195"/>
    </row>
    <row r="375">
      <c r="D375" s="57"/>
      <c r="E375" s="123"/>
      <c r="F375" s="57"/>
      <c r="G375" s="57"/>
      <c r="H375" s="57"/>
      <c r="I375" s="195"/>
      <c r="M375" s="195"/>
    </row>
    <row r="376">
      <c r="D376" s="57"/>
      <c r="E376" s="123"/>
      <c r="F376" s="57"/>
      <c r="G376" s="57"/>
      <c r="H376" s="57"/>
      <c r="I376" s="195"/>
      <c r="M376" s="195"/>
    </row>
    <row r="377">
      <c r="D377" s="57"/>
      <c r="E377" s="123"/>
      <c r="F377" s="57"/>
      <c r="G377" s="57"/>
      <c r="H377" s="57"/>
      <c r="I377" s="195"/>
      <c r="M377" s="195"/>
    </row>
    <row r="378">
      <c r="D378" s="57"/>
      <c r="E378" s="123"/>
      <c r="F378" s="57"/>
      <c r="G378" s="57"/>
      <c r="H378" s="57"/>
      <c r="I378" s="195"/>
      <c r="M378" s="195"/>
    </row>
    <row r="379">
      <c r="D379" s="57"/>
      <c r="E379" s="123"/>
      <c r="F379" s="57"/>
      <c r="G379" s="57"/>
      <c r="H379" s="57"/>
      <c r="I379" s="195"/>
      <c r="M379" s="195"/>
    </row>
    <row r="380">
      <c r="D380" s="57"/>
      <c r="E380" s="123"/>
      <c r="F380" s="57"/>
      <c r="G380" s="57"/>
      <c r="H380" s="57"/>
      <c r="I380" s="195"/>
      <c r="M380" s="195"/>
    </row>
    <row r="381">
      <c r="D381" s="57"/>
      <c r="E381" s="123"/>
      <c r="F381" s="57"/>
      <c r="G381" s="57"/>
      <c r="H381" s="57"/>
      <c r="I381" s="195"/>
      <c r="M381" s="195"/>
    </row>
    <row r="382">
      <c r="D382" s="57"/>
      <c r="E382" s="123"/>
      <c r="F382" s="57"/>
      <c r="G382" s="57"/>
      <c r="H382" s="57"/>
      <c r="I382" s="195"/>
      <c r="M382" s="195"/>
    </row>
    <row r="383">
      <c r="D383" s="57"/>
      <c r="E383" s="123"/>
      <c r="F383" s="57"/>
      <c r="G383" s="57"/>
      <c r="H383" s="57"/>
      <c r="I383" s="195"/>
      <c r="M383" s="195"/>
    </row>
    <row r="384">
      <c r="D384" s="57"/>
      <c r="E384" s="123"/>
      <c r="F384" s="57"/>
      <c r="G384" s="57"/>
      <c r="H384" s="57"/>
      <c r="I384" s="195"/>
      <c r="M384" s="195"/>
    </row>
    <row r="385">
      <c r="D385" s="57"/>
      <c r="E385" s="123"/>
      <c r="F385" s="57"/>
      <c r="G385" s="57"/>
      <c r="H385" s="57"/>
      <c r="I385" s="195"/>
      <c r="M385" s="195"/>
    </row>
    <row r="386">
      <c r="D386" s="57"/>
      <c r="E386" s="123"/>
      <c r="F386" s="57"/>
      <c r="G386" s="57"/>
      <c r="H386" s="57"/>
      <c r="I386" s="195"/>
      <c r="M386" s="195"/>
    </row>
    <row r="387">
      <c r="D387" s="57"/>
      <c r="E387" s="123"/>
      <c r="F387" s="57"/>
      <c r="G387" s="57"/>
      <c r="H387" s="57"/>
      <c r="I387" s="195"/>
      <c r="M387" s="195"/>
    </row>
    <row r="388">
      <c r="D388" s="57"/>
      <c r="E388" s="123"/>
      <c r="F388" s="57"/>
      <c r="G388" s="57"/>
      <c r="H388" s="57"/>
      <c r="I388" s="195"/>
      <c r="M388" s="195"/>
    </row>
    <row r="389">
      <c r="D389" s="57"/>
      <c r="E389" s="123"/>
      <c r="F389" s="57"/>
      <c r="G389" s="57"/>
      <c r="H389" s="57"/>
      <c r="I389" s="195"/>
      <c r="M389" s="195"/>
    </row>
    <row r="390">
      <c r="D390" s="57"/>
      <c r="E390" s="123"/>
      <c r="F390" s="57"/>
      <c r="G390" s="57"/>
      <c r="H390" s="57"/>
      <c r="I390" s="195"/>
      <c r="M390" s="195"/>
    </row>
    <row r="391">
      <c r="D391" s="57"/>
      <c r="E391" s="123"/>
      <c r="F391" s="57"/>
      <c r="G391" s="57"/>
      <c r="H391" s="57"/>
      <c r="I391" s="195"/>
      <c r="M391" s="195"/>
    </row>
    <row r="392">
      <c r="D392" s="57"/>
      <c r="E392" s="123"/>
      <c r="F392" s="57"/>
      <c r="G392" s="57"/>
      <c r="H392" s="57"/>
      <c r="I392" s="195"/>
      <c r="M392" s="195"/>
    </row>
    <row r="393">
      <c r="D393" s="57"/>
      <c r="E393" s="123"/>
      <c r="F393" s="57"/>
      <c r="G393" s="57"/>
      <c r="H393" s="57"/>
      <c r="I393" s="195"/>
      <c r="M393" s="195"/>
    </row>
    <row r="394">
      <c r="D394" s="57"/>
      <c r="E394" s="123"/>
      <c r="F394" s="57"/>
      <c r="G394" s="57"/>
      <c r="H394" s="57"/>
      <c r="I394" s="195"/>
      <c r="M394" s="195"/>
    </row>
    <row r="395">
      <c r="D395" s="57"/>
      <c r="E395" s="123"/>
      <c r="F395" s="57"/>
      <c r="G395" s="57"/>
      <c r="H395" s="57"/>
      <c r="I395" s="195"/>
      <c r="M395" s="195"/>
    </row>
    <row r="396">
      <c r="D396" s="57"/>
      <c r="E396" s="123"/>
      <c r="F396" s="57"/>
      <c r="G396" s="57"/>
      <c r="H396" s="57"/>
      <c r="I396" s="195"/>
      <c r="M396" s="195"/>
    </row>
    <row r="397">
      <c r="D397" s="57"/>
      <c r="E397" s="123"/>
      <c r="F397" s="57"/>
      <c r="G397" s="57"/>
      <c r="H397" s="57"/>
      <c r="I397" s="195"/>
      <c r="M397" s="195"/>
    </row>
    <row r="398">
      <c r="D398" s="57"/>
      <c r="E398" s="123"/>
      <c r="F398" s="57"/>
      <c r="G398" s="57"/>
      <c r="H398" s="57"/>
      <c r="I398" s="195"/>
      <c r="M398" s="195"/>
    </row>
    <row r="399">
      <c r="D399" s="57"/>
      <c r="E399" s="123"/>
      <c r="F399" s="57"/>
      <c r="G399" s="57"/>
      <c r="H399" s="57"/>
      <c r="I399" s="195"/>
      <c r="M399" s="195"/>
    </row>
    <row r="400">
      <c r="D400" s="57"/>
      <c r="E400" s="123"/>
      <c r="F400" s="57"/>
      <c r="G400" s="57"/>
      <c r="H400" s="57"/>
      <c r="I400" s="195"/>
      <c r="M400" s="195"/>
    </row>
    <row r="401">
      <c r="D401" s="57"/>
      <c r="E401" s="123"/>
      <c r="F401" s="57"/>
      <c r="G401" s="57"/>
      <c r="H401" s="57"/>
      <c r="I401" s="195"/>
      <c r="M401" s="195"/>
    </row>
    <row r="402">
      <c r="D402" s="57"/>
      <c r="E402" s="123"/>
      <c r="F402" s="57"/>
      <c r="G402" s="57"/>
      <c r="H402" s="57"/>
      <c r="I402" s="195"/>
      <c r="M402" s="195"/>
    </row>
    <row r="403">
      <c r="D403" s="57"/>
      <c r="E403" s="123"/>
      <c r="F403" s="57"/>
      <c r="G403" s="57"/>
      <c r="H403" s="57"/>
      <c r="I403" s="195"/>
      <c r="M403" s="195"/>
    </row>
    <row r="404">
      <c r="D404" s="57"/>
      <c r="E404" s="123"/>
      <c r="F404" s="57"/>
      <c r="G404" s="57"/>
      <c r="H404" s="57"/>
      <c r="I404" s="195"/>
      <c r="M404" s="195"/>
    </row>
    <row r="405">
      <c r="D405" s="57"/>
      <c r="E405" s="123"/>
      <c r="F405" s="57"/>
      <c r="G405" s="57"/>
      <c r="H405" s="57"/>
      <c r="I405" s="195"/>
      <c r="M405" s="195"/>
    </row>
    <row r="406">
      <c r="D406" s="57"/>
      <c r="E406" s="123"/>
      <c r="F406" s="57"/>
      <c r="G406" s="57"/>
      <c r="H406" s="57"/>
      <c r="I406" s="195"/>
      <c r="M406" s="195"/>
    </row>
    <row r="407">
      <c r="D407" s="57"/>
      <c r="E407" s="123"/>
      <c r="F407" s="57"/>
      <c r="G407" s="57"/>
      <c r="H407" s="57"/>
      <c r="I407" s="195"/>
      <c r="M407" s="195"/>
    </row>
    <row r="408">
      <c r="D408" s="57"/>
      <c r="E408" s="123"/>
      <c r="F408" s="57"/>
      <c r="G408" s="57"/>
      <c r="H408" s="57"/>
      <c r="I408" s="195"/>
      <c r="M408" s="195"/>
    </row>
    <row r="409">
      <c r="D409" s="57"/>
      <c r="E409" s="123"/>
      <c r="F409" s="57"/>
      <c r="G409" s="57"/>
      <c r="H409" s="57"/>
      <c r="I409" s="195"/>
      <c r="M409" s="195"/>
    </row>
    <row r="410">
      <c r="D410" s="57"/>
      <c r="E410" s="123"/>
      <c r="F410" s="57"/>
      <c r="G410" s="57"/>
      <c r="H410" s="57"/>
      <c r="I410" s="195"/>
      <c r="M410" s="195"/>
    </row>
    <row r="411">
      <c r="D411" s="57"/>
      <c r="E411" s="123"/>
      <c r="F411" s="57"/>
      <c r="G411" s="57"/>
      <c r="H411" s="57"/>
      <c r="I411" s="195"/>
      <c r="M411" s="195"/>
    </row>
    <row r="412">
      <c r="D412" s="57"/>
      <c r="E412" s="123"/>
      <c r="F412" s="57"/>
      <c r="G412" s="57"/>
      <c r="H412" s="57"/>
      <c r="I412" s="195"/>
      <c r="M412" s="195"/>
    </row>
    <row r="413">
      <c r="D413" s="57"/>
      <c r="E413" s="123"/>
      <c r="F413" s="57"/>
      <c r="G413" s="57"/>
      <c r="H413" s="57"/>
      <c r="I413" s="195"/>
      <c r="M413" s="195"/>
    </row>
    <row r="414">
      <c r="D414" s="57"/>
      <c r="E414" s="123"/>
      <c r="F414" s="57"/>
      <c r="G414" s="57"/>
      <c r="H414" s="57"/>
      <c r="I414" s="195"/>
      <c r="M414" s="195"/>
    </row>
    <row r="415">
      <c r="D415" s="57"/>
      <c r="E415" s="123"/>
      <c r="F415" s="57"/>
      <c r="G415" s="57"/>
      <c r="H415" s="57"/>
      <c r="I415" s="195"/>
      <c r="M415" s="195"/>
    </row>
    <row r="416">
      <c r="D416" s="57"/>
      <c r="E416" s="123"/>
      <c r="F416" s="57"/>
      <c r="G416" s="57"/>
      <c r="H416" s="57"/>
      <c r="I416" s="195"/>
      <c r="M416" s="195"/>
    </row>
    <row r="417">
      <c r="D417" s="57"/>
      <c r="E417" s="123"/>
      <c r="F417" s="57"/>
      <c r="G417" s="57"/>
      <c r="H417" s="57"/>
      <c r="I417" s="195"/>
      <c r="M417" s="195"/>
    </row>
    <row r="418">
      <c r="D418" s="57"/>
      <c r="E418" s="123"/>
      <c r="F418" s="57"/>
      <c r="G418" s="57"/>
      <c r="H418" s="57"/>
      <c r="I418" s="195"/>
      <c r="M418" s="195"/>
    </row>
    <row r="419">
      <c r="D419" s="57"/>
      <c r="E419" s="123"/>
      <c r="F419" s="57"/>
      <c r="G419" s="57"/>
      <c r="H419" s="57"/>
      <c r="I419" s="195"/>
      <c r="M419" s="195"/>
    </row>
    <row r="420">
      <c r="D420" s="57"/>
      <c r="E420" s="123"/>
      <c r="F420" s="57"/>
      <c r="G420" s="57"/>
      <c r="H420" s="57"/>
      <c r="I420" s="195"/>
      <c r="M420" s="195"/>
    </row>
    <row r="421">
      <c r="D421" s="57"/>
      <c r="E421" s="123"/>
      <c r="F421" s="57"/>
      <c r="G421" s="57"/>
      <c r="H421" s="57"/>
      <c r="I421" s="195"/>
      <c r="M421" s="195"/>
    </row>
    <row r="422">
      <c r="D422" s="57"/>
      <c r="E422" s="123"/>
      <c r="F422" s="57"/>
      <c r="G422" s="57"/>
      <c r="H422" s="57"/>
      <c r="I422" s="195"/>
      <c r="M422" s="195"/>
    </row>
    <row r="423">
      <c r="D423" s="57"/>
      <c r="E423" s="123"/>
      <c r="F423" s="57"/>
      <c r="G423" s="57"/>
      <c r="H423" s="57"/>
      <c r="I423" s="195"/>
      <c r="M423" s="195"/>
    </row>
    <row r="424">
      <c r="D424" s="57"/>
      <c r="E424" s="123"/>
      <c r="F424" s="57"/>
      <c r="G424" s="57"/>
      <c r="H424" s="57"/>
      <c r="I424" s="195"/>
      <c r="M424" s="195"/>
    </row>
    <row r="425">
      <c r="D425" s="57"/>
      <c r="E425" s="123"/>
      <c r="F425" s="57"/>
      <c r="G425" s="57"/>
      <c r="H425" s="57"/>
      <c r="I425" s="195"/>
      <c r="M425" s="195"/>
    </row>
    <row r="426">
      <c r="D426" s="57"/>
      <c r="E426" s="123"/>
      <c r="F426" s="57"/>
      <c r="G426" s="57"/>
      <c r="H426" s="57"/>
      <c r="I426" s="195"/>
      <c r="M426" s="195"/>
    </row>
    <row r="427">
      <c r="D427" s="57"/>
      <c r="E427" s="123"/>
      <c r="F427" s="57"/>
      <c r="G427" s="57"/>
      <c r="H427" s="57"/>
      <c r="I427" s="195"/>
      <c r="M427" s="195"/>
    </row>
    <row r="428">
      <c r="D428" s="57"/>
      <c r="E428" s="123"/>
      <c r="F428" s="57"/>
      <c r="G428" s="57"/>
      <c r="H428" s="57"/>
      <c r="I428" s="195"/>
      <c r="M428" s="195"/>
    </row>
    <row r="429">
      <c r="D429" s="57"/>
      <c r="E429" s="123"/>
      <c r="F429" s="57"/>
      <c r="G429" s="57"/>
      <c r="H429" s="57"/>
      <c r="I429" s="195"/>
      <c r="M429" s="195"/>
    </row>
    <row r="430">
      <c r="D430" s="57"/>
      <c r="E430" s="123"/>
      <c r="F430" s="57"/>
      <c r="G430" s="57"/>
      <c r="H430" s="57"/>
      <c r="I430" s="195"/>
      <c r="M430" s="195"/>
    </row>
    <row r="431">
      <c r="D431" s="57"/>
      <c r="E431" s="123"/>
      <c r="F431" s="57"/>
      <c r="G431" s="57"/>
      <c r="H431" s="57"/>
      <c r="I431" s="195"/>
      <c r="M431" s="195"/>
    </row>
    <row r="432">
      <c r="D432" s="57"/>
      <c r="E432" s="123"/>
      <c r="F432" s="57"/>
      <c r="G432" s="57"/>
      <c r="H432" s="57"/>
      <c r="I432" s="195"/>
      <c r="M432" s="195"/>
    </row>
    <row r="433">
      <c r="D433" s="57"/>
      <c r="E433" s="123"/>
      <c r="F433" s="57"/>
      <c r="G433" s="57"/>
      <c r="H433" s="57"/>
      <c r="I433" s="195"/>
      <c r="M433" s="195"/>
    </row>
    <row r="434">
      <c r="D434" s="57"/>
      <c r="E434" s="123"/>
      <c r="F434" s="57"/>
      <c r="G434" s="57"/>
      <c r="H434" s="57"/>
      <c r="I434" s="195"/>
      <c r="M434" s="195"/>
    </row>
    <row r="435">
      <c r="D435" s="57"/>
      <c r="E435" s="123"/>
      <c r="F435" s="57"/>
      <c r="G435" s="57"/>
      <c r="H435" s="57"/>
      <c r="I435" s="195"/>
      <c r="M435" s="195"/>
    </row>
    <row r="436">
      <c r="D436" s="57"/>
      <c r="E436" s="123"/>
      <c r="F436" s="57"/>
      <c r="G436" s="57"/>
      <c r="H436" s="57"/>
      <c r="I436" s="195"/>
      <c r="M436" s="195"/>
    </row>
    <row r="437">
      <c r="D437" s="57"/>
      <c r="E437" s="123"/>
      <c r="F437" s="57"/>
      <c r="G437" s="57"/>
      <c r="H437" s="57"/>
      <c r="I437" s="195"/>
      <c r="M437" s="195"/>
    </row>
    <row r="438">
      <c r="D438" s="57"/>
      <c r="E438" s="123"/>
      <c r="F438" s="57"/>
      <c r="G438" s="57"/>
      <c r="H438" s="57"/>
      <c r="I438" s="195"/>
      <c r="M438" s="195"/>
    </row>
    <row r="439">
      <c r="D439" s="57"/>
      <c r="E439" s="123"/>
      <c r="F439" s="57"/>
      <c r="G439" s="57"/>
      <c r="H439" s="57"/>
      <c r="I439" s="195"/>
      <c r="M439" s="195"/>
    </row>
    <row r="440">
      <c r="D440" s="57"/>
      <c r="E440" s="123"/>
      <c r="F440" s="57"/>
      <c r="G440" s="57"/>
      <c r="H440" s="57"/>
      <c r="I440" s="195"/>
      <c r="M440" s="195"/>
    </row>
    <row r="441">
      <c r="D441" s="57"/>
      <c r="E441" s="123"/>
      <c r="F441" s="57"/>
      <c r="G441" s="57"/>
      <c r="H441" s="57"/>
      <c r="I441" s="195"/>
      <c r="M441" s="195"/>
    </row>
    <row r="442">
      <c r="D442" s="57"/>
      <c r="E442" s="123"/>
      <c r="F442" s="57"/>
      <c r="G442" s="57"/>
      <c r="H442" s="57"/>
      <c r="I442" s="195"/>
      <c r="M442" s="195"/>
    </row>
    <row r="443">
      <c r="D443" s="57"/>
      <c r="E443" s="123"/>
      <c r="F443" s="57"/>
      <c r="G443" s="57"/>
      <c r="H443" s="57"/>
      <c r="I443" s="195"/>
      <c r="M443" s="195"/>
    </row>
    <row r="444">
      <c r="D444" s="57"/>
      <c r="E444" s="123"/>
      <c r="F444" s="57"/>
      <c r="G444" s="57"/>
      <c r="H444" s="57"/>
      <c r="I444" s="195"/>
      <c r="M444" s="195"/>
    </row>
    <row r="445">
      <c r="D445" s="57"/>
      <c r="E445" s="123"/>
      <c r="F445" s="57"/>
      <c r="G445" s="57"/>
      <c r="H445" s="57"/>
      <c r="I445" s="195"/>
      <c r="M445" s="195"/>
    </row>
    <row r="446">
      <c r="D446" s="57"/>
      <c r="E446" s="123"/>
      <c r="F446" s="57"/>
      <c r="G446" s="57"/>
      <c r="H446" s="57"/>
      <c r="I446" s="195"/>
      <c r="M446" s="195"/>
    </row>
    <row r="447">
      <c r="D447" s="57"/>
      <c r="E447" s="123"/>
      <c r="F447" s="57"/>
      <c r="G447" s="57"/>
      <c r="H447" s="57"/>
      <c r="I447" s="195"/>
      <c r="M447" s="195"/>
    </row>
    <row r="448">
      <c r="D448" s="57"/>
      <c r="E448" s="123"/>
      <c r="F448" s="57"/>
      <c r="G448" s="57"/>
      <c r="H448" s="57"/>
      <c r="I448" s="195"/>
      <c r="M448" s="195"/>
    </row>
    <row r="449">
      <c r="D449" s="57"/>
      <c r="E449" s="123"/>
      <c r="F449" s="57"/>
      <c r="G449" s="57"/>
      <c r="H449" s="57"/>
      <c r="I449" s="195"/>
      <c r="M449" s="195"/>
    </row>
    <row r="450">
      <c r="D450" s="57"/>
      <c r="E450" s="123"/>
      <c r="F450" s="57"/>
      <c r="G450" s="57"/>
      <c r="H450" s="57"/>
      <c r="I450" s="195"/>
      <c r="M450" s="195"/>
    </row>
    <row r="451">
      <c r="D451" s="57"/>
      <c r="E451" s="123"/>
      <c r="F451" s="57"/>
      <c r="G451" s="57"/>
      <c r="H451" s="57"/>
      <c r="I451" s="195"/>
      <c r="M451" s="195"/>
    </row>
    <row r="452">
      <c r="D452" s="57"/>
      <c r="E452" s="123"/>
      <c r="F452" s="57"/>
      <c r="G452" s="57"/>
      <c r="H452" s="57"/>
      <c r="I452" s="195"/>
      <c r="M452" s="195"/>
    </row>
    <row r="453">
      <c r="D453" s="57"/>
      <c r="E453" s="123"/>
      <c r="F453" s="57"/>
      <c r="G453" s="57"/>
      <c r="H453" s="57"/>
      <c r="I453" s="195"/>
      <c r="M453" s="195"/>
    </row>
    <row r="454">
      <c r="D454" s="57"/>
      <c r="E454" s="123"/>
      <c r="F454" s="57"/>
      <c r="G454" s="57"/>
      <c r="H454" s="57"/>
      <c r="I454" s="195"/>
      <c r="M454" s="195"/>
    </row>
    <row r="455">
      <c r="D455" s="57"/>
      <c r="E455" s="123"/>
      <c r="F455" s="57"/>
      <c r="G455" s="57"/>
      <c r="H455" s="57"/>
      <c r="I455" s="195"/>
      <c r="M455" s="195"/>
    </row>
    <row r="456">
      <c r="D456" s="57"/>
      <c r="E456" s="123"/>
      <c r="F456" s="57"/>
      <c r="G456" s="57"/>
      <c r="H456" s="57"/>
      <c r="I456" s="195"/>
      <c r="M456" s="195"/>
    </row>
    <row r="457">
      <c r="D457" s="57"/>
      <c r="E457" s="123"/>
      <c r="F457" s="57"/>
      <c r="G457" s="57"/>
      <c r="H457" s="57"/>
      <c r="I457" s="195"/>
      <c r="M457" s="195"/>
    </row>
    <row r="458">
      <c r="D458" s="57"/>
      <c r="E458" s="123"/>
      <c r="F458" s="57"/>
      <c r="G458" s="57"/>
      <c r="H458" s="57"/>
      <c r="I458" s="195"/>
      <c r="M458" s="195"/>
    </row>
    <row r="459">
      <c r="D459" s="57"/>
      <c r="E459" s="123"/>
      <c r="F459" s="57"/>
      <c r="G459" s="57"/>
      <c r="H459" s="57"/>
      <c r="I459" s="195"/>
      <c r="M459" s="195"/>
    </row>
    <row r="460">
      <c r="D460" s="57"/>
      <c r="E460" s="123"/>
      <c r="F460" s="57"/>
      <c r="G460" s="57"/>
      <c r="H460" s="57"/>
      <c r="I460" s="195"/>
      <c r="M460" s="195"/>
    </row>
    <row r="461">
      <c r="D461" s="57"/>
      <c r="E461" s="123"/>
      <c r="F461" s="57"/>
      <c r="G461" s="57"/>
      <c r="H461" s="57"/>
      <c r="I461" s="195"/>
      <c r="M461" s="195"/>
    </row>
    <row r="462">
      <c r="D462" s="57"/>
      <c r="E462" s="123"/>
      <c r="F462" s="57"/>
      <c r="G462" s="57"/>
      <c r="H462" s="57"/>
      <c r="I462" s="195"/>
      <c r="M462" s="195"/>
    </row>
    <row r="463">
      <c r="D463" s="57"/>
      <c r="E463" s="123"/>
      <c r="F463" s="57"/>
      <c r="G463" s="57"/>
      <c r="H463" s="57"/>
      <c r="I463" s="195"/>
      <c r="M463" s="195"/>
    </row>
    <row r="464">
      <c r="D464" s="57"/>
      <c r="E464" s="123"/>
      <c r="F464" s="57"/>
      <c r="G464" s="57"/>
      <c r="H464" s="57"/>
      <c r="I464" s="195"/>
      <c r="M464" s="195"/>
    </row>
    <row r="465">
      <c r="D465" s="57"/>
      <c r="E465" s="123"/>
      <c r="F465" s="57"/>
      <c r="G465" s="57"/>
      <c r="H465" s="57"/>
      <c r="I465" s="195"/>
      <c r="M465" s="195"/>
    </row>
    <row r="466">
      <c r="D466" s="57"/>
      <c r="E466" s="123"/>
      <c r="F466" s="57"/>
      <c r="G466" s="57"/>
      <c r="H466" s="57"/>
      <c r="I466" s="195"/>
      <c r="M466" s="195"/>
    </row>
    <row r="467">
      <c r="D467" s="57"/>
      <c r="E467" s="123"/>
      <c r="F467" s="57"/>
      <c r="G467" s="57"/>
      <c r="H467" s="57"/>
      <c r="I467" s="195"/>
      <c r="M467" s="195"/>
    </row>
    <row r="468">
      <c r="D468" s="57"/>
      <c r="E468" s="123"/>
      <c r="F468" s="57"/>
      <c r="G468" s="57"/>
      <c r="H468" s="57"/>
      <c r="I468" s="195"/>
      <c r="M468" s="195"/>
    </row>
    <row r="469">
      <c r="D469" s="57"/>
      <c r="E469" s="123"/>
      <c r="F469" s="57"/>
      <c r="G469" s="57"/>
      <c r="H469" s="57"/>
      <c r="I469" s="195"/>
      <c r="M469" s="195"/>
    </row>
    <row r="470">
      <c r="D470" s="57"/>
      <c r="E470" s="123"/>
      <c r="F470" s="57"/>
      <c r="G470" s="57"/>
      <c r="H470" s="57"/>
      <c r="I470" s="195"/>
      <c r="M470" s="195"/>
    </row>
    <row r="471">
      <c r="D471" s="57"/>
      <c r="E471" s="123"/>
      <c r="F471" s="57"/>
      <c r="G471" s="57"/>
      <c r="H471" s="57"/>
      <c r="I471" s="195"/>
      <c r="M471" s="195"/>
    </row>
    <row r="472">
      <c r="D472" s="57"/>
      <c r="E472" s="123"/>
      <c r="F472" s="57"/>
      <c r="G472" s="57"/>
      <c r="H472" s="57"/>
      <c r="I472" s="195"/>
      <c r="M472" s="195"/>
    </row>
    <row r="473">
      <c r="D473" s="57"/>
      <c r="E473" s="123"/>
      <c r="F473" s="57"/>
      <c r="G473" s="57"/>
      <c r="H473" s="57"/>
      <c r="I473" s="195"/>
      <c r="M473" s="195"/>
    </row>
    <row r="474">
      <c r="D474" s="57"/>
      <c r="E474" s="123"/>
      <c r="F474" s="57"/>
      <c r="G474" s="57"/>
      <c r="H474" s="57"/>
      <c r="I474" s="195"/>
      <c r="M474" s="195"/>
    </row>
    <row r="475">
      <c r="D475" s="57"/>
      <c r="E475" s="123"/>
      <c r="F475" s="57"/>
      <c r="G475" s="57"/>
      <c r="H475" s="57"/>
      <c r="I475" s="195"/>
      <c r="M475" s="195"/>
    </row>
    <row r="476">
      <c r="D476" s="57"/>
      <c r="E476" s="123"/>
      <c r="F476" s="57"/>
      <c r="G476" s="57"/>
      <c r="H476" s="57"/>
      <c r="I476" s="195"/>
      <c r="M476" s="195"/>
    </row>
    <row r="477">
      <c r="D477" s="57"/>
      <c r="E477" s="123"/>
      <c r="F477" s="57"/>
      <c r="G477" s="57"/>
      <c r="H477" s="57"/>
      <c r="I477" s="195"/>
      <c r="M477" s="195"/>
    </row>
    <row r="478">
      <c r="D478" s="57"/>
      <c r="E478" s="123"/>
      <c r="F478" s="57"/>
      <c r="G478" s="57"/>
      <c r="H478" s="57"/>
      <c r="I478" s="195"/>
      <c r="M478" s="195"/>
    </row>
    <row r="479">
      <c r="D479" s="57"/>
      <c r="E479" s="123"/>
      <c r="F479" s="57"/>
      <c r="G479" s="57"/>
      <c r="H479" s="57"/>
      <c r="I479" s="195"/>
      <c r="M479" s="195"/>
    </row>
    <row r="480">
      <c r="D480" s="57"/>
      <c r="E480" s="123"/>
      <c r="F480" s="57"/>
      <c r="G480" s="57"/>
      <c r="H480" s="57"/>
      <c r="I480" s="195"/>
      <c r="M480" s="195"/>
    </row>
    <row r="481">
      <c r="D481" s="57"/>
      <c r="E481" s="123"/>
      <c r="F481" s="57"/>
      <c r="G481" s="57"/>
      <c r="H481" s="57"/>
      <c r="I481" s="195"/>
      <c r="M481" s="195"/>
    </row>
    <row r="482">
      <c r="D482" s="57"/>
      <c r="E482" s="123"/>
      <c r="F482" s="57"/>
      <c r="G482" s="57"/>
      <c r="H482" s="57"/>
      <c r="I482" s="195"/>
      <c r="M482" s="195"/>
    </row>
    <row r="483">
      <c r="D483" s="57"/>
      <c r="E483" s="123"/>
      <c r="F483" s="57"/>
      <c r="G483" s="57"/>
      <c r="H483" s="57"/>
      <c r="I483" s="195"/>
      <c r="M483" s="195"/>
    </row>
    <row r="484">
      <c r="D484" s="57"/>
      <c r="E484" s="123"/>
      <c r="F484" s="57"/>
      <c r="G484" s="57"/>
      <c r="H484" s="57"/>
      <c r="I484" s="195"/>
      <c r="M484" s="195"/>
    </row>
    <row r="485">
      <c r="D485" s="57"/>
      <c r="E485" s="123"/>
      <c r="F485" s="57"/>
      <c r="G485" s="57"/>
      <c r="H485" s="57"/>
      <c r="I485" s="195"/>
      <c r="M485" s="195"/>
    </row>
    <row r="486">
      <c r="D486" s="57"/>
      <c r="E486" s="123"/>
      <c r="F486" s="57"/>
      <c r="G486" s="57"/>
      <c r="H486" s="57"/>
      <c r="I486" s="195"/>
      <c r="M486" s="195"/>
    </row>
    <row r="487">
      <c r="D487" s="57"/>
      <c r="E487" s="123"/>
      <c r="F487" s="57"/>
      <c r="G487" s="57"/>
      <c r="H487" s="57"/>
      <c r="I487" s="195"/>
      <c r="M487" s="195"/>
    </row>
    <row r="488">
      <c r="D488" s="57"/>
      <c r="E488" s="123"/>
      <c r="F488" s="57"/>
      <c r="G488" s="57"/>
      <c r="H488" s="57"/>
      <c r="I488" s="195"/>
      <c r="M488" s="195"/>
    </row>
    <row r="489">
      <c r="D489" s="57"/>
      <c r="E489" s="123"/>
      <c r="F489" s="57"/>
      <c r="G489" s="57"/>
      <c r="H489" s="57"/>
      <c r="I489" s="195"/>
      <c r="M489" s="195"/>
    </row>
    <row r="490">
      <c r="D490" s="57"/>
      <c r="E490" s="123"/>
      <c r="F490" s="57"/>
      <c r="G490" s="57"/>
      <c r="H490" s="57"/>
      <c r="I490" s="195"/>
      <c r="M490" s="195"/>
    </row>
    <row r="491">
      <c r="D491" s="57"/>
      <c r="E491" s="123"/>
      <c r="F491" s="57"/>
      <c r="G491" s="57"/>
      <c r="H491" s="57"/>
      <c r="I491" s="195"/>
      <c r="M491" s="195"/>
    </row>
    <row r="492">
      <c r="D492" s="57"/>
      <c r="E492" s="123"/>
      <c r="F492" s="57"/>
      <c r="G492" s="57"/>
      <c r="H492" s="57"/>
      <c r="I492" s="195"/>
      <c r="M492" s="195"/>
    </row>
    <row r="493">
      <c r="D493" s="57"/>
      <c r="E493" s="123"/>
      <c r="F493" s="57"/>
      <c r="G493" s="57"/>
      <c r="H493" s="57"/>
      <c r="I493" s="195"/>
      <c r="M493" s="195"/>
    </row>
    <row r="494">
      <c r="D494" s="57"/>
      <c r="E494" s="123"/>
      <c r="F494" s="57"/>
      <c r="G494" s="57"/>
      <c r="H494" s="57"/>
      <c r="I494" s="195"/>
      <c r="M494" s="195"/>
    </row>
    <row r="495">
      <c r="D495" s="57"/>
      <c r="E495" s="123"/>
      <c r="F495" s="57"/>
      <c r="G495" s="57"/>
      <c r="H495" s="57"/>
      <c r="I495" s="195"/>
      <c r="M495" s="195"/>
    </row>
    <row r="496">
      <c r="D496" s="57"/>
      <c r="E496" s="123"/>
      <c r="F496" s="57"/>
      <c r="G496" s="57"/>
      <c r="H496" s="57"/>
      <c r="I496" s="195"/>
      <c r="M496" s="195"/>
    </row>
    <row r="497">
      <c r="D497" s="57"/>
      <c r="E497" s="123"/>
      <c r="F497" s="57"/>
      <c r="G497" s="57"/>
      <c r="H497" s="57"/>
      <c r="I497" s="195"/>
      <c r="M497" s="195"/>
    </row>
    <row r="498">
      <c r="D498" s="57"/>
      <c r="E498" s="123"/>
      <c r="F498" s="57"/>
      <c r="G498" s="57"/>
      <c r="H498" s="57"/>
      <c r="I498" s="195"/>
      <c r="M498" s="195"/>
    </row>
    <row r="499">
      <c r="D499" s="57"/>
      <c r="E499" s="123"/>
      <c r="F499" s="57"/>
      <c r="G499" s="57"/>
      <c r="H499" s="57"/>
      <c r="I499" s="195"/>
      <c r="M499" s="195"/>
    </row>
    <row r="500">
      <c r="D500" s="57"/>
      <c r="E500" s="123"/>
      <c r="F500" s="57"/>
      <c r="G500" s="57"/>
      <c r="H500" s="57"/>
      <c r="I500" s="195"/>
      <c r="M500" s="195"/>
    </row>
    <row r="501">
      <c r="D501" s="57"/>
      <c r="E501" s="123"/>
      <c r="F501" s="57"/>
      <c r="G501" s="57"/>
      <c r="H501" s="57"/>
      <c r="I501" s="195"/>
      <c r="M501" s="195"/>
    </row>
    <row r="502">
      <c r="D502" s="57"/>
      <c r="E502" s="123"/>
      <c r="F502" s="57"/>
      <c r="G502" s="57"/>
      <c r="H502" s="57"/>
      <c r="I502" s="195"/>
      <c r="M502" s="195"/>
    </row>
    <row r="503">
      <c r="D503" s="57"/>
      <c r="E503" s="123"/>
      <c r="F503" s="57"/>
      <c r="G503" s="57"/>
      <c r="H503" s="57"/>
      <c r="I503" s="195"/>
      <c r="M503" s="195"/>
    </row>
    <row r="504">
      <c r="D504" s="57"/>
      <c r="E504" s="123"/>
      <c r="F504" s="57"/>
      <c r="G504" s="57"/>
      <c r="H504" s="57"/>
      <c r="I504" s="195"/>
      <c r="M504" s="195"/>
    </row>
    <row r="505">
      <c r="D505" s="57"/>
      <c r="E505" s="123"/>
      <c r="F505" s="57"/>
      <c r="G505" s="57"/>
      <c r="H505" s="57"/>
      <c r="I505" s="195"/>
      <c r="M505" s="195"/>
    </row>
    <row r="506">
      <c r="D506" s="57"/>
      <c r="E506" s="123"/>
      <c r="F506" s="57"/>
      <c r="G506" s="57"/>
      <c r="H506" s="57"/>
      <c r="I506" s="195"/>
      <c r="M506" s="195"/>
    </row>
    <row r="507">
      <c r="D507" s="57"/>
      <c r="E507" s="123"/>
      <c r="F507" s="57"/>
      <c r="G507" s="57"/>
      <c r="H507" s="57"/>
      <c r="I507" s="195"/>
      <c r="M507" s="195"/>
    </row>
    <row r="508">
      <c r="D508" s="57"/>
      <c r="E508" s="123"/>
      <c r="F508" s="57"/>
      <c r="G508" s="57"/>
      <c r="H508" s="57"/>
      <c r="I508" s="195"/>
      <c r="M508" s="195"/>
    </row>
    <row r="509">
      <c r="D509" s="57"/>
      <c r="E509" s="123"/>
      <c r="F509" s="57"/>
      <c r="G509" s="57"/>
      <c r="H509" s="57"/>
      <c r="I509" s="195"/>
      <c r="M509" s="195"/>
    </row>
    <row r="510">
      <c r="D510" s="57"/>
      <c r="E510" s="123"/>
      <c r="F510" s="57"/>
      <c r="G510" s="57"/>
      <c r="H510" s="57"/>
      <c r="I510" s="195"/>
      <c r="M510" s="195"/>
    </row>
    <row r="511">
      <c r="D511" s="57"/>
      <c r="E511" s="123"/>
      <c r="F511" s="57"/>
      <c r="G511" s="57"/>
      <c r="H511" s="57"/>
      <c r="I511" s="195"/>
      <c r="M511" s="195"/>
    </row>
    <row r="512">
      <c r="D512" s="57"/>
      <c r="E512" s="123"/>
      <c r="F512" s="57"/>
      <c r="G512" s="57"/>
      <c r="H512" s="57"/>
      <c r="I512" s="195"/>
      <c r="M512" s="195"/>
    </row>
    <row r="513">
      <c r="D513" s="57"/>
      <c r="E513" s="123"/>
      <c r="F513" s="57"/>
      <c r="G513" s="57"/>
      <c r="H513" s="57"/>
      <c r="I513" s="195"/>
      <c r="M513" s="195"/>
    </row>
    <row r="514">
      <c r="D514" s="57"/>
      <c r="E514" s="123"/>
      <c r="F514" s="57"/>
      <c r="G514" s="57"/>
      <c r="H514" s="57"/>
      <c r="I514" s="195"/>
      <c r="M514" s="195"/>
    </row>
    <row r="515">
      <c r="D515" s="57"/>
      <c r="E515" s="123"/>
      <c r="F515" s="57"/>
      <c r="G515" s="57"/>
      <c r="H515" s="57"/>
      <c r="I515" s="195"/>
      <c r="M515" s="195"/>
    </row>
    <row r="516">
      <c r="D516" s="57"/>
      <c r="E516" s="123"/>
      <c r="F516" s="57"/>
      <c r="G516" s="57"/>
      <c r="H516" s="57"/>
      <c r="I516" s="195"/>
      <c r="M516" s="195"/>
    </row>
    <row r="517">
      <c r="D517" s="57"/>
      <c r="E517" s="123"/>
      <c r="F517" s="57"/>
      <c r="G517" s="57"/>
      <c r="H517" s="57"/>
      <c r="I517" s="195"/>
      <c r="M517" s="195"/>
    </row>
    <row r="518">
      <c r="D518" s="57"/>
      <c r="E518" s="123"/>
      <c r="F518" s="57"/>
      <c r="G518" s="57"/>
      <c r="H518" s="57"/>
      <c r="I518" s="195"/>
      <c r="M518" s="195"/>
    </row>
    <row r="519">
      <c r="D519" s="57"/>
      <c r="E519" s="123"/>
      <c r="F519" s="57"/>
      <c r="G519" s="57"/>
      <c r="H519" s="57"/>
      <c r="I519" s="195"/>
      <c r="M519" s="195"/>
    </row>
    <row r="520">
      <c r="D520" s="57"/>
      <c r="E520" s="123"/>
      <c r="F520" s="57"/>
      <c r="G520" s="57"/>
      <c r="H520" s="57"/>
      <c r="I520" s="195"/>
      <c r="M520" s="195"/>
    </row>
    <row r="521">
      <c r="D521" s="57"/>
      <c r="E521" s="123"/>
      <c r="F521" s="57"/>
      <c r="G521" s="57"/>
      <c r="H521" s="57"/>
      <c r="I521" s="195"/>
      <c r="M521" s="195"/>
    </row>
    <row r="522">
      <c r="D522" s="57"/>
      <c r="E522" s="123"/>
      <c r="F522" s="57"/>
      <c r="G522" s="57"/>
      <c r="H522" s="57"/>
      <c r="I522" s="195"/>
      <c r="M522" s="195"/>
    </row>
    <row r="523">
      <c r="D523" s="57"/>
      <c r="E523" s="123"/>
      <c r="F523" s="57"/>
      <c r="G523" s="57"/>
      <c r="H523" s="57"/>
      <c r="I523" s="195"/>
      <c r="M523" s="195"/>
    </row>
    <row r="524">
      <c r="D524" s="57"/>
      <c r="E524" s="123"/>
      <c r="F524" s="57"/>
      <c r="G524" s="57"/>
      <c r="H524" s="57"/>
      <c r="I524" s="195"/>
      <c r="M524" s="195"/>
    </row>
    <row r="525">
      <c r="D525" s="57"/>
      <c r="E525" s="123"/>
      <c r="F525" s="57"/>
      <c r="G525" s="57"/>
      <c r="H525" s="57"/>
      <c r="I525" s="195"/>
      <c r="M525" s="195"/>
    </row>
    <row r="526">
      <c r="D526" s="57"/>
      <c r="E526" s="123"/>
      <c r="F526" s="57"/>
      <c r="G526" s="57"/>
      <c r="H526" s="57"/>
      <c r="I526" s="195"/>
      <c r="M526" s="195"/>
    </row>
    <row r="527">
      <c r="D527" s="57"/>
      <c r="E527" s="123"/>
      <c r="F527" s="57"/>
      <c r="G527" s="57"/>
      <c r="H527" s="57"/>
      <c r="I527" s="195"/>
      <c r="M527" s="195"/>
    </row>
    <row r="528">
      <c r="D528" s="57"/>
      <c r="E528" s="123"/>
      <c r="F528" s="57"/>
      <c r="G528" s="57"/>
      <c r="H528" s="57"/>
      <c r="I528" s="195"/>
      <c r="M528" s="195"/>
    </row>
    <row r="529">
      <c r="D529" s="57"/>
      <c r="E529" s="123"/>
      <c r="F529" s="57"/>
      <c r="G529" s="57"/>
      <c r="H529" s="57"/>
      <c r="I529" s="195"/>
      <c r="M529" s="195"/>
    </row>
    <row r="530">
      <c r="D530" s="57"/>
      <c r="E530" s="123"/>
      <c r="F530" s="57"/>
      <c r="G530" s="57"/>
      <c r="H530" s="57"/>
      <c r="I530" s="195"/>
      <c r="M530" s="195"/>
    </row>
    <row r="531">
      <c r="D531" s="57"/>
      <c r="E531" s="123"/>
      <c r="F531" s="57"/>
      <c r="G531" s="57"/>
      <c r="H531" s="57"/>
      <c r="I531" s="195"/>
      <c r="M531" s="195"/>
    </row>
    <row r="532">
      <c r="D532" s="57"/>
      <c r="E532" s="123"/>
      <c r="F532" s="57"/>
      <c r="G532" s="57"/>
      <c r="H532" s="57"/>
      <c r="I532" s="195"/>
      <c r="M532" s="195"/>
    </row>
    <row r="533">
      <c r="D533" s="57"/>
      <c r="E533" s="123"/>
      <c r="F533" s="57"/>
      <c r="G533" s="57"/>
      <c r="H533" s="57"/>
      <c r="I533" s="195"/>
      <c r="M533" s="195"/>
    </row>
    <row r="534">
      <c r="D534" s="57"/>
      <c r="E534" s="123"/>
      <c r="F534" s="57"/>
      <c r="G534" s="57"/>
      <c r="H534" s="57"/>
      <c r="I534" s="195"/>
      <c r="M534" s="195"/>
    </row>
    <row r="535">
      <c r="D535" s="57"/>
      <c r="E535" s="123"/>
      <c r="F535" s="57"/>
      <c r="G535" s="57"/>
      <c r="H535" s="57"/>
      <c r="I535" s="195"/>
      <c r="M535" s="195"/>
    </row>
    <row r="536">
      <c r="D536" s="57"/>
      <c r="E536" s="123"/>
      <c r="F536" s="57"/>
      <c r="G536" s="57"/>
      <c r="H536" s="57"/>
      <c r="I536" s="195"/>
      <c r="M536" s="195"/>
    </row>
    <row r="537">
      <c r="D537" s="57"/>
      <c r="E537" s="123"/>
      <c r="F537" s="57"/>
      <c r="G537" s="57"/>
      <c r="H537" s="57"/>
      <c r="I537" s="195"/>
      <c r="M537" s="195"/>
    </row>
    <row r="538">
      <c r="D538" s="57"/>
      <c r="E538" s="123"/>
      <c r="F538" s="57"/>
      <c r="G538" s="57"/>
      <c r="H538" s="57"/>
      <c r="I538" s="195"/>
      <c r="M538" s="195"/>
    </row>
    <row r="539">
      <c r="D539" s="57"/>
      <c r="E539" s="123"/>
      <c r="F539" s="57"/>
      <c r="G539" s="57"/>
      <c r="H539" s="57"/>
      <c r="I539" s="195"/>
      <c r="M539" s="195"/>
    </row>
    <row r="540">
      <c r="D540" s="57"/>
      <c r="E540" s="123"/>
      <c r="F540" s="57"/>
      <c r="G540" s="57"/>
      <c r="H540" s="57"/>
      <c r="I540" s="195"/>
      <c r="M540" s="195"/>
    </row>
    <row r="541">
      <c r="D541" s="57"/>
      <c r="E541" s="123"/>
      <c r="F541" s="57"/>
      <c r="G541" s="57"/>
      <c r="H541" s="57"/>
      <c r="I541" s="195"/>
      <c r="M541" s="195"/>
    </row>
    <row r="542">
      <c r="D542" s="57"/>
      <c r="E542" s="123"/>
      <c r="F542" s="57"/>
      <c r="G542" s="57"/>
      <c r="H542" s="57"/>
      <c r="I542" s="195"/>
      <c r="M542" s="195"/>
    </row>
    <row r="543">
      <c r="D543" s="57"/>
      <c r="E543" s="123"/>
      <c r="F543" s="57"/>
      <c r="G543" s="57"/>
      <c r="H543" s="57"/>
      <c r="I543" s="195"/>
      <c r="M543" s="195"/>
    </row>
    <row r="544">
      <c r="D544" s="57"/>
      <c r="E544" s="123"/>
      <c r="F544" s="57"/>
      <c r="G544" s="57"/>
      <c r="H544" s="57"/>
      <c r="I544" s="195"/>
      <c r="M544" s="195"/>
    </row>
    <row r="545">
      <c r="D545" s="57"/>
      <c r="E545" s="123"/>
      <c r="F545" s="57"/>
      <c r="G545" s="57"/>
      <c r="H545" s="57"/>
      <c r="I545" s="195"/>
      <c r="M545" s="195"/>
    </row>
    <row r="546">
      <c r="D546" s="57"/>
      <c r="E546" s="123"/>
      <c r="F546" s="57"/>
      <c r="G546" s="57"/>
      <c r="H546" s="57"/>
      <c r="I546" s="195"/>
      <c r="M546" s="195"/>
    </row>
    <row r="547">
      <c r="D547" s="57"/>
      <c r="E547" s="123"/>
      <c r="F547" s="57"/>
      <c r="G547" s="57"/>
      <c r="H547" s="57"/>
      <c r="I547" s="195"/>
      <c r="M547" s="195"/>
    </row>
    <row r="548">
      <c r="D548" s="57"/>
      <c r="E548" s="123"/>
      <c r="F548" s="57"/>
      <c r="G548" s="57"/>
      <c r="H548" s="57"/>
      <c r="I548" s="195"/>
      <c r="M548" s="195"/>
    </row>
    <row r="549">
      <c r="D549" s="57"/>
      <c r="E549" s="123"/>
      <c r="F549" s="57"/>
      <c r="G549" s="57"/>
      <c r="H549" s="57"/>
      <c r="I549" s="195"/>
      <c r="M549" s="195"/>
    </row>
    <row r="550">
      <c r="D550" s="57"/>
      <c r="E550" s="123"/>
      <c r="F550" s="57"/>
      <c r="G550" s="57"/>
      <c r="H550" s="57"/>
      <c r="I550" s="195"/>
      <c r="M550" s="195"/>
    </row>
    <row r="551">
      <c r="D551" s="57"/>
      <c r="E551" s="123"/>
      <c r="F551" s="57"/>
      <c r="G551" s="57"/>
      <c r="H551" s="57"/>
      <c r="I551" s="195"/>
      <c r="M551" s="195"/>
    </row>
    <row r="552">
      <c r="D552" s="57"/>
      <c r="E552" s="123"/>
      <c r="F552" s="57"/>
      <c r="G552" s="57"/>
      <c r="H552" s="57"/>
      <c r="I552" s="195"/>
      <c r="M552" s="195"/>
    </row>
    <row r="553">
      <c r="D553" s="57"/>
      <c r="E553" s="123"/>
      <c r="F553" s="57"/>
      <c r="G553" s="57"/>
      <c r="H553" s="57"/>
      <c r="I553" s="195"/>
      <c r="M553" s="195"/>
    </row>
    <row r="554">
      <c r="D554" s="57"/>
      <c r="E554" s="123"/>
      <c r="F554" s="57"/>
      <c r="G554" s="57"/>
      <c r="H554" s="57"/>
      <c r="I554" s="195"/>
      <c r="M554" s="195"/>
    </row>
    <row r="555">
      <c r="D555" s="57"/>
      <c r="E555" s="123"/>
      <c r="F555" s="57"/>
      <c r="G555" s="57"/>
      <c r="H555" s="57"/>
      <c r="I555" s="195"/>
      <c r="M555" s="195"/>
    </row>
    <row r="556">
      <c r="D556" s="57"/>
      <c r="E556" s="123"/>
      <c r="F556" s="57"/>
      <c r="G556" s="57"/>
      <c r="H556" s="57"/>
      <c r="I556" s="195"/>
      <c r="M556" s="195"/>
    </row>
    <row r="557">
      <c r="D557" s="57"/>
      <c r="E557" s="123"/>
      <c r="F557" s="57"/>
      <c r="G557" s="57"/>
      <c r="H557" s="57"/>
      <c r="I557" s="195"/>
      <c r="M557" s="195"/>
    </row>
    <row r="558">
      <c r="D558" s="57"/>
      <c r="E558" s="123"/>
      <c r="F558" s="57"/>
      <c r="G558" s="57"/>
      <c r="H558" s="57"/>
      <c r="I558" s="195"/>
      <c r="M558" s="195"/>
    </row>
    <row r="559">
      <c r="D559" s="57"/>
      <c r="E559" s="123"/>
      <c r="F559" s="57"/>
      <c r="G559" s="57"/>
      <c r="H559" s="57"/>
      <c r="I559" s="195"/>
      <c r="M559" s="195"/>
    </row>
    <row r="560">
      <c r="D560" s="57"/>
      <c r="E560" s="123"/>
      <c r="F560" s="57"/>
      <c r="G560" s="57"/>
      <c r="H560" s="57"/>
      <c r="I560" s="195"/>
      <c r="M560" s="195"/>
    </row>
    <row r="561">
      <c r="D561" s="57"/>
      <c r="E561" s="123"/>
      <c r="F561" s="57"/>
      <c r="G561" s="57"/>
      <c r="H561" s="57"/>
      <c r="I561" s="195"/>
      <c r="M561" s="195"/>
    </row>
    <row r="562">
      <c r="D562" s="57"/>
      <c r="E562" s="123"/>
      <c r="F562" s="57"/>
      <c r="G562" s="57"/>
      <c r="H562" s="57"/>
      <c r="I562" s="195"/>
      <c r="M562" s="195"/>
    </row>
    <row r="563">
      <c r="D563" s="57"/>
      <c r="E563" s="123"/>
      <c r="F563" s="57"/>
      <c r="G563" s="57"/>
      <c r="H563" s="57"/>
      <c r="I563" s="195"/>
      <c r="M563" s="195"/>
    </row>
    <row r="564">
      <c r="D564" s="57"/>
      <c r="E564" s="123"/>
      <c r="F564" s="57"/>
      <c r="G564" s="57"/>
      <c r="H564" s="57"/>
      <c r="I564" s="195"/>
      <c r="M564" s="195"/>
    </row>
    <row r="565">
      <c r="D565" s="57"/>
      <c r="E565" s="123"/>
      <c r="F565" s="57"/>
      <c r="G565" s="57"/>
      <c r="H565" s="57"/>
      <c r="I565" s="195"/>
      <c r="M565" s="195"/>
    </row>
    <row r="566">
      <c r="D566" s="57"/>
      <c r="E566" s="123"/>
      <c r="F566" s="57"/>
      <c r="G566" s="57"/>
      <c r="H566" s="57"/>
      <c r="I566" s="195"/>
      <c r="M566" s="195"/>
    </row>
    <row r="567">
      <c r="D567" s="57"/>
      <c r="E567" s="123"/>
      <c r="F567" s="57"/>
      <c r="G567" s="57"/>
      <c r="H567" s="57"/>
      <c r="I567" s="195"/>
      <c r="M567" s="195"/>
    </row>
    <row r="568">
      <c r="D568" s="57"/>
      <c r="E568" s="123"/>
      <c r="F568" s="57"/>
      <c r="G568" s="57"/>
      <c r="H568" s="57"/>
      <c r="I568" s="195"/>
      <c r="M568" s="195"/>
    </row>
    <row r="569">
      <c r="D569" s="57"/>
      <c r="E569" s="123"/>
      <c r="F569" s="57"/>
      <c r="G569" s="57"/>
      <c r="H569" s="57"/>
      <c r="I569" s="195"/>
      <c r="M569" s="195"/>
    </row>
    <row r="570">
      <c r="D570" s="57"/>
      <c r="E570" s="123"/>
      <c r="F570" s="57"/>
      <c r="G570" s="57"/>
      <c r="H570" s="57"/>
      <c r="I570" s="195"/>
      <c r="M570" s="195"/>
    </row>
    <row r="571">
      <c r="D571" s="57"/>
      <c r="E571" s="123"/>
      <c r="F571" s="57"/>
      <c r="G571" s="57"/>
      <c r="H571" s="57"/>
      <c r="I571" s="195"/>
      <c r="M571" s="195"/>
    </row>
    <row r="572">
      <c r="D572" s="57"/>
      <c r="E572" s="123"/>
      <c r="F572" s="57"/>
      <c r="G572" s="57"/>
      <c r="H572" s="57"/>
      <c r="I572" s="195"/>
      <c r="M572" s="195"/>
    </row>
    <row r="573">
      <c r="D573" s="57"/>
      <c r="E573" s="123"/>
      <c r="F573" s="57"/>
      <c r="G573" s="57"/>
      <c r="H573" s="57"/>
      <c r="I573" s="195"/>
      <c r="M573" s="195"/>
    </row>
    <row r="574">
      <c r="D574" s="57"/>
      <c r="E574" s="123"/>
      <c r="F574" s="57"/>
      <c r="G574" s="57"/>
      <c r="H574" s="57"/>
      <c r="I574" s="195"/>
      <c r="M574" s="195"/>
    </row>
    <row r="575">
      <c r="D575" s="57"/>
      <c r="E575" s="123"/>
      <c r="F575" s="57"/>
      <c r="G575" s="57"/>
      <c r="H575" s="57"/>
      <c r="I575" s="195"/>
      <c r="M575" s="195"/>
    </row>
    <row r="576">
      <c r="D576" s="57"/>
      <c r="E576" s="123"/>
      <c r="F576" s="57"/>
      <c r="G576" s="57"/>
      <c r="H576" s="57"/>
      <c r="I576" s="195"/>
      <c r="M576" s="195"/>
    </row>
    <row r="577">
      <c r="D577" s="57"/>
      <c r="E577" s="123"/>
      <c r="F577" s="57"/>
      <c r="G577" s="57"/>
      <c r="H577" s="57"/>
      <c r="I577" s="195"/>
      <c r="M577" s="195"/>
    </row>
    <row r="578">
      <c r="D578" s="57"/>
      <c r="E578" s="123"/>
      <c r="F578" s="57"/>
      <c r="G578" s="57"/>
      <c r="H578" s="57"/>
      <c r="I578" s="195"/>
      <c r="M578" s="195"/>
    </row>
    <row r="579">
      <c r="D579" s="57"/>
      <c r="E579" s="123"/>
      <c r="F579" s="57"/>
      <c r="G579" s="57"/>
      <c r="H579" s="57"/>
      <c r="I579" s="195"/>
      <c r="M579" s="195"/>
    </row>
    <row r="580">
      <c r="D580" s="57"/>
      <c r="E580" s="123"/>
      <c r="F580" s="57"/>
      <c r="G580" s="57"/>
      <c r="H580" s="57"/>
      <c r="I580" s="195"/>
      <c r="M580" s="195"/>
    </row>
    <row r="581">
      <c r="D581" s="57"/>
      <c r="E581" s="123"/>
      <c r="F581" s="57"/>
      <c r="G581" s="57"/>
      <c r="H581" s="57"/>
      <c r="I581" s="195"/>
      <c r="M581" s="195"/>
    </row>
    <row r="582">
      <c r="D582" s="57"/>
      <c r="E582" s="123"/>
      <c r="F582" s="57"/>
      <c r="G582" s="57"/>
      <c r="H582" s="57"/>
      <c r="I582" s="195"/>
      <c r="M582" s="195"/>
    </row>
    <row r="583">
      <c r="D583" s="57"/>
      <c r="E583" s="123"/>
      <c r="F583" s="57"/>
      <c r="G583" s="57"/>
      <c r="H583" s="57"/>
      <c r="I583" s="195"/>
      <c r="M583" s="195"/>
    </row>
    <row r="584">
      <c r="D584" s="57"/>
      <c r="E584" s="123"/>
      <c r="F584" s="57"/>
      <c r="G584" s="57"/>
      <c r="H584" s="57"/>
      <c r="I584" s="195"/>
      <c r="M584" s="195"/>
    </row>
    <row r="585">
      <c r="D585" s="57"/>
      <c r="E585" s="123"/>
      <c r="F585" s="57"/>
      <c r="G585" s="57"/>
      <c r="H585" s="57"/>
      <c r="I585" s="195"/>
      <c r="M585" s="195"/>
    </row>
    <row r="586">
      <c r="D586" s="57"/>
      <c r="E586" s="123"/>
      <c r="F586" s="57"/>
      <c r="G586" s="57"/>
      <c r="H586" s="57"/>
      <c r="I586" s="195"/>
      <c r="M586" s="195"/>
    </row>
    <row r="587">
      <c r="D587" s="57"/>
      <c r="E587" s="123"/>
      <c r="F587" s="57"/>
      <c r="G587" s="57"/>
      <c r="H587" s="57"/>
      <c r="I587" s="195"/>
      <c r="M587" s="195"/>
    </row>
    <row r="588">
      <c r="D588" s="57"/>
      <c r="E588" s="123"/>
      <c r="F588" s="57"/>
      <c r="G588" s="57"/>
      <c r="H588" s="57"/>
      <c r="I588" s="195"/>
      <c r="M588" s="195"/>
    </row>
    <row r="589">
      <c r="D589" s="57"/>
      <c r="E589" s="123"/>
      <c r="F589" s="57"/>
      <c r="G589" s="57"/>
      <c r="H589" s="57"/>
      <c r="I589" s="195"/>
      <c r="M589" s="195"/>
    </row>
    <row r="590">
      <c r="D590" s="57"/>
      <c r="E590" s="123"/>
      <c r="F590" s="57"/>
      <c r="G590" s="57"/>
      <c r="H590" s="57"/>
      <c r="I590" s="195"/>
      <c r="M590" s="195"/>
    </row>
    <row r="591">
      <c r="D591" s="57"/>
      <c r="E591" s="123"/>
      <c r="F591" s="57"/>
      <c r="G591" s="57"/>
      <c r="H591" s="57"/>
      <c r="I591" s="195"/>
      <c r="M591" s="195"/>
    </row>
    <row r="592">
      <c r="D592" s="57"/>
      <c r="E592" s="123"/>
      <c r="F592" s="57"/>
      <c r="G592" s="57"/>
      <c r="H592" s="57"/>
      <c r="I592" s="195"/>
      <c r="M592" s="195"/>
    </row>
    <row r="593">
      <c r="D593" s="57"/>
      <c r="E593" s="123"/>
      <c r="F593" s="57"/>
      <c r="G593" s="57"/>
      <c r="H593" s="57"/>
      <c r="I593" s="195"/>
      <c r="M593" s="195"/>
    </row>
    <row r="594">
      <c r="D594" s="57"/>
      <c r="E594" s="123"/>
      <c r="F594" s="57"/>
      <c r="G594" s="57"/>
      <c r="H594" s="57"/>
      <c r="I594" s="195"/>
      <c r="M594" s="195"/>
    </row>
    <row r="595">
      <c r="D595" s="57"/>
      <c r="E595" s="123"/>
      <c r="F595" s="57"/>
      <c r="G595" s="57"/>
      <c r="H595" s="57"/>
      <c r="I595" s="195"/>
      <c r="M595" s="195"/>
    </row>
    <row r="596">
      <c r="D596" s="57"/>
      <c r="E596" s="123"/>
      <c r="F596" s="57"/>
      <c r="G596" s="57"/>
      <c r="H596" s="57"/>
      <c r="I596" s="195"/>
      <c r="M596" s="195"/>
    </row>
    <row r="597">
      <c r="D597" s="57"/>
      <c r="E597" s="123"/>
      <c r="F597" s="57"/>
      <c r="G597" s="57"/>
      <c r="H597" s="57"/>
      <c r="I597" s="195"/>
      <c r="M597" s="195"/>
    </row>
    <row r="598">
      <c r="D598" s="57"/>
      <c r="E598" s="123"/>
      <c r="F598" s="57"/>
      <c r="G598" s="57"/>
      <c r="H598" s="57"/>
      <c r="I598" s="195"/>
      <c r="M598" s="195"/>
    </row>
    <row r="599">
      <c r="D599" s="57"/>
      <c r="E599" s="123"/>
      <c r="F599" s="57"/>
      <c r="G599" s="57"/>
      <c r="H599" s="57"/>
      <c r="I599" s="195"/>
      <c r="M599" s="195"/>
    </row>
    <row r="600">
      <c r="D600" s="57"/>
      <c r="E600" s="123"/>
      <c r="F600" s="57"/>
      <c r="G600" s="57"/>
      <c r="H600" s="57"/>
      <c r="I600" s="195"/>
      <c r="M600" s="195"/>
    </row>
    <row r="601">
      <c r="D601" s="57"/>
      <c r="E601" s="123"/>
      <c r="F601" s="57"/>
      <c r="G601" s="57"/>
      <c r="H601" s="57"/>
      <c r="I601" s="195"/>
      <c r="M601" s="195"/>
    </row>
    <row r="602">
      <c r="D602" s="57"/>
      <c r="E602" s="123"/>
      <c r="F602" s="57"/>
      <c r="G602" s="57"/>
      <c r="H602" s="57"/>
      <c r="I602" s="195"/>
      <c r="M602" s="195"/>
    </row>
    <row r="603">
      <c r="D603" s="57"/>
      <c r="E603" s="123"/>
      <c r="F603" s="57"/>
      <c r="G603" s="57"/>
      <c r="H603" s="57"/>
      <c r="I603" s="195"/>
      <c r="M603" s="195"/>
    </row>
    <row r="604">
      <c r="D604" s="57"/>
      <c r="E604" s="123"/>
      <c r="F604" s="57"/>
      <c r="G604" s="57"/>
      <c r="H604" s="57"/>
      <c r="I604" s="195"/>
      <c r="M604" s="195"/>
    </row>
    <row r="605">
      <c r="D605" s="57"/>
      <c r="E605" s="123"/>
      <c r="F605" s="57"/>
      <c r="G605" s="57"/>
      <c r="H605" s="57"/>
      <c r="I605" s="195"/>
      <c r="M605" s="195"/>
    </row>
    <row r="606">
      <c r="D606" s="57"/>
      <c r="E606" s="123"/>
      <c r="F606" s="57"/>
      <c r="G606" s="57"/>
      <c r="H606" s="57"/>
      <c r="I606" s="195"/>
      <c r="M606" s="195"/>
    </row>
    <row r="607">
      <c r="D607" s="57"/>
      <c r="E607" s="123"/>
      <c r="F607" s="57"/>
      <c r="G607" s="57"/>
      <c r="H607" s="57"/>
      <c r="I607" s="195"/>
      <c r="M607" s="195"/>
    </row>
    <row r="608">
      <c r="D608" s="57"/>
      <c r="E608" s="123"/>
      <c r="F608" s="57"/>
      <c r="G608" s="57"/>
      <c r="H608" s="57"/>
      <c r="I608" s="195"/>
      <c r="M608" s="195"/>
    </row>
    <row r="609">
      <c r="D609" s="57"/>
      <c r="E609" s="123"/>
      <c r="F609" s="57"/>
      <c r="G609" s="57"/>
      <c r="H609" s="57"/>
      <c r="I609" s="195"/>
      <c r="M609" s="195"/>
    </row>
    <row r="610">
      <c r="D610" s="57"/>
      <c r="E610" s="123"/>
      <c r="F610" s="57"/>
      <c r="G610" s="57"/>
      <c r="H610" s="57"/>
      <c r="I610" s="195"/>
      <c r="M610" s="195"/>
    </row>
    <row r="611">
      <c r="D611" s="57"/>
      <c r="E611" s="123"/>
      <c r="F611" s="57"/>
      <c r="G611" s="57"/>
      <c r="H611" s="57"/>
      <c r="I611" s="195"/>
      <c r="M611" s="195"/>
    </row>
    <row r="612">
      <c r="D612" s="57"/>
      <c r="E612" s="123"/>
      <c r="F612" s="57"/>
      <c r="G612" s="57"/>
      <c r="H612" s="57"/>
      <c r="I612" s="195"/>
      <c r="M612" s="195"/>
    </row>
    <row r="613">
      <c r="D613" s="57"/>
      <c r="E613" s="123"/>
      <c r="F613" s="57"/>
      <c r="G613" s="57"/>
      <c r="H613" s="57"/>
      <c r="I613" s="195"/>
      <c r="M613" s="195"/>
    </row>
    <row r="614">
      <c r="D614" s="57"/>
      <c r="E614" s="123"/>
      <c r="F614" s="57"/>
      <c r="G614" s="57"/>
      <c r="H614" s="57"/>
      <c r="I614" s="195"/>
      <c r="M614" s="195"/>
    </row>
    <row r="615">
      <c r="D615" s="57"/>
      <c r="E615" s="123"/>
      <c r="F615" s="57"/>
      <c r="G615" s="57"/>
      <c r="H615" s="57"/>
      <c r="I615" s="195"/>
      <c r="M615" s="195"/>
    </row>
    <row r="616">
      <c r="D616" s="57"/>
      <c r="E616" s="123"/>
      <c r="F616" s="57"/>
      <c r="G616" s="57"/>
      <c r="H616" s="57"/>
      <c r="I616" s="195"/>
      <c r="M616" s="195"/>
    </row>
    <row r="617">
      <c r="D617" s="57"/>
      <c r="E617" s="123"/>
      <c r="F617" s="57"/>
      <c r="G617" s="57"/>
      <c r="H617" s="57"/>
      <c r="I617" s="195"/>
      <c r="M617" s="195"/>
    </row>
    <row r="618">
      <c r="D618" s="57"/>
      <c r="E618" s="123"/>
      <c r="F618" s="57"/>
      <c r="G618" s="57"/>
      <c r="H618" s="57"/>
      <c r="I618" s="195"/>
      <c r="M618" s="195"/>
    </row>
    <row r="619">
      <c r="D619" s="57"/>
      <c r="E619" s="123"/>
      <c r="F619" s="57"/>
      <c r="G619" s="57"/>
      <c r="H619" s="57"/>
      <c r="I619" s="195"/>
      <c r="M619" s="195"/>
    </row>
    <row r="620">
      <c r="D620" s="57"/>
      <c r="E620" s="123"/>
      <c r="F620" s="57"/>
      <c r="G620" s="57"/>
      <c r="H620" s="57"/>
      <c r="I620" s="195"/>
      <c r="M620" s="195"/>
    </row>
    <row r="621">
      <c r="D621" s="57"/>
      <c r="E621" s="123"/>
      <c r="F621" s="57"/>
      <c r="G621" s="57"/>
      <c r="H621" s="57"/>
      <c r="I621" s="195"/>
      <c r="M621" s="195"/>
    </row>
    <row r="622">
      <c r="D622" s="57"/>
      <c r="E622" s="123"/>
      <c r="F622" s="57"/>
      <c r="G622" s="57"/>
      <c r="H622" s="57"/>
      <c r="I622" s="195"/>
      <c r="M622" s="195"/>
    </row>
    <row r="623">
      <c r="D623" s="57"/>
      <c r="E623" s="123"/>
      <c r="F623" s="57"/>
      <c r="G623" s="57"/>
      <c r="H623" s="57"/>
      <c r="I623" s="195"/>
      <c r="M623" s="195"/>
    </row>
    <row r="624">
      <c r="D624" s="57"/>
      <c r="E624" s="123"/>
      <c r="F624" s="57"/>
      <c r="G624" s="57"/>
      <c r="H624" s="57"/>
      <c r="I624" s="195"/>
      <c r="M624" s="195"/>
    </row>
    <row r="625">
      <c r="D625" s="57"/>
      <c r="E625" s="123"/>
      <c r="F625" s="57"/>
      <c r="G625" s="57"/>
      <c r="H625" s="57"/>
      <c r="I625" s="195"/>
      <c r="M625" s="195"/>
    </row>
    <row r="626">
      <c r="D626" s="57"/>
      <c r="E626" s="123"/>
      <c r="F626" s="57"/>
      <c r="G626" s="57"/>
      <c r="H626" s="57"/>
      <c r="I626" s="195"/>
      <c r="M626" s="195"/>
    </row>
    <row r="627">
      <c r="D627" s="57"/>
      <c r="E627" s="123"/>
      <c r="F627" s="57"/>
      <c r="G627" s="57"/>
      <c r="H627" s="57"/>
      <c r="I627" s="195"/>
      <c r="M627" s="195"/>
    </row>
    <row r="628">
      <c r="D628" s="57"/>
      <c r="E628" s="123"/>
      <c r="F628" s="57"/>
      <c r="G628" s="57"/>
      <c r="H628" s="57"/>
      <c r="I628" s="195"/>
      <c r="M628" s="195"/>
    </row>
    <row r="629">
      <c r="D629" s="57"/>
      <c r="E629" s="123"/>
      <c r="F629" s="57"/>
      <c r="G629" s="57"/>
      <c r="H629" s="57"/>
      <c r="I629" s="195"/>
      <c r="M629" s="195"/>
    </row>
    <row r="630">
      <c r="D630" s="57"/>
      <c r="E630" s="123"/>
      <c r="F630" s="57"/>
      <c r="G630" s="57"/>
      <c r="H630" s="57"/>
      <c r="I630" s="195"/>
      <c r="M630" s="195"/>
    </row>
    <row r="631">
      <c r="D631" s="57"/>
      <c r="E631" s="123"/>
      <c r="F631" s="57"/>
      <c r="G631" s="57"/>
      <c r="H631" s="57"/>
      <c r="I631" s="195"/>
      <c r="M631" s="195"/>
    </row>
    <row r="632">
      <c r="D632" s="57"/>
      <c r="E632" s="123"/>
      <c r="F632" s="57"/>
      <c r="G632" s="57"/>
      <c r="H632" s="57"/>
      <c r="I632" s="195"/>
      <c r="M632" s="195"/>
    </row>
    <row r="633">
      <c r="D633" s="57"/>
      <c r="E633" s="123"/>
      <c r="F633" s="57"/>
      <c r="G633" s="57"/>
      <c r="H633" s="57"/>
      <c r="I633" s="195"/>
      <c r="M633" s="195"/>
    </row>
    <row r="634">
      <c r="D634" s="57"/>
      <c r="E634" s="123"/>
      <c r="F634" s="57"/>
      <c r="G634" s="57"/>
      <c r="H634" s="57"/>
      <c r="I634" s="195"/>
      <c r="M634" s="195"/>
    </row>
    <row r="635">
      <c r="D635" s="57"/>
      <c r="E635" s="123"/>
      <c r="F635" s="57"/>
      <c r="G635" s="57"/>
      <c r="H635" s="57"/>
      <c r="I635" s="195"/>
      <c r="M635" s="195"/>
    </row>
    <row r="636">
      <c r="D636" s="57"/>
      <c r="E636" s="123"/>
      <c r="F636" s="57"/>
      <c r="G636" s="57"/>
      <c r="H636" s="57"/>
      <c r="I636" s="195"/>
      <c r="M636" s="195"/>
    </row>
    <row r="637">
      <c r="D637" s="57"/>
      <c r="E637" s="123"/>
      <c r="F637" s="57"/>
      <c r="G637" s="57"/>
      <c r="H637" s="57"/>
      <c r="I637" s="195"/>
      <c r="M637" s="195"/>
    </row>
    <row r="638">
      <c r="D638" s="57"/>
      <c r="E638" s="123"/>
      <c r="F638" s="57"/>
      <c r="G638" s="57"/>
      <c r="H638" s="57"/>
      <c r="I638" s="195"/>
      <c r="M638" s="195"/>
    </row>
    <row r="639">
      <c r="D639" s="57"/>
      <c r="E639" s="123"/>
      <c r="F639" s="57"/>
      <c r="G639" s="57"/>
      <c r="H639" s="57"/>
      <c r="I639" s="195"/>
      <c r="M639" s="195"/>
    </row>
    <row r="640">
      <c r="D640" s="57"/>
      <c r="E640" s="123"/>
      <c r="F640" s="57"/>
      <c r="G640" s="57"/>
      <c r="H640" s="57"/>
      <c r="I640" s="195"/>
      <c r="M640" s="195"/>
    </row>
    <row r="641">
      <c r="D641" s="57"/>
      <c r="E641" s="123"/>
      <c r="F641" s="57"/>
      <c r="G641" s="57"/>
      <c r="H641" s="57"/>
      <c r="I641" s="195"/>
      <c r="M641" s="195"/>
    </row>
    <row r="642">
      <c r="D642" s="57"/>
      <c r="E642" s="123"/>
      <c r="F642" s="57"/>
      <c r="G642" s="57"/>
      <c r="H642" s="57"/>
      <c r="I642" s="195"/>
      <c r="M642" s="195"/>
    </row>
    <row r="643">
      <c r="D643" s="57"/>
      <c r="E643" s="123"/>
      <c r="F643" s="57"/>
      <c r="G643" s="57"/>
      <c r="H643" s="57"/>
      <c r="I643" s="195"/>
      <c r="M643" s="195"/>
    </row>
    <row r="644">
      <c r="D644" s="57"/>
      <c r="E644" s="123"/>
      <c r="F644" s="57"/>
      <c r="G644" s="57"/>
      <c r="H644" s="57"/>
      <c r="I644" s="195"/>
      <c r="M644" s="195"/>
    </row>
    <row r="645">
      <c r="D645" s="57"/>
      <c r="E645" s="123"/>
      <c r="F645" s="57"/>
      <c r="G645" s="57"/>
      <c r="H645" s="57"/>
      <c r="I645" s="195"/>
      <c r="M645" s="195"/>
    </row>
    <row r="646">
      <c r="D646" s="57"/>
      <c r="E646" s="123"/>
      <c r="F646" s="57"/>
      <c r="G646" s="57"/>
      <c r="H646" s="57"/>
      <c r="I646" s="195"/>
      <c r="M646" s="195"/>
    </row>
    <row r="647">
      <c r="D647" s="57"/>
      <c r="E647" s="123"/>
      <c r="F647" s="57"/>
      <c r="G647" s="57"/>
      <c r="H647" s="57"/>
      <c r="I647" s="195"/>
      <c r="M647" s="195"/>
    </row>
    <row r="648">
      <c r="D648" s="57"/>
      <c r="E648" s="123"/>
      <c r="F648" s="57"/>
      <c r="G648" s="57"/>
      <c r="H648" s="57"/>
      <c r="I648" s="195"/>
      <c r="M648" s="195"/>
    </row>
    <row r="649">
      <c r="D649" s="57"/>
      <c r="E649" s="123"/>
      <c r="F649" s="57"/>
      <c r="G649" s="57"/>
      <c r="H649" s="57"/>
      <c r="I649" s="195"/>
      <c r="M649" s="195"/>
    </row>
    <row r="650">
      <c r="D650" s="57"/>
      <c r="E650" s="123"/>
      <c r="F650" s="57"/>
      <c r="G650" s="57"/>
      <c r="H650" s="57"/>
      <c r="I650" s="195"/>
      <c r="M650" s="195"/>
    </row>
    <row r="651">
      <c r="D651" s="57"/>
      <c r="E651" s="123"/>
      <c r="F651" s="57"/>
      <c r="G651" s="57"/>
      <c r="H651" s="57"/>
      <c r="I651" s="195"/>
      <c r="M651" s="195"/>
    </row>
    <row r="652">
      <c r="D652" s="57"/>
      <c r="E652" s="123"/>
      <c r="F652" s="57"/>
      <c r="G652" s="57"/>
      <c r="H652" s="57"/>
      <c r="I652" s="195"/>
      <c r="M652" s="195"/>
    </row>
    <row r="653">
      <c r="D653" s="57"/>
      <c r="E653" s="123"/>
      <c r="F653" s="57"/>
      <c r="G653" s="57"/>
      <c r="H653" s="57"/>
      <c r="I653" s="195"/>
      <c r="M653" s="195"/>
    </row>
    <row r="654">
      <c r="D654" s="57"/>
      <c r="E654" s="123"/>
      <c r="F654" s="57"/>
      <c r="G654" s="57"/>
      <c r="H654" s="57"/>
      <c r="I654" s="195"/>
      <c r="M654" s="195"/>
    </row>
    <row r="655">
      <c r="D655" s="57"/>
      <c r="E655" s="123"/>
      <c r="F655" s="57"/>
      <c r="G655" s="57"/>
      <c r="H655" s="57"/>
      <c r="I655" s="195"/>
      <c r="M655" s="195"/>
    </row>
    <row r="656">
      <c r="D656" s="57"/>
      <c r="E656" s="123"/>
      <c r="F656" s="57"/>
      <c r="G656" s="57"/>
      <c r="H656" s="57"/>
      <c r="I656" s="195"/>
      <c r="M656" s="195"/>
    </row>
    <row r="657">
      <c r="D657" s="57"/>
      <c r="E657" s="123"/>
      <c r="F657" s="57"/>
      <c r="G657" s="57"/>
      <c r="H657" s="57"/>
      <c r="I657" s="195"/>
      <c r="M657" s="195"/>
    </row>
    <row r="658">
      <c r="D658" s="57"/>
      <c r="E658" s="123"/>
      <c r="F658" s="57"/>
      <c r="G658" s="57"/>
      <c r="H658" s="57"/>
      <c r="I658" s="195"/>
      <c r="M658" s="195"/>
    </row>
    <row r="659">
      <c r="D659" s="57"/>
      <c r="E659" s="123"/>
      <c r="F659" s="57"/>
      <c r="G659" s="57"/>
      <c r="H659" s="57"/>
      <c r="I659" s="195"/>
      <c r="M659" s="195"/>
    </row>
    <row r="660">
      <c r="D660" s="57"/>
      <c r="E660" s="123"/>
      <c r="F660" s="57"/>
      <c r="G660" s="57"/>
      <c r="H660" s="57"/>
      <c r="I660" s="195"/>
      <c r="M660" s="195"/>
    </row>
    <row r="661">
      <c r="D661" s="57"/>
      <c r="E661" s="123"/>
      <c r="F661" s="57"/>
      <c r="G661" s="57"/>
      <c r="H661" s="57"/>
      <c r="I661" s="195"/>
      <c r="M661" s="195"/>
    </row>
    <row r="662">
      <c r="D662" s="57"/>
      <c r="E662" s="123"/>
      <c r="F662" s="57"/>
      <c r="G662" s="57"/>
      <c r="H662" s="57"/>
      <c r="I662" s="195"/>
      <c r="M662" s="195"/>
    </row>
    <row r="663">
      <c r="D663" s="57"/>
      <c r="E663" s="123"/>
      <c r="F663" s="57"/>
      <c r="G663" s="57"/>
      <c r="H663" s="57"/>
      <c r="I663" s="195"/>
      <c r="M663" s="195"/>
    </row>
    <row r="664">
      <c r="D664" s="57"/>
      <c r="E664" s="123"/>
      <c r="F664" s="57"/>
      <c r="G664" s="57"/>
      <c r="H664" s="57"/>
      <c r="I664" s="195"/>
      <c r="M664" s="195"/>
    </row>
    <row r="665">
      <c r="D665" s="57"/>
      <c r="E665" s="123"/>
      <c r="F665" s="57"/>
      <c r="G665" s="57"/>
      <c r="H665" s="57"/>
      <c r="I665" s="195"/>
      <c r="M665" s="195"/>
    </row>
    <row r="666">
      <c r="D666" s="57"/>
      <c r="E666" s="123"/>
      <c r="F666" s="57"/>
      <c r="G666" s="57"/>
      <c r="H666" s="57"/>
      <c r="I666" s="195"/>
      <c r="M666" s="195"/>
    </row>
    <row r="667">
      <c r="D667" s="57"/>
      <c r="E667" s="123"/>
      <c r="F667" s="57"/>
      <c r="G667" s="57"/>
      <c r="H667" s="57"/>
      <c r="I667" s="195"/>
      <c r="M667" s="195"/>
    </row>
    <row r="668">
      <c r="D668" s="57"/>
      <c r="E668" s="123"/>
      <c r="F668" s="57"/>
      <c r="G668" s="57"/>
      <c r="H668" s="57"/>
      <c r="I668" s="195"/>
      <c r="M668" s="195"/>
    </row>
    <row r="669">
      <c r="D669" s="57"/>
      <c r="E669" s="123"/>
      <c r="F669" s="57"/>
      <c r="G669" s="57"/>
      <c r="H669" s="57"/>
      <c r="I669" s="195"/>
      <c r="M669" s="195"/>
    </row>
    <row r="670">
      <c r="D670" s="57"/>
      <c r="E670" s="123"/>
      <c r="F670" s="57"/>
      <c r="G670" s="57"/>
      <c r="H670" s="57"/>
      <c r="I670" s="195"/>
      <c r="M670" s="195"/>
    </row>
    <row r="671">
      <c r="D671" s="57"/>
      <c r="E671" s="123"/>
      <c r="F671" s="57"/>
      <c r="G671" s="57"/>
      <c r="H671" s="57"/>
      <c r="I671" s="195"/>
      <c r="M671" s="195"/>
    </row>
    <row r="672">
      <c r="D672" s="57"/>
      <c r="E672" s="123"/>
      <c r="F672" s="57"/>
      <c r="G672" s="57"/>
      <c r="H672" s="57"/>
      <c r="I672" s="195"/>
      <c r="M672" s="195"/>
    </row>
    <row r="673">
      <c r="D673" s="57"/>
      <c r="E673" s="123"/>
      <c r="F673" s="57"/>
      <c r="G673" s="57"/>
      <c r="H673" s="57"/>
      <c r="I673" s="195"/>
      <c r="M673" s="195"/>
    </row>
    <row r="674">
      <c r="D674" s="57"/>
      <c r="E674" s="123"/>
      <c r="F674" s="57"/>
      <c r="G674" s="57"/>
      <c r="H674" s="57"/>
      <c r="I674" s="195"/>
      <c r="M674" s="195"/>
    </row>
    <row r="675">
      <c r="D675" s="57"/>
      <c r="E675" s="123"/>
      <c r="F675" s="57"/>
      <c r="G675" s="57"/>
      <c r="H675" s="57"/>
      <c r="I675" s="195"/>
      <c r="M675" s="195"/>
    </row>
    <row r="676">
      <c r="D676" s="57"/>
      <c r="E676" s="123"/>
      <c r="F676" s="57"/>
      <c r="G676" s="57"/>
      <c r="H676" s="57"/>
      <c r="I676" s="195"/>
      <c r="M676" s="195"/>
    </row>
    <row r="677">
      <c r="D677" s="57"/>
      <c r="E677" s="123"/>
      <c r="F677" s="57"/>
      <c r="G677" s="57"/>
      <c r="H677" s="57"/>
      <c r="I677" s="195"/>
      <c r="M677" s="195"/>
    </row>
    <row r="678">
      <c r="D678" s="57"/>
      <c r="E678" s="123"/>
      <c r="F678" s="57"/>
      <c r="G678" s="57"/>
      <c r="H678" s="57"/>
      <c r="I678" s="195"/>
      <c r="M678" s="195"/>
    </row>
    <row r="679">
      <c r="D679" s="57"/>
      <c r="E679" s="123"/>
      <c r="F679" s="57"/>
      <c r="G679" s="57"/>
      <c r="H679" s="57"/>
      <c r="I679" s="195"/>
      <c r="M679" s="195"/>
    </row>
    <row r="680">
      <c r="D680" s="57"/>
      <c r="E680" s="123"/>
      <c r="F680" s="57"/>
      <c r="G680" s="57"/>
      <c r="H680" s="57"/>
      <c r="I680" s="195"/>
      <c r="M680" s="195"/>
    </row>
    <row r="681">
      <c r="D681" s="57"/>
      <c r="E681" s="123"/>
      <c r="F681" s="57"/>
      <c r="G681" s="57"/>
      <c r="H681" s="57"/>
      <c r="I681" s="195"/>
      <c r="M681" s="195"/>
    </row>
    <row r="682">
      <c r="D682" s="57"/>
      <c r="E682" s="123"/>
      <c r="F682" s="57"/>
      <c r="G682" s="57"/>
      <c r="H682" s="57"/>
      <c r="I682" s="195"/>
      <c r="M682" s="195"/>
    </row>
    <row r="683">
      <c r="D683" s="57"/>
      <c r="E683" s="123"/>
      <c r="F683" s="57"/>
      <c r="G683" s="57"/>
      <c r="H683" s="57"/>
      <c r="I683" s="195"/>
      <c r="M683" s="195"/>
    </row>
    <row r="684">
      <c r="D684" s="57"/>
      <c r="E684" s="123"/>
      <c r="F684" s="57"/>
      <c r="G684" s="57"/>
      <c r="H684" s="57"/>
      <c r="I684" s="195"/>
      <c r="M684" s="195"/>
    </row>
    <row r="685">
      <c r="D685" s="57"/>
      <c r="E685" s="123"/>
      <c r="F685" s="57"/>
      <c r="G685" s="57"/>
      <c r="H685" s="57"/>
      <c r="I685" s="195"/>
      <c r="M685" s="195"/>
    </row>
    <row r="686">
      <c r="D686" s="57"/>
      <c r="E686" s="123"/>
      <c r="F686" s="57"/>
      <c r="G686" s="57"/>
      <c r="H686" s="57"/>
      <c r="I686" s="195"/>
      <c r="M686" s="195"/>
    </row>
    <row r="687">
      <c r="D687" s="57"/>
      <c r="E687" s="123"/>
      <c r="F687" s="57"/>
      <c r="G687" s="57"/>
      <c r="H687" s="57"/>
      <c r="I687" s="195"/>
      <c r="M687" s="195"/>
    </row>
    <row r="688">
      <c r="D688" s="57"/>
      <c r="E688" s="123"/>
      <c r="F688" s="57"/>
      <c r="G688" s="57"/>
      <c r="H688" s="57"/>
      <c r="I688" s="195"/>
      <c r="M688" s="195"/>
    </row>
    <row r="689">
      <c r="D689" s="57"/>
      <c r="E689" s="123"/>
      <c r="F689" s="57"/>
      <c r="G689" s="57"/>
      <c r="H689" s="57"/>
      <c r="I689" s="195"/>
      <c r="M689" s="195"/>
    </row>
    <row r="690">
      <c r="D690" s="57"/>
      <c r="E690" s="123"/>
      <c r="F690" s="57"/>
      <c r="G690" s="57"/>
      <c r="H690" s="57"/>
      <c r="I690" s="195"/>
      <c r="M690" s="195"/>
    </row>
    <row r="691">
      <c r="D691" s="57"/>
      <c r="E691" s="123"/>
      <c r="F691" s="57"/>
      <c r="G691" s="57"/>
      <c r="H691" s="57"/>
      <c r="I691" s="195"/>
      <c r="M691" s="195"/>
    </row>
    <row r="692">
      <c r="D692" s="57"/>
      <c r="E692" s="123"/>
      <c r="F692" s="57"/>
      <c r="G692" s="57"/>
      <c r="H692" s="57"/>
      <c r="I692" s="195"/>
      <c r="M692" s="195"/>
    </row>
    <row r="693">
      <c r="D693" s="57"/>
      <c r="E693" s="123"/>
      <c r="F693" s="57"/>
      <c r="G693" s="57"/>
      <c r="H693" s="57"/>
      <c r="I693" s="195"/>
      <c r="M693" s="195"/>
    </row>
    <row r="694">
      <c r="D694" s="57"/>
      <c r="E694" s="123"/>
      <c r="F694" s="57"/>
      <c r="G694" s="57"/>
      <c r="H694" s="57"/>
      <c r="I694" s="195"/>
      <c r="M694" s="195"/>
    </row>
    <row r="695">
      <c r="D695" s="57"/>
      <c r="E695" s="123"/>
      <c r="F695" s="57"/>
      <c r="G695" s="57"/>
      <c r="H695" s="57"/>
      <c r="I695" s="195"/>
      <c r="M695" s="195"/>
    </row>
    <row r="696">
      <c r="D696" s="57"/>
      <c r="E696" s="123"/>
      <c r="F696" s="57"/>
      <c r="G696" s="57"/>
      <c r="H696" s="57"/>
      <c r="I696" s="195"/>
      <c r="M696" s="195"/>
    </row>
    <row r="697">
      <c r="D697" s="57"/>
      <c r="E697" s="123"/>
      <c r="F697" s="57"/>
      <c r="G697" s="57"/>
      <c r="H697" s="57"/>
      <c r="I697" s="195"/>
      <c r="M697" s="195"/>
    </row>
    <row r="698">
      <c r="D698" s="57"/>
      <c r="E698" s="123"/>
      <c r="F698" s="57"/>
      <c r="G698" s="57"/>
      <c r="H698" s="57"/>
      <c r="I698" s="195"/>
      <c r="M698" s="195"/>
    </row>
    <row r="699">
      <c r="D699" s="57"/>
      <c r="E699" s="123"/>
      <c r="F699" s="57"/>
      <c r="G699" s="57"/>
      <c r="H699" s="57"/>
      <c r="I699" s="195"/>
      <c r="M699" s="195"/>
    </row>
    <row r="700">
      <c r="D700" s="57"/>
      <c r="E700" s="123"/>
      <c r="F700" s="57"/>
      <c r="G700" s="57"/>
      <c r="H700" s="57"/>
      <c r="I700" s="195"/>
      <c r="M700" s="195"/>
    </row>
    <row r="701">
      <c r="D701" s="57"/>
      <c r="E701" s="123"/>
      <c r="F701" s="57"/>
      <c r="G701" s="57"/>
      <c r="H701" s="57"/>
      <c r="I701" s="195"/>
      <c r="M701" s="195"/>
    </row>
    <row r="702">
      <c r="D702" s="57"/>
      <c r="E702" s="123"/>
      <c r="F702" s="57"/>
      <c r="G702" s="57"/>
      <c r="H702" s="57"/>
      <c r="I702" s="195"/>
      <c r="M702" s="195"/>
    </row>
    <row r="703">
      <c r="D703" s="57"/>
      <c r="E703" s="123"/>
      <c r="F703" s="57"/>
      <c r="G703" s="57"/>
      <c r="H703" s="57"/>
      <c r="I703" s="195"/>
      <c r="M703" s="195"/>
    </row>
    <row r="704">
      <c r="D704" s="57"/>
      <c r="E704" s="123"/>
      <c r="F704" s="57"/>
      <c r="G704" s="57"/>
      <c r="H704" s="57"/>
      <c r="I704" s="195"/>
      <c r="M704" s="195"/>
    </row>
    <row r="705">
      <c r="D705" s="57"/>
      <c r="E705" s="123"/>
      <c r="F705" s="57"/>
      <c r="G705" s="57"/>
      <c r="H705" s="57"/>
      <c r="I705" s="195"/>
      <c r="M705" s="195"/>
    </row>
    <row r="706">
      <c r="D706" s="57"/>
      <c r="E706" s="123"/>
      <c r="F706" s="57"/>
      <c r="G706" s="57"/>
      <c r="H706" s="57"/>
      <c r="I706" s="195"/>
      <c r="M706" s="195"/>
    </row>
    <row r="707">
      <c r="D707" s="57"/>
      <c r="E707" s="123"/>
      <c r="F707" s="57"/>
      <c r="G707" s="57"/>
      <c r="H707" s="57"/>
      <c r="I707" s="195"/>
      <c r="M707" s="195"/>
    </row>
    <row r="708">
      <c r="D708" s="57"/>
      <c r="E708" s="123"/>
      <c r="F708" s="57"/>
      <c r="G708" s="57"/>
      <c r="H708" s="57"/>
      <c r="I708" s="195"/>
      <c r="M708" s="195"/>
    </row>
    <row r="709">
      <c r="D709" s="57"/>
      <c r="E709" s="123"/>
      <c r="F709" s="57"/>
      <c r="G709" s="57"/>
      <c r="H709" s="57"/>
      <c r="I709" s="195"/>
      <c r="M709" s="195"/>
    </row>
    <row r="710">
      <c r="D710" s="57"/>
      <c r="E710" s="123"/>
      <c r="F710" s="57"/>
      <c r="G710" s="57"/>
      <c r="H710" s="57"/>
      <c r="I710" s="195"/>
      <c r="M710" s="195"/>
    </row>
    <row r="711">
      <c r="D711" s="57"/>
      <c r="E711" s="123"/>
      <c r="F711" s="57"/>
      <c r="G711" s="57"/>
      <c r="H711" s="57"/>
      <c r="I711" s="195"/>
      <c r="M711" s="195"/>
    </row>
    <row r="712">
      <c r="D712" s="57"/>
      <c r="E712" s="123"/>
      <c r="F712" s="57"/>
      <c r="G712" s="57"/>
      <c r="H712" s="57"/>
      <c r="I712" s="195"/>
      <c r="M712" s="195"/>
    </row>
    <row r="713">
      <c r="D713" s="57"/>
      <c r="E713" s="123"/>
      <c r="F713" s="57"/>
      <c r="G713" s="57"/>
      <c r="H713" s="57"/>
      <c r="I713" s="195"/>
      <c r="M713" s="195"/>
    </row>
    <row r="714">
      <c r="D714" s="57"/>
      <c r="E714" s="123"/>
      <c r="F714" s="57"/>
      <c r="G714" s="57"/>
      <c r="H714" s="57"/>
      <c r="I714" s="195"/>
      <c r="M714" s="195"/>
    </row>
    <row r="715">
      <c r="D715" s="57"/>
      <c r="E715" s="123"/>
      <c r="F715" s="57"/>
      <c r="G715" s="57"/>
      <c r="H715" s="57"/>
      <c r="I715" s="195"/>
      <c r="M715" s="195"/>
    </row>
    <row r="716">
      <c r="D716" s="57"/>
      <c r="E716" s="123"/>
      <c r="F716" s="57"/>
      <c r="G716" s="57"/>
      <c r="H716" s="57"/>
      <c r="I716" s="195"/>
      <c r="M716" s="195"/>
    </row>
    <row r="717">
      <c r="D717" s="57"/>
      <c r="E717" s="123"/>
      <c r="F717" s="57"/>
      <c r="G717" s="57"/>
      <c r="H717" s="57"/>
      <c r="I717" s="195"/>
      <c r="M717" s="195"/>
    </row>
    <row r="718">
      <c r="D718" s="57"/>
      <c r="E718" s="123"/>
      <c r="F718" s="57"/>
      <c r="G718" s="57"/>
      <c r="H718" s="57"/>
      <c r="I718" s="195"/>
      <c r="M718" s="195"/>
    </row>
    <row r="719">
      <c r="D719" s="57"/>
      <c r="E719" s="123"/>
      <c r="F719" s="57"/>
      <c r="G719" s="57"/>
      <c r="H719" s="57"/>
      <c r="I719" s="195"/>
      <c r="M719" s="195"/>
    </row>
    <row r="720">
      <c r="D720" s="57"/>
      <c r="E720" s="123"/>
      <c r="F720" s="57"/>
      <c r="G720" s="57"/>
      <c r="H720" s="57"/>
      <c r="I720" s="195"/>
      <c r="M720" s="195"/>
    </row>
    <row r="721">
      <c r="D721" s="57"/>
      <c r="E721" s="123"/>
      <c r="F721" s="57"/>
      <c r="G721" s="57"/>
      <c r="H721" s="57"/>
      <c r="I721" s="195"/>
      <c r="M721" s="195"/>
    </row>
    <row r="722">
      <c r="D722" s="57"/>
      <c r="E722" s="123"/>
      <c r="F722" s="57"/>
      <c r="G722" s="57"/>
      <c r="H722" s="57"/>
      <c r="I722" s="195"/>
      <c r="M722" s="195"/>
    </row>
    <row r="723">
      <c r="D723" s="57"/>
      <c r="E723" s="123"/>
      <c r="F723" s="57"/>
      <c r="G723" s="57"/>
      <c r="H723" s="57"/>
      <c r="I723" s="195"/>
      <c r="M723" s="195"/>
    </row>
    <row r="724">
      <c r="D724" s="57"/>
      <c r="E724" s="123"/>
      <c r="F724" s="57"/>
      <c r="G724" s="57"/>
      <c r="H724" s="57"/>
      <c r="I724" s="195"/>
      <c r="M724" s="195"/>
    </row>
    <row r="725">
      <c r="D725" s="57"/>
      <c r="E725" s="123"/>
      <c r="F725" s="57"/>
      <c r="G725" s="57"/>
      <c r="H725" s="57"/>
      <c r="I725" s="195"/>
      <c r="M725" s="195"/>
    </row>
    <row r="726">
      <c r="D726" s="57"/>
      <c r="E726" s="123"/>
      <c r="F726" s="57"/>
      <c r="G726" s="57"/>
      <c r="H726" s="57"/>
      <c r="I726" s="195"/>
      <c r="M726" s="195"/>
    </row>
    <row r="727">
      <c r="D727" s="57"/>
      <c r="E727" s="123"/>
      <c r="F727" s="57"/>
      <c r="G727" s="57"/>
      <c r="H727" s="57"/>
      <c r="I727" s="195"/>
      <c r="M727" s="195"/>
    </row>
    <row r="728">
      <c r="D728" s="57"/>
      <c r="E728" s="123"/>
      <c r="F728" s="57"/>
      <c r="G728" s="57"/>
      <c r="H728" s="57"/>
      <c r="I728" s="195"/>
      <c r="M728" s="195"/>
    </row>
    <row r="729">
      <c r="D729" s="57"/>
      <c r="E729" s="123"/>
      <c r="F729" s="57"/>
      <c r="G729" s="57"/>
      <c r="H729" s="57"/>
      <c r="I729" s="195"/>
      <c r="M729" s="195"/>
    </row>
    <row r="730">
      <c r="D730" s="57"/>
      <c r="E730" s="123"/>
      <c r="F730" s="57"/>
      <c r="G730" s="57"/>
      <c r="H730" s="57"/>
      <c r="I730" s="195"/>
      <c r="M730" s="195"/>
    </row>
    <row r="731">
      <c r="D731" s="57"/>
      <c r="E731" s="123"/>
      <c r="F731" s="57"/>
      <c r="G731" s="57"/>
      <c r="H731" s="57"/>
      <c r="I731" s="195"/>
      <c r="M731" s="195"/>
    </row>
    <row r="732">
      <c r="D732" s="57"/>
      <c r="E732" s="123"/>
      <c r="F732" s="57"/>
      <c r="G732" s="57"/>
      <c r="H732" s="57"/>
      <c r="I732" s="195"/>
      <c r="M732" s="195"/>
    </row>
    <row r="733">
      <c r="D733" s="57"/>
      <c r="E733" s="123"/>
      <c r="F733" s="57"/>
      <c r="G733" s="57"/>
      <c r="H733" s="57"/>
      <c r="I733" s="195"/>
      <c r="M733" s="195"/>
    </row>
    <row r="734">
      <c r="D734" s="57"/>
      <c r="E734" s="123"/>
      <c r="F734" s="57"/>
      <c r="G734" s="57"/>
      <c r="H734" s="57"/>
      <c r="I734" s="195"/>
      <c r="M734" s="195"/>
    </row>
    <row r="735">
      <c r="D735" s="57"/>
      <c r="E735" s="123"/>
      <c r="F735" s="57"/>
      <c r="G735" s="57"/>
      <c r="H735" s="57"/>
      <c r="I735" s="195"/>
      <c r="M735" s="195"/>
    </row>
    <row r="736">
      <c r="D736" s="57"/>
      <c r="E736" s="123"/>
      <c r="F736" s="57"/>
      <c r="G736" s="57"/>
      <c r="H736" s="57"/>
      <c r="I736" s="195"/>
      <c r="M736" s="195"/>
    </row>
    <row r="737">
      <c r="D737" s="57"/>
      <c r="E737" s="123"/>
      <c r="F737" s="57"/>
      <c r="G737" s="57"/>
      <c r="H737" s="57"/>
      <c r="I737" s="195"/>
      <c r="M737" s="195"/>
    </row>
    <row r="738">
      <c r="D738" s="57"/>
      <c r="E738" s="123"/>
      <c r="F738" s="57"/>
      <c r="G738" s="57"/>
      <c r="H738" s="57"/>
      <c r="I738" s="195"/>
      <c r="M738" s="195"/>
    </row>
    <row r="739">
      <c r="D739" s="57"/>
      <c r="E739" s="123"/>
      <c r="F739" s="57"/>
      <c r="G739" s="57"/>
      <c r="H739" s="57"/>
      <c r="I739" s="195"/>
      <c r="M739" s="195"/>
    </row>
    <row r="740">
      <c r="D740" s="57"/>
      <c r="E740" s="123"/>
      <c r="F740" s="57"/>
      <c r="G740" s="57"/>
      <c r="H740" s="57"/>
      <c r="I740" s="195"/>
      <c r="M740" s="195"/>
    </row>
    <row r="741">
      <c r="D741" s="57"/>
      <c r="E741" s="123"/>
      <c r="F741" s="57"/>
      <c r="G741" s="57"/>
      <c r="H741" s="57"/>
      <c r="I741" s="195"/>
      <c r="M741" s="195"/>
    </row>
    <row r="742">
      <c r="D742" s="57"/>
      <c r="E742" s="123"/>
      <c r="F742" s="57"/>
      <c r="G742" s="57"/>
      <c r="H742" s="57"/>
      <c r="I742" s="195"/>
      <c r="M742" s="195"/>
    </row>
    <row r="743">
      <c r="D743" s="57"/>
      <c r="E743" s="123"/>
      <c r="F743" s="57"/>
      <c r="G743" s="57"/>
      <c r="H743" s="57"/>
      <c r="I743" s="195"/>
      <c r="M743" s="195"/>
    </row>
    <row r="744">
      <c r="D744" s="57"/>
      <c r="E744" s="123"/>
      <c r="F744" s="57"/>
      <c r="G744" s="57"/>
      <c r="H744" s="57"/>
      <c r="I744" s="195"/>
      <c r="M744" s="195"/>
    </row>
    <row r="745">
      <c r="D745" s="57"/>
      <c r="E745" s="123"/>
      <c r="F745" s="57"/>
      <c r="G745" s="57"/>
      <c r="H745" s="57"/>
      <c r="I745" s="195"/>
      <c r="M745" s="195"/>
    </row>
    <row r="746">
      <c r="D746" s="57"/>
      <c r="E746" s="123"/>
      <c r="F746" s="57"/>
      <c r="G746" s="57"/>
      <c r="H746" s="57"/>
      <c r="I746" s="195"/>
      <c r="M746" s="195"/>
    </row>
    <row r="747">
      <c r="D747" s="57"/>
      <c r="E747" s="123"/>
      <c r="F747" s="57"/>
      <c r="G747" s="57"/>
      <c r="H747" s="57"/>
      <c r="I747" s="195"/>
      <c r="M747" s="195"/>
    </row>
    <row r="748">
      <c r="D748" s="57"/>
      <c r="E748" s="123"/>
      <c r="F748" s="57"/>
      <c r="G748" s="57"/>
      <c r="H748" s="57"/>
      <c r="I748" s="195"/>
      <c r="M748" s="195"/>
    </row>
    <row r="749">
      <c r="D749" s="57"/>
      <c r="E749" s="123"/>
      <c r="F749" s="57"/>
      <c r="G749" s="57"/>
      <c r="H749" s="57"/>
      <c r="I749" s="195"/>
      <c r="M749" s="195"/>
    </row>
    <row r="750">
      <c r="D750" s="57"/>
      <c r="E750" s="123"/>
      <c r="F750" s="57"/>
      <c r="G750" s="57"/>
      <c r="H750" s="57"/>
      <c r="I750" s="195"/>
      <c r="M750" s="195"/>
    </row>
    <row r="751">
      <c r="D751" s="57"/>
      <c r="E751" s="123"/>
      <c r="F751" s="57"/>
      <c r="G751" s="57"/>
      <c r="H751" s="57"/>
      <c r="I751" s="195"/>
      <c r="M751" s="195"/>
    </row>
    <row r="752">
      <c r="D752" s="57"/>
      <c r="E752" s="123"/>
      <c r="F752" s="57"/>
      <c r="G752" s="57"/>
      <c r="H752" s="57"/>
      <c r="I752" s="195"/>
      <c r="M752" s="195"/>
    </row>
    <row r="753">
      <c r="D753" s="57"/>
      <c r="E753" s="123"/>
      <c r="F753" s="57"/>
      <c r="G753" s="57"/>
      <c r="H753" s="57"/>
      <c r="I753" s="195"/>
      <c r="M753" s="195"/>
    </row>
    <row r="754">
      <c r="D754" s="57"/>
      <c r="E754" s="123"/>
      <c r="F754" s="57"/>
      <c r="G754" s="57"/>
      <c r="H754" s="57"/>
      <c r="I754" s="195"/>
      <c r="M754" s="195"/>
    </row>
    <row r="755">
      <c r="D755" s="57"/>
      <c r="E755" s="123"/>
      <c r="F755" s="57"/>
      <c r="G755" s="57"/>
      <c r="H755" s="57"/>
      <c r="I755" s="195"/>
      <c r="M755" s="195"/>
    </row>
    <row r="756">
      <c r="D756" s="57"/>
      <c r="E756" s="123"/>
      <c r="F756" s="57"/>
      <c r="G756" s="57"/>
      <c r="H756" s="57"/>
      <c r="I756" s="195"/>
      <c r="M756" s="195"/>
    </row>
    <row r="757">
      <c r="D757" s="57"/>
      <c r="E757" s="123"/>
      <c r="F757" s="57"/>
      <c r="G757" s="57"/>
      <c r="H757" s="57"/>
      <c r="I757" s="195"/>
      <c r="M757" s="195"/>
    </row>
    <row r="758">
      <c r="D758" s="57"/>
      <c r="E758" s="123"/>
      <c r="F758" s="57"/>
      <c r="G758" s="57"/>
      <c r="H758" s="57"/>
      <c r="I758" s="195"/>
      <c r="M758" s="195"/>
    </row>
    <row r="759">
      <c r="D759" s="57"/>
      <c r="E759" s="123"/>
      <c r="F759" s="57"/>
      <c r="G759" s="57"/>
      <c r="H759" s="57"/>
      <c r="I759" s="195"/>
      <c r="M759" s="195"/>
    </row>
    <row r="760">
      <c r="D760" s="57"/>
      <c r="E760" s="123"/>
      <c r="F760" s="57"/>
      <c r="G760" s="57"/>
      <c r="H760" s="57"/>
      <c r="I760" s="195"/>
      <c r="M760" s="195"/>
    </row>
    <row r="761">
      <c r="D761" s="57"/>
      <c r="E761" s="123"/>
      <c r="F761" s="57"/>
      <c r="G761" s="57"/>
      <c r="H761" s="57"/>
      <c r="I761" s="195"/>
      <c r="M761" s="195"/>
    </row>
    <row r="762">
      <c r="D762" s="57"/>
      <c r="E762" s="123"/>
      <c r="F762" s="57"/>
      <c r="G762" s="57"/>
      <c r="H762" s="57"/>
      <c r="I762" s="195"/>
      <c r="M762" s="195"/>
    </row>
    <row r="763">
      <c r="D763" s="57"/>
      <c r="E763" s="123"/>
      <c r="F763" s="57"/>
      <c r="G763" s="57"/>
      <c r="H763" s="57"/>
      <c r="I763" s="195"/>
      <c r="M763" s="195"/>
    </row>
    <row r="764">
      <c r="D764" s="57"/>
      <c r="E764" s="123"/>
      <c r="F764" s="57"/>
      <c r="G764" s="57"/>
      <c r="H764" s="57"/>
      <c r="I764" s="195"/>
      <c r="M764" s="195"/>
    </row>
    <row r="765">
      <c r="D765" s="57"/>
      <c r="E765" s="123"/>
      <c r="F765" s="57"/>
      <c r="G765" s="57"/>
      <c r="H765" s="57"/>
      <c r="I765" s="195"/>
      <c r="M765" s="195"/>
    </row>
    <row r="766">
      <c r="D766" s="57"/>
      <c r="E766" s="123"/>
      <c r="F766" s="57"/>
      <c r="G766" s="57"/>
      <c r="H766" s="57"/>
      <c r="I766" s="195"/>
      <c r="M766" s="195"/>
    </row>
    <row r="767">
      <c r="D767" s="57"/>
      <c r="E767" s="123"/>
      <c r="F767" s="57"/>
      <c r="G767" s="57"/>
      <c r="H767" s="57"/>
      <c r="I767" s="195"/>
      <c r="M767" s="195"/>
    </row>
    <row r="768">
      <c r="D768" s="57"/>
      <c r="E768" s="123"/>
      <c r="F768" s="57"/>
      <c r="G768" s="57"/>
      <c r="H768" s="57"/>
      <c r="I768" s="195"/>
      <c r="M768" s="195"/>
    </row>
    <row r="769">
      <c r="D769" s="57"/>
      <c r="E769" s="123"/>
      <c r="F769" s="57"/>
      <c r="G769" s="57"/>
      <c r="H769" s="57"/>
      <c r="I769" s="195"/>
      <c r="M769" s="195"/>
    </row>
    <row r="770">
      <c r="D770" s="57"/>
      <c r="E770" s="123"/>
      <c r="F770" s="57"/>
      <c r="G770" s="57"/>
      <c r="H770" s="57"/>
      <c r="I770" s="195"/>
      <c r="M770" s="195"/>
    </row>
    <row r="771">
      <c r="D771" s="57"/>
      <c r="E771" s="123"/>
      <c r="F771" s="57"/>
      <c r="G771" s="57"/>
      <c r="H771" s="57"/>
      <c r="I771" s="195"/>
      <c r="M771" s="195"/>
    </row>
    <row r="772">
      <c r="D772" s="57"/>
      <c r="E772" s="123"/>
      <c r="F772" s="57"/>
      <c r="G772" s="57"/>
      <c r="H772" s="57"/>
      <c r="I772" s="195"/>
      <c r="M772" s="195"/>
    </row>
    <row r="773">
      <c r="D773" s="57"/>
      <c r="E773" s="123"/>
      <c r="F773" s="57"/>
      <c r="G773" s="57"/>
      <c r="H773" s="57"/>
      <c r="I773" s="195"/>
      <c r="M773" s="195"/>
    </row>
    <row r="774">
      <c r="D774" s="57"/>
      <c r="E774" s="123"/>
      <c r="F774" s="57"/>
      <c r="G774" s="57"/>
      <c r="H774" s="57"/>
      <c r="I774" s="195"/>
      <c r="M774" s="195"/>
    </row>
    <row r="775">
      <c r="D775" s="57"/>
      <c r="E775" s="123"/>
      <c r="F775" s="57"/>
      <c r="G775" s="57"/>
      <c r="H775" s="57"/>
      <c r="I775" s="195"/>
      <c r="M775" s="195"/>
    </row>
    <row r="776">
      <c r="D776" s="57"/>
      <c r="E776" s="123"/>
      <c r="F776" s="57"/>
      <c r="G776" s="57"/>
      <c r="H776" s="57"/>
      <c r="I776" s="195"/>
      <c r="M776" s="195"/>
    </row>
    <row r="777">
      <c r="D777" s="57"/>
      <c r="E777" s="123"/>
      <c r="F777" s="57"/>
      <c r="G777" s="57"/>
      <c r="H777" s="57"/>
      <c r="I777" s="195"/>
      <c r="M777" s="195"/>
    </row>
    <row r="778">
      <c r="D778" s="57"/>
      <c r="E778" s="123"/>
      <c r="F778" s="57"/>
      <c r="G778" s="57"/>
      <c r="H778" s="57"/>
      <c r="I778" s="195"/>
      <c r="M778" s="195"/>
    </row>
    <row r="779">
      <c r="D779" s="57"/>
      <c r="E779" s="123"/>
      <c r="F779" s="57"/>
      <c r="G779" s="57"/>
      <c r="H779" s="57"/>
      <c r="I779" s="195"/>
      <c r="M779" s="195"/>
    </row>
    <row r="780">
      <c r="D780" s="57"/>
      <c r="E780" s="123"/>
      <c r="F780" s="57"/>
      <c r="G780" s="57"/>
      <c r="H780" s="57"/>
      <c r="I780" s="195"/>
      <c r="M780" s="195"/>
    </row>
    <row r="781">
      <c r="D781" s="57"/>
      <c r="E781" s="123"/>
      <c r="F781" s="57"/>
      <c r="G781" s="57"/>
      <c r="H781" s="57"/>
      <c r="I781" s="195"/>
      <c r="M781" s="195"/>
    </row>
    <row r="782">
      <c r="D782" s="57"/>
      <c r="E782" s="123"/>
      <c r="F782" s="57"/>
      <c r="G782" s="57"/>
      <c r="H782" s="57"/>
      <c r="I782" s="195"/>
      <c r="M782" s="195"/>
    </row>
    <row r="783">
      <c r="D783" s="57"/>
      <c r="E783" s="123"/>
      <c r="F783" s="57"/>
      <c r="G783" s="57"/>
      <c r="H783" s="57"/>
      <c r="I783" s="195"/>
      <c r="M783" s="195"/>
    </row>
    <row r="784">
      <c r="D784" s="57"/>
      <c r="E784" s="123"/>
      <c r="F784" s="57"/>
      <c r="G784" s="57"/>
      <c r="H784" s="57"/>
      <c r="I784" s="195"/>
      <c r="M784" s="195"/>
    </row>
    <row r="785">
      <c r="D785" s="57"/>
      <c r="E785" s="123"/>
      <c r="F785" s="57"/>
      <c r="G785" s="57"/>
      <c r="H785" s="57"/>
      <c r="I785" s="195"/>
      <c r="M785" s="195"/>
    </row>
    <row r="786">
      <c r="D786" s="57"/>
      <c r="E786" s="123"/>
      <c r="F786" s="57"/>
      <c r="G786" s="57"/>
      <c r="H786" s="57"/>
      <c r="I786" s="195"/>
      <c r="M786" s="195"/>
    </row>
    <row r="787">
      <c r="D787" s="57"/>
      <c r="E787" s="123"/>
      <c r="F787" s="57"/>
      <c r="G787" s="57"/>
      <c r="H787" s="57"/>
      <c r="I787" s="195"/>
      <c r="M787" s="195"/>
    </row>
    <row r="788">
      <c r="D788" s="57"/>
      <c r="E788" s="123"/>
      <c r="F788" s="57"/>
      <c r="G788" s="57"/>
      <c r="H788" s="57"/>
      <c r="I788" s="195"/>
      <c r="M788" s="195"/>
    </row>
    <row r="789">
      <c r="D789" s="57"/>
      <c r="E789" s="123"/>
      <c r="F789" s="57"/>
      <c r="G789" s="57"/>
      <c r="H789" s="57"/>
      <c r="I789" s="195"/>
      <c r="M789" s="195"/>
    </row>
    <row r="790">
      <c r="D790" s="57"/>
      <c r="E790" s="123"/>
      <c r="F790" s="57"/>
      <c r="G790" s="57"/>
      <c r="H790" s="57"/>
      <c r="I790" s="195"/>
      <c r="M790" s="195"/>
    </row>
    <row r="791">
      <c r="D791" s="57"/>
      <c r="E791" s="123"/>
      <c r="F791" s="57"/>
      <c r="G791" s="57"/>
      <c r="H791" s="57"/>
      <c r="I791" s="195"/>
      <c r="M791" s="195"/>
    </row>
    <row r="792">
      <c r="D792" s="57"/>
      <c r="E792" s="123"/>
      <c r="F792" s="57"/>
      <c r="G792" s="57"/>
      <c r="H792" s="57"/>
      <c r="I792" s="195"/>
      <c r="M792" s="195"/>
    </row>
    <row r="793">
      <c r="D793" s="57"/>
      <c r="E793" s="123"/>
      <c r="F793" s="57"/>
      <c r="G793" s="57"/>
      <c r="H793" s="57"/>
      <c r="I793" s="195"/>
      <c r="M793" s="195"/>
    </row>
    <row r="794">
      <c r="D794" s="57"/>
      <c r="E794" s="123"/>
      <c r="F794" s="57"/>
      <c r="G794" s="57"/>
      <c r="H794" s="57"/>
      <c r="I794" s="195"/>
      <c r="M794" s="195"/>
    </row>
    <row r="795">
      <c r="D795" s="57"/>
      <c r="E795" s="123"/>
      <c r="F795" s="57"/>
      <c r="G795" s="57"/>
      <c r="H795" s="57"/>
      <c r="I795" s="195"/>
      <c r="M795" s="195"/>
    </row>
    <row r="796">
      <c r="D796" s="57"/>
      <c r="E796" s="123"/>
      <c r="F796" s="57"/>
      <c r="G796" s="57"/>
      <c r="H796" s="57"/>
      <c r="I796" s="195"/>
      <c r="M796" s="195"/>
    </row>
    <row r="797">
      <c r="D797" s="57"/>
      <c r="E797" s="123"/>
      <c r="F797" s="57"/>
      <c r="G797" s="57"/>
      <c r="H797" s="57"/>
      <c r="I797" s="195"/>
      <c r="M797" s="195"/>
    </row>
    <row r="798">
      <c r="D798" s="57"/>
      <c r="E798" s="123"/>
      <c r="F798" s="57"/>
      <c r="G798" s="57"/>
      <c r="H798" s="57"/>
      <c r="I798" s="195"/>
      <c r="M798" s="195"/>
    </row>
    <row r="799">
      <c r="D799" s="57"/>
      <c r="E799" s="123"/>
      <c r="F799" s="57"/>
      <c r="G799" s="57"/>
      <c r="H799" s="57"/>
      <c r="I799" s="195"/>
      <c r="M799" s="195"/>
    </row>
    <row r="800">
      <c r="D800" s="57"/>
      <c r="E800" s="123"/>
      <c r="F800" s="57"/>
      <c r="G800" s="57"/>
      <c r="H800" s="57"/>
      <c r="I800" s="195"/>
      <c r="M800" s="195"/>
    </row>
    <row r="801">
      <c r="D801" s="57"/>
      <c r="E801" s="123"/>
      <c r="F801" s="57"/>
      <c r="G801" s="57"/>
      <c r="H801" s="57"/>
      <c r="I801" s="195"/>
      <c r="M801" s="195"/>
    </row>
    <row r="802">
      <c r="D802" s="57"/>
      <c r="E802" s="123"/>
      <c r="F802" s="57"/>
      <c r="G802" s="57"/>
      <c r="H802" s="57"/>
      <c r="I802" s="195"/>
      <c r="M802" s="195"/>
    </row>
    <row r="803">
      <c r="D803" s="57"/>
      <c r="E803" s="123"/>
      <c r="F803" s="57"/>
      <c r="G803" s="57"/>
      <c r="H803" s="57"/>
      <c r="I803" s="195"/>
      <c r="M803" s="195"/>
    </row>
    <row r="804">
      <c r="D804" s="57"/>
      <c r="E804" s="123"/>
      <c r="F804" s="57"/>
      <c r="G804" s="57"/>
      <c r="H804" s="57"/>
      <c r="I804" s="195"/>
      <c r="M804" s="195"/>
    </row>
    <row r="805">
      <c r="D805" s="57"/>
      <c r="E805" s="123"/>
      <c r="F805" s="57"/>
      <c r="G805" s="57"/>
      <c r="H805" s="57"/>
      <c r="I805" s="195"/>
      <c r="M805" s="195"/>
    </row>
    <row r="806">
      <c r="D806" s="57"/>
      <c r="E806" s="123"/>
      <c r="F806" s="57"/>
      <c r="G806" s="57"/>
      <c r="H806" s="57"/>
      <c r="I806" s="195"/>
      <c r="M806" s="195"/>
    </row>
    <row r="807">
      <c r="D807" s="57"/>
      <c r="E807" s="123"/>
      <c r="F807" s="57"/>
      <c r="G807" s="57"/>
      <c r="H807" s="57"/>
      <c r="I807" s="195"/>
      <c r="M807" s="195"/>
    </row>
    <row r="808">
      <c r="D808" s="57"/>
      <c r="E808" s="123"/>
      <c r="F808" s="57"/>
      <c r="G808" s="57"/>
      <c r="H808" s="57"/>
      <c r="I808" s="195"/>
      <c r="M808" s="195"/>
    </row>
    <row r="809">
      <c r="D809" s="57"/>
      <c r="E809" s="123"/>
      <c r="F809" s="57"/>
      <c r="G809" s="57"/>
      <c r="H809" s="57"/>
      <c r="I809" s="195"/>
      <c r="M809" s="195"/>
    </row>
    <row r="810">
      <c r="D810" s="57"/>
      <c r="E810" s="123"/>
      <c r="F810" s="57"/>
      <c r="G810" s="57"/>
      <c r="H810" s="57"/>
      <c r="I810" s="195"/>
      <c r="M810" s="195"/>
    </row>
    <row r="811">
      <c r="D811" s="57"/>
      <c r="E811" s="123"/>
      <c r="F811" s="57"/>
      <c r="G811" s="57"/>
      <c r="H811" s="57"/>
      <c r="I811" s="195"/>
      <c r="M811" s="195"/>
    </row>
    <row r="812">
      <c r="D812" s="57"/>
      <c r="E812" s="123"/>
      <c r="F812" s="57"/>
      <c r="G812" s="57"/>
      <c r="H812" s="57"/>
      <c r="I812" s="195"/>
      <c r="M812" s="195"/>
    </row>
    <row r="813">
      <c r="D813" s="57"/>
      <c r="E813" s="123"/>
      <c r="F813" s="57"/>
      <c r="G813" s="57"/>
      <c r="H813" s="57"/>
      <c r="I813" s="195"/>
      <c r="M813" s="195"/>
    </row>
    <row r="814">
      <c r="D814" s="57"/>
      <c r="E814" s="123"/>
      <c r="F814" s="57"/>
      <c r="G814" s="57"/>
      <c r="H814" s="57"/>
      <c r="I814" s="195"/>
      <c r="M814" s="195"/>
    </row>
    <row r="815">
      <c r="D815" s="57"/>
      <c r="E815" s="123"/>
      <c r="F815" s="57"/>
      <c r="G815" s="57"/>
      <c r="H815" s="57"/>
      <c r="I815" s="195"/>
      <c r="M815" s="195"/>
    </row>
    <row r="816">
      <c r="D816" s="57"/>
      <c r="E816" s="123"/>
      <c r="F816" s="57"/>
      <c r="G816" s="57"/>
      <c r="H816" s="57"/>
      <c r="I816" s="195"/>
      <c r="M816" s="195"/>
    </row>
    <row r="817">
      <c r="D817" s="57"/>
      <c r="E817" s="123"/>
      <c r="F817" s="57"/>
      <c r="G817" s="57"/>
      <c r="H817" s="57"/>
      <c r="I817" s="195"/>
      <c r="M817" s="195"/>
    </row>
    <row r="818">
      <c r="D818" s="57"/>
      <c r="E818" s="123"/>
      <c r="F818" s="57"/>
      <c r="G818" s="57"/>
      <c r="H818" s="57"/>
      <c r="I818" s="195"/>
      <c r="M818" s="195"/>
    </row>
    <row r="819">
      <c r="D819" s="57"/>
      <c r="E819" s="123"/>
      <c r="F819" s="57"/>
      <c r="G819" s="57"/>
      <c r="H819" s="57"/>
      <c r="I819" s="195"/>
      <c r="M819" s="195"/>
    </row>
    <row r="820">
      <c r="D820" s="57"/>
      <c r="E820" s="123"/>
      <c r="F820" s="57"/>
      <c r="G820" s="57"/>
      <c r="H820" s="57"/>
      <c r="I820" s="195"/>
      <c r="M820" s="195"/>
    </row>
    <row r="821">
      <c r="D821" s="57"/>
      <c r="E821" s="123"/>
      <c r="F821" s="57"/>
      <c r="G821" s="57"/>
      <c r="H821" s="57"/>
      <c r="I821" s="195"/>
      <c r="M821" s="195"/>
    </row>
    <row r="822">
      <c r="D822" s="57"/>
      <c r="E822" s="123"/>
      <c r="F822" s="57"/>
      <c r="G822" s="57"/>
      <c r="H822" s="57"/>
      <c r="I822" s="195"/>
      <c r="M822" s="195"/>
    </row>
    <row r="823">
      <c r="D823" s="57"/>
      <c r="E823" s="123"/>
      <c r="F823" s="57"/>
      <c r="G823" s="57"/>
      <c r="H823" s="57"/>
      <c r="I823" s="195"/>
      <c r="M823" s="195"/>
    </row>
    <row r="824">
      <c r="D824" s="57"/>
      <c r="E824" s="123"/>
      <c r="F824" s="57"/>
      <c r="G824" s="57"/>
      <c r="H824" s="57"/>
      <c r="I824" s="195"/>
      <c r="M824" s="195"/>
    </row>
    <row r="825">
      <c r="D825" s="57"/>
      <c r="E825" s="123"/>
      <c r="F825" s="57"/>
      <c r="G825" s="57"/>
      <c r="H825" s="57"/>
      <c r="I825" s="195"/>
      <c r="M825" s="195"/>
    </row>
    <row r="826">
      <c r="D826" s="57"/>
      <c r="E826" s="123"/>
      <c r="F826" s="57"/>
      <c r="G826" s="57"/>
      <c r="H826" s="57"/>
      <c r="I826" s="195"/>
      <c r="M826" s="195"/>
    </row>
    <row r="827">
      <c r="D827" s="57"/>
      <c r="E827" s="123"/>
      <c r="F827" s="57"/>
      <c r="G827" s="57"/>
      <c r="H827" s="57"/>
      <c r="I827" s="195"/>
      <c r="M827" s="195"/>
    </row>
    <row r="828">
      <c r="D828" s="57"/>
      <c r="E828" s="123"/>
      <c r="F828" s="57"/>
      <c r="G828" s="57"/>
      <c r="H828" s="57"/>
      <c r="I828" s="195"/>
      <c r="M828" s="195"/>
    </row>
    <row r="829">
      <c r="D829" s="57"/>
      <c r="E829" s="123"/>
      <c r="F829" s="57"/>
      <c r="G829" s="57"/>
      <c r="H829" s="57"/>
      <c r="I829" s="195"/>
      <c r="M829" s="195"/>
    </row>
    <row r="830">
      <c r="D830" s="57"/>
      <c r="E830" s="123"/>
      <c r="F830" s="57"/>
      <c r="G830" s="57"/>
      <c r="H830" s="57"/>
      <c r="I830" s="195"/>
      <c r="M830" s="195"/>
    </row>
    <row r="831">
      <c r="D831" s="57"/>
      <c r="E831" s="123"/>
      <c r="F831" s="57"/>
      <c r="G831" s="57"/>
      <c r="H831" s="57"/>
      <c r="I831" s="195"/>
      <c r="M831" s="195"/>
    </row>
    <row r="832">
      <c r="D832" s="57"/>
      <c r="E832" s="123"/>
      <c r="F832" s="57"/>
      <c r="G832" s="57"/>
      <c r="H832" s="57"/>
      <c r="I832" s="195"/>
      <c r="M832" s="195"/>
    </row>
    <row r="833">
      <c r="D833" s="57"/>
      <c r="E833" s="123"/>
      <c r="F833" s="57"/>
      <c r="G833" s="57"/>
      <c r="H833" s="57"/>
      <c r="I833" s="195"/>
      <c r="M833" s="195"/>
    </row>
    <row r="834">
      <c r="D834" s="57"/>
      <c r="E834" s="123"/>
      <c r="F834" s="57"/>
      <c r="G834" s="57"/>
      <c r="H834" s="57"/>
      <c r="I834" s="195"/>
      <c r="M834" s="195"/>
    </row>
    <row r="835">
      <c r="D835" s="57"/>
      <c r="E835" s="123"/>
      <c r="F835" s="57"/>
      <c r="G835" s="57"/>
      <c r="H835" s="57"/>
      <c r="I835" s="195"/>
      <c r="M835" s="195"/>
    </row>
    <row r="836">
      <c r="D836" s="57"/>
      <c r="E836" s="123"/>
      <c r="F836" s="57"/>
      <c r="G836" s="57"/>
      <c r="H836" s="57"/>
      <c r="I836" s="195"/>
      <c r="M836" s="195"/>
    </row>
    <row r="837">
      <c r="D837" s="57"/>
      <c r="E837" s="123"/>
      <c r="F837" s="57"/>
      <c r="G837" s="57"/>
      <c r="H837" s="57"/>
      <c r="I837" s="195"/>
      <c r="M837" s="195"/>
    </row>
    <row r="838">
      <c r="D838" s="57"/>
      <c r="E838" s="123"/>
      <c r="F838" s="57"/>
      <c r="G838" s="57"/>
      <c r="H838" s="57"/>
      <c r="I838" s="195"/>
      <c r="M838" s="195"/>
    </row>
    <row r="839">
      <c r="D839" s="57"/>
      <c r="E839" s="123"/>
      <c r="F839" s="57"/>
      <c r="G839" s="57"/>
      <c r="H839" s="57"/>
      <c r="I839" s="195"/>
      <c r="M839" s="195"/>
    </row>
    <row r="840">
      <c r="D840" s="57"/>
      <c r="E840" s="123"/>
      <c r="F840" s="57"/>
      <c r="G840" s="57"/>
      <c r="H840" s="57"/>
      <c r="I840" s="195"/>
      <c r="M840" s="195"/>
    </row>
    <row r="841">
      <c r="D841" s="57"/>
      <c r="E841" s="123"/>
      <c r="F841" s="57"/>
      <c r="G841" s="57"/>
      <c r="H841" s="57"/>
      <c r="I841" s="195"/>
      <c r="M841" s="195"/>
    </row>
    <row r="842">
      <c r="D842" s="57"/>
      <c r="E842" s="123"/>
      <c r="F842" s="57"/>
      <c r="G842" s="57"/>
      <c r="H842" s="57"/>
      <c r="I842" s="195"/>
      <c r="M842" s="195"/>
    </row>
    <row r="843">
      <c r="D843" s="57"/>
      <c r="E843" s="123"/>
      <c r="F843" s="57"/>
      <c r="G843" s="57"/>
      <c r="H843" s="57"/>
      <c r="I843" s="195"/>
      <c r="M843" s="195"/>
    </row>
    <row r="844">
      <c r="D844" s="57"/>
      <c r="E844" s="123"/>
      <c r="F844" s="57"/>
      <c r="G844" s="57"/>
      <c r="H844" s="57"/>
      <c r="I844" s="195"/>
      <c r="M844" s="195"/>
    </row>
    <row r="845">
      <c r="D845" s="57"/>
      <c r="E845" s="123"/>
      <c r="F845" s="57"/>
      <c r="G845" s="57"/>
      <c r="H845" s="57"/>
      <c r="I845" s="195"/>
      <c r="M845" s="195"/>
    </row>
    <row r="846">
      <c r="D846" s="57"/>
      <c r="E846" s="123"/>
      <c r="F846" s="57"/>
      <c r="G846" s="57"/>
      <c r="H846" s="57"/>
      <c r="I846" s="195"/>
      <c r="M846" s="195"/>
    </row>
    <row r="847">
      <c r="D847" s="57"/>
      <c r="E847" s="123"/>
      <c r="F847" s="57"/>
      <c r="G847" s="57"/>
      <c r="H847" s="57"/>
      <c r="I847" s="195"/>
      <c r="M847" s="195"/>
    </row>
    <row r="848">
      <c r="D848" s="57"/>
      <c r="E848" s="123"/>
      <c r="F848" s="57"/>
      <c r="G848" s="57"/>
      <c r="H848" s="57"/>
      <c r="I848" s="195"/>
      <c r="M848" s="195"/>
    </row>
    <row r="849">
      <c r="D849" s="57"/>
      <c r="E849" s="123"/>
      <c r="F849" s="57"/>
      <c r="G849" s="57"/>
      <c r="H849" s="57"/>
      <c r="I849" s="195"/>
      <c r="M849" s="195"/>
    </row>
    <row r="850">
      <c r="D850" s="57"/>
      <c r="E850" s="123"/>
      <c r="F850" s="57"/>
      <c r="G850" s="57"/>
      <c r="H850" s="57"/>
      <c r="I850" s="195"/>
      <c r="M850" s="195"/>
    </row>
    <row r="851">
      <c r="D851" s="57"/>
      <c r="E851" s="123"/>
      <c r="F851" s="57"/>
      <c r="G851" s="57"/>
      <c r="H851" s="57"/>
      <c r="I851" s="195"/>
      <c r="M851" s="195"/>
    </row>
    <row r="852">
      <c r="D852" s="57"/>
      <c r="E852" s="123"/>
      <c r="F852" s="57"/>
      <c r="G852" s="57"/>
      <c r="H852" s="57"/>
      <c r="I852" s="195"/>
      <c r="M852" s="195"/>
    </row>
    <row r="853">
      <c r="D853" s="57"/>
      <c r="E853" s="123"/>
      <c r="F853" s="57"/>
      <c r="G853" s="57"/>
      <c r="H853" s="57"/>
      <c r="I853" s="195"/>
      <c r="M853" s="195"/>
    </row>
    <row r="854">
      <c r="D854" s="57"/>
      <c r="E854" s="123"/>
      <c r="F854" s="57"/>
      <c r="G854" s="57"/>
      <c r="H854" s="57"/>
      <c r="I854" s="195"/>
      <c r="M854" s="195"/>
    </row>
    <row r="855">
      <c r="D855" s="57"/>
      <c r="E855" s="123"/>
      <c r="F855" s="57"/>
      <c r="G855" s="57"/>
      <c r="H855" s="57"/>
      <c r="I855" s="195"/>
      <c r="M855" s="195"/>
    </row>
    <row r="856">
      <c r="D856" s="57"/>
      <c r="E856" s="123"/>
      <c r="F856" s="57"/>
      <c r="G856" s="57"/>
      <c r="H856" s="57"/>
      <c r="I856" s="195"/>
      <c r="M856" s="195"/>
    </row>
    <row r="857">
      <c r="D857" s="57"/>
      <c r="E857" s="123"/>
      <c r="F857" s="57"/>
      <c r="G857" s="57"/>
      <c r="H857" s="57"/>
      <c r="I857" s="195"/>
      <c r="M857" s="195"/>
    </row>
    <row r="858">
      <c r="D858" s="57"/>
      <c r="E858" s="123"/>
      <c r="F858" s="57"/>
      <c r="G858" s="57"/>
      <c r="H858" s="57"/>
      <c r="I858" s="195"/>
      <c r="M858" s="195"/>
    </row>
    <row r="859">
      <c r="D859" s="57"/>
      <c r="E859" s="123"/>
      <c r="F859" s="57"/>
      <c r="G859" s="57"/>
      <c r="H859" s="57"/>
      <c r="I859" s="195"/>
      <c r="M859" s="195"/>
    </row>
    <row r="860">
      <c r="D860" s="57"/>
      <c r="E860" s="123"/>
      <c r="F860" s="57"/>
      <c r="G860" s="57"/>
      <c r="H860" s="57"/>
      <c r="I860" s="195"/>
      <c r="M860" s="195"/>
    </row>
    <row r="861">
      <c r="D861" s="57"/>
      <c r="E861" s="123"/>
      <c r="F861" s="57"/>
      <c r="G861" s="57"/>
      <c r="H861" s="57"/>
      <c r="I861" s="195"/>
      <c r="M861" s="195"/>
    </row>
    <row r="862">
      <c r="D862" s="57"/>
      <c r="E862" s="123"/>
      <c r="F862" s="57"/>
      <c r="G862" s="57"/>
      <c r="H862" s="57"/>
      <c r="I862" s="195"/>
      <c r="M862" s="195"/>
    </row>
    <row r="863">
      <c r="D863" s="57"/>
      <c r="E863" s="123"/>
      <c r="F863" s="57"/>
      <c r="G863" s="57"/>
      <c r="H863" s="57"/>
      <c r="I863" s="195"/>
      <c r="M863" s="195"/>
    </row>
    <row r="864">
      <c r="D864" s="57"/>
      <c r="E864" s="123"/>
      <c r="F864" s="57"/>
      <c r="G864" s="57"/>
      <c r="H864" s="57"/>
      <c r="I864" s="195"/>
      <c r="M864" s="195"/>
    </row>
    <row r="865">
      <c r="D865" s="57"/>
      <c r="E865" s="123"/>
      <c r="F865" s="57"/>
      <c r="G865" s="57"/>
      <c r="H865" s="57"/>
      <c r="I865" s="195"/>
      <c r="M865" s="195"/>
    </row>
    <row r="866">
      <c r="D866" s="57"/>
      <c r="E866" s="123"/>
      <c r="F866" s="57"/>
      <c r="G866" s="57"/>
      <c r="H866" s="57"/>
      <c r="I866" s="195"/>
      <c r="M866" s="195"/>
    </row>
    <row r="867">
      <c r="D867" s="57"/>
      <c r="E867" s="123"/>
      <c r="F867" s="57"/>
      <c r="G867" s="57"/>
      <c r="H867" s="57"/>
      <c r="I867" s="195"/>
      <c r="M867" s="195"/>
    </row>
    <row r="868">
      <c r="D868" s="57"/>
      <c r="E868" s="123"/>
      <c r="F868" s="57"/>
      <c r="G868" s="57"/>
      <c r="H868" s="57"/>
      <c r="I868" s="195"/>
      <c r="M868" s="195"/>
    </row>
    <row r="869">
      <c r="D869" s="57"/>
      <c r="E869" s="123"/>
      <c r="F869" s="57"/>
      <c r="G869" s="57"/>
      <c r="H869" s="57"/>
      <c r="I869" s="195"/>
      <c r="M869" s="195"/>
    </row>
    <row r="870">
      <c r="D870" s="57"/>
      <c r="E870" s="123"/>
      <c r="F870" s="57"/>
      <c r="G870" s="57"/>
      <c r="H870" s="57"/>
      <c r="I870" s="195"/>
      <c r="M870" s="195"/>
    </row>
    <row r="871">
      <c r="D871" s="57"/>
      <c r="E871" s="123"/>
      <c r="F871" s="57"/>
      <c r="G871" s="57"/>
      <c r="H871" s="57"/>
      <c r="I871" s="195"/>
      <c r="M871" s="195"/>
    </row>
    <row r="872">
      <c r="D872" s="57"/>
      <c r="E872" s="123"/>
      <c r="F872" s="57"/>
      <c r="G872" s="57"/>
      <c r="H872" s="57"/>
      <c r="I872" s="195"/>
      <c r="M872" s="195"/>
    </row>
    <row r="873">
      <c r="D873" s="57"/>
      <c r="E873" s="123"/>
      <c r="F873" s="57"/>
      <c r="G873" s="57"/>
      <c r="H873" s="57"/>
      <c r="I873" s="195"/>
      <c r="M873" s="195"/>
    </row>
    <row r="874">
      <c r="D874" s="57"/>
      <c r="E874" s="123"/>
      <c r="F874" s="57"/>
      <c r="G874" s="57"/>
      <c r="H874" s="57"/>
      <c r="I874" s="195"/>
      <c r="M874" s="195"/>
    </row>
    <row r="875">
      <c r="D875" s="57"/>
      <c r="E875" s="123"/>
      <c r="F875" s="57"/>
      <c r="G875" s="57"/>
      <c r="H875" s="57"/>
      <c r="I875" s="195"/>
      <c r="M875" s="195"/>
    </row>
    <row r="876">
      <c r="D876" s="57"/>
      <c r="E876" s="123"/>
      <c r="F876" s="57"/>
      <c r="G876" s="57"/>
      <c r="H876" s="57"/>
      <c r="I876" s="195"/>
      <c r="M876" s="195"/>
    </row>
    <row r="877">
      <c r="D877" s="57"/>
      <c r="E877" s="123"/>
      <c r="F877" s="57"/>
      <c r="G877" s="57"/>
      <c r="H877" s="57"/>
      <c r="I877" s="195"/>
      <c r="M877" s="195"/>
    </row>
    <row r="878">
      <c r="D878" s="57"/>
      <c r="E878" s="123"/>
      <c r="F878" s="57"/>
      <c r="G878" s="57"/>
      <c r="H878" s="57"/>
      <c r="I878" s="195"/>
      <c r="M878" s="195"/>
    </row>
    <row r="879">
      <c r="D879" s="57"/>
      <c r="E879" s="123"/>
      <c r="F879" s="57"/>
      <c r="G879" s="57"/>
      <c r="H879" s="57"/>
      <c r="I879" s="195"/>
      <c r="M879" s="195"/>
    </row>
    <row r="880">
      <c r="D880" s="57"/>
      <c r="E880" s="123"/>
      <c r="F880" s="57"/>
      <c r="G880" s="57"/>
      <c r="H880" s="57"/>
      <c r="I880" s="195"/>
      <c r="M880" s="195"/>
    </row>
    <row r="881">
      <c r="D881" s="57"/>
      <c r="E881" s="123"/>
      <c r="F881" s="57"/>
      <c r="G881" s="57"/>
      <c r="H881" s="57"/>
      <c r="I881" s="195"/>
      <c r="M881" s="195"/>
    </row>
    <row r="882">
      <c r="D882" s="57"/>
      <c r="E882" s="123"/>
      <c r="F882" s="57"/>
      <c r="G882" s="57"/>
      <c r="H882" s="57"/>
      <c r="I882" s="195"/>
      <c r="M882" s="195"/>
    </row>
    <row r="883">
      <c r="D883" s="57"/>
      <c r="E883" s="123"/>
      <c r="F883" s="57"/>
      <c r="G883" s="57"/>
      <c r="H883" s="57"/>
      <c r="I883" s="195"/>
      <c r="M883" s="195"/>
    </row>
    <row r="884">
      <c r="D884" s="57"/>
      <c r="E884" s="123"/>
      <c r="F884" s="57"/>
      <c r="G884" s="57"/>
      <c r="H884" s="57"/>
      <c r="I884" s="195"/>
      <c r="M884" s="195"/>
    </row>
    <row r="885">
      <c r="D885" s="57"/>
      <c r="E885" s="123"/>
      <c r="F885" s="57"/>
      <c r="G885" s="57"/>
      <c r="H885" s="57"/>
      <c r="I885" s="195"/>
      <c r="M885" s="195"/>
    </row>
    <row r="886">
      <c r="D886" s="57"/>
      <c r="E886" s="123"/>
      <c r="F886" s="57"/>
      <c r="G886" s="57"/>
      <c r="H886" s="57"/>
      <c r="I886" s="195"/>
      <c r="M886" s="195"/>
    </row>
    <row r="887">
      <c r="D887" s="57"/>
      <c r="E887" s="123"/>
      <c r="F887" s="57"/>
      <c r="G887" s="57"/>
      <c r="H887" s="57"/>
      <c r="I887" s="195"/>
      <c r="M887" s="195"/>
    </row>
    <row r="888">
      <c r="D888" s="57"/>
      <c r="E888" s="123"/>
      <c r="F888" s="57"/>
      <c r="G888" s="57"/>
      <c r="H888" s="57"/>
      <c r="I888" s="195"/>
      <c r="M888" s="195"/>
    </row>
    <row r="889">
      <c r="D889" s="57"/>
      <c r="E889" s="123"/>
      <c r="F889" s="57"/>
      <c r="G889" s="57"/>
      <c r="H889" s="57"/>
      <c r="I889" s="195"/>
      <c r="M889" s="195"/>
    </row>
    <row r="890">
      <c r="D890" s="57"/>
      <c r="E890" s="123"/>
      <c r="F890" s="57"/>
      <c r="G890" s="57"/>
      <c r="H890" s="57"/>
      <c r="I890" s="195"/>
      <c r="M890" s="195"/>
    </row>
    <row r="891">
      <c r="D891" s="57"/>
      <c r="E891" s="123"/>
      <c r="F891" s="57"/>
      <c r="G891" s="57"/>
      <c r="H891" s="57"/>
      <c r="I891" s="195"/>
      <c r="M891" s="195"/>
    </row>
    <row r="892">
      <c r="D892" s="57"/>
      <c r="E892" s="123"/>
      <c r="F892" s="57"/>
      <c r="G892" s="57"/>
      <c r="H892" s="57"/>
      <c r="I892" s="195"/>
      <c r="M892" s="195"/>
    </row>
    <row r="893">
      <c r="D893" s="57"/>
      <c r="E893" s="123"/>
      <c r="F893" s="57"/>
      <c r="G893" s="57"/>
      <c r="H893" s="57"/>
      <c r="I893" s="195"/>
      <c r="M893" s="195"/>
    </row>
    <row r="894">
      <c r="D894" s="57"/>
      <c r="E894" s="123"/>
      <c r="F894" s="57"/>
      <c r="G894" s="57"/>
      <c r="H894" s="57"/>
      <c r="I894" s="195"/>
      <c r="M894" s="195"/>
    </row>
    <row r="895">
      <c r="D895" s="57"/>
      <c r="E895" s="123"/>
      <c r="F895" s="57"/>
      <c r="G895" s="57"/>
      <c r="H895" s="57"/>
      <c r="I895" s="195"/>
      <c r="M895" s="195"/>
    </row>
    <row r="896">
      <c r="D896" s="57"/>
      <c r="E896" s="123"/>
      <c r="F896" s="57"/>
      <c r="G896" s="57"/>
      <c r="H896" s="57"/>
      <c r="I896" s="195"/>
      <c r="M896" s="195"/>
    </row>
    <row r="897">
      <c r="D897" s="57"/>
      <c r="E897" s="123"/>
      <c r="F897" s="57"/>
      <c r="G897" s="57"/>
      <c r="H897" s="57"/>
      <c r="I897" s="195"/>
      <c r="M897" s="195"/>
    </row>
    <row r="898">
      <c r="D898" s="57"/>
      <c r="E898" s="123"/>
      <c r="F898" s="57"/>
      <c r="G898" s="57"/>
      <c r="H898" s="57"/>
      <c r="I898" s="195"/>
      <c r="M898" s="195"/>
    </row>
    <row r="899">
      <c r="D899" s="57"/>
      <c r="E899" s="123"/>
      <c r="F899" s="57"/>
      <c r="G899" s="57"/>
      <c r="H899" s="57"/>
      <c r="I899" s="195"/>
      <c r="M899" s="195"/>
    </row>
    <row r="900">
      <c r="D900" s="57"/>
      <c r="E900" s="123"/>
      <c r="F900" s="57"/>
      <c r="G900" s="57"/>
      <c r="H900" s="57"/>
      <c r="I900" s="195"/>
      <c r="M900" s="195"/>
    </row>
    <row r="901">
      <c r="D901" s="57"/>
      <c r="E901" s="123"/>
      <c r="F901" s="57"/>
      <c r="G901" s="57"/>
      <c r="H901" s="57"/>
      <c r="I901" s="195"/>
      <c r="M901" s="195"/>
    </row>
    <row r="902">
      <c r="D902" s="57"/>
      <c r="E902" s="123"/>
      <c r="F902" s="57"/>
      <c r="G902" s="57"/>
      <c r="H902" s="57"/>
      <c r="I902" s="195"/>
      <c r="M902" s="195"/>
    </row>
    <row r="903">
      <c r="D903" s="57"/>
      <c r="E903" s="123"/>
      <c r="F903" s="57"/>
      <c r="G903" s="57"/>
      <c r="H903" s="57"/>
      <c r="I903" s="195"/>
      <c r="M903" s="195"/>
    </row>
    <row r="904">
      <c r="D904" s="57"/>
      <c r="E904" s="123"/>
      <c r="F904" s="57"/>
      <c r="G904" s="57"/>
      <c r="H904" s="57"/>
      <c r="I904" s="195"/>
      <c r="M904" s="195"/>
    </row>
    <row r="905">
      <c r="D905" s="57"/>
      <c r="E905" s="123"/>
      <c r="F905" s="57"/>
      <c r="G905" s="57"/>
      <c r="H905" s="57"/>
      <c r="I905" s="195"/>
      <c r="M905" s="195"/>
    </row>
    <row r="906">
      <c r="D906" s="57"/>
      <c r="E906" s="123"/>
      <c r="F906" s="57"/>
      <c r="G906" s="57"/>
      <c r="H906" s="57"/>
      <c r="I906" s="195"/>
      <c r="M906" s="195"/>
    </row>
    <row r="907">
      <c r="D907" s="57"/>
      <c r="E907" s="123"/>
      <c r="F907" s="57"/>
      <c r="G907" s="57"/>
      <c r="H907" s="57"/>
      <c r="I907" s="195"/>
      <c r="M907" s="195"/>
    </row>
    <row r="908">
      <c r="D908" s="57"/>
      <c r="E908" s="123"/>
      <c r="F908" s="57"/>
      <c r="G908" s="57"/>
      <c r="H908" s="57"/>
      <c r="I908" s="195"/>
      <c r="M908" s="195"/>
    </row>
    <row r="909">
      <c r="D909" s="57"/>
      <c r="E909" s="123"/>
      <c r="F909" s="57"/>
      <c r="G909" s="57"/>
      <c r="H909" s="57"/>
      <c r="I909" s="195"/>
      <c r="M909" s="195"/>
    </row>
    <row r="910">
      <c r="D910" s="57"/>
      <c r="E910" s="123"/>
      <c r="F910" s="57"/>
      <c r="G910" s="57"/>
      <c r="H910" s="57"/>
      <c r="I910" s="195"/>
      <c r="M910" s="195"/>
    </row>
    <row r="911">
      <c r="D911" s="57"/>
      <c r="E911" s="123"/>
      <c r="F911" s="57"/>
      <c r="G911" s="57"/>
      <c r="H911" s="57"/>
      <c r="I911" s="195"/>
      <c r="M911" s="195"/>
    </row>
    <row r="912">
      <c r="D912" s="57"/>
      <c r="E912" s="123"/>
      <c r="F912" s="57"/>
      <c r="G912" s="57"/>
      <c r="H912" s="57"/>
      <c r="I912" s="195"/>
      <c r="M912" s="195"/>
    </row>
    <row r="913">
      <c r="D913" s="57"/>
      <c r="E913" s="123"/>
      <c r="F913" s="57"/>
      <c r="G913" s="57"/>
      <c r="H913" s="57"/>
      <c r="I913" s="195"/>
      <c r="M913" s="195"/>
    </row>
    <row r="914">
      <c r="D914" s="57"/>
      <c r="E914" s="123"/>
      <c r="F914" s="57"/>
      <c r="G914" s="57"/>
      <c r="H914" s="57"/>
      <c r="I914" s="195"/>
      <c r="M914" s="195"/>
    </row>
    <row r="915">
      <c r="D915" s="57"/>
      <c r="E915" s="123"/>
      <c r="F915" s="57"/>
      <c r="G915" s="57"/>
      <c r="H915" s="57"/>
      <c r="I915" s="195"/>
      <c r="M915" s="195"/>
    </row>
    <row r="916">
      <c r="D916" s="57"/>
      <c r="E916" s="123"/>
      <c r="F916" s="57"/>
      <c r="G916" s="57"/>
      <c r="H916" s="57"/>
      <c r="I916" s="195"/>
      <c r="M916" s="195"/>
    </row>
    <row r="917">
      <c r="D917" s="57"/>
      <c r="E917" s="123"/>
      <c r="F917" s="57"/>
      <c r="G917" s="57"/>
      <c r="H917" s="57"/>
      <c r="I917" s="195"/>
      <c r="M917" s="195"/>
    </row>
    <row r="918">
      <c r="D918" s="57"/>
      <c r="E918" s="123"/>
      <c r="F918" s="57"/>
      <c r="G918" s="57"/>
      <c r="H918" s="57"/>
      <c r="I918" s="195"/>
      <c r="M918" s="195"/>
    </row>
    <row r="919">
      <c r="D919" s="57"/>
      <c r="E919" s="123"/>
      <c r="F919" s="57"/>
      <c r="G919" s="57"/>
      <c r="H919" s="57"/>
      <c r="I919" s="195"/>
      <c r="M919" s="195"/>
    </row>
    <row r="920">
      <c r="D920" s="57"/>
      <c r="E920" s="123"/>
      <c r="F920" s="57"/>
      <c r="G920" s="57"/>
      <c r="H920" s="57"/>
      <c r="I920" s="195"/>
      <c r="M920" s="195"/>
    </row>
    <row r="921">
      <c r="D921" s="57"/>
      <c r="E921" s="123"/>
      <c r="F921" s="57"/>
      <c r="G921" s="57"/>
      <c r="H921" s="57"/>
      <c r="I921" s="195"/>
      <c r="M921" s="195"/>
    </row>
    <row r="922">
      <c r="D922" s="57"/>
      <c r="E922" s="123"/>
      <c r="F922" s="57"/>
      <c r="G922" s="57"/>
      <c r="H922" s="57"/>
      <c r="I922" s="195"/>
      <c r="M922" s="195"/>
    </row>
    <row r="923">
      <c r="D923" s="57"/>
      <c r="E923" s="123"/>
      <c r="F923" s="57"/>
      <c r="G923" s="57"/>
      <c r="H923" s="57"/>
      <c r="I923" s="195"/>
      <c r="M923" s="195"/>
    </row>
    <row r="924">
      <c r="D924" s="57"/>
      <c r="E924" s="123"/>
      <c r="F924" s="57"/>
      <c r="G924" s="57"/>
      <c r="H924" s="57"/>
      <c r="I924" s="195"/>
      <c r="M924" s="195"/>
    </row>
    <row r="925">
      <c r="D925" s="57"/>
      <c r="E925" s="123"/>
      <c r="F925" s="57"/>
      <c r="G925" s="57"/>
      <c r="H925" s="57"/>
      <c r="I925" s="195"/>
      <c r="M925" s="195"/>
    </row>
    <row r="926">
      <c r="D926" s="57"/>
      <c r="E926" s="123"/>
      <c r="F926" s="57"/>
      <c r="G926" s="57"/>
      <c r="H926" s="57"/>
      <c r="I926" s="195"/>
      <c r="M926" s="195"/>
    </row>
    <row r="927">
      <c r="D927" s="57"/>
      <c r="E927" s="123"/>
      <c r="F927" s="57"/>
      <c r="G927" s="57"/>
      <c r="H927" s="57"/>
      <c r="I927" s="195"/>
      <c r="M927" s="195"/>
    </row>
    <row r="928">
      <c r="D928" s="57"/>
      <c r="E928" s="123"/>
      <c r="F928" s="57"/>
      <c r="G928" s="57"/>
      <c r="H928" s="57"/>
      <c r="I928" s="195"/>
      <c r="M928" s="195"/>
    </row>
    <row r="929">
      <c r="D929" s="57"/>
      <c r="E929" s="123"/>
      <c r="F929" s="57"/>
      <c r="G929" s="57"/>
      <c r="H929" s="57"/>
      <c r="I929" s="195"/>
      <c r="M929" s="195"/>
    </row>
    <row r="930">
      <c r="D930" s="57"/>
      <c r="E930" s="123"/>
      <c r="F930" s="57"/>
      <c r="G930" s="57"/>
      <c r="H930" s="57"/>
      <c r="I930" s="195"/>
      <c r="M930" s="195"/>
    </row>
    <row r="931">
      <c r="D931" s="57"/>
      <c r="E931" s="123"/>
      <c r="F931" s="57"/>
      <c r="G931" s="57"/>
      <c r="H931" s="57"/>
      <c r="I931" s="195"/>
      <c r="M931" s="195"/>
    </row>
    <row r="932">
      <c r="D932" s="57"/>
      <c r="E932" s="123"/>
      <c r="F932" s="57"/>
      <c r="G932" s="57"/>
      <c r="H932" s="57"/>
      <c r="I932" s="195"/>
      <c r="M932" s="195"/>
    </row>
    <row r="933">
      <c r="D933" s="57"/>
      <c r="E933" s="123"/>
      <c r="F933" s="57"/>
      <c r="G933" s="57"/>
      <c r="H933" s="57"/>
      <c r="I933" s="195"/>
      <c r="M933" s="195"/>
    </row>
    <row r="934">
      <c r="D934" s="57"/>
      <c r="E934" s="123"/>
      <c r="F934" s="57"/>
      <c r="G934" s="57"/>
      <c r="H934" s="57"/>
      <c r="I934" s="195"/>
      <c r="M934" s="195"/>
    </row>
    <row r="935">
      <c r="D935" s="57"/>
      <c r="E935" s="123"/>
      <c r="F935" s="57"/>
      <c r="G935" s="57"/>
      <c r="H935" s="57"/>
      <c r="I935" s="195"/>
      <c r="M935" s="195"/>
    </row>
    <row r="936">
      <c r="D936" s="57"/>
      <c r="E936" s="123"/>
      <c r="F936" s="57"/>
      <c r="G936" s="57"/>
      <c r="H936" s="57"/>
      <c r="I936" s="195"/>
      <c r="M936" s="195"/>
    </row>
    <row r="937">
      <c r="D937" s="57"/>
      <c r="E937" s="123"/>
      <c r="F937" s="57"/>
      <c r="G937" s="57"/>
      <c r="H937" s="57"/>
      <c r="I937" s="195"/>
      <c r="M937" s="195"/>
    </row>
    <row r="938">
      <c r="D938" s="57"/>
      <c r="E938" s="123"/>
      <c r="F938" s="57"/>
      <c r="G938" s="57"/>
      <c r="H938" s="57"/>
      <c r="I938" s="195"/>
      <c r="M938" s="195"/>
    </row>
    <row r="939">
      <c r="D939" s="57"/>
      <c r="E939" s="123"/>
      <c r="F939" s="57"/>
      <c r="G939" s="57"/>
      <c r="H939" s="57"/>
      <c r="I939" s="195"/>
      <c r="M939" s="195"/>
    </row>
    <row r="940">
      <c r="D940" s="57"/>
      <c r="E940" s="123"/>
      <c r="F940" s="57"/>
      <c r="G940" s="57"/>
      <c r="H940" s="57"/>
      <c r="I940" s="195"/>
      <c r="M940" s="195"/>
    </row>
    <row r="941">
      <c r="D941" s="57"/>
      <c r="E941" s="123"/>
      <c r="F941" s="57"/>
      <c r="G941" s="57"/>
      <c r="H941" s="57"/>
      <c r="I941" s="195"/>
      <c r="M941" s="195"/>
    </row>
    <row r="942">
      <c r="D942" s="57"/>
      <c r="E942" s="123"/>
      <c r="F942" s="57"/>
      <c r="G942" s="57"/>
      <c r="H942" s="57"/>
      <c r="I942" s="195"/>
      <c r="M942" s="195"/>
    </row>
    <row r="943">
      <c r="D943" s="57"/>
      <c r="E943" s="123"/>
      <c r="F943" s="57"/>
      <c r="G943" s="57"/>
      <c r="H943" s="57"/>
      <c r="I943" s="195"/>
      <c r="M943" s="195"/>
    </row>
    <row r="944">
      <c r="D944" s="57"/>
      <c r="E944" s="123"/>
      <c r="F944" s="57"/>
      <c r="G944" s="57"/>
      <c r="H944" s="57"/>
      <c r="I944" s="195"/>
      <c r="M944" s="195"/>
    </row>
    <row r="945">
      <c r="D945" s="57"/>
      <c r="E945" s="123"/>
      <c r="F945" s="57"/>
      <c r="G945" s="57"/>
      <c r="H945" s="57"/>
      <c r="I945" s="195"/>
      <c r="M945" s="195"/>
    </row>
    <row r="946">
      <c r="D946" s="57"/>
      <c r="E946" s="123"/>
      <c r="F946" s="57"/>
      <c r="G946" s="57"/>
      <c r="H946" s="57"/>
      <c r="I946" s="195"/>
      <c r="M946" s="195"/>
    </row>
    <row r="947">
      <c r="D947" s="57"/>
      <c r="E947" s="123"/>
      <c r="F947" s="57"/>
      <c r="G947" s="57"/>
      <c r="H947" s="57"/>
      <c r="I947" s="195"/>
      <c r="M947" s="195"/>
    </row>
    <row r="948">
      <c r="D948" s="57"/>
      <c r="E948" s="123"/>
      <c r="F948" s="57"/>
      <c r="G948" s="57"/>
      <c r="H948" s="57"/>
      <c r="I948" s="195"/>
      <c r="M948" s="195"/>
    </row>
    <row r="949">
      <c r="D949" s="57"/>
      <c r="E949" s="123"/>
      <c r="F949" s="57"/>
      <c r="G949" s="57"/>
      <c r="H949" s="57"/>
      <c r="I949" s="195"/>
      <c r="M949" s="195"/>
    </row>
    <row r="950">
      <c r="D950" s="57"/>
      <c r="E950" s="123"/>
      <c r="F950" s="57"/>
      <c r="G950" s="57"/>
      <c r="H950" s="57"/>
      <c r="I950" s="195"/>
      <c r="M950" s="195"/>
    </row>
    <row r="951">
      <c r="D951" s="57"/>
      <c r="E951" s="123"/>
      <c r="F951" s="57"/>
      <c r="G951" s="57"/>
      <c r="H951" s="57"/>
      <c r="I951" s="195"/>
      <c r="M951" s="195"/>
    </row>
    <row r="952">
      <c r="D952" s="57"/>
      <c r="E952" s="123"/>
      <c r="F952" s="57"/>
      <c r="G952" s="57"/>
      <c r="H952" s="57"/>
      <c r="I952" s="195"/>
      <c r="M952" s="195"/>
    </row>
    <row r="953">
      <c r="D953" s="57"/>
      <c r="E953" s="123"/>
      <c r="F953" s="57"/>
      <c r="G953" s="57"/>
      <c r="H953" s="57"/>
      <c r="I953" s="195"/>
      <c r="M953" s="195"/>
    </row>
    <row r="954">
      <c r="D954" s="57"/>
      <c r="E954" s="123"/>
      <c r="F954" s="57"/>
      <c r="G954" s="57"/>
      <c r="H954" s="57"/>
      <c r="I954" s="195"/>
      <c r="M954" s="195"/>
    </row>
    <row r="955">
      <c r="D955" s="57"/>
      <c r="E955" s="123"/>
      <c r="F955" s="57"/>
      <c r="G955" s="57"/>
      <c r="H955" s="57"/>
      <c r="I955" s="195"/>
      <c r="M955" s="195"/>
    </row>
    <row r="956">
      <c r="D956" s="57"/>
      <c r="E956" s="123"/>
      <c r="F956" s="57"/>
      <c r="G956" s="57"/>
      <c r="H956" s="57"/>
      <c r="I956" s="195"/>
      <c r="M956" s="195"/>
    </row>
    <row r="957">
      <c r="D957" s="57"/>
      <c r="E957" s="123"/>
      <c r="F957" s="57"/>
      <c r="G957" s="57"/>
      <c r="H957" s="57"/>
      <c r="I957" s="195"/>
      <c r="M957" s="195"/>
    </row>
    <row r="958">
      <c r="D958" s="57"/>
      <c r="E958" s="123"/>
      <c r="F958" s="57"/>
      <c r="G958" s="57"/>
      <c r="H958" s="57"/>
      <c r="I958" s="195"/>
      <c r="M958" s="195"/>
    </row>
    <row r="959">
      <c r="D959" s="57"/>
      <c r="E959" s="123"/>
      <c r="F959" s="57"/>
      <c r="G959" s="57"/>
      <c r="H959" s="57"/>
      <c r="I959" s="195"/>
      <c r="M959" s="195"/>
    </row>
    <row r="960">
      <c r="D960" s="57"/>
      <c r="E960" s="123"/>
      <c r="F960" s="57"/>
      <c r="G960" s="57"/>
      <c r="H960" s="57"/>
      <c r="I960" s="195"/>
      <c r="M960" s="195"/>
    </row>
    <row r="961">
      <c r="D961" s="57"/>
      <c r="E961" s="123"/>
      <c r="F961" s="57"/>
      <c r="G961" s="57"/>
      <c r="H961" s="57"/>
      <c r="I961" s="195"/>
      <c r="M961" s="195"/>
    </row>
    <row r="962">
      <c r="D962" s="57"/>
      <c r="E962" s="123"/>
      <c r="F962" s="57"/>
      <c r="G962" s="57"/>
      <c r="H962" s="57"/>
      <c r="I962" s="195"/>
      <c r="M962" s="195"/>
    </row>
    <row r="963">
      <c r="D963" s="57"/>
      <c r="E963" s="123"/>
      <c r="F963" s="57"/>
      <c r="G963" s="57"/>
      <c r="H963" s="57"/>
      <c r="I963" s="195"/>
      <c r="M963" s="195"/>
    </row>
    <row r="964">
      <c r="D964" s="57"/>
      <c r="E964" s="123"/>
      <c r="F964" s="57"/>
      <c r="G964" s="57"/>
      <c r="H964" s="57"/>
      <c r="I964" s="195"/>
      <c r="M964" s="195"/>
    </row>
    <row r="965">
      <c r="D965" s="57"/>
      <c r="E965" s="123"/>
      <c r="F965" s="57"/>
      <c r="G965" s="57"/>
      <c r="H965" s="57"/>
      <c r="I965" s="195"/>
      <c r="M965" s="195"/>
    </row>
    <row r="966">
      <c r="D966" s="57"/>
      <c r="E966" s="123"/>
      <c r="F966" s="57"/>
      <c r="G966" s="57"/>
      <c r="H966" s="57"/>
      <c r="I966" s="195"/>
      <c r="M966" s="195"/>
    </row>
    <row r="967">
      <c r="D967" s="57"/>
      <c r="E967" s="123"/>
      <c r="F967" s="57"/>
      <c r="G967" s="57"/>
      <c r="H967" s="57"/>
      <c r="I967" s="195"/>
      <c r="M967" s="195"/>
    </row>
    <row r="968">
      <c r="D968" s="57"/>
      <c r="E968" s="123"/>
      <c r="F968" s="57"/>
      <c r="G968" s="57"/>
      <c r="H968" s="57"/>
      <c r="I968" s="195"/>
      <c r="M968" s="195"/>
    </row>
    <row r="969">
      <c r="D969" s="57"/>
      <c r="E969" s="123"/>
      <c r="F969" s="57"/>
      <c r="G969" s="57"/>
      <c r="H969" s="57"/>
      <c r="I969" s="195"/>
      <c r="M969" s="195"/>
    </row>
    <row r="970">
      <c r="D970" s="57"/>
      <c r="E970" s="123"/>
      <c r="F970" s="57"/>
      <c r="G970" s="57"/>
      <c r="H970" s="57"/>
      <c r="I970" s="195"/>
      <c r="M970" s="195"/>
    </row>
    <row r="971">
      <c r="D971" s="57"/>
      <c r="E971" s="123"/>
      <c r="F971" s="57"/>
      <c r="G971" s="57"/>
      <c r="H971" s="57"/>
      <c r="I971" s="195"/>
      <c r="M971" s="195"/>
    </row>
    <row r="972">
      <c r="D972" s="57"/>
      <c r="E972" s="123"/>
      <c r="F972" s="57"/>
      <c r="G972" s="57"/>
      <c r="H972" s="57"/>
      <c r="I972" s="195"/>
      <c r="M972" s="195"/>
    </row>
    <row r="973">
      <c r="D973" s="57"/>
      <c r="E973" s="123"/>
      <c r="F973" s="57"/>
      <c r="G973" s="57"/>
      <c r="H973" s="57"/>
      <c r="I973" s="195"/>
      <c r="M973" s="195"/>
    </row>
    <row r="974">
      <c r="D974" s="57"/>
      <c r="E974" s="123"/>
      <c r="F974" s="57"/>
      <c r="G974" s="57"/>
      <c r="H974" s="57"/>
      <c r="I974" s="195"/>
      <c r="M974" s="195"/>
    </row>
    <row r="975">
      <c r="D975" s="57"/>
      <c r="E975" s="123"/>
      <c r="F975" s="57"/>
      <c r="G975" s="57"/>
      <c r="H975" s="57"/>
      <c r="I975" s="195"/>
      <c r="M975" s="195"/>
    </row>
    <row r="976">
      <c r="D976" s="57"/>
      <c r="E976" s="123"/>
      <c r="F976" s="57"/>
      <c r="G976" s="57"/>
      <c r="H976" s="57"/>
      <c r="I976" s="195"/>
      <c r="M976" s="195"/>
    </row>
    <row r="977">
      <c r="D977" s="57"/>
      <c r="E977" s="123"/>
      <c r="F977" s="57"/>
      <c r="G977" s="57"/>
      <c r="H977" s="57"/>
      <c r="I977" s="195"/>
      <c r="M977" s="195"/>
    </row>
    <row r="978">
      <c r="D978" s="57"/>
      <c r="E978" s="123"/>
      <c r="F978" s="57"/>
      <c r="G978" s="57"/>
      <c r="H978" s="57"/>
      <c r="I978" s="195"/>
      <c r="M978" s="195"/>
    </row>
    <row r="979">
      <c r="D979" s="57"/>
      <c r="E979" s="123"/>
      <c r="F979" s="57"/>
      <c r="G979" s="57"/>
      <c r="H979" s="57"/>
      <c r="I979" s="195"/>
      <c r="M979" s="195"/>
    </row>
    <row r="980">
      <c r="D980" s="57"/>
      <c r="E980" s="123"/>
      <c r="F980" s="57"/>
      <c r="G980" s="57"/>
      <c r="H980" s="57"/>
      <c r="I980" s="195"/>
      <c r="M980" s="195"/>
    </row>
    <row r="981">
      <c r="D981" s="57"/>
      <c r="E981" s="123"/>
      <c r="F981" s="57"/>
      <c r="G981" s="57"/>
      <c r="H981" s="57"/>
      <c r="I981" s="195"/>
      <c r="M981" s="195"/>
    </row>
    <row r="982">
      <c r="D982" s="57"/>
      <c r="E982" s="123"/>
      <c r="F982" s="57"/>
      <c r="G982" s="57"/>
      <c r="H982" s="57"/>
      <c r="I982" s="195"/>
      <c r="M982" s="195"/>
    </row>
    <row r="983">
      <c r="D983" s="57"/>
      <c r="E983" s="123"/>
      <c r="F983" s="57"/>
      <c r="G983" s="57"/>
      <c r="H983" s="57"/>
      <c r="I983" s="195"/>
      <c r="M983" s="195"/>
    </row>
    <row r="984">
      <c r="D984" s="57"/>
      <c r="E984" s="123"/>
      <c r="F984" s="57"/>
      <c r="G984" s="57"/>
      <c r="H984" s="57"/>
      <c r="I984" s="195"/>
      <c r="M984" s="195"/>
    </row>
    <row r="985">
      <c r="D985" s="57"/>
      <c r="E985" s="123"/>
      <c r="F985" s="57"/>
      <c r="G985" s="57"/>
      <c r="H985" s="57"/>
      <c r="I985" s="195"/>
      <c r="M985" s="195"/>
    </row>
    <row r="986">
      <c r="D986" s="57"/>
      <c r="E986" s="123"/>
      <c r="F986" s="57"/>
      <c r="G986" s="57"/>
      <c r="H986" s="57"/>
      <c r="I986" s="195"/>
      <c r="M986" s="195"/>
    </row>
    <row r="987">
      <c r="D987" s="57"/>
      <c r="E987" s="123"/>
      <c r="F987" s="57"/>
      <c r="G987" s="57"/>
      <c r="H987" s="57"/>
      <c r="I987" s="195"/>
      <c r="M987" s="195"/>
    </row>
    <row r="988">
      <c r="D988" s="57"/>
      <c r="E988" s="123"/>
      <c r="F988" s="57"/>
      <c r="G988" s="57"/>
      <c r="H988" s="57"/>
      <c r="I988" s="195"/>
      <c r="M988" s="195"/>
    </row>
    <row r="989">
      <c r="D989" s="57"/>
      <c r="E989" s="123"/>
      <c r="F989" s="57"/>
      <c r="G989" s="57"/>
      <c r="H989" s="57"/>
      <c r="I989" s="195"/>
      <c r="M989" s="195"/>
    </row>
    <row r="990">
      <c r="D990" s="57"/>
      <c r="E990" s="123"/>
      <c r="F990" s="57"/>
      <c r="G990" s="57"/>
      <c r="H990" s="57"/>
      <c r="I990" s="195"/>
      <c r="M990" s="195"/>
    </row>
    <row r="991">
      <c r="D991" s="57"/>
      <c r="E991" s="123"/>
      <c r="F991" s="57"/>
      <c r="G991" s="57"/>
      <c r="H991" s="57"/>
      <c r="I991" s="195"/>
      <c r="M991" s="195"/>
    </row>
    <row r="992">
      <c r="D992" s="57"/>
      <c r="E992" s="123"/>
      <c r="F992" s="57"/>
      <c r="G992" s="57"/>
      <c r="H992" s="57"/>
      <c r="I992" s="195"/>
      <c r="M992" s="195"/>
    </row>
    <row r="993">
      <c r="D993" s="57"/>
      <c r="E993" s="123"/>
      <c r="F993" s="57"/>
      <c r="G993" s="57"/>
      <c r="H993" s="57"/>
      <c r="I993" s="195"/>
      <c r="M993" s="195"/>
    </row>
    <row r="994">
      <c r="D994" s="57"/>
      <c r="E994" s="123"/>
      <c r="F994" s="57"/>
      <c r="G994" s="57"/>
      <c r="H994" s="57"/>
      <c r="I994" s="195"/>
      <c r="M994" s="195"/>
    </row>
    <row r="995">
      <c r="D995" s="57"/>
      <c r="E995" s="123"/>
      <c r="F995" s="57"/>
      <c r="G995" s="57"/>
      <c r="H995" s="57"/>
      <c r="I995" s="195"/>
      <c r="M995" s="195"/>
    </row>
    <row r="996">
      <c r="D996" s="57"/>
      <c r="E996" s="123"/>
      <c r="F996" s="57"/>
      <c r="G996" s="57"/>
      <c r="H996" s="57"/>
      <c r="I996" s="195"/>
      <c r="M996" s="195"/>
    </row>
    <row r="997">
      <c r="D997" s="57"/>
      <c r="E997" s="123"/>
      <c r="F997" s="57"/>
      <c r="G997" s="57"/>
      <c r="H997" s="57"/>
      <c r="I997" s="195"/>
      <c r="M997" s="195"/>
    </row>
    <row r="998">
      <c r="D998" s="57"/>
      <c r="E998" s="123"/>
      <c r="F998" s="57"/>
      <c r="G998" s="57"/>
      <c r="H998" s="57"/>
      <c r="I998" s="195"/>
      <c r="M998" s="195"/>
    </row>
    <row r="999">
      <c r="D999" s="57"/>
      <c r="E999" s="123"/>
      <c r="F999" s="57"/>
      <c r="G999" s="57"/>
      <c r="H999" s="57"/>
      <c r="I999" s="195"/>
      <c r="M999" s="195"/>
    </row>
    <row r="1000">
      <c r="D1000" s="57"/>
      <c r="E1000" s="123"/>
      <c r="F1000" s="57"/>
      <c r="G1000" s="57"/>
      <c r="H1000" s="57"/>
      <c r="I1000" s="195"/>
      <c r="M1000" s="195"/>
    </row>
    <row r="1001">
      <c r="D1001" s="57"/>
      <c r="E1001" s="123"/>
      <c r="F1001" s="57"/>
      <c r="G1001" s="57"/>
      <c r="H1001" s="57"/>
      <c r="I1001" s="195"/>
      <c r="M1001" s="195"/>
    </row>
    <row r="1002">
      <c r="D1002" s="57"/>
      <c r="E1002" s="123"/>
      <c r="F1002" s="57"/>
      <c r="G1002" s="57"/>
      <c r="H1002" s="57"/>
      <c r="I1002" s="195"/>
      <c r="M1002" s="195"/>
    </row>
    <row r="1003">
      <c r="D1003" s="57"/>
      <c r="E1003" s="123"/>
      <c r="F1003" s="57"/>
      <c r="G1003" s="57"/>
      <c r="H1003" s="57"/>
      <c r="I1003" s="195"/>
      <c r="M1003" s="195"/>
    </row>
    <row r="1004">
      <c r="D1004" s="57"/>
      <c r="E1004" s="123"/>
      <c r="F1004" s="57"/>
      <c r="G1004" s="57"/>
      <c r="H1004" s="57"/>
      <c r="I1004" s="195"/>
      <c r="M1004" s="195"/>
    </row>
    <row r="1005">
      <c r="D1005" s="57"/>
      <c r="E1005" s="123"/>
      <c r="F1005" s="57"/>
      <c r="G1005" s="57"/>
      <c r="H1005" s="57"/>
      <c r="I1005" s="195"/>
      <c r="M1005" s="195"/>
    </row>
    <row r="1006">
      <c r="D1006" s="57"/>
      <c r="E1006" s="123"/>
      <c r="F1006" s="57"/>
      <c r="G1006" s="57"/>
      <c r="H1006" s="57"/>
      <c r="I1006" s="195"/>
      <c r="M1006" s="195"/>
    </row>
    <row r="1007">
      <c r="D1007" s="57"/>
      <c r="E1007" s="123"/>
      <c r="F1007" s="57"/>
      <c r="G1007" s="57"/>
      <c r="H1007" s="57"/>
      <c r="I1007" s="195"/>
      <c r="M1007" s="195"/>
    </row>
    <row r="1008">
      <c r="D1008" s="57"/>
      <c r="E1008" s="123"/>
      <c r="F1008" s="57"/>
      <c r="G1008" s="57"/>
      <c r="H1008" s="57"/>
      <c r="I1008" s="195"/>
      <c r="M1008" s="195"/>
    </row>
    <row r="1009">
      <c r="D1009" s="57"/>
      <c r="E1009" s="123"/>
      <c r="F1009" s="57"/>
      <c r="G1009" s="57"/>
      <c r="H1009" s="57"/>
      <c r="I1009" s="195"/>
      <c r="M1009" s="195"/>
    </row>
    <row r="1010">
      <c r="D1010" s="57"/>
      <c r="E1010" s="123"/>
      <c r="F1010" s="57"/>
      <c r="G1010" s="57"/>
      <c r="H1010" s="57"/>
      <c r="I1010" s="195"/>
      <c r="M1010" s="195"/>
    </row>
    <row r="1011">
      <c r="D1011" s="57"/>
      <c r="E1011" s="123"/>
      <c r="F1011" s="57"/>
      <c r="G1011" s="57"/>
      <c r="H1011" s="57"/>
      <c r="I1011" s="195"/>
      <c r="M1011" s="195"/>
    </row>
    <row r="1012">
      <c r="D1012" s="57"/>
      <c r="E1012" s="123"/>
      <c r="F1012" s="57"/>
      <c r="G1012" s="57"/>
      <c r="H1012" s="57"/>
      <c r="I1012" s="195"/>
      <c r="M1012" s="195"/>
    </row>
    <row r="1013">
      <c r="D1013" s="57"/>
      <c r="E1013" s="123"/>
      <c r="F1013" s="57"/>
      <c r="G1013" s="57"/>
      <c r="H1013" s="57"/>
      <c r="I1013" s="195"/>
      <c r="M1013" s="195"/>
    </row>
    <row r="1014">
      <c r="D1014" s="57"/>
      <c r="E1014" s="123"/>
      <c r="F1014" s="57"/>
      <c r="G1014" s="57"/>
      <c r="H1014" s="57"/>
      <c r="I1014" s="195"/>
      <c r="M1014" s="195"/>
    </row>
    <row r="1015">
      <c r="D1015" s="57"/>
      <c r="E1015" s="123"/>
      <c r="F1015" s="57"/>
      <c r="G1015" s="57"/>
      <c r="H1015" s="57"/>
      <c r="I1015" s="195"/>
      <c r="M1015" s="195"/>
    </row>
    <row r="1016">
      <c r="D1016" s="57"/>
      <c r="E1016" s="123"/>
      <c r="F1016" s="57"/>
      <c r="G1016" s="57"/>
      <c r="H1016" s="57"/>
      <c r="I1016" s="195"/>
      <c r="M1016" s="195"/>
    </row>
    <row r="1017">
      <c r="D1017" s="57"/>
      <c r="E1017" s="123"/>
      <c r="F1017" s="57"/>
      <c r="G1017" s="57"/>
      <c r="H1017" s="57"/>
      <c r="I1017" s="195"/>
      <c r="M1017" s="195"/>
    </row>
    <row r="1018">
      <c r="D1018" s="57"/>
      <c r="E1018" s="123"/>
      <c r="F1018" s="57"/>
      <c r="G1018" s="57"/>
      <c r="H1018" s="57"/>
      <c r="I1018" s="195"/>
      <c r="M1018" s="195"/>
    </row>
    <row r="1019">
      <c r="D1019" s="57"/>
      <c r="E1019" s="123"/>
      <c r="F1019" s="57"/>
      <c r="G1019" s="57"/>
      <c r="H1019" s="57"/>
      <c r="I1019" s="195"/>
      <c r="M1019" s="195"/>
    </row>
    <row r="1020">
      <c r="D1020" s="57"/>
      <c r="E1020" s="123"/>
      <c r="F1020" s="57"/>
      <c r="G1020" s="57"/>
      <c r="H1020" s="57"/>
      <c r="I1020" s="195"/>
      <c r="M1020" s="195"/>
    </row>
    <row r="1021">
      <c r="D1021" s="57"/>
      <c r="E1021" s="123"/>
      <c r="F1021" s="57"/>
      <c r="G1021" s="57"/>
      <c r="H1021" s="57"/>
      <c r="I1021" s="195"/>
      <c r="M1021" s="195"/>
    </row>
    <row r="1022">
      <c r="D1022" s="57"/>
      <c r="E1022" s="123"/>
      <c r="F1022" s="57"/>
      <c r="G1022" s="57"/>
      <c r="H1022" s="57"/>
      <c r="I1022" s="195"/>
      <c r="M1022" s="195"/>
    </row>
    <row r="1023">
      <c r="D1023" s="57"/>
      <c r="E1023" s="123"/>
      <c r="F1023" s="57"/>
      <c r="G1023" s="57"/>
      <c r="H1023" s="57"/>
      <c r="I1023" s="195"/>
      <c r="M1023" s="195"/>
    </row>
    <row r="1024">
      <c r="D1024" s="57"/>
      <c r="E1024" s="123"/>
      <c r="F1024" s="57"/>
      <c r="G1024" s="57"/>
      <c r="H1024" s="57"/>
      <c r="I1024" s="195"/>
      <c r="M1024" s="195"/>
    </row>
    <row r="1025">
      <c r="D1025" s="57"/>
      <c r="E1025" s="123"/>
      <c r="F1025" s="57"/>
      <c r="G1025" s="57"/>
      <c r="H1025" s="57"/>
      <c r="I1025" s="195"/>
      <c r="M1025" s="195"/>
    </row>
    <row r="1026">
      <c r="D1026" s="57"/>
      <c r="E1026" s="123"/>
      <c r="F1026" s="57"/>
      <c r="G1026" s="57"/>
      <c r="H1026" s="57"/>
      <c r="I1026" s="195"/>
      <c r="M1026" s="195"/>
    </row>
    <row r="1027">
      <c r="D1027" s="57"/>
      <c r="E1027" s="123"/>
      <c r="F1027" s="57"/>
      <c r="G1027" s="57"/>
      <c r="H1027" s="57"/>
      <c r="I1027" s="195"/>
      <c r="M1027" s="195"/>
    </row>
    <row r="1028">
      <c r="D1028" s="57"/>
      <c r="E1028" s="123"/>
      <c r="F1028" s="57"/>
      <c r="G1028" s="57"/>
      <c r="H1028" s="57"/>
      <c r="I1028" s="195"/>
      <c r="M1028" s="195"/>
    </row>
    <row r="1029">
      <c r="D1029" s="57"/>
      <c r="E1029" s="123"/>
      <c r="F1029" s="57"/>
      <c r="G1029" s="57"/>
      <c r="H1029" s="57"/>
      <c r="I1029" s="195"/>
      <c r="M1029" s="195"/>
    </row>
    <row r="1030">
      <c r="D1030" s="57"/>
      <c r="E1030" s="123"/>
      <c r="F1030" s="57"/>
      <c r="G1030" s="57"/>
      <c r="H1030" s="57"/>
      <c r="I1030" s="195"/>
      <c r="M1030" s="195"/>
    </row>
    <row r="1031">
      <c r="D1031" s="57"/>
      <c r="E1031" s="123"/>
      <c r="F1031" s="57"/>
      <c r="G1031" s="57"/>
      <c r="H1031" s="57"/>
      <c r="I1031" s="195"/>
      <c r="M1031" s="195"/>
    </row>
    <row r="1032">
      <c r="D1032" s="57"/>
      <c r="E1032" s="123"/>
      <c r="F1032" s="57"/>
      <c r="G1032" s="57"/>
      <c r="H1032" s="57"/>
      <c r="I1032" s="195"/>
      <c r="M1032" s="195"/>
    </row>
    <row r="1033">
      <c r="D1033" s="57"/>
      <c r="E1033" s="123"/>
      <c r="F1033" s="57"/>
      <c r="G1033" s="57"/>
      <c r="H1033" s="57"/>
      <c r="I1033" s="195"/>
      <c r="M1033" s="195"/>
    </row>
    <row r="1034">
      <c r="D1034" s="57"/>
      <c r="E1034" s="123"/>
      <c r="F1034" s="57"/>
      <c r="G1034" s="57"/>
      <c r="H1034" s="57"/>
      <c r="I1034" s="195"/>
      <c r="M1034" s="195"/>
    </row>
    <row r="1035">
      <c r="D1035" s="57"/>
      <c r="E1035" s="123"/>
      <c r="F1035" s="57"/>
      <c r="G1035" s="57"/>
      <c r="H1035" s="57"/>
      <c r="I1035" s="195"/>
      <c r="M1035" s="195"/>
    </row>
    <row r="1036">
      <c r="D1036" s="57"/>
      <c r="E1036" s="123"/>
      <c r="F1036" s="57"/>
      <c r="G1036" s="57"/>
      <c r="H1036" s="57"/>
      <c r="I1036" s="195"/>
      <c r="M1036" s="195"/>
    </row>
    <row r="1037">
      <c r="D1037" s="57"/>
      <c r="E1037" s="123"/>
      <c r="F1037" s="57"/>
      <c r="G1037" s="57"/>
      <c r="H1037" s="57"/>
      <c r="I1037" s="195"/>
      <c r="M1037" s="195"/>
    </row>
    <row r="1038">
      <c r="D1038" s="57"/>
      <c r="E1038" s="123"/>
      <c r="F1038" s="57"/>
      <c r="G1038" s="57"/>
      <c r="H1038" s="57"/>
      <c r="I1038" s="195"/>
      <c r="M1038" s="195"/>
    </row>
    <row r="1039">
      <c r="D1039" s="57"/>
      <c r="E1039" s="123"/>
      <c r="F1039" s="57"/>
      <c r="G1039" s="57"/>
      <c r="H1039" s="57"/>
      <c r="I1039" s="195"/>
      <c r="M1039" s="195"/>
    </row>
    <row r="1040">
      <c r="D1040" s="57"/>
      <c r="E1040" s="123"/>
      <c r="F1040" s="57"/>
      <c r="G1040" s="57"/>
      <c r="H1040" s="57"/>
      <c r="I1040" s="195"/>
      <c r="M1040" s="195"/>
    </row>
    <row r="1041">
      <c r="D1041" s="57"/>
      <c r="E1041" s="123"/>
      <c r="F1041" s="57"/>
      <c r="G1041" s="57"/>
      <c r="H1041" s="57"/>
      <c r="I1041" s="195"/>
      <c r="M1041" s="195"/>
    </row>
    <row r="1042">
      <c r="D1042" s="57"/>
      <c r="E1042" s="123"/>
      <c r="F1042" s="57"/>
      <c r="G1042" s="57"/>
      <c r="H1042" s="57"/>
      <c r="I1042" s="195"/>
      <c r="M1042" s="195"/>
    </row>
    <row r="1043">
      <c r="D1043" s="57"/>
      <c r="E1043" s="123"/>
      <c r="F1043" s="57"/>
      <c r="G1043" s="57"/>
      <c r="H1043" s="57"/>
      <c r="I1043" s="195"/>
      <c r="M1043" s="195"/>
    </row>
    <row r="1044">
      <c r="D1044" s="57"/>
      <c r="E1044" s="123"/>
      <c r="F1044" s="57"/>
      <c r="G1044" s="57"/>
      <c r="H1044" s="57"/>
      <c r="I1044" s="195"/>
      <c r="M1044" s="195"/>
    </row>
    <row r="1045">
      <c r="D1045" s="57"/>
      <c r="E1045" s="123"/>
      <c r="F1045" s="57"/>
      <c r="G1045" s="57"/>
      <c r="H1045" s="57"/>
      <c r="I1045" s="195"/>
      <c r="M1045" s="195"/>
    </row>
    <row r="1046">
      <c r="D1046" s="57"/>
      <c r="E1046" s="123"/>
      <c r="F1046" s="57"/>
      <c r="G1046" s="57"/>
      <c r="H1046" s="57"/>
      <c r="I1046" s="195"/>
      <c r="M1046" s="195"/>
    </row>
    <row r="1047">
      <c r="D1047" s="57"/>
      <c r="E1047" s="123"/>
      <c r="F1047" s="57"/>
      <c r="G1047" s="57"/>
      <c r="H1047" s="57"/>
      <c r="I1047" s="195"/>
      <c r="M1047" s="195"/>
    </row>
    <row r="1048">
      <c r="D1048" s="57"/>
      <c r="E1048" s="123"/>
      <c r="F1048" s="57"/>
      <c r="G1048" s="57"/>
      <c r="H1048" s="57"/>
      <c r="I1048" s="195"/>
      <c r="M1048" s="195"/>
    </row>
    <row r="1049">
      <c r="D1049" s="57"/>
      <c r="E1049" s="123"/>
      <c r="F1049" s="57"/>
      <c r="G1049" s="57"/>
      <c r="H1049" s="57"/>
      <c r="I1049" s="195"/>
      <c r="M1049" s="195"/>
    </row>
    <row r="1050">
      <c r="D1050" s="57"/>
      <c r="E1050" s="123"/>
      <c r="F1050" s="57"/>
      <c r="G1050" s="57"/>
      <c r="H1050" s="57"/>
      <c r="I1050" s="195"/>
      <c r="M1050" s="195"/>
    </row>
    <row r="1051">
      <c r="D1051" s="57"/>
      <c r="E1051" s="123"/>
      <c r="F1051" s="57"/>
      <c r="G1051" s="57"/>
      <c r="H1051" s="57"/>
      <c r="I1051" s="195"/>
      <c r="M1051" s="195"/>
    </row>
    <row r="1052">
      <c r="D1052" s="57"/>
      <c r="E1052" s="123"/>
      <c r="F1052" s="57"/>
      <c r="G1052" s="57"/>
      <c r="H1052" s="57"/>
      <c r="I1052" s="195"/>
      <c r="M1052" s="195"/>
    </row>
    <row r="1053">
      <c r="D1053" s="57"/>
      <c r="E1053" s="123"/>
      <c r="F1053" s="57"/>
      <c r="G1053" s="57"/>
      <c r="H1053" s="57"/>
      <c r="I1053" s="195"/>
      <c r="M1053" s="195"/>
    </row>
    <row r="1054">
      <c r="D1054" s="57"/>
      <c r="E1054" s="123"/>
      <c r="F1054" s="57"/>
      <c r="G1054" s="57"/>
      <c r="H1054" s="57"/>
      <c r="I1054" s="195"/>
      <c r="M1054" s="195"/>
    </row>
    <row r="1055">
      <c r="D1055" s="57"/>
      <c r="E1055" s="123"/>
      <c r="F1055" s="57"/>
      <c r="G1055" s="57"/>
      <c r="H1055" s="57"/>
      <c r="I1055" s="195"/>
      <c r="M1055" s="195"/>
    </row>
    <row r="1056">
      <c r="D1056" s="57"/>
      <c r="E1056" s="123"/>
      <c r="F1056" s="57"/>
      <c r="G1056" s="57"/>
      <c r="H1056" s="57"/>
      <c r="I1056" s="195"/>
      <c r="M1056" s="195"/>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1" t="s">
        <v>78</v>
      </c>
      <c r="B1" s="32" t="s">
        <v>79</v>
      </c>
      <c r="C1" s="32" t="s">
        <v>80</v>
      </c>
      <c r="D1" s="32" t="s">
        <v>81</v>
      </c>
      <c r="E1" s="32" t="s">
        <v>82</v>
      </c>
      <c r="F1" s="31" t="s">
        <v>414</v>
      </c>
      <c r="G1" s="32" t="s">
        <v>83</v>
      </c>
      <c r="H1" s="32" t="s">
        <v>83</v>
      </c>
      <c r="I1" s="58"/>
      <c r="J1" s="58"/>
      <c r="K1" s="58"/>
      <c r="L1" s="58"/>
      <c r="M1" s="58"/>
      <c r="N1" s="58"/>
      <c r="O1" s="58"/>
      <c r="P1" s="58"/>
      <c r="Q1" s="58"/>
      <c r="R1" s="58"/>
      <c r="S1" s="58"/>
      <c r="T1" s="58"/>
      <c r="U1" s="58"/>
      <c r="V1" s="58"/>
      <c r="W1" s="58"/>
      <c r="X1" s="58"/>
      <c r="Y1" s="58"/>
      <c r="Z1" s="58"/>
    </row>
  </sheetData>
  <drawing r:id="rId1"/>
</worksheet>
</file>